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R\"/>
    </mc:Choice>
  </mc:AlternateContent>
  <bookViews>
    <workbookView xWindow="-120" yWindow="-120" windowWidth="20730" windowHeight="11160" activeTab="5"/>
  </bookViews>
  <sheets>
    <sheet name="Attendence" sheetId="1" r:id="rId1"/>
    <sheet name="2021" sheetId="2" r:id="rId2"/>
    <sheet name="2022" sheetId="4" r:id="rId3"/>
    <sheet name="2023" sheetId="6" r:id="rId4"/>
    <sheet name="2024" sheetId="7" r:id="rId5"/>
    <sheet name="2025" sheetId="8" r:id="rId6"/>
    <sheet name="Sheet1" sheetId="3" r:id="rId7"/>
    <sheet name="Sheet2" sheetId="5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7" i="8" l="1"/>
  <c r="C219" i="8"/>
  <c r="C215" i="8"/>
  <c r="AB220" i="8" l="1"/>
  <c r="AK221" i="8"/>
  <c r="AJ221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AR220" i="8"/>
  <c r="AQ220" i="8"/>
  <c r="AO220" i="8"/>
  <c r="AK220" i="8"/>
  <c r="AJ220" i="8"/>
  <c r="AH220" i="8"/>
  <c r="AG220" i="8"/>
  <c r="AF220" i="8"/>
  <c r="AE220" i="8"/>
  <c r="AD220" i="8"/>
  <c r="AC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AI219" i="8"/>
  <c r="AL219" i="8" s="1"/>
  <c r="AM219" i="8" s="1"/>
  <c r="AI218" i="8"/>
  <c r="AL218" i="8" s="1"/>
  <c r="AM218" i="8" s="1"/>
  <c r="AI217" i="8"/>
  <c r="AL217" i="8" s="1"/>
  <c r="AM217" i="8" s="1"/>
  <c r="AI216" i="8"/>
  <c r="AL216" i="8" s="1"/>
  <c r="AM216" i="8" s="1"/>
  <c r="AI215" i="8"/>
  <c r="AL215" i="8" s="1"/>
  <c r="AM215" i="8" s="1"/>
  <c r="AI214" i="8"/>
  <c r="AL214" i="8" s="1"/>
  <c r="AM214" i="8" s="1"/>
  <c r="AI213" i="8"/>
  <c r="AL213" i="8" s="1"/>
  <c r="AM213" i="8" s="1"/>
  <c r="C213" i="8"/>
  <c r="AI212" i="8"/>
  <c r="AL212" i="8" s="1"/>
  <c r="AM212" i="8" s="1"/>
  <c r="AI211" i="8"/>
  <c r="AL211" i="8" s="1"/>
  <c r="AM211" i="8" s="1"/>
  <c r="C211" i="8"/>
  <c r="AI210" i="8"/>
  <c r="AL210" i="8" s="1"/>
  <c r="AM210" i="8" s="1"/>
  <c r="AI209" i="8"/>
  <c r="AL209" i="8" s="1"/>
  <c r="AM209" i="8" s="1"/>
  <c r="C209" i="8"/>
  <c r="AI208" i="8"/>
  <c r="AL208" i="8" s="1"/>
  <c r="AM208" i="8" s="1"/>
  <c r="AI207" i="8"/>
  <c r="AL207" i="8" s="1"/>
  <c r="AM207" i="8" s="1"/>
  <c r="C207" i="8"/>
  <c r="AI206" i="8"/>
  <c r="AL206" i="8" s="1"/>
  <c r="AM206" i="8" s="1"/>
  <c r="AI205" i="8"/>
  <c r="AL205" i="8" s="1"/>
  <c r="AM205" i="8" s="1"/>
  <c r="C205" i="8"/>
  <c r="AI204" i="8"/>
  <c r="AL204" i="8" s="1"/>
  <c r="AM204" i="8" s="1"/>
  <c r="AI203" i="8"/>
  <c r="AL203" i="8" s="1"/>
  <c r="AM203" i="8" s="1"/>
  <c r="C203" i="8"/>
  <c r="AI202" i="8"/>
  <c r="AL202" i="8" s="1"/>
  <c r="AM202" i="8" s="1"/>
  <c r="AI201" i="8"/>
  <c r="AL201" i="8" s="1"/>
  <c r="AM201" i="8" s="1"/>
  <c r="C201" i="8"/>
  <c r="AI200" i="8"/>
  <c r="AL200" i="8" s="1"/>
  <c r="AM200" i="8" s="1"/>
  <c r="AI199" i="8"/>
  <c r="AL199" i="8" s="1"/>
  <c r="AM199" i="8" s="1"/>
  <c r="C199" i="8"/>
  <c r="AI198" i="8"/>
  <c r="AL198" i="8" s="1"/>
  <c r="AM198" i="8" s="1"/>
  <c r="AI197" i="8"/>
  <c r="AL197" i="8" s="1"/>
  <c r="AI196" i="8"/>
  <c r="AN204" i="8" l="1"/>
  <c r="AP204" i="8" s="1"/>
  <c r="AN202" i="8"/>
  <c r="AP202" i="8" s="1"/>
  <c r="AN218" i="8"/>
  <c r="AP218" i="8" s="1"/>
  <c r="AN198" i="8"/>
  <c r="AP198" i="8" s="1"/>
  <c r="AN200" i="8"/>
  <c r="AP200" i="8" s="1"/>
  <c r="AN214" i="8"/>
  <c r="AP214" i="8" s="1"/>
  <c r="AN216" i="8"/>
  <c r="AP216" i="8" s="1"/>
  <c r="AI220" i="8"/>
  <c r="AN206" i="8"/>
  <c r="AP206" i="8" s="1"/>
  <c r="AN212" i="8"/>
  <c r="AP212" i="8" s="1"/>
  <c r="AN208" i="8"/>
  <c r="AP208" i="8" s="1"/>
  <c r="AN210" i="8"/>
  <c r="AP210" i="8" s="1"/>
  <c r="AL221" i="8"/>
  <c r="AM197" i="8"/>
  <c r="AM221" i="8" s="1"/>
  <c r="AI221" i="8"/>
  <c r="AL196" i="8"/>
  <c r="AI190" i="8"/>
  <c r="AI189" i="8"/>
  <c r="AI188" i="8"/>
  <c r="AI187" i="8"/>
  <c r="AI186" i="8"/>
  <c r="AI185" i="8"/>
  <c r="AI184" i="8"/>
  <c r="AI183" i="8"/>
  <c r="AI182" i="8"/>
  <c r="AI181" i="8"/>
  <c r="AI180" i="8"/>
  <c r="AI179" i="8"/>
  <c r="AI178" i="8"/>
  <c r="AI177" i="8"/>
  <c r="AI176" i="8"/>
  <c r="AI175" i="8"/>
  <c r="AI174" i="8"/>
  <c r="AI173" i="8"/>
  <c r="AI172" i="8"/>
  <c r="AI171" i="8"/>
  <c r="AI170" i="8"/>
  <c r="AI169" i="8"/>
  <c r="AI168" i="8"/>
  <c r="AI167" i="8"/>
  <c r="AM196" i="8" l="1"/>
  <c r="AL220" i="8"/>
  <c r="AH191" i="8"/>
  <c r="AH192" i="8"/>
  <c r="AM220" i="8" l="1"/>
  <c r="AN196" i="8"/>
  <c r="C168" i="8"/>
  <c r="AN220" i="8" l="1"/>
  <c r="AP196" i="8"/>
  <c r="AP220" i="8" s="1"/>
  <c r="C186" i="8"/>
  <c r="C184" i="8"/>
  <c r="C182" i="8"/>
  <c r="AK192" i="8"/>
  <c r="AJ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AR191" i="8"/>
  <c r="AQ191" i="8"/>
  <c r="AO191" i="8"/>
  <c r="AK191" i="8"/>
  <c r="AJ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AL190" i="8"/>
  <c r="AM190" i="8" s="1"/>
  <c r="C190" i="8"/>
  <c r="AL189" i="8"/>
  <c r="AM189" i="8" s="1"/>
  <c r="AL188" i="8"/>
  <c r="AM188" i="8" s="1"/>
  <c r="C188" i="8"/>
  <c r="AL187" i="8"/>
  <c r="AM187" i="8" s="1"/>
  <c r="AL186" i="8"/>
  <c r="AL185" i="8"/>
  <c r="AM185" i="8" s="1"/>
  <c r="AL184" i="8"/>
  <c r="AM184" i="8" s="1"/>
  <c r="AL183" i="8"/>
  <c r="AM183" i="8" s="1"/>
  <c r="AL182" i="8"/>
  <c r="AL181" i="8"/>
  <c r="AM181" i="8" s="1"/>
  <c r="AL180" i="8"/>
  <c r="AM180" i="8" s="1"/>
  <c r="C180" i="8"/>
  <c r="AL179" i="8"/>
  <c r="AM179" i="8" s="1"/>
  <c r="AL178" i="8"/>
  <c r="AM178" i="8" s="1"/>
  <c r="C178" i="8"/>
  <c r="AL177" i="8"/>
  <c r="AM177" i="8" s="1"/>
  <c r="AL176" i="8"/>
  <c r="AM176" i="8" s="1"/>
  <c r="C176" i="8"/>
  <c r="AL175" i="8"/>
  <c r="AM175" i="8" s="1"/>
  <c r="AL174" i="8"/>
  <c r="C174" i="8"/>
  <c r="AL173" i="8"/>
  <c r="AM173" i="8" s="1"/>
  <c r="AL172" i="8"/>
  <c r="AM172" i="8" s="1"/>
  <c r="C172" i="8"/>
  <c r="AL171" i="8"/>
  <c r="AM171" i="8" s="1"/>
  <c r="AL170" i="8"/>
  <c r="AM170" i="8" s="1"/>
  <c r="C170" i="8"/>
  <c r="AL169" i="8"/>
  <c r="AM169" i="8" s="1"/>
  <c r="AL168" i="8"/>
  <c r="AM168" i="8" s="1"/>
  <c r="AN183" i="8" l="1"/>
  <c r="AP183" i="8" s="1"/>
  <c r="AM186" i="8"/>
  <c r="AN185" i="8" s="1"/>
  <c r="AP185" i="8" s="1"/>
  <c r="AN189" i="8"/>
  <c r="AP189" i="8" s="1"/>
  <c r="AN187" i="8"/>
  <c r="AP187" i="8" s="1"/>
  <c r="AN175" i="8"/>
  <c r="AP175" i="8" s="1"/>
  <c r="AM182" i="8"/>
  <c r="AN181" i="8" s="1"/>
  <c r="AP181" i="8" s="1"/>
  <c r="AM174" i="8"/>
  <c r="AN173" i="8" s="1"/>
  <c r="AP173" i="8" s="1"/>
  <c r="AN169" i="8"/>
  <c r="AP169" i="8" s="1"/>
  <c r="AI192" i="8"/>
  <c r="AI191" i="8"/>
  <c r="AN177" i="8"/>
  <c r="AP177" i="8" s="1"/>
  <c r="AL192" i="8"/>
  <c r="AN171" i="8"/>
  <c r="AP171" i="8" s="1"/>
  <c r="AN179" i="8"/>
  <c r="AP179" i="8" s="1"/>
  <c r="AL167" i="8"/>
  <c r="AM192" i="8" l="1"/>
  <c r="AM167" i="8"/>
  <c r="AL191" i="8"/>
  <c r="AN167" i="8" l="1"/>
  <c r="AM191" i="8"/>
  <c r="AN191" i="8" l="1"/>
  <c r="AP167" i="8"/>
  <c r="AP191" i="8" s="1"/>
  <c r="AO162" i="8" l="1"/>
  <c r="AQ162" i="8"/>
  <c r="AR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K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K163" i="8"/>
  <c r="D163" i="8"/>
  <c r="D162" i="8"/>
  <c r="AI161" i="8"/>
  <c r="AL161" i="8" s="1"/>
  <c r="AM161" i="8" s="1"/>
  <c r="C161" i="8"/>
  <c r="AI160" i="8"/>
  <c r="AL160" i="8" s="1"/>
  <c r="AM160" i="8" s="1"/>
  <c r="AI159" i="8"/>
  <c r="AL159" i="8" s="1"/>
  <c r="AM159" i="8" s="1"/>
  <c r="C159" i="8"/>
  <c r="AI158" i="8"/>
  <c r="AL158" i="8" s="1"/>
  <c r="AM158" i="8" s="1"/>
  <c r="AI157" i="8"/>
  <c r="AL157" i="8" s="1"/>
  <c r="AM157" i="8" s="1"/>
  <c r="C157" i="8"/>
  <c r="AI156" i="8"/>
  <c r="AL156" i="8" s="1"/>
  <c r="AM156" i="8" s="1"/>
  <c r="AI155" i="8"/>
  <c r="AL155" i="8" s="1"/>
  <c r="AM155" i="8" s="1"/>
  <c r="AI154" i="8"/>
  <c r="AL154" i="8" s="1"/>
  <c r="AM154" i="8" s="1"/>
  <c r="AI153" i="8"/>
  <c r="AL153" i="8" s="1"/>
  <c r="AM153" i="8" s="1"/>
  <c r="C153" i="8"/>
  <c r="AI152" i="8"/>
  <c r="AL152" i="8" s="1"/>
  <c r="AM152" i="8" s="1"/>
  <c r="AI151" i="8"/>
  <c r="AL151" i="8" s="1"/>
  <c r="AM151" i="8" s="1"/>
  <c r="C151" i="8"/>
  <c r="AI150" i="8"/>
  <c r="AL150" i="8" s="1"/>
  <c r="AM150" i="8" s="1"/>
  <c r="AI149" i="8"/>
  <c r="AL149" i="8" s="1"/>
  <c r="AM149" i="8" s="1"/>
  <c r="C149" i="8"/>
  <c r="AI148" i="8"/>
  <c r="AL148" i="8" s="1"/>
  <c r="AM148" i="8" s="1"/>
  <c r="AI147" i="8"/>
  <c r="AL147" i="8" s="1"/>
  <c r="AM147" i="8" s="1"/>
  <c r="C147" i="8"/>
  <c r="AI146" i="8"/>
  <c r="AL146" i="8" s="1"/>
  <c r="AM146" i="8" s="1"/>
  <c r="AI145" i="8"/>
  <c r="AL145" i="8" s="1"/>
  <c r="AM145" i="8" s="1"/>
  <c r="C145" i="8"/>
  <c r="AI144" i="8"/>
  <c r="AL144" i="8" s="1"/>
  <c r="AM144" i="8" s="1"/>
  <c r="AI143" i="8"/>
  <c r="AL143" i="8" s="1"/>
  <c r="AM143" i="8" s="1"/>
  <c r="C143" i="8"/>
  <c r="AI142" i="8"/>
  <c r="AL142" i="8" s="1"/>
  <c r="AM142" i="8" s="1"/>
  <c r="AI141" i="8"/>
  <c r="AL141" i="8" s="1"/>
  <c r="AM141" i="8" s="1"/>
  <c r="C141" i="8"/>
  <c r="AI140" i="8"/>
  <c r="AL140" i="8" s="1"/>
  <c r="AM140" i="8" s="1"/>
  <c r="AI139" i="8"/>
  <c r="AI138" i="8"/>
  <c r="AN146" i="8" l="1"/>
  <c r="AP146" i="8" s="1"/>
  <c r="AI162" i="8"/>
  <c r="AI163" i="8"/>
  <c r="AN160" i="8"/>
  <c r="AP160" i="8" s="1"/>
  <c r="AN144" i="8"/>
  <c r="AN148" i="8"/>
  <c r="AP148" i="8" s="1"/>
  <c r="AN142" i="8"/>
  <c r="AP142" i="8" s="1"/>
  <c r="AN140" i="8"/>
  <c r="AP140" i="8" s="1"/>
  <c r="AN156" i="8"/>
  <c r="AP156" i="8" s="1"/>
  <c r="AN158" i="8"/>
  <c r="AP158" i="8" s="1"/>
  <c r="AN150" i="8"/>
  <c r="AP150" i="8" s="1"/>
  <c r="AN152" i="8"/>
  <c r="AP152" i="8" s="1"/>
  <c r="AN154" i="8"/>
  <c r="AP154" i="8" s="1"/>
  <c r="AL138" i="8"/>
  <c r="AL162" i="8" s="1"/>
  <c r="AL139" i="8"/>
  <c r="AL163" i="8" s="1"/>
  <c r="C132" i="8"/>
  <c r="C130" i="8"/>
  <c r="AP144" i="8" l="1"/>
  <c r="AM138" i="8"/>
  <c r="AM162" i="8" s="1"/>
  <c r="AM139" i="8"/>
  <c r="AM163" i="8" s="1"/>
  <c r="H133" i="8"/>
  <c r="H134" i="8"/>
  <c r="D134" i="8"/>
  <c r="D133" i="8"/>
  <c r="AN138" i="8" l="1"/>
  <c r="AN162" i="8" s="1"/>
  <c r="AI114" i="8"/>
  <c r="AL114" i="8" s="1"/>
  <c r="AI113" i="8"/>
  <c r="AL113" i="8" s="1"/>
  <c r="AM113" i="8" s="1"/>
  <c r="AR133" i="8"/>
  <c r="AQ133" i="8"/>
  <c r="AO133" i="8"/>
  <c r="AK134" i="8"/>
  <c r="AJ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G134" i="8"/>
  <c r="F134" i="8"/>
  <c r="AK133" i="8"/>
  <c r="AJ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G133" i="8"/>
  <c r="F133" i="8"/>
  <c r="E134" i="8"/>
  <c r="E133" i="8"/>
  <c r="AI126" i="8"/>
  <c r="AL126" i="8" s="1"/>
  <c r="AM126" i="8" s="1"/>
  <c r="AI125" i="8"/>
  <c r="AL125" i="8" s="1"/>
  <c r="AM125" i="8" s="1"/>
  <c r="AI124" i="8"/>
  <c r="AL124" i="8" s="1"/>
  <c r="AM124" i="8" s="1"/>
  <c r="AI123" i="8"/>
  <c r="AL123" i="8" s="1"/>
  <c r="AM123" i="8" s="1"/>
  <c r="AI132" i="8"/>
  <c r="AL132" i="8" s="1"/>
  <c r="AI131" i="8"/>
  <c r="AL131" i="8" s="1"/>
  <c r="AM131" i="8" s="1"/>
  <c r="C126" i="8"/>
  <c r="C124" i="8"/>
  <c r="AI130" i="8"/>
  <c r="AL130" i="8" s="1"/>
  <c r="AM130" i="8" s="1"/>
  <c r="AI129" i="8"/>
  <c r="AL129" i="8" s="1"/>
  <c r="AM129" i="8" s="1"/>
  <c r="AI128" i="8"/>
  <c r="AL128" i="8" s="1"/>
  <c r="AM128" i="8" s="1"/>
  <c r="AI127" i="8"/>
  <c r="AL127" i="8" s="1"/>
  <c r="AM127" i="8" s="1"/>
  <c r="AI122" i="8"/>
  <c r="AL122" i="8" s="1"/>
  <c r="C122" i="8"/>
  <c r="AI121" i="8"/>
  <c r="AL121" i="8" s="1"/>
  <c r="AM121" i="8" s="1"/>
  <c r="AI120" i="8"/>
  <c r="AL120" i="8" s="1"/>
  <c r="AM120" i="8" s="1"/>
  <c r="C120" i="8"/>
  <c r="AI119" i="8"/>
  <c r="AL119" i="8" s="1"/>
  <c r="AM119" i="8" s="1"/>
  <c r="AI118" i="8"/>
  <c r="AL118" i="8" s="1"/>
  <c r="C118" i="8"/>
  <c r="AI117" i="8"/>
  <c r="AL117" i="8" s="1"/>
  <c r="AM117" i="8" s="1"/>
  <c r="AI116" i="8"/>
  <c r="AL116" i="8" s="1"/>
  <c r="C116" i="8"/>
  <c r="AI115" i="8"/>
  <c r="AL115" i="8" s="1"/>
  <c r="AM115" i="8" s="1"/>
  <c r="C114" i="8"/>
  <c r="AI112" i="8"/>
  <c r="AI111" i="8"/>
  <c r="AL111" i="8" s="1"/>
  <c r="AM111" i="8" s="1"/>
  <c r="AP138" i="8" l="1"/>
  <c r="AP162" i="8" s="1"/>
  <c r="AM114" i="8"/>
  <c r="AN113" i="8" s="1"/>
  <c r="AN123" i="8"/>
  <c r="AP123" i="8" s="1"/>
  <c r="AN127" i="8"/>
  <c r="AP127" i="8" s="1"/>
  <c r="AM133" i="8"/>
  <c r="AL133" i="8"/>
  <c r="AI134" i="8"/>
  <c r="AI133" i="8"/>
  <c r="AN125" i="8"/>
  <c r="AP125" i="8" s="1"/>
  <c r="AN129" i="8"/>
  <c r="AP129" i="8" s="1"/>
  <c r="AM118" i="8"/>
  <c r="AN117" i="8" s="1"/>
  <c r="AP117" i="8" s="1"/>
  <c r="AM116" i="8"/>
  <c r="AN115" i="8" s="1"/>
  <c r="AP115" i="8" s="1"/>
  <c r="AM132" i="8"/>
  <c r="AN131" i="8" s="1"/>
  <c r="AP131" i="8" s="1"/>
  <c r="AM122" i="8"/>
  <c r="AN121" i="8" s="1"/>
  <c r="AP121" i="8" s="1"/>
  <c r="AN119" i="8"/>
  <c r="AP119" i="8" s="1"/>
  <c r="AL112" i="8"/>
  <c r="AL134" i="8" s="1"/>
  <c r="C97" i="8"/>
  <c r="AP113" i="8" l="1"/>
  <c r="AM112" i="8"/>
  <c r="AM134" i="8" s="1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AN111" i="8" l="1"/>
  <c r="AN133" i="8" s="1"/>
  <c r="AK107" i="8"/>
  <c r="AJ107" i="8"/>
  <c r="AH107" i="8"/>
  <c r="AG107" i="8"/>
  <c r="AF107" i="8"/>
  <c r="AE107" i="8"/>
  <c r="AD107" i="8"/>
  <c r="AC107" i="8"/>
  <c r="AB107" i="8"/>
  <c r="AA107" i="8"/>
  <c r="Z107" i="8"/>
  <c r="Y107" i="8"/>
  <c r="K107" i="8"/>
  <c r="J107" i="8"/>
  <c r="I107" i="8"/>
  <c r="H107" i="8"/>
  <c r="G107" i="8"/>
  <c r="F107" i="8"/>
  <c r="E107" i="8"/>
  <c r="AK106" i="8"/>
  <c r="AJ106" i="8"/>
  <c r="AH106" i="8"/>
  <c r="AG106" i="8"/>
  <c r="AF106" i="8"/>
  <c r="AE106" i="8"/>
  <c r="AD106" i="8"/>
  <c r="AC106" i="8"/>
  <c r="AB106" i="8"/>
  <c r="AA106" i="8"/>
  <c r="Z106" i="8"/>
  <c r="Y106" i="8"/>
  <c r="K106" i="8"/>
  <c r="J106" i="8"/>
  <c r="I106" i="8"/>
  <c r="H106" i="8"/>
  <c r="G106" i="8"/>
  <c r="F106" i="8"/>
  <c r="E106" i="8"/>
  <c r="D106" i="8"/>
  <c r="C105" i="8"/>
  <c r="C103" i="8"/>
  <c r="C101" i="8"/>
  <c r="C95" i="8"/>
  <c r="C93" i="8"/>
  <c r="C91" i="8"/>
  <c r="C89" i="8"/>
  <c r="D107" i="8"/>
  <c r="AR106" i="8"/>
  <c r="AQ106" i="8"/>
  <c r="AO106" i="8"/>
  <c r="AI105" i="8"/>
  <c r="AL105" i="8" s="1"/>
  <c r="AM105" i="8" s="1"/>
  <c r="AI104" i="8"/>
  <c r="AL104" i="8" s="1"/>
  <c r="AM104" i="8" s="1"/>
  <c r="AI103" i="8"/>
  <c r="AL103" i="8" s="1"/>
  <c r="AM103" i="8" s="1"/>
  <c r="AI102" i="8"/>
  <c r="AL102" i="8" s="1"/>
  <c r="AM102" i="8" s="1"/>
  <c r="AI101" i="8"/>
  <c r="AL101" i="8" s="1"/>
  <c r="AI100" i="8"/>
  <c r="AL100" i="8" s="1"/>
  <c r="AM100" i="8" s="1"/>
  <c r="AI99" i="8"/>
  <c r="AL99" i="8" s="1"/>
  <c r="AM99" i="8" s="1"/>
  <c r="AI98" i="8"/>
  <c r="AL98" i="8" s="1"/>
  <c r="AM98" i="8" s="1"/>
  <c r="AI97" i="8"/>
  <c r="AL97" i="8" s="1"/>
  <c r="AM97" i="8" s="1"/>
  <c r="AI96" i="8"/>
  <c r="AL96" i="8" s="1"/>
  <c r="AM96" i="8" s="1"/>
  <c r="AI95" i="8"/>
  <c r="AL95" i="8" s="1"/>
  <c r="AI94" i="8"/>
  <c r="AL94" i="8" s="1"/>
  <c r="AI93" i="8"/>
  <c r="AL93" i="8" s="1"/>
  <c r="AM93" i="8" s="1"/>
  <c r="AI92" i="8"/>
  <c r="AL92" i="8" s="1"/>
  <c r="AI91" i="8"/>
  <c r="AL91" i="8" s="1"/>
  <c r="AI90" i="8"/>
  <c r="AL90" i="8" s="1"/>
  <c r="AM90" i="8" s="1"/>
  <c r="AI89" i="8"/>
  <c r="AL89" i="8" s="1"/>
  <c r="AI88" i="8"/>
  <c r="AL88" i="8" s="1"/>
  <c r="AI87" i="8"/>
  <c r="AL87" i="8" s="1"/>
  <c r="AI86" i="8"/>
  <c r="AL86" i="8" s="1"/>
  <c r="AI85" i="8"/>
  <c r="AL85" i="8" s="1"/>
  <c r="AM85" i="8" s="1"/>
  <c r="AI84" i="8"/>
  <c r="AM101" i="8" l="1"/>
  <c r="AN100" i="8" s="1"/>
  <c r="AP100" i="8" s="1"/>
  <c r="AP111" i="8"/>
  <c r="AP133" i="8" s="1"/>
  <c r="AL107" i="8"/>
  <c r="AI107" i="8"/>
  <c r="AI106" i="8"/>
  <c r="AM95" i="8"/>
  <c r="AM91" i="8"/>
  <c r="AN90" i="8" s="1"/>
  <c r="AP90" i="8" s="1"/>
  <c r="AN96" i="8"/>
  <c r="AP96" i="8" s="1"/>
  <c r="AN102" i="8"/>
  <c r="AP102" i="8" s="1"/>
  <c r="AM94" i="8"/>
  <c r="AM92" i="8"/>
  <c r="AN92" i="8" s="1"/>
  <c r="AP92" i="8" s="1"/>
  <c r="AL84" i="8"/>
  <c r="AM84" i="8" s="1"/>
  <c r="AN98" i="8"/>
  <c r="AP98" i="8" s="1"/>
  <c r="AN104" i="8"/>
  <c r="AP104" i="8" s="1"/>
  <c r="AD80" i="8"/>
  <c r="AD79" i="8"/>
  <c r="AN94" i="8" l="1"/>
  <c r="AP94" i="8" s="1"/>
  <c r="AL106" i="8"/>
  <c r="AN84" i="8"/>
  <c r="AP84" i="8" s="1"/>
  <c r="AI58" i="8"/>
  <c r="AL58" i="8" s="1"/>
  <c r="AM58" i="8" s="1"/>
  <c r="AI57" i="8"/>
  <c r="AL57" i="8" s="1"/>
  <c r="C57" i="8"/>
  <c r="AM57" i="8" l="1"/>
  <c r="AN57" i="8" s="1"/>
  <c r="AP57" i="8" s="1"/>
  <c r="C69" i="8"/>
  <c r="AK80" i="8" l="1"/>
  <c r="AJ80" i="8"/>
  <c r="AH80" i="8"/>
  <c r="AG80" i="8"/>
  <c r="AF80" i="8"/>
  <c r="AE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AR79" i="8"/>
  <c r="AQ79" i="8"/>
  <c r="AO79" i="8"/>
  <c r="AK79" i="8"/>
  <c r="AJ79" i="8"/>
  <c r="AH79" i="8"/>
  <c r="AG79" i="8"/>
  <c r="AF79" i="8"/>
  <c r="AE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AI78" i="8"/>
  <c r="AL78" i="8" s="1"/>
  <c r="AM78" i="8" s="1"/>
  <c r="AI77" i="8"/>
  <c r="AL77" i="8" s="1"/>
  <c r="C77" i="8"/>
  <c r="AI76" i="8"/>
  <c r="AL76" i="8" s="1"/>
  <c r="AM76" i="8" s="1"/>
  <c r="AI75" i="8"/>
  <c r="AL75" i="8" s="1"/>
  <c r="C75" i="8"/>
  <c r="AI74" i="8"/>
  <c r="AL74" i="8" s="1"/>
  <c r="AM74" i="8" s="1"/>
  <c r="AI73" i="8"/>
  <c r="AL73" i="8" s="1"/>
  <c r="C73" i="8"/>
  <c r="AI72" i="8"/>
  <c r="AL72" i="8" s="1"/>
  <c r="AM72" i="8" s="1"/>
  <c r="AI71" i="8"/>
  <c r="AL71" i="8" s="1"/>
  <c r="C71" i="8"/>
  <c r="AI70" i="8"/>
  <c r="AL70" i="8" s="1"/>
  <c r="AM70" i="8" s="1"/>
  <c r="AI69" i="8"/>
  <c r="AL69" i="8" s="1"/>
  <c r="AM69" i="8" s="1"/>
  <c r="AI68" i="8"/>
  <c r="AL68" i="8" s="1"/>
  <c r="AM68" i="8" s="1"/>
  <c r="AI67" i="8"/>
  <c r="AL67" i="8" s="1"/>
  <c r="C67" i="8"/>
  <c r="AI66" i="8"/>
  <c r="AL66" i="8" s="1"/>
  <c r="AM66" i="8" s="1"/>
  <c r="AI65" i="8"/>
  <c r="AL65" i="8" s="1"/>
  <c r="C65" i="8"/>
  <c r="AI64" i="8"/>
  <c r="AL64" i="8" s="1"/>
  <c r="AM64" i="8" s="1"/>
  <c r="AI63" i="8"/>
  <c r="AL63" i="8" s="1"/>
  <c r="C63" i="8"/>
  <c r="AI62" i="8"/>
  <c r="AL62" i="8" s="1"/>
  <c r="AM62" i="8" s="1"/>
  <c r="AI61" i="8"/>
  <c r="AL61" i="8" s="1"/>
  <c r="C61" i="8"/>
  <c r="AI60" i="8"/>
  <c r="AL60" i="8" s="1"/>
  <c r="AM60" i="8" s="1"/>
  <c r="AI59" i="8"/>
  <c r="AL59" i="8" s="1"/>
  <c r="C59" i="8"/>
  <c r="AM61" i="8" l="1"/>
  <c r="AN61" i="8" s="1"/>
  <c r="AP61" i="8" s="1"/>
  <c r="AM75" i="8"/>
  <c r="AM65" i="8"/>
  <c r="AN65" i="8" s="1"/>
  <c r="AP65" i="8" s="1"/>
  <c r="AM71" i="8"/>
  <c r="AN71" i="8" s="1"/>
  <c r="AP71" i="8" s="1"/>
  <c r="AM63" i="8"/>
  <c r="AN63" i="8" s="1"/>
  <c r="AP63" i="8" s="1"/>
  <c r="AM77" i="8"/>
  <c r="AN77" i="8" s="1"/>
  <c r="AP77" i="8" s="1"/>
  <c r="AM59" i="8"/>
  <c r="AN59" i="8" s="1"/>
  <c r="AP59" i="8" s="1"/>
  <c r="AM67" i="8"/>
  <c r="AN67" i="8" s="1"/>
  <c r="AP67" i="8" s="1"/>
  <c r="AN69" i="8"/>
  <c r="AP69" i="8" s="1"/>
  <c r="AN75" i="8"/>
  <c r="AP75" i="8" s="1"/>
  <c r="AI79" i="8"/>
  <c r="AM73" i="8"/>
  <c r="AN73" i="8" s="1"/>
  <c r="AP73" i="8" s="1"/>
  <c r="AI80" i="8"/>
  <c r="AL79" i="8"/>
  <c r="AF52" i="8"/>
  <c r="AG52" i="8"/>
  <c r="AH52" i="8"/>
  <c r="AF53" i="8"/>
  <c r="AG53" i="8"/>
  <c r="AH53" i="8"/>
  <c r="C50" i="8"/>
  <c r="C48" i="8"/>
  <c r="C46" i="8"/>
  <c r="AM79" i="8" l="1"/>
  <c r="AL80" i="8"/>
  <c r="AK53" i="8"/>
  <c r="AJ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AK52" i="8"/>
  <c r="AJ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M80" i="8" l="1"/>
  <c r="C44" i="8"/>
  <c r="D53" i="8"/>
  <c r="AR52" i="8"/>
  <c r="AQ52" i="8"/>
  <c r="AO52" i="8"/>
  <c r="AI51" i="8"/>
  <c r="AL51" i="8" s="1"/>
  <c r="AM51" i="8" s="1"/>
  <c r="AI50" i="8"/>
  <c r="AL50" i="8" s="1"/>
  <c r="AM50" i="8" s="1"/>
  <c r="AI49" i="8"/>
  <c r="AL49" i="8" s="1"/>
  <c r="AM49" i="8" s="1"/>
  <c r="AI48" i="8"/>
  <c r="AL48" i="8" s="1"/>
  <c r="AM48" i="8" s="1"/>
  <c r="AI47" i="8"/>
  <c r="AL47" i="8" s="1"/>
  <c r="AM47" i="8" s="1"/>
  <c r="AI46" i="8"/>
  <c r="AL46" i="8" s="1"/>
  <c r="AM46" i="8" s="1"/>
  <c r="AI45" i="8"/>
  <c r="AL45" i="8" s="1"/>
  <c r="AM45" i="8" s="1"/>
  <c r="AI44" i="8"/>
  <c r="AL44" i="8" s="1"/>
  <c r="AI43" i="8"/>
  <c r="AL43" i="8" s="1"/>
  <c r="AM43" i="8" s="1"/>
  <c r="AI42" i="8"/>
  <c r="AL42" i="8" s="1"/>
  <c r="C42" i="8"/>
  <c r="AI41" i="8"/>
  <c r="AL41" i="8" s="1"/>
  <c r="AM41" i="8" s="1"/>
  <c r="AI40" i="8"/>
  <c r="AL40" i="8" s="1"/>
  <c r="C40" i="8"/>
  <c r="AI39" i="8"/>
  <c r="AL39" i="8" s="1"/>
  <c r="AM39" i="8" s="1"/>
  <c r="AI38" i="8"/>
  <c r="AL38" i="8" s="1"/>
  <c r="C38" i="8"/>
  <c r="AI37" i="8"/>
  <c r="AL37" i="8" s="1"/>
  <c r="AM37" i="8" s="1"/>
  <c r="AI36" i="8"/>
  <c r="AL36" i="8" s="1"/>
  <c r="C36" i="8"/>
  <c r="AI35" i="8"/>
  <c r="AL35" i="8" s="1"/>
  <c r="AM35" i="8" s="1"/>
  <c r="AI34" i="8"/>
  <c r="AL34" i="8" s="1"/>
  <c r="C34" i="8"/>
  <c r="AI33" i="8"/>
  <c r="AI32" i="8"/>
  <c r="AL32" i="8" s="1"/>
  <c r="C32" i="8"/>
  <c r="AI31" i="8"/>
  <c r="AI30" i="8"/>
  <c r="C30" i="8"/>
  <c r="AN79" i="8" l="1"/>
  <c r="AP79" i="8"/>
  <c r="AM42" i="8"/>
  <c r="AN42" i="8" s="1"/>
  <c r="AP42" i="8" s="1"/>
  <c r="AM40" i="8"/>
  <c r="AN40" i="8" s="1"/>
  <c r="AP40" i="8" s="1"/>
  <c r="AM32" i="8"/>
  <c r="AM34" i="8"/>
  <c r="AM38" i="8"/>
  <c r="AN38" i="8" s="1"/>
  <c r="AP38" i="8" s="1"/>
  <c r="AN48" i="8"/>
  <c r="AP48" i="8" s="1"/>
  <c r="AL31" i="8"/>
  <c r="AM31" i="8" s="1"/>
  <c r="AI53" i="8"/>
  <c r="AI52" i="8"/>
  <c r="AM36" i="8"/>
  <c r="AM44" i="8"/>
  <c r="AN44" i="8" s="1"/>
  <c r="AP44" i="8" s="1"/>
  <c r="AN34" i="8"/>
  <c r="AP34" i="8" s="1"/>
  <c r="AN46" i="8"/>
  <c r="AP46" i="8" s="1"/>
  <c r="AN50" i="8"/>
  <c r="AP50" i="8" s="1"/>
  <c r="AL33" i="8"/>
  <c r="AM33" i="8" s="1"/>
  <c r="AN32" i="8" s="1"/>
  <c r="AP32" i="8" s="1"/>
  <c r="AL30" i="8"/>
  <c r="AL52" i="8" s="1"/>
  <c r="AM53" i="8" l="1"/>
  <c r="AL53" i="8"/>
  <c r="AN36" i="8"/>
  <c r="AP36" i="8" s="1"/>
  <c r="AM30" i="8"/>
  <c r="AM52" i="8" s="1"/>
  <c r="AN30" i="8" l="1"/>
  <c r="AP30" i="8" l="1"/>
  <c r="AP52" i="8" s="1"/>
  <c r="AN52" i="8"/>
  <c r="X26" i="8" l="1"/>
  <c r="X25" i="8"/>
  <c r="Y26" i="8"/>
  <c r="AQ25" i="8" l="1"/>
  <c r="AO25" i="8"/>
  <c r="AK26" i="8"/>
  <c r="AJ26" i="8"/>
  <c r="AK25" i="8"/>
  <c r="AJ25" i="8"/>
  <c r="AH26" i="8"/>
  <c r="AH25" i="8"/>
  <c r="AG26" i="8"/>
  <c r="AF26" i="8"/>
  <c r="AE26" i="8"/>
  <c r="AD26" i="8"/>
  <c r="AC26" i="8"/>
  <c r="AB26" i="8"/>
  <c r="AA26" i="8"/>
  <c r="Z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AG25" i="8"/>
  <c r="AF25" i="8"/>
  <c r="AE25" i="8"/>
  <c r="AD25" i="8"/>
  <c r="AC25" i="8"/>
  <c r="AB25" i="8"/>
  <c r="AA25" i="8"/>
  <c r="Z25" i="8"/>
  <c r="Y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6" i="8"/>
  <c r="E25" i="8"/>
  <c r="D26" i="8"/>
  <c r="D25" i="8"/>
  <c r="AR25" i="8" l="1"/>
  <c r="AI22" i="8"/>
  <c r="AL22" i="8" s="1"/>
  <c r="AM22" i="8" s="1"/>
  <c r="AI21" i="8"/>
  <c r="AL21" i="8" s="1"/>
  <c r="AI20" i="8"/>
  <c r="AL20" i="8" s="1"/>
  <c r="AM20" i="8" s="1"/>
  <c r="AI19" i="8"/>
  <c r="AL19" i="8" s="1"/>
  <c r="AI18" i="8"/>
  <c r="AL18" i="8" s="1"/>
  <c r="AM18" i="8" s="1"/>
  <c r="AI17" i="8"/>
  <c r="AL17" i="8" s="1"/>
  <c r="C21" i="8"/>
  <c r="C19" i="8"/>
  <c r="C17" i="8"/>
  <c r="AI24" i="8"/>
  <c r="AL24" i="8" s="1"/>
  <c r="AM24" i="8" s="1"/>
  <c r="AI23" i="8"/>
  <c r="AL23" i="8" s="1"/>
  <c r="C23" i="8"/>
  <c r="AI16" i="8"/>
  <c r="AL16" i="8" s="1"/>
  <c r="AM16" i="8" s="1"/>
  <c r="AI15" i="8"/>
  <c r="AL15" i="8" s="1"/>
  <c r="C15" i="8"/>
  <c r="AI14" i="8"/>
  <c r="AL14" i="8" s="1"/>
  <c r="AM14" i="8" s="1"/>
  <c r="AI13" i="8"/>
  <c r="AL13" i="8" s="1"/>
  <c r="C13" i="8"/>
  <c r="AI12" i="8"/>
  <c r="AL12" i="8" s="1"/>
  <c r="AM12" i="8" s="1"/>
  <c r="AI11" i="8"/>
  <c r="AL11" i="8" s="1"/>
  <c r="C11" i="8"/>
  <c r="AI10" i="8"/>
  <c r="AL10" i="8" s="1"/>
  <c r="AM10" i="8" s="1"/>
  <c r="AI9" i="8"/>
  <c r="AL9" i="8" s="1"/>
  <c r="C9" i="8"/>
  <c r="AI8" i="8"/>
  <c r="AL8" i="8" s="1"/>
  <c r="AM8" i="8" s="1"/>
  <c r="AI7" i="8"/>
  <c r="AL7" i="8" s="1"/>
  <c r="C7" i="8"/>
  <c r="AI6" i="8"/>
  <c r="AL6" i="8" s="1"/>
  <c r="AM6" i="8" s="1"/>
  <c r="AI5" i="8"/>
  <c r="AL5" i="8" s="1"/>
  <c r="C5" i="8"/>
  <c r="AI4" i="8"/>
  <c r="AI3" i="8"/>
  <c r="C3" i="8"/>
  <c r="AM9" i="8" l="1"/>
  <c r="AN9" i="8" s="1"/>
  <c r="AP9" i="8" s="1"/>
  <c r="AM23" i="8"/>
  <c r="AN23" i="8" s="1"/>
  <c r="AP23" i="8" s="1"/>
  <c r="AM17" i="8"/>
  <c r="AM21" i="8"/>
  <c r="AN21" i="8" s="1"/>
  <c r="AP21" i="8" s="1"/>
  <c r="AM19" i="8"/>
  <c r="AN19" i="8" s="1"/>
  <c r="AP19" i="8" s="1"/>
  <c r="AI26" i="8"/>
  <c r="AL3" i="8"/>
  <c r="AL25" i="8" s="1"/>
  <c r="AI25" i="8"/>
  <c r="AM11" i="8"/>
  <c r="AM7" i="8"/>
  <c r="AN7" i="8" s="1"/>
  <c r="AP7" i="8" s="1"/>
  <c r="AM15" i="8"/>
  <c r="AM13" i="8"/>
  <c r="AM5" i="8"/>
  <c r="AN5" i="8" s="1"/>
  <c r="AP5" i="8" s="1"/>
  <c r="AL4" i="8"/>
  <c r="AL26" i="8" s="1"/>
  <c r="C244" i="7"/>
  <c r="C242" i="7"/>
  <c r="C240" i="7"/>
  <c r="C238" i="7"/>
  <c r="C234" i="7"/>
  <c r="C232" i="7"/>
  <c r="C236" i="7"/>
  <c r="AM3" i="8" l="1"/>
  <c r="AM25" i="8" s="1"/>
  <c r="AN13" i="8"/>
  <c r="AP13" i="8" s="1"/>
  <c r="AN15" i="8"/>
  <c r="AP15" i="8" s="1"/>
  <c r="AN17" i="8"/>
  <c r="AP17" i="8" s="1"/>
  <c r="AN11" i="8"/>
  <c r="AP11" i="8" s="1"/>
  <c r="AM4" i="8"/>
  <c r="AM26" i="8" s="1"/>
  <c r="C230" i="7"/>
  <c r="AR247" i="7"/>
  <c r="AQ247" i="7"/>
  <c r="AP247" i="7"/>
  <c r="AO247" i="7"/>
  <c r="AN247" i="7"/>
  <c r="AK247" i="7"/>
  <c r="AJ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AR246" i="7"/>
  <c r="AQ246" i="7"/>
  <c r="AO246" i="7"/>
  <c r="AK246" i="7"/>
  <c r="AJ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AI245" i="7"/>
  <c r="AL245" i="7" s="1"/>
  <c r="AM245" i="7" s="1"/>
  <c r="AI244" i="7"/>
  <c r="AL244" i="7" s="1"/>
  <c r="AM244" i="7" s="1"/>
  <c r="AI243" i="7"/>
  <c r="AL243" i="7" s="1"/>
  <c r="AM243" i="7" s="1"/>
  <c r="AI242" i="7"/>
  <c r="AL242" i="7" s="1"/>
  <c r="AM242" i="7" s="1"/>
  <c r="AI241" i="7"/>
  <c r="AL241" i="7" s="1"/>
  <c r="AM241" i="7" s="1"/>
  <c r="AI240" i="7"/>
  <c r="AL240" i="7" s="1"/>
  <c r="AM240" i="7" s="1"/>
  <c r="AI239" i="7"/>
  <c r="AL239" i="7" s="1"/>
  <c r="AM239" i="7" s="1"/>
  <c r="AI238" i="7"/>
  <c r="AL238" i="7" s="1"/>
  <c r="AI237" i="7"/>
  <c r="AL237" i="7" s="1"/>
  <c r="AM237" i="7" s="1"/>
  <c r="AI236" i="7"/>
  <c r="AL236" i="7" s="1"/>
  <c r="AM236" i="7" s="1"/>
  <c r="AI235" i="7"/>
  <c r="AL235" i="7" s="1"/>
  <c r="AM235" i="7" s="1"/>
  <c r="AI234" i="7"/>
  <c r="AI233" i="7"/>
  <c r="AI232" i="7"/>
  <c r="AL232" i="7" s="1"/>
  <c r="AI231" i="7"/>
  <c r="AL231" i="7" s="1"/>
  <c r="AI230" i="7"/>
  <c r="AL230" i="7" s="1"/>
  <c r="AN3" i="8" l="1"/>
  <c r="AN25" i="8" s="1"/>
  <c r="AM232" i="7"/>
  <c r="AN240" i="7"/>
  <c r="AP240" i="7" s="1"/>
  <c r="AN244" i="7"/>
  <c r="AP244" i="7" s="1"/>
  <c r="AM231" i="7"/>
  <c r="AM238" i="7"/>
  <c r="AN238" i="7" s="1"/>
  <c r="AP238" i="7" s="1"/>
  <c r="AI247" i="7"/>
  <c r="AN236" i="7"/>
  <c r="AP236" i="7" s="1"/>
  <c r="AI246" i="7"/>
  <c r="AM230" i="7"/>
  <c r="AN242" i="7"/>
  <c r="AP242" i="7" s="1"/>
  <c r="AL233" i="7"/>
  <c r="AM233" i="7" s="1"/>
  <c r="AL234" i="7"/>
  <c r="AM234" i="7" s="1"/>
  <c r="AN234" i="7" s="1"/>
  <c r="AP234" i="7" s="1"/>
  <c r="C223" i="7"/>
  <c r="C221" i="7"/>
  <c r="C219" i="7"/>
  <c r="C217" i="7"/>
  <c r="C215" i="7"/>
  <c r="AP3" i="8" l="1"/>
  <c r="AP25" i="8" s="1"/>
  <c r="AN232" i="7"/>
  <c r="AP232" i="7" s="1"/>
  <c r="AL246" i="7"/>
  <c r="AM247" i="7"/>
  <c r="AL247" i="7"/>
  <c r="AN230" i="7"/>
  <c r="AM246" i="7"/>
  <c r="AR226" i="7"/>
  <c r="AQ226" i="7"/>
  <c r="AP226" i="7"/>
  <c r="AO226" i="7"/>
  <c r="AN226" i="7"/>
  <c r="AK226" i="7"/>
  <c r="AJ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AR225" i="7"/>
  <c r="AQ225" i="7"/>
  <c r="AO225" i="7"/>
  <c r="AK225" i="7"/>
  <c r="AJ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AI224" i="7"/>
  <c r="AL224" i="7" s="1"/>
  <c r="AM224" i="7" s="1"/>
  <c r="AI223" i="7"/>
  <c r="AL223" i="7" s="1"/>
  <c r="AM223" i="7" s="1"/>
  <c r="AI222" i="7"/>
  <c r="AL222" i="7" s="1"/>
  <c r="AM222" i="7" s="1"/>
  <c r="AI221" i="7"/>
  <c r="AL221" i="7" s="1"/>
  <c r="AM221" i="7" s="1"/>
  <c r="AI220" i="7"/>
  <c r="AL220" i="7" s="1"/>
  <c r="AM220" i="7" s="1"/>
  <c r="AI219" i="7"/>
  <c r="AL219" i="7" s="1"/>
  <c r="AM219" i="7" s="1"/>
  <c r="AI218" i="7"/>
  <c r="AL218" i="7" s="1"/>
  <c r="AM218" i="7" s="1"/>
  <c r="AI217" i="7"/>
  <c r="AL217" i="7" s="1"/>
  <c r="AM217" i="7" s="1"/>
  <c r="AI216" i="7"/>
  <c r="AL216" i="7" s="1"/>
  <c r="AM216" i="7" s="1"/>
  <c r="AI215" i="7"/>
  <c r="AL215" i="7" s="1"/>
  <c r="AI214" i="7"/>
  <c r="AL214" i="7" s="1"/>
  <c r="AM214" i="7" s="1"/>
  <c r="AI213" i="7"/>
  <c r="AL213" i="7" s="1"/>
  <c r="C213" i="7"/>
  <c r="AI212" i="7"/>
  <c r="AL212" i="7" s="1"/>
  <c r="AM212" i="7" s="1"/>
  <c r="AI211" i="7"/>
  <c r="AL211" i="7" s="1"/>
  <c r="C211" i="7"/>
  <c r="AI210" i="7"/>
  <c r="AL210" i="7" s="1"/>
  <c r="AI209" i="7"/>
  <c r="AM213" i="7" l="1"/>
  <c r="AN213" i="7" s="1"/>
  <c r="AP213" i="7" s="1"/>
  <c r="AP230" i="7"/>
  <c r="AP246" i="7" s="1"/>
  <c r="AN246" i="7"/>
  <c r="AM211" i="7"/>
  <c r="AN211" i="7" s="1"/>
  <c r="AP211" i="7" s="1"/>
  <c r="AN223" i="7"/>
  <c r="AP223" i="7" s="1"/>
  <c r="AN219" i="7"/>
  <c r="AP219" i="7" s="1"/>
  <c r="AN217" i="7"/>
  <c r="AP217" i="7" s="1"/>
  <c r="AM215" i="7"/>
  <c r="AN215" i="7" s="1"/>
  <c r="AP215" i="7" s="1"/>
  <c r="AI226" i="7"/>
  <c r="AI225" i="7"/>
  <c r="AL226" i="7"/>
  <c r="AL209" i="7"/>
  <c r="AM209" i="7" s="1"/>
  <c r="AN221" i="7"/>
  <c r="AP221" i="7" s="1"/>
  <c r="AM210" i="7"/>
  <c r="AM226" i="7" s="1"/>
  <c r="C198" i="7"/>
  <c r="AM225" i="7" l="1"/>
  <c r="AL225" i="7"/>
  <c r="AN209" i="7"/>
  <c r="AR205" i="7"/>
  <c r="AQ205" i="7"/>
  <c r="AP205" i="7"/>
  <c r="AO205" i="7"/>
  <c r="AN205" i="7"/>
  <c r="AK205" i="7"/>
  <c r="AJ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AR204" i="7"/>
  <c r="AQ204" i="7"/>
  <c r="AO204" i="7"/>
  <c r="AK204" i="7"/>
  <c r="AJ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AI203" i="7"/>
  <c r="AL203" i="7" s="1"/>
  <c r="AM203" i="7" s="1"/>
  <c r="AI202" i="7"/>
  <c r="AL202" i="7" s="1"/>
  <c r="AM202" i="7" s="1"/>
  <c r="AI201" i="7"/>
  <c r="AL201" i="7" s="1"/>
  <c r="AM201" i="7" s="1"/>
  <c r="AI200" i="7"/>
  <c r="AL200" i="7" s="1"/>
  <c r="AM200" i="7" s="1"/>
  <c r="AI199" i="7"/>
  <c r="AL199" i="7" s="1"/>
  <c r="AM199" i="7" s="1"/>
  <c r="AI198" i="7"/>
  <c r="AL198" i="7" s="1"/>
  <c r="AM198" i="7" s="1"/>
  <c r="AI197" i="7"/>
  <c r="AL197" i="7" s="1"/>
  <c r="AM197" i="7" s="1"/>
  <c r="AI196" i="7"/>
  <c r="AL196" i="7" s="1"/>
  <c r="C196" i="7"/>
  <c r="AI195" i="7"/>
  <c r="AL195" i="7" s="1"/>
  <c r="AM195" i="7" s="1"/>
  <c r="AI194" i="7"/>
  <c r="AL194" i="7" s="1"/>
  <c r="C194" i="7"/>
  <c r="AI193" i="7"/>
  <c r="AL193" i="7" s="1"/>
  <c r="AM193" i="7" s="1"/>
  <c r="AI192" i="7"/>
  <c r="AL192" i="7" s="1"/>
  <c r="C192" i="7"/>
  <c r="AI191" i="7"/>
  <c r="AL191" i="7" s="1"/>
  <c r="AM191" i="7" s="1"/>
  <c r="AI190" i="7"/>
  <c r="AL190" i="7" s="1"/>
  <c r="C190" i="7"/>
  <c r="AI189" i="7"/>
  <c r="AL189" i="7" s="1"/>
  <c r="AM189" i="7" s="1"/>
  <c r="AI188" i="7"/>
  <c r="AM196" i="7" l="1"/>
  <c r="AN196" i="7" s="1"/>
  <c r="AP196" i="7" s="1"/>
  <c r="AN202" i="7"/>
  <c r="AP202" i="7" s="1"/>
  <c r="AM192" i="7"/>
  <c r="AM194" i="7"/>
  <c r="AN225" i="7"/>
  <c r="AP209" i="7"/>
  <c r="AP225" i="7" s="1"/>
  <c r="AN198" i="7"/>
  <c r="AP198" i="7" s="1"/>
  <c r="AN194" i="7"/>
  <c r="AP194" i="7" s="1"/>
  <c r="AM190" i="7"/>
  <c r="AN190" i="7" s="1"/>
  <c r="AP190" i="7" s="1"/>
  <c r="AN200" i="7"/>
  <c r="AP200" i="7" s="1"/>
  <c r="AM205" i="7"/>
  <c r="AI204" i="7"/>
  <c r="AI205" i="7"/>
  <c r="AL205" i="7"/>
  <c r="AN192" i="7"/>
  <c r="AP192" i="7" s="1"/>
  <c r="AL188" i="7"/>
  <c r="AC184" i="7"/>
  <c r="AC183" i="7"/>
  <c r="AM188" i="7" l="1"/>
  <c r="AL204" i="7"/>
  <c r="AR184" i="7"/>
  <c r="AQ184" i="7"/>
  <c r="AP184" i="7"/>
  <c r="AO184" i="7"/>
  <c r="AN184" i="7"/>
  <c r="AK184" i="7"/>
  <c r="AJ184" i="7"/>
  <c r="AH184" i="7"/>
  <c r="AG184" i="7"/>
  <c r="AF184" i="7"/>
  <c r="AE184" i="7"/>
  <c r="AD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AR183" i="7"/>
  <c r="AQ183" i="7"/>
  <c r="AO183" i="7"/>
  <c r="AK183" i="7"/>
  <c r="AJ183" i="7"/>
  <c r="AH183" i="7"/>
  <c r="AG183" i="7"/>
  <c r="AF183" i="7"/>
  <c r="AE183" i="7"/>
  <c r="AD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4" i="7"/>
  <c r="D183" i="7"/>
  <c r="C179" i="7"/>
  <c r="C177" i="7"/>
  <c r="C175" i="7"/>
  <c r="C173" i="7"/>
  <c r="C171" i="7"/>
  <c r="C169" i="7"/>
  <c r="AI182" i="7"/>
  <c r="AL182" i="7" s="1"/>
  <c r="AM182" i="7" s="1"/>
  <c r="AI181" i="7"/>
  <c r="AL181" i="7" s="1"/>
  <c r="AM181" i="7" s="1"/>
  <c r="AI180" i="7"/>
  <c r="AL180" i="7" s="1"/>
  <c r="AM180" i="7" s="1"/>
  <c r="AI179" i="7"/>
  <c r="AL179" i="7" s="1"/>
  <c r="AI178" i="7"/>
  <c r="AL178" i="7" s="1"/>
  <c r="AM178" i="7" s="1"/>
  <c r="AI177" i="7"/>
  <c r="AL177" i="7" s="1"/>
  <c r="AI176" i="7"/>
  <c r="AL176" i="7" s="1"/>
  <c r="AM176" i="7" s="1"/>
  <c r="AI175" i="7"/>
  <c r="AL175" i="7" s="1"/>
  <c r="AI174" i="7"/>
  <c r="AL174" i="7" s="1"/>
  <c r="AM174" i="7" s="1"/>
  <c r="AI173" i="7"/>
  <c r="AL173" i="7" s="1"/>
  <c r="AI172" i="7"/>
  <c r="AL172" i="7" s="1"/>
  <c r="AM172" i="7" s="1"/>
  <c r="AI171" i="7"/>
  <c r="AL171" i="7" s="1"/>
  <c r="AI170" i="7"/>
  <c r="AL170" i="7" s="1"/>
  <c r="AM170" i="7" s="1"/>
  <c r="AI169" i="7"/>
  <c r="AL169" i="7" s="1"/>
  <c r="AI168" i="7"/>
  <c r="AL168" i="7" s="1"/>
  <c r="AM168" i="7" s="1"/>
  <c r="AI167" i="7"/>
  <c r="AM169" i="7" l="1"/>
  <c r="AN169" i="7" s="1"/>
  <c r="AP169" i="7" s="1"/>
  <c r="AM177" i="7"/>
  <c r="AM171" i="7"/>
  <c r="AM175" i="7"/>
  <c r="AN188" i="7"/>
  <c r="AM204" i="7"/>
  <c r="AM184" i="7"/>
  <c r="AL184" i="7"/>
  <c r="AI184" i="7"/>
  <c r="AI183" i="7"/>
  <c r="AM173" i="7"/>
  <c r="AN173" i="7" s="1"/>
  <c r="AP173" i="7" s="1"/>
  <c r="AM179" i="7"/>
  <c r="AN177" i="7"/>
  <c r="AP177" i="7" s="1"/>
  <c r="AN171" i="7"/>
  <c r="AP171" i="7" s="1"/>
  <c r="AN175" i="7"/>
  <c r="AP175" i="7" s="1"/>
  <c r="AN181" i="7"/>
  <c r="AP181" i="7" s="1"/>
  <c r="AL167" i="7"/>
  <c r="AL183" i="7" s="1"/>
  <c r="Z162" i="7"/>
  <c r="AP188" i="7" l="1"/>
  <c r="AP204" i="7" s="1"/>
  <c r="AN204" i="7"/>
  <c r="AN179" i="7"/>
  <c r="AM167" i="7"/>
  <c r="AM183" i="7" s="1"/>
  <c r="P163" i="7"/>
  <c r="P162" i="7"/>
  <c r="O162" i="7"/>
  <c r="N162" i="7"/>
  <c r="AP179" i="7" l="1"/>
  <c r="AN167" i="7"/>
  <c r="AN183" i="7" s="1"/>
  <c r="AK163" i="7"/>
  <c r="AJ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O163" i="7"/>
  <c r="N163" i="7"/>
  <c r="M163" i="7"/>
  <c r="L163" i="7"/>
  <c r="K163" i="7"/>
  <c r="J163" i="7"/>
  <c r="I163" i="7"/>
  <c r="H163" i="7"/>
  <c r="G163" i="7"/>
  <c r="F163" i="7"/>
  <c r="E163" i="7"/>
  <c r="AK162" i="7"/>
  <c r="AJ162" i="7"/>
  <c r="AH162" i="7"/>
  <c r="AG162" i="7"/>
  <c r="AF162" i="7"/>
  <c r="AE162" i="7"/>
  <c r="AD162" i="7"/>
  <c r="AC162" i="7"/>
  <c r="AB162" i="7"/>
  <c r="AA162" i="7"/>
  <c r="Y162" i="7"/>
  <c r="X162" i="7"/>
  <c r="W162" i="7"/>
  <c r="V162" i="7"/>
  <c r="U162" i="7"/>
  <c r="T162" i="7"/>
  <c r="S162" i="7"/>
  <c r="R162" i="7"/>
  <c r="Q162" i="7"/>
  <c r="M162" i="7"/>
  <c r="L162" i="7"/>
  <c r="K162" i="7"/>
  <c r="J162" i="7"/>
  <c r="I162" i="7"/>
  <c r="H162" i="7"/>
  <c r="G162" i="7"/>
  <c r="F162" i="7"/>
  <c r="E162" i="7"/>
  <c r="D162" i="7"/>
  <c r="AP167" i="7" l="1"/>
  <c r="AP183" i="7" s="1"/>
  <c r="D163" i="7"/>
  <c r="C123" i="7" l="1"/>
  <c r="AI124" i="7"/>
  <c r="C142" i="7"/>
  <c r="AI161" i="7"/>
  <c r="AL161" i="7" s="1"/>
  <c r="AM161" i="7" s="1"/>
  <c r="AI160" i="7"/>
  <c r="AL160" i="7" s="1"/>
  <c r="AI159" i="7"/>
  <c r="AI158" i="7"/>
  <c r="AI157" i="7"/>
  <c r="AL157" i="7" s="1"/>
  <c r="AM157" i="7" s="1"/>
  <c r="AI156" i="7"/>
  <c r="AL156" i="7" s="1"/>
  <c r="AI155" i="7"/>
  <c r="AL155" i="7" s="1"/>
  <c r="AM155" i="7" s="1"/>
  <c r="AI154" i="7"/>
  <c r="AL154" i="7" s="1"/>
  <c r="AI153" i="7"/>
  <c r="AL153" i="7" s="1"/>
  <c r="AM153" i="7" s="1"/>
  <c r="AI152" i="7"/>
  <c r="AL152" i="7" s="1"/>
  <c r="AI151" i="7"/>
  <c r="AL151" i="7" s="1"/>
  <c r="AM151" i="7" s="1"/>
  <c r="AI150" i="7"/>
  <c r="AL150" i="7" s="1"/>
  <c r="AI149" i="7"/>
  <c r="AL149" i="7" s="1"/>
  <c r="AM149" i="7" s="1"/>
  <c r="AI148" i="7"/>
  <c r="C160" i="7"/>
  <c r="C158" i="7"/>
  <c r="C156" i="7"/>
  <c r="C154" i="7"/>
  <c r="C152" i="7"/>
  <c r="C150" i="7"/>
  <c r="C148" i="7"/>
  <c r="AM156" i="7" l="1"/>
  <c r="AM152" i="7"/>
  <c r="AM160" i="7"/>
  <c r="AM150" i="7"/>
  <c r="AN150" i="7" s="1"/>
  <c r="AP150" i="7" s="1"/>
  <c r="AM154" i="7"/>
  <c r="AL158" i="7"/>
  <c r="AL159" i="7"/>
  <c r="AL148" i="7"/>
  <c r="AN154" i="7"/>
  <c r="AP154" i="7" s="1"/>
  <c r="AN152" i="7"/>
  <c r="AP152" i="7" s="1"/>
  <c r="AN160" i="7"/>
  <c r="AP160" i="7" s="1"/>
  <c r="AN156" i="7"/>
  <c r="AP156" i="7" s="1"/>
  <c r="AI147" i="7"/>
  <c r="AL147" i="7" s="1"/>
  <c r="AM147" i="7" s="1"/>
  <c r="AI146" i="7"/>
  <c r="AL146" i="7" s="1"/>
  <c r="AI145" i="7"/>
  <c r="AL145" i="7" s="1"/>
  <c r="AM145" i="7" s="1"/>
  <c r="AI144" i="7"/>
  <c r="AL144" i="7" s="1"/>
  <c r="AI143" i="7"/>
  <c r="AL143" i="7" s="1"/>
  <c r="AM143" i="7" s="1"/>
  <c r="AI142" i="7"/>
  <c r="AL142" i="7" s="1"/>
  <c r="AM142" i="7" s="1"/>
  <c r="C146" i="7"/>
  <c r="C144" i="7"/>
  <c r="AI141" i="7"/>
  <c r="AL141" i="7" s="1"/>
  <c r="AM141" i="7" s="1"/>
  <c r="AI140" i="7"/>
  <c r="AL140" i="7" s="1"/>
  <c r="AM140" i="7" s="1"/>
  <c r="AR163" i="7"/>
  <c r="AQ163" i="7"/>
  <c r="AP163" i="7"/>
  <c r="AO163" i="7"/>
  <c r="AN163" i="7"/>
  <c r="AR162" i="7"/>
  <c r="AQ162" i="7"/>
  <c r="AO162" i="7"/>
  <c r="AM144" i="7" l="1"/>
  <c r="AN144" i="7" s="1"/>
  <c r="AP144" i="7" s="1"/>
  <c r="AI163" i="7"/>
  <c r="AI162" i="7"/>
  <c r="AM159" i="7"/>
  <c r="AM163" i="7" s="1"/>
  <c r="AL163" i="7"/>
  <c r="AM158" i="7"/>
  <c r="AL162" i="7"/>
  <c r="AM148" i="7"/>
  <c r="AN142" i="7"/>
  <c r="AP142" i="7" s="1"/>
  <c r="AM146" i="7"/>
  <c r="AN146" i="7" s="1"/>
  <c r="AP146" i="7" s="1"/>
  <c r="AN140" i="7"/>
  <c r="C119" i="7"/>
  <c r="AM162" i="7" l="1"/>
  <c r="AN158" i="7"/>
  <c r="AP158" i="7" s="1"/>
  <c r="AP140" i="7"/>
  <c r="AN148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6" i="7"/>
  <c r="D135" i="7"/>
  <c r="AN162" i="7" l="1"/>
  <c r="AP148" i="7"/>
  <c r="AP162" i="7" s="1"/>
  <c r="C131" i="7"/>
  <c r="C129" i="7"/>
  <c r="C127" i="7"/>
  <c r="AI134" i="7"/>
  <c r="AL134" i="7" s="1"/>
  <c r="AM134" i="7" s="1"/>
  <c r="AI133" i="7"/>
  <c r="AL133" i="7" s="1"/>
  <c r="AM133" i="7" s="1"/>
  <c r="AI132" i="7"/>
  <c r="AL132" i="7" s="1"/>
  <c r="AM132" i="7" s="1"/>
  <c r="AI131" i="7"/>
  <c r="AL131" i="7" s="1"/>
  <c r="AI130" i="7"/>
  <c r="AL130" i="7" s="1"/>
  <c r="AM130" i="7" s="1"/>
  <c r="AI129" i="7"/>
  <c r="AL129" i="7" s="1"/>
  <c r="AI128" i="7"/>
  <c r="AL128" i="7" s="1"/>
  <c r="AM128" i="7" s="1"/>
  <c r="AI127" i="7"/>
  <c r="AL127" i="7" s="1"/>
  <c r="AI126" i="7"/>
  <c r="AL126" i="7" s="1"/>
  <c r="AM126" i="7" s="1"/>
  <c r="AI125" i="7"/>
  <c r="AL125" i="7" s="1"/>
  <c r="AM125" i="7" s="1"/>
  <c r="AL124" i="7"/>
  <c r="AM124" i="7" s="1"/>
  <c r="AI123" i="7"/>
  <c r="AL123" i="7" s="1"/>
  <c r="AM123" i="7" s="1"/>
  <c r="AI122" i="7"/>
  <c r="AL122" i="7" s="1"/>
  <c r="AM122" i="7" s="1"/>
  <c r="AI121" i="7"/>
  <c r="AL121" i="7" s="1"/>
  <c r="AR136" i="7"/>
  <c r="AQ136" i="7"/>
  <c r="AP136" i="7"/>
  <c r="AO136" i="7"/>
  <c r="AN136" i="7"/>
  <c r="AK136" i="7"/>
  <c r="AJ136" i="7"/>
  <c r="AR135" i="7"/>
  <c r="AQ135" i="7"/>
  <c r="AO135" i="7"/>
  <c r="AK135" i="7"/>
  <c r="AJ135" i="7"/>
  <c r="C121" i="7"/>
  <c r="A122" i="7" s="1"/>
  <c r="AI120" i="7"/>
  <c r="AI119" i="7"/>
  <c r="AI118" i="7"/>
  <c r="AI117" i="7"/>
  <c r="AL117" i="7" s="1"/>
  <c r="C117" i="7"/>
  <c r="A118" i="7" s="1"/>
  <c r="AM131" i="7" l="1"/>
  <c r="AN131" i="7" s="1"/>
  <c r="AP131" i="7" s="1"/>
  <c r="AM121" i="7"/>
  <c r="AN121" i="7" s="1"/>
  <c r="AP121" i="7" s="1"/>
  <c r="AM129" i="7"/>
  <c r="AN129" i="7" s="1"/>
  <c r="AP129" i="7" s="1"/>
  <c r="AL119" i="7"/>
  <c r="AI135" i="7"/>
  <c r="AL120" i="7"/>
  <c r="AI136" i="7"/>
  <c r="AN125" i="7"/>
  <c r="AP125" i="7" s="1"/>
  <c r="AN133" i="7"/>
  <c r="AP133" i="7" s="1"/>
  <c r="AN123" i="7"/>
  <c r="AP123" i="7" s="1"/>
  <c r="AM127" i="7"/>
  <c r="AN127" i="7" s="1"/>
  <c r="AP127" i="7" s="1"/>
  <c r="AM117" i="7"/>
  <c r="AL118" i="7"/>
  <c r="G113" i="7"/>
  <c r="G112" i="7"/>
  <c r="AM120" i="7" l="1"/>
  <c r="AL136" i="7"/>
  <c r="AM119" i="7"/>
  <c r="AL135" i="7"/>
  <c r="AM118" i="7"/>
  <c r="AM136" i="7" s="1"/>
  <c r="AR113" i="7"/>
  <c r="AQ113" i="7"/>
  <c r="AP113" i="7"/>
  <c r="AO113" i="7"/>
  <c r="AN113" i="7"/>
  <c r="AK113" i="7"/>
  <c r="AJ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F113" i="7"/>
  <c r="E113" i="7"/>
  <c r="D113" i="7"/>
  <c r="AR112" i="7"/>
  <c r="AQ112" i="7"/>
  <c r="AO112" i="7"/>
  <c r="AK112" i="7"/>
  <c r="AJ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F112" i="7"/>
  <c r="E112" i="7"/>
  <c r="D112" i="7"/>
  <c r="AI111" i="7"/>
  <c r="AL111" i="7" s="1"/>
  <c r="AM111" i="7" s="1"/>
  <c r="AI110" i="7"/>
  <c r="AL110" i="7" s="1"/>
  <c r="AM110" i="7" s="1"/>
  <c r="AI109" i="7"/>
  <c r="AL109" i="7" s="1"/>
  <c r="AM109" i="7" s="1"/>
  <c r="A109" i="7"/>
  <c r="AI108" i="7"/>
  <c r="AL108" i="7" s="1"/>
  <c r="AM108" i="7" s="1"/>
  <c r="AI107" i="7"/>
  <c r="AL107" i="7" s="1"/>
  <c r="AM107" i="7" s="1"/>
  <c r="AI106" i="7"/>
  <c r="AL106" i="7" s="1"/>
  <c r="C106" i="7"/>
  <c r="A107" i="7" s="1"/>
  <c r="AI105" i="7"/>
  <c r="AL105" i="7" s="1"/>
  <c r="AM105" i="7" s="1"/>
  <c r="AI104" i="7"/>
  <c r="AL104" i="7" s="1"/>
  <c r="C104" i="7"/>
  <c r="A105" i="7" s="1"/>
  <c r="AI103" i="7"/>
  <c r="AL103" i="7" s="1"/>
  <c r="AM103" i="7" s="1"/>
  <c r="A103" i="7"/>
  <c r="AI102" i="7"/>
  <c r="AL102" i="7" s="1"/>
  <c r="AM102" i="7" s="1"/>
  <c r="AI101" i="7"/>
  <c r="AL101" i="7" s="1"/>
  <c r="AM101" i="7" s="1"/>
  <c r="AI100" i="7"/>
  <c r="AL100" i="7" s="1"/>
  <c r="C100" i="7"/>
  <c r="AI99" i="7"/>
  <c r="AI98" i="7"/>
  <c r="C98" i="7"/>
  <c r="A99" i="7" s="1"/>
  <c r="AM106" i="7" l="1"/>
  <c r="AN106" i="7" s="1"/>
  <c r="AP106" i="7" s="1"/>
  <c r="AM104" i="7"/>
  <c r="AN104" i="7" s="1"/>
  <c r="AP104" i="7" s="1"/>
  <c r="AM100" i="7"/>
  <c r="AN100" i="7" s="1"/>
  <c r="AP100" i="7" s="1"/>
  <c r="AN119" i="7"/>
  <c r="AP119" i="7" s="1"/>
  <c r="AM135" i="7"/>
  <c r="AN117" i="7"/>
  <c r="AP117" i="7" s="1"/>
  <c r="AN110" i="7"/>
  <c r="AP110" i="7" s="1"/>
  <c r="AI113" i="7"/>
  <c r="AI112" i="7"/>
  <c r="AN108" i="7"/>
  <c r="AP108" i="7" s="1"/>
  <c r="AN102" i="7"/>
  <c r="AP102" i="7" s="1"/>
  <c r="AL99" i="7"/>
  <c r="AL98" i="7"/>
  <c r="AG94" i="7"/>
  <c r="AP135" i="7" l="1"/>
  <c r="AN135" i="7"/>
  <c r="AM98" i="7"/>
  <c r="AL112" i="7"/>
  <c r="AL113" i="7"/>
  <c r="AM99" i="7"/>
  <c r="AM113" i="7" s="1"/>
  <c r="C91" i="7"/>
  <c r="A90" i="7"/>
  <c r="AM112" i="7" l="1"/>
  <c r="AN98" i="7"/>
  <c r="C87" i="7"/>
  <c r="A88" i="7" s="1"/>
  <c r="C85" i="7"/>
  <c r="A86" i="7" s="1"/>
  <c r="A84" i="7"/>
  <c r="C81" i="7"/>
  <c r="C79" i="7"/>
  <c r="A80" i="7" s="1"/>
  <c r="AR94" i="7"/>
  <c r="AQ94" i="7"/>
  <c r="AP94" i="7"/>
  <c r="AO94" i="7"/>
  <c r="AN94" i="7"/>
  <c r="AK94" i="7"/>
  <c r="AJ94" i="7"/>
  <c r="AH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AR93" i="7"/>
  <c r="AQ93" i="7"/>
  <c r="AO93" i="7"/>
  <c r="AK93" i="7"/>
  <c r="AJ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AI92" i="7"/>
  <c r="AL92" i="7" s="1"/>
  <c r="AM92" i="7" s="1"/>
  <c r="AI91" i="7"/>
  <c r="AL91" i="7" s="1"/>
  <c r="AM91" i="7" s="1"/>
  <c r="AI90" i="7"/>
  <c r="AL90" i="7" s="1"/>
  <c r="AM90" i="7" s="1"/>
  <c r="AI89" i="7"/>
  <c r="AL89" i="7" s="1"/>
  <c r="AM89" i="7" s="1"/>
  <c r="AI88" i="7"/>
  <c r="AL88" i="7" s="1"/>
  <c r="AM88" i="7" s="1"/>
  <c r="AI87" i="7"/>
  <c r="AL87" i="7" s="1"/>
  <c r="AM87" i="7" s="1"/>
  <c r="AI86" i="7"/>
  <c r="AL86" i="7" s="1"/>
  <c r="AM86" i="7" s="1"/>
  <c r="AI85" i="7"/>
  <c r="AL85" i="7" s="1"/>
  <c r="AM85" i="7" s="1"/>
  <c r="AI84" i="7"/>
  <c r="AL84" i="7" s="1"/>
  <c r="AM84" i="7" s="1"/>
  <c r="AI83" i="7"/>
  <c r="AL83" i="7" s="1"/>
  <c r="AM83" i="7" s="1"/>
  <c r="AI82" i="7"/>
  <c r="AL82" i="7" s="1"/>
  <c r="AM82" i="7" s="1"/>
  <c r="AI81" i="7"/>
  <c r="AL81" i="7" s="1"/>
  <c r="AI80" i="7"/>
  <c r="AI79" i="7"/>
  <c r="AL79" i="7" s="1"/>
  <c r="C60" i="7"/>
  <c r="C72" i="7"/>
  <c r="A73" i="7" s="1"/>
  <c r="AI66" i="7"/>
  <c r="AL66" i="7" s="1"/>
  <c r="AM66" i="7" s="1"/>
  <c r="AI72" i="7"/>
  <c r="AL72" i="7" s="1"/>
  <c r="AI68" i="7"/>
  <c r="AL68" i="7" s="1"/>
  <c r="AM68" i="7" s="1"/>
  <c r="AI64" i="7"/>
  <c r="AL64" i="7" s="1"/>
  <c r="AI62" i="7"/>
  <c r="AL62" i="7" s="1"/>
  <c r="AI73" i="7"/>
  <c r="AL73" i="7" s="1"/>
  <c r="AM73" i="7" s="1"/>
  <c r="AI71" i="7"/>
  <c r="AL71" i="7" s="1"/>
  <c r="AM71" i="7" s="1"/>
  <c r="AI70" i="7"/>
  <c r="AL70" i="7" s="1"/>
  <c r="AM70" i="7" s="1"/>
  <c r="AI69" i="7"/>
  <c r="AL69" i="7" s="1"/>
  <c r="AM69" i="7" s="1"/>
  <c r="AI67" i="7"/>
  <c r="AL67" i="7" s="1"/>
  <c r="AM67" i="7" s="1"/>
  <c r="AI65" i="7"/>
  <c r="AL65" i="7" s="1"/>
  <c r="AM65" i="7" s="1"/>
  <c r="AI63" i="7"/>
  <c r="AL63" i="7" s="1"/>
  <c r="AM63" i="7" s="1"/>
  <c r="AI61" i="7"/>
  <c r="AL61" i="7" s="1"/>
  <c r="AM61" i="7" s="1"/>
  <c r="AI60" i="7"/>
  <c r="AL60" i="7" s="1"/>
  <c r="AM60" i="7" s="1"/>
  <c r="A71" i="7"/>
  <c r="A69" i="7"/>
  <c r="C64" i="7"/>
  <c r="C62" i="7"/>
  <c r="A63" i="7" s="1"/>
  <c r="AR75" i="7"/>
  <c r="AQ75" i="7"/>
  <c r="AP75" i="7"/>
  <c r="AO75" i="7"/>
  <c r="AN75" i="7"/>
  <c r="AK75" i="7"/>
  <c r="AJ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R74" i="7"/>
  <c r="AQ74" i="7"/>
  <c r="AO74" i="7"/>
  <c r="AK74" i="7"/>
  <c r="AJ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53" i="7"/>
  <c r="A54" i="7" s="1"/>
  <c r="AI54" i="7"/>
  <c r="AL54" i="7" s="1"/>
  <c r="AM54" i="7" s="1"/>
  <c r="AI53" i="7"/>
  <c r="AL53" i="7" s="1"/>
  <c r="C51" i="7"/>
  <c r="A52" i="7" s="1"/>
  <c r="AR56" i="7"/>
  <c r="AQ56" i="7"/>
  <c r="AP56" i="7"/>
  <c r="AO56" i="7"/>
  <c r="AN56" i="7"/>
  <c r="AK56" i="7"/>
  <c r="AJ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O56" i="7"/>
  <c r="N56" i="7"/>
  <c r="M56" i="7"/>
  <c r="L56" i="7"/>
  <c r="K56" i="7"/>
  <c r="J56" i="7"/>
  <c r="I56" i="7"/>
  <c r="H56" i="7"/>
  <c r="G56" i="7"/>
  <c r="F56" i="7"/>
  <c r="E56" i="7"/>
  <c r="D56" i="7"/>
  <c r="AR55" i="7"/>
  <c r="AQ55" i="7"/>
  <c r="AO55" i="7"/>
  <c r="AK55" i="7"/>
  <c r="AJ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O55" i="7"/>
  <c r="N55" i="7"/>
  <c r="M55" i="7"/>
  <c r="L55" i="7"/>
  <c r="K55" i="7"/>
  <c r="J55" i="7"/>
  <c r="I55" i="7"/>
  <c r="H55" i="7"/>
  <c r="G55" i="7"/>
  <c r="F55" i="7"/>
  <c r="E55" i="7"/>
  <c r="D55" i="7"/>
  <c r="C45" i="7"/>
  <c r="C43" i="7"/>
  <c r="A44" i="7" s="1"/>
  <c r="M37" i="7"/>
  <c r="N37" i="7"/>
  <c r="L37" i="7"/>
  <c r="AR37" i="7"/>
  <c r="AQ37" i="7"/>
  <c r="AP37" i="7"/>
  <c r="AO37" i="7"/>
  <c r="AN37" i="7"/>
  <c r="AK37" i="7"/>
  <c r="AJ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K37" i="7"/>
  <c r="J37" i="7"/>
  <c r="I37" i="7"/>
  <c r="H37" i="7"/>
  <c r="G37" i="7"/>
  <c r="F37" i="7"/>
  <c r="E37" i="7"/>
  <c r="D37" i="7"/>
  <c r="AR36" i="7"/>
  <c r="AQ36" i="7"/>
  <c r="AO36" i="7"/>
  <c r="AK36" i="7"/>
  <c r="AJ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AI35" i="7"/>
  <c r="AL35" i="7" s="1"/>
  <c r="AM35" i="7" s="1"/>
  <c r="AI34" i="7"/>
  <c r="AL34" i="7" s="1"/>
  <c r="AM34" i="7" s="1"/>
  <c r="AI33" i="7"/>
  <c r="AL33" i="7" s="1"/>
  <c r="AM33" i="7" s="1"/>
  <c r="AI32" i="7"/>
  <c r="AL32" i="7" s="1"/>
  <c r="AM32" i="7" s="1"/>
  <c r="AI31" i="7"/>
  <c r="AL31" i="7" s="1"/>
  <c r="AM31" i="7" s="1"/>
  <c r="AI30" i="7"/>
  <c r="AL30" i="7" s="1"/>
  <c r="AM30" i="7" s="1"/>
  <c r="AI29" i="7"/>
  <c r="AL29" i="7" s="1"/>
  <c r="AM29" i="7" s="1"/>
  <c r="AI28" i="7"/>
  <c r="AL28" i="7" s="1"/>
  <c r="AM28" i="7" s="1"/>
  <c r="AI27" i="7"/>
  <c r="AL27" i="7" s="1"/>
  <c r="AM27" i="7" s="1"/>
  <c r="AI26" i="7"/>
  <c r="AL26" i="7" s="1"/>
  <c r="C26" i="7"/>
  <c r="AI25" i="7"/>
  <c r="AL25" i="7" s="1"/>
  <c r="AM25" i="7" s="1"/>
  <c r="AI24" i="7"/>
  <c r="AL24" i="7" s="1"/>
  <c r="C24" i="7"/>
  <c r="A25" i="7" s="1"/>
  <c r="AI23" i="7"/>
  <c r="C22" i="7"/>
  <c r="A23" i="7" s="1"/>
  <c r="Q18" i="7"/>
  <c r="Q17" i="7"/>
  <c r="T18" i="7"/>
  <c r="T17" i="7"/>
  <c r="C7" i="7"/>
  <c r="C5" i="7"/>
  <c r="A6" i="7" s="1"/>
  <c r="AU223" i="6"/>
  <c r="AR18" i="7"/>
  <c r="AQ18" i="7"/>
  <c r="AP18" i="7"/>
  <c r="AO18" i="7"/>
  <c r="AN18" i="7"/>
  <c r="AK18" i="7"/>
  <c r="AJ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S18" i="7"/>
  <c r="R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R17" i="7"/>
  <c r="AQ17" i="7"/>
  <c r="AO17" i="7"/>
  <c r="AK17" i="7"/>
  <c r="AJ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S17" i="7"/>
  <c r="R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I16" i="7"/>
  <c r="AL16" i="7" s="1"/>
  <c r="AM16" i="7" s="1"/>
  <c r="AI15" i="7"/>
  <c r="AL15" i="7" s="1"/>
  <c r="AM15" i="7" s="1"/>
  <c r="AI14" i="7"/>
  <c r="AL14" i="7" s="1"/>
  <c r="AM14" i="7" s="1"/>
  <c r="AI13" i="7"/>
  <c r="AL13" i="7" s="1"/>
  <c r="AM13" i="7" s="1"/>
  <c r="AI12" i="7"/>
  <c r="AL12" i="7" s="1"/>
  <c r="AM12" i="7" s="1"/>
  <c r="AI11" i="7"/>
  <c r="AL11" i="7" s="1"/>
  <c r="AM11" i="7" s="1"/>
  <c r="AI10" i="7"/>
  <c r="AL10" i="7" s="1"/>
  <c r="AM10" i="7" s="1"/>
  <c r="AI9" i="7"/>
  <c r="AL9" i="7" s="1"/>
  <c r="AM9" i="7" s="1"/>
  <c r="AI8" i="7"/>
  <c r="AL8" i="7" s="1"/>
  <c r="AM8" i="7" s="1"/>
  <c r="AI7" i="7"/>
  <c r="AL7" i="7" s="1"/>
  <c r="AI6" i="7"/>
  <c r="AL6" i="7" s="1"/>
  <c r="AM6" i="7" s="1"/>
  <c r="AI5" i="7"/>
  <c r="AL5" i="7" s="1"/>
  <c r="AI4" i="7"/>
  <c r="AL4" i="7" s="1"/>
  <c r="AI3" i="7"/>
  <c r="AL3" i="7" s="1"/>
  <c r="C3" i="7"/>
  <c r="A4" i="7" s="1"/>
  <c r="P229" i="6"/>
  <c r="AR229" i="6"/>
  <c r="AQ229" i="6"/>
  <c r="AP229" i="6"/>
  <c r="AO229" i="6"/>
  <c r="AN229" i="6"/>
  <c r="AK229" i="6"/>
  <c r="AJ229" i="6"/>
  <c r="AH229" i="6"/>
  <c r="AG229" i="6"/>
  <c r="AF229" i="6"/>
  <c r="AE229" i="6"/>
  <c r="AD229" i="6"/>
  <c r="AC229" i="6"/>
  <c r="AB229" i="6"/>
  <c r="AA229" i="6"/>
  <c r="Z229" i="6"/>
  <c r="Y229" i="6"/>
  <c r="X229" i="6"/>
  <c r="W229" i="6"/>
  <c r="V229" i="6"/>
  <c r="U229" i="6"/>
  <c r="T229" i="6"/>
  <c r="S229" i="6"/>
  <c r="R229" i="6"/>
  <c r="Q229" i="6"/>
  <c r="O229" i="6"/>
  <c r="N229" i="6"/>
  <c r="M229" i="6"/>
  <c r="L229" i="6"/>
  <c r="K229" i="6"/>
  <c r="J229" i="6"/>
  <c r="I229" i="6"/>
  <c r="H229" i="6"/>
  <c r="G229" i="6"/>
  <c r="F229" i="6"/>
  <c r="E229" i="6"/>
  <c r="D229" i="6"/>
  <c r="AR228" i="6"/>
  <c r="AQ228" i="6"/>
  <c r="AO228" i="6"/>
  <c r="AK228" i="6"/>
  <c r="AJ228" i="6"/>
  <c r="AH228" i="6"/>
  <c r="AG228" i="6"/>
  <c r="AF228" i="6"/>
  <c r="AE228" i="6"/>
  <c r="AD228" i="6"/>
  <c r="AC228" i="6"/>
  <c r="AB228" i="6"/>
  <c r="AI227" i="6" s="1"/>
  <c r="AL227" i="6" s="1"/>
  <c r="AM227" i="6" s="1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AI226" i="6"/>
  <c r="AL226" i="6" s="1"/>
  <c r="AM226" i="6" s="1"/>
  <c r="AI225" i="6"/>
  <c r="AL225" i="6" s="1"/>
  <c r="AM225" i="6" s="1"/>
  <c r="AI224" i="6"/>
  <c r="AL224" i="6" s="1"/>
  <c r="AM224" i="6" s="1"/>
  <c r="AI223" i="6"/>
  <c r="AL223" i="6" s="1"/>
  <c r="AM223" i="6" s="1"/>
  <c r="AI222" i="6"/>
  <c r="AL222" i="6" s="1"/>
  <c r="AM222" i="6" s="1"/>
  <c r="AI221" i="6"/>
  <c r="AL221" i="6" s="1"/>
  <c r="AM221" i="6" s="1"/>
  <c r="AI220" i="6"/>
  <c r="AL220" i="6" s="1"/>
  <c r="AM220" i="6" s="1"/>
  <c r="AI219" i="6"/>
  <c r="AL219" i="6" s="1"/>
  <c r="AM219" i="6" s="1"/>
  <c r="AI218" i="6"/>
  <c r="AL218" i="6" s="1"/>
  <c r="AM218" i="6" s="1"/>
  <c r="AI217" i="6"/>
  <c r="AL217" i="6" s="1"/>
  <c r="AM217" i="6" s="1"/>
  <c r="A217" i="6"/>
  <c r="AI216" i="6"/>
  <c r="AL216" i="6" s="1"/>
  <c r="AM216" i="6" s="1"/>
  <c r="AI215" i="6"/>
  <c r="AI214" i="6"/>
  <c r="AL214" i="6" s="1"/>
  <c r="C214" i="6"/>
  <c r="A215" i="6" s="1"/>
  <c r="AI208" i="6"/>
  <c r="AL208" i="6" s="1"/>
  <c r="AM208" i="6" s="1"/>
  <c r="AI206" i="6"/>
  <c r="AL206" i="6" s="1"/>
  <c r="AM206" i="6" s="1"/>
  <c r="AI205" i="6"/>
  <c r="AL205" i="6" s="1"/>
  <c r="AM205" i="6" s="1"/>
  <c r="AI204" i="6"/>
  <c r="AL204" i="6" s="1"/>
  <c r="AM204" i="6" s="1"/>
  <c r="AI203" i="6"/>
  <c r="AL203" i="6" s="1"/>
  <c r="AM203" i="6" s="1"/>
  <c r="AI202" i="6"/>
  <c r="AL202" i="6" s="1"/>
  <c r="AM202" i="6" s="1"/>
  <c r="AI201" i="6"/>
  <c r="AL201" i="6" s="1"/>
  <c r="AM201" i="6" s="1"/>
  <c r="AI200" i="6"/>
  <c r="AL200" i="6" s="1"/>
  <c r="AM200" i="6" s="1"/>
  <c r="AI199" i="6"/>
  <c r="AL199" i="6" s="1"/>
  <c r="AM199" i="6" s="1"/>
  <c r="AI198" i="6"/>
  <c r="AL198" i="6" s="1"/>
  <c r="AM198" i="6" s="1"/>
  <c r="AI197" i="6"/>
  <c r="AL197" i="6" s="1"/>
  <c r="AM197" i="6" s="1"/>
  <c r="AI196" i="6"/>
  <c r="AL196" i="6" s="1"/>
  <c r="AM196" i="6" s="1"/>
  <c r="AI195" i="6"/>
  <c r="AR210" i="6"/>
  <c r="AQ210" i="6"/>
  <c r="AP210" i="6"/>
  <c r="AO210" i="6"/>
  <c r="AN210" i="6"/>
  <c r="AK210" i="6"/>
  <c r="AJ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AR209" i="6"/>
  <c r="AQ209" i="6"/>
  <c r="AO209" i="6"/>
  <c r="AK209" i="6"/>
  <c r="AJ209" i="6"/>
  <c r="AH209" i="6"/>
  <c r="AG209" i="6"/>
  <c r="AF209" i="6"/>
  <c r="AE209" i="6"/>
  <c r="AD209" i="6"/>
  <c r="AC209" i="6"/>
  <c r="AB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AI207" i="6"/>
  <c r="AL207" i="6" s="1"/>
  <c r="AM207" i="6" s="1"/>
  <c r="A198" i="6"/>
  <c r="C195" i="6"/>
  <c r="A196" i="6" s="1"/>
  <c r="AC191" i="6"/>
  <c r="AR191" i="6"/>
  <c r="AQ191" i="6"/>
  <c r="AP191" i="6"/>
  <c r="AO191" i="6"/>
  <c r="AN191" i="6"/>
  <c r="AK191" i="6"/>
  <c r="AJ191" i="6"/>
  <c r="AH191" i="6"/>
  <c r="AG191" i="6"/>
  <c r="AF191" i="6"/>
  <c r="AE191" i="6"/>
  <c r="AD191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AR190" i="6"/>
  <c r="AQ190" i="6"/>
  <c r="AO190" i="6"/>
  <c r="AK190" i="6"/>
  <c r="AJ190" i="6"/>
  <c r="AH190" i="6"/>
  <c r="AG190" i="6"/>
  <c r="AF190" i="6"/>
  <c r="AE190" i="6"/>
  <c r="AD190" i="6"/>
  <c r="AC190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AI189" i="6"/>
  <c r="AL189" i="6" s="1"/>
  <c r="AM189" i="6" s="1"/>
  <c r="AI188" i="6"/>
  <c r="AL188" i="6" s="1"/>
  <c r="AM188" i="6" s="1"/>
  <c r="AI187" i="6"/>
  <c r="AL187" i="6" s="1"/>
  <c r="AM187" i="6" s="1"/>
  <c r="AI186" i="6"/>
  <c r="AL186" i="6" s="1"/>
  <c r="AM186" i="6" s="1"/>
  <c r="AI185" i="6"/>
  <c r="AL185" i="6" s="1"/>
  <c r="AM185" i="6" s="1"/>
  <c r="AI184" i="6"/>
  <c r="AL184" i="6" s="1"/>
  <c r="AM184" i="6" s="1"/>
  <c r="AI183" i="6"/>
  <c r="AL183" i="6" s="1"/>
  <c r="AM183" i="6" s="1"/>
  <c r="AI182" i="6"/>
  <c r="AL182" i="6" s="1"/>
  <c r="AM182" i="6" s="1"/>
  <c r="AI181" i="6"/>
  <c r="AL181" i="6" s="1"/>
  <c r="AM181" i="6" s="1"/>
  <c r="AI180" i="6"/>
  <c r="AL180" i="6" s="1"/>
  <c r="AM180" i="6" s="1"/>
  <c r="AI179" i="6"/>
  <c r="AL179" i="6" s="1"/>
  <c r="AM179" i="6" s="1"/>
  <c r="A179" i="6"/>
  <c r="AI178" i="6"/>
  <c r="AL178" i="6" s="1"/>
  <c r="AM178" i="6" s="1"/>
  <c r="AI177" i="6"/>
  <c r="AI176" i="6"/>
  <c r="C176" i="6"/>
  <c r="A177" i="6" s="1"/>
  <c r="AI168" i="6"/>
  <c r="AL168" i="6" s="1"/>
  <c r="AM168" i="6" s="1"/>
  <c r="AI167" i="6"/>
  <c r="AL167" i="6" s="1"/>
  <c r="AM167" i="6" s="1"/>
  <c r="AI166" i="6"/>
  <c r="AL166" i="6" s="1"/>
  <c r="AM166" i="6" s="1"/>
  <c r="AI165" i="6"/>
  <c r="AL165" i="6" s="1"/>
  <c r="AM165" i="6" s="1"/>
  <c r="AI164" i="6"/>
  <c r="AL164" i="6" s="1"/>
  <c r="AM164" i="6" s="1"/>
  <c r="AI163" i="6"/>
  <c r="AL163" i="6" s="1"/>
  <c r="AM163" i="6" s="1"/>
  <c r="AI162" i="6"/>
  <c r="AL162" i="6" s="1"/>
  <c r="AM162" i="6" s="1"/>
  <c r="AI161" i="6"/>
  <c r="AL161" i="6" s="1"/>
  <c r="AM161" i="6" s="1"/>
  <c r="AI160" i="6"/>
  <c r="AL160" i="6" s="1"/>
  <c r="AM160" i="6" s="1"/>
  <c r="A160" i="6"/>
  <c r="AI159" i="6"/>
  <c r="AL159" i="6" s="1"/>
  <c r="AM159" i="6" s="1"/>
  <c r="AI169" i="6"/>
  <c r="AL169" i="6" s="1"/>
  <c r="AM169" i="6" s="1"/>
  <c r="AI170" i="6"/>
  <c r="AL170" i="6" s="1"/>
  <c r="AM170" i="6" s="1"/>
  <c r="AI158" i="6"/>
  <c r="AR172" i="6"/>
  <c r="AQ172" i="6"/>
  <c r="AP172" i="6"/>
  <c r="AO172" i="6"/>
  <c r="AN172" i="6"/>
  <c r="AK172" i="6"/>
  <c r="AJ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AR171" i="6"/>
  <c r="AQ171" i="6"/>
  <c r="AO171" i="6"/>
  <c r="AK171" i="6"/>
  <c r="AJ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AI157" i="6"/>
  <c r="AL157" i="6" s="1"/>
  <c r="C157" i="6"/>
  <c r="A158" i="6" s="1"/>
  <c r="C138" i="6"/>
  <c r="A139" i="6" s="1"/>
  <c r="V153" i="6"/>
  <c r="V152" i="6"/>
  <c r="C121" i="6"/>
  <c r="A122" i="6" s="1"/>
  <c r="A143" i="6"/>
  <c r="AR153" i="6"/>
  <c r="AQ153" i="6"/>
  <c r="AP153" i="6"/>
  <c r="AO153" i="6"/>
  <c r="AN153" i="6"/>
  <c r="AK153" i="6"/>
  <c r="AJ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AR152" i="6"/>
  <c r="AQ152" i="6"/>
  <c r="AO152" i="6"/>
  <c r="AK152" i="6"/>
  <c r="AJ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AI151" i="6"/>
  <c r="AL151" i="6" s="1"/>
  <c r="AM151" i="6" s="1"/>
  <c r="AI150" i="6"/>
  <c r="AL150" i="6" s="1"/>
  <c r="AM150" i="6" s="1"/>
  <c r="AI149" i="6"/>
  <c r="AL149" i="6" s="1"/>
  <c r="AM149" i="6" s="1"/>
  <c r="AI148" i="6"/>
  <c r="AL148" i="6" s="1"/>
  <c r="AM148" i="6" s="1"/>
  <c r="AI147" i="6"/>
  <c r="AL147" i="6" s="1"/>
  <c r="AM147" i="6" s="1"/>
  <c r="AI146" i="6"/>
  <c r="AL146" i="6" s="1"/>
  <c r="AM146" i="6" s="1"/>
  <c r="AI145" i="6"/>
  <c r="AL145" i="6" s="1"/>
  <c r="AM145" i="6" s="1"/>
  <c r="AI144" i="6"/>
  <c r="AL144" i="6" s="1"/>
  <c r="AM144" i="6" s="1"/>
  <c r="AI143" i="6"/>
  <c r="AL143" i="6" s="1"/>
  <c r="AM143" i="6" s="1"/>
  <c r="AI142" i="6"/>
  <c r="AL142" i="6" s="1"/>
  <c r="AM142" i="6" s="1"/>
  <c r="AI141" i="6"/>
  <c r="A141" i="6"/>
  <c r="AI140" i="6"/>
  <c r="AL140" i="6" s="1"/>
  <c r="AM140" i="6" s="1"/>
  <c r="AI139" i="6"/>
  <c r="AL139" i="6" s="1"/>
  <c r="AI138" i="6"/>
  <c r="AA133" i="6"/>
  <c r="AA134" i="6"/>
  <c r="A124" i="6"/>
  <c r="X134" i="6"/>
  <c r="AR134" i="6"/>
  <c r="AQ134" i="6"/>
  <c r="AP134" i="6"/>
  <c r="AO134" i="6"/>
  <c r="AN134" i="6"/>
  <c r="AK134" i="6"/>
  <c r="AJ134" i="6"/>
  <c r="AH134" i="6"/>
  <c r="AG134" i="6"/>
  <c r="AF134" i="6"/>
  <c r="AE134" i="6"/>
  <c r="AD134" i="6"/>
  <c r="AC134" i="6"/>
  <c r="AB134" i="6"/>
  <c r="Z134" i="6"/>
  <c r="Y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AR133" i="6"/>
  <c r="AQ133" i="6"/>
  <c r="AO133" i="6"/>
  <c r="AK133" i="6"/>
  <c r="AJ133" i="6"/>
  <c r="AH133" i="6"/>
  <c r="AG133" i="6"/>
  <c r="AF133" i="6"/>
  <c r="AE133" i="6"/>
  <c r="AD133" i="6"/>
  <c r="AC133" i="6"/>
  <c r="AB133" i="6"/>
  <c r="AI132" i="6"/>
  <c r="AL132" i="6" s="1"/>
  <c r="AM132" i="6" s="1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AI131" i="6"/>
  <c r="AL131" i="6" s="1"/>
  <c r="AM131" i="6" s="1"/>
  <c r="AI130" i="6"/>
  <c r="AL130" i="6" s="1"/>
  <c r="AM130" i="6" s="1"/>
  <c r="AI129" i="6"/>
  <c r="AL129" i="6" s="1"/>
  <c r="AM129" i="6" s="1"/>
  <c r="AI128" i="6"/>
  <c r="AL128" i="6" s="1"/>
  <c r="AM128" i="6" s="1"/>
  <c r="AI127" i="6"/>
  <c r="AL127" i="6" s="1"/>
  <c r="AM127" i="6" s="1"/>
  <c r="AI126" i="6"/>
  <c r="AL126" i="6" s="1"/>
  <c r="AM126" i="6" s="1"/>
  <c r="AI125" i="6"/>
  <c r="AL125" i="6" s="1"/>
  <c r="AM125" i="6" s="1"/>
  <c r="AI124" i="6"/>
  <c r="AL124" i="6" s="1"/>
  <c r="AM124" i="6" s="1"/>
  <c r="AI123" i="6"/>
  <c r="AL123" i="6" s="1"/>
  <c r="AM123" i="6" s="1"/>
  <c r="AI122" i="6"/>
  <c r="AI121" i="6"/>
  <c r="AL121" i="6" s="1"/>
  <c r="AI120" i="6"/>
  <c r="AL120" i="6" s="1"/>
  <c r="AI119" i="6"/>
  <c r="A104" i="6"/>
  <c r="AB114" i="6"/>
  <c r="AB113" i="6"/>
  <c r="AV82" i="6"/>
  <c r="AV83" i="6" s="1"/>
  <c r="AV84" i="6" s="1"/>
  <c r="AV85" i="6" s="1"/>
  <c r="C79" i="6"/>
  <c r="A80" i="6" s="1"/>
  <c r="C80" i="6" s="1"/>
  <c r="AI112" i="6"/>
  <c r="AL112" i="6" s="1"/>
  <c r="AM112" i="6" s="1"/>
  <c r="AI111" i="6"/>
  <c r="AL111" i="6" s="1"/>
  <c r="AM111" i="6" s="1"/>
  <c r="AI110" i="6"/>
  <c r="AL110" i="6" s="1"/>
  <c r="AM110" i="6" s="1"/>
  <c r="AI109" i="6"/>
  <c r="AL109" i="6" s="1"/>
  <c r="AM109" i="6" s="1"/>
  <c r="AI108" i="6"/>
  <c r="AL108" i="6" s="1"/>
  <c r="AM108" i="6" s="1"/>
  <c r="AI107" i="6"/>
  <c r="AL107" i="6" s="1"/>
  <c r="AM107" i="6" s="1"/>
  <c r="AI106" i="6"/>
  <c r="AL106" i="6" s="1"/>
  <c r="AM106" i="6" s="1"/>
  <c r="AI105" i="6"/>
  <c r="AL105" i="6" s="1"/>
  <c r="AM105" i="6" s="1"/>
  <c r="AI104" i="6"/>
  <c r="AL104" i="6" s="1"/>
  <c r="AM104" i="6" s="1"/>
  <c r="AI103" i="6"/>
  <c r="AL103" i="6" s="1"/>
  <c r="AM103" i="6" s="1"/>
  <c r="AI102" i="6"/>
  <c r="AI101" i="6"/>
  <c r="AL101" i="6" s="1"/>
  <c r="AR114" i="6"/>
  <c r="AQ114" i="6"/>
  <c r="AP114" i="6"/>
  <c r="AO114" i="6"/>
  <c r="AN114" i="6"/>
  <c r="AK114" i="6"/>
  <c r="AJ114" i="6"/>
  <c r="AH114" i="6"/>
  <c r="AG114" i="6"/>
  <c r="AF114" i="6"/>
  <c r="AE114" i="6"/>
  <c r="AD114" i="6"/>
  <c r="AC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AR113" i="6"/>
  <c r="AQ113" i="6"/>
  <c r="AO113" i="6"/>
  <c r="AK113" i="6"/>
  <c r="AJ113" i="6"/>
  <c r="AH113" i="6"/>
  <c r="AG113" i="6"/>
  <c r="AF113" i="6"/>
  <c r="AE113" i="6"/>
  <c r="AD113" i="6"/>
  <c r="AC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01" i="6"/>
  <c r="A102" i="6" s="1"/>
  <c r="C102" i="6" s="1"/>
  <c r="AI100" i="6"/>
  <c r="AL100" i="6" s="1"/>
  <c r="AI99" i="6"/>
  <c r="Y93" i="6"/>
  <c r="Y94" i="6"/>
  <c r="Z93" i="6"/>
  <c r="Z94" i="6"/>
  <c r="C81" i="6"/>
  <c r="A82" i="6" s="1"/>
  <c r="C82" i="6" s="1"/>
  <c r="AI82" i="6"/>
  <c r="AL82" i="6" s="1"/>
  <c r="AI83" i="6"/>
  <c r="AL83" i="6" s="1"/>
  <c r="AM83" i="6" s="1"/>
  <c r="AI84" i="6"/>
  <c r="AL84" i="6" s="1"/>
  <c r="AM84" i="6" s="1"/>
  <c r="AI85" i="6"/>
  <c r="AL85" i="6" s="1"/>
  <c r="AM85" i="6" s="1"/>
  <c r="AI86" i="6"/>
  <c r="AL86" i="6" s="1"/>
  <c r="AM86" i="6" s="1"/>
  <c r="AI87" i="6"/>
  <c r="AL87" i="6" s="1"/>
  <c r="AM87" i="6" s="1"/>
  <c r="AI88" i="6"/>
  <c r="AL88" i="6" s="1"/>
  <c r="AM88" i="6" s="1"/>
  <c r="AI89" i="6"/>
  <c r="AL89" i="6" s="1"/>
  <c r="AM89" i="6" s="1"/>
  <c r="AI90" i="6"/>
  <c r="AL90" i="6" s="1"/>
  <c r="AM90" i="6" s="1"/>
  <c r="AI91" i="6"/>
  <c r="AL91" i="6" s="1"/>
  <c r="AM91" i="6" s="1"/>
  <c r="AI92" i="6"/>
  <c r="AL92" i="6" s="1"/>
  <c r="AM92" i="6" s="1"/>
  <c r="AR94" i="6"/>
  <c r="AQ94" i="6"/>
  <c r="AP94" i="6"/>
  <c r="AO94" i="6"/>
  <c r="AN94" i="6"/>
  <c r="AK94" i="6"/>
  <c r="AJ94" i="6"/>
  <c r="AH94" i="6"/>
  <c r="AG94" i="6"/>
  <c r="AF94" i="6"/>
  <c r="AE94" i="6"/>
  <c r="AD94" i="6"/>
  <c r="AC94" i="6"/>
  <c r="AB94" i="6"/>
  <c r="AA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AQ93" i="6"/>
  <c r="AO93" i="6"/>
  <c r="AK93" i="6"/>
  <c r="AJ93" i="6"/>
  <c r="AH93" i="6"/>
  <c r="AG93" i="6"/>
  <c r="AF93" i="6"/>
  <c r="AE93" i="6"/>
  <c r="AD93" i="6"/>
  <c r="AC93" i="6"/>
  <c r="AB93" i="6"/>
  <c r="AA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A84" i="6"/>
  <c r="AI81" i="6"/>
  <c r="AL81" i="6" s="1"/>
  <c r="AI80" i="6"/>
  <c r="AI79" i="6"/>
  <c r="T73" i="6"/>
  <c r="AR74" i="6"/>
  <c r="AQ74" i="6"/>
  <c r="AP74" i="6"/>
  <c r="AO74" i="6"/>
  <c r="AN74" i="6"/>
  <c r="AK74" i="6"/>
  <c r="AJ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AI62" i="6"/>
  <c r="AL62" i="6" s="1"/>
  <c r="AI61" i="6"/>
  <c r="AL61" i="6" s="1"/>
  <c r="AI72" i="6"/>
  <c r="AL72" i="6" s="1"/>
  <c r="AM72" i="6" s="1"/>
  <c r="AI71" i="6"/>
  <c r="AL71" i="6" s="1"/>
  <c r="AM71" i="6" s="1"/>
  <c r="AI70" i="6"/>
  <c r="AL70" i="6" s="1"/>
  <c r="AM70" i="6" s="1"/>
  <c r="AI69" i="6"/>
  <c r="AL69" i="6" s="1"/>
  <c r="AM69" i="6" s="1"/>
  <c r="AI68" i="6"/>
  <c r="AL68" i="6" s="1"/>
  <c r="AM68" i="6" s="1"/>
  <c r="AI67" i="6"/>
  <c r="AL67" i="6" s="1"/>
  <c r="AM67" i="6" s="1"/>
  <c r="AI66" i="6"/>
  <c r="AL66" i="6" s="1"/>
  <c r="AM66" i="6" s="1"/>
  <c r="AI65" i="6"/>
  <c r="AL65" i="6" s="1"/>
  <c r="AM65" i="6" s="1"/>
  <c r="AI64" i="6"/>
  <c r="AL64" i="6" s="1"/>
  <c r="AI63" i="6"/>
  <c r="AL63" i="6" s="1"/>
  <c r="AM63" i="6" s="1"/>
  <c r="AR73" i="6"/>
  <c r="AQ73" i="6"/>
  <c r="AO73" i="6"/>
  <c r="AK73" i="6"/>
  <c r="AJ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61" i="6"/>
  <c r="A62" i="6" s="1"/>
  <c r="C62" i="6" s="1"/>
  <c r="A64" i="6"/>
  <c r="AI60" i="6"/>
  <c r="AL60" i="6" s="1"/>
  <c r="AI59" i="6"/>
  <c r="C59" i="6"/>
  <c r="A60" i="6" s="1"/>
  <c r="C60" i="6" s="1"/>
  <c r="C51" i="6"/>
  <c r="A52" i="6" s="1"/>
  <c r="C52" i="6" s="1"/>
  <c r="AI43" i="6"/>
  <c r="AL43" i="6" s="1"/>
  <c r="AM43" i="6" s="1"/>
  <c r="AI44" i="6"/>
  <c r="AL44" i="6" s="1"/>
  <c r="AM44" i="6" s="1"/>
  <c r="AI45" i="6"/>
  <c r="AL45" i="6" s="1"/>
  <c r="AM45" i="6" s="1"/>
  <c r="AI46" i="6"/>
  <c r="AL46" i="6" s="1"/>
  <c r="AM46" i="6" s="1"/>
  <c r="AI47" i="6"/>
  <c r="AL47" i="6" s="1"/>
  <c r="AM47" i="6" s="1"/>
  <c r="AI48" i="6"/>
  <c r="AL48" i="6" s="1"/>
  <c r="AM48" i="6" s="1"/>
  <c r="AI49" i="6"/>
  <c r="AL49" i="6" s="1"/>
  <c r="AM49" i="6" s="1"/>
  <c r="AI50" i="6"/>
  <c r="AL50" i="6" s="1"/>
  <c r="AM50" i="6" s="1"/>
  <c r="AI51" i="6"/>
  <c r="AL51" i="6" s="1"/>
  <c r="AI52" i="6"/>
  <c r="AL52" i="6" s="1"/>
  <c r="AI42" i="6"/>
  <c r="AL42" i="6" s="1"/>
  <c r="AM42" i="6" s="1"/>
  <c r="AI41" i="6"/>
  <c r="AL41" i="6" s="1"/>
  <c r="AM41" i="6" s="1"/>
  <c r="AI40" i="6"/>
  <c r="AL40" i="6" s="1"/>
  <c r="AR54" i="6"/>
  <c r="AQ54" i="6"/>
  <c r="AP54" i="6"/>
  <c r="AO54" i="6"/>
  <c r="AN54" i="6"/>
  <c r="AK54" i="6"/>
  <c r="AJ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AR53" i="6"/>
  <c r="AQ53" i="6"/>
  <c r="AK53" i="6"/>
  <c r="AJ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A42" i="6"/>
  <c r="AO53" i="6"/>
  <c r="AI39" i="6"/>
  <c r="C39" i="6"/>
  <c r="A40" i="6" s="1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J35" i="6"/>
  <c r="AK35" i="6"/>
  <c r="AN35" i="6"/>
  <c r="AO35" i="6"/>
  <c r="AP35" i="6"/>
  <c r="AQ35" i="6"/>
  <c r="AR35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J34" i="6"/>
  <c r="AK34" i="6"/>
  <c r="AQ34" i="6"/>
  <c r="AR34" i="6"/>
  <c r="D35" i="6"/>
  <c r="D34" i="6"/>
  <c r="AI31" i="6"/>
  <c r="AL31" i="6" s="1"/>
  <c r="AM31" i="6" s="1"/>
  <c r="AI30" i="6"/>
  <c r="AL30" i="6" s="1"/>
  <c r="AM30" i="6" s="1"/>
  <c r="AO20" i="6"/>
  <c r="AO34" i="6" s="1"/>
  <c r="AI24" i="6"/>
  <c r="AL24" i="6" s="1"/>
  <c r="AM24" i="6" s="1"/>
  <c r="AI25" i="6"/>
  <c r="AL25" i="6" s="1"/>
  <c r="AM25" i="6" s="1"/>
  <c r="AI26" i="6"/>
  <c r="AI27" i="6"/>
  <c r="AL27" i="6" s="1"/>
  <c r="AM27" i="6" s="1"/>
  <c r="AI28" i="6"/>
  <c r="AI29" i="6"/>
  <c r="AL29" i="6" s="1"/>
  <c r="AM29" i="6" s="1"/>
  <c r="AI32" i="6"/>
  <c r="AI33" i="6"/>
  <c r="AL33" i="6" s="1"/>
  <c r="AM33" i="6" s="1"/>
  <c r="AI21" i="6"/>
  <c r="AL21" i="6" s="1"/>
  <c r="AI22" i="6"/>
  <c r="AI23" i="6"/>
  <c r="AL23" i="6" s="1"/>
  <c r="AM23" i="6" s="1"/>
  <c r="A23" i="6"/>
  <c r="AI20" i="6"/>
  <c r="AL20" i="6" s="1"/>
  <c r="C20" i="6"/>
  <c r="A21" i="6" s="1"/>
  <c r="C21" i="6" s="1"/>
  <c r="AI5" i="6"/>
  <c r="AL5" i="6" s="1"/>
  <c r="AO3" i="6"/>
  <c r="AI32" i="5"/>
  <c r="AL32" i="5" s="1"/>
  <c r="AQ31" i="5"/>
  <c r="AR31" i="5" s="1"/>
  <c r="AI31" i="5"/>
  <c r="AL31" i="5" s="1"/>
  <c r="C31" i="5"/>
  <c r="A32" i="5" s="1"/>
  <c r="C32" i="5" s="1"/>
  <c r="A37" i="5"/>
  <c r="AI37" i="5"/>
  <c r="AL37" i="5" s="1"/>
  <c r="AI36" i="5"/>
  <c r="AL36" i="5" s="1"/>
  <c r="C36" i="5"/>
  <c r="A6" i="6"/>
  <c r="AR16" i="6"/>
  <c r="AR15" i="6"/>
  <c r="AM53" i="7" l="1"/>
  <c r="AM64" i="7"/>
  <c r="AN64" i="7" s="1"/>
  <c r="AP64" i="7" s="1"/>
  <c r="AM62" i="7"/>
  <c r="AM26" i="7"/>
  <c r="AN26" i="7" s="1"/>
  <c r="AP26" i="7" s="1"/>
  <c r="AM72" i="7"/>
  <c r="AP98" i="7"/>
  <c r="AP112" i="7" s="1"/>
  <c r="AN112" i="7"/>
  <c r="AN87" i="7"/>
  <c r="AP87" i="7" s="1"/>
  <c r="AM81" i="7"/>
  <c r="AN81" i="7" s="1"/>
  <c r="AP81" i="7" s="1"/>
  <c r="AM79" i="7"/>
  <c r="AN83" i="7"/>
  <c r="AP83" i="7" s="1"/>
  <c r="AI94" i="7"/>
  <c r="AI93" i="7"/>
  <c r="AN85" i="7"/>
  <c r="AP85" i="7" s="1"/>
  <c r="AN89" i="7"/>
  <c r="AP89" i="7" s="1"/>
  <c r="AN91" i="7"/>
  <c r="AP91" i="7" s="1"/>
  <c r="AL93" i="7"/>
  <c r="AL80" i="7"/>
  <c r="AN62" i="7"/>
  <c r="AP62" i="7" s="1"/>
  <c r="AN68" i="7"/>
  <c r="AP68" i="7" s="1"/>
  <c r="AN70" i="7"/>
  <c r="AP70" i="7" s="1"/>
  <c r="AN66" i="7"/>
  <c r="AP66" i="7" s="1"/>
  <c r="AN72" i="7"/>
  <c r="AP72" i="7" s="1"/>
  <c r="AN60" i="7"/>
  <c r="AP60" i="7" s="1"/>
  <c r="AL75" i="7"/>
  <c r="AM75" i="7"/>
  <c r="AL74" i="7"/>
  <c r="AI75" i="7"/>
  <c r="AI74" i="7"/>
  <c r="AN53" i="7"/>
  <c r="AP53" i="7" s="1"/>
  <c r="AI51" i="7"/>
  <c r="AL51" i="7" s="1"/>
  <c r="AI43" i="7"/>
  <c r="AL43" i="7" s="1"/>
  <c r="AM43" i="7" s="1"/>
  <c r="AI45" i="7"/>
  <c r="AL45" i="7" s="1"/>
  <c r="AM45" i="7" s="1"/>
  <c r="AI47" i="7"/>
  <c r="AL47" i="7" s="1"/>
  <c r="AM47" i="7" s="1"/>
  <c r="AI44" i="7"/>
  <c r="AL44" i="7" s="1"/>
  <c r="AM44" i="7" s="1"/>
  <c r="AI46" i="7"/>
  <c r="AI48" i="7"/>
  <c r="AL48" i="7" s="1"/>
  <c r="AM48" i="7" s="1"/>
  <c r="AI50" i="7"/>
  <c r="AL50" i="7" s="1"/>
  <c r="AM50" i="7" s="1"/>
  <c r="AI52" i="7"/>
  <c r="AL52" i="7" s="1"/>
  <c r="AM52" i="7" s="1"/>
  <c r="AI49" i="7"/>
  <c r="AL49" i="7" s="1"/>
  <c r="AM49" i="7" s="1"/>
  <c r="AM32" i="5"/>
  <c r="AM24" i="7"/>
  <c r="AN24" i="7" s="1"/>
  <c r="AP24" i="7" s="1"/>
  <c r="AM51" i="7"/>
  <c r="AL46" i="7"/>
  <c r="AM46" i="7" s="1"/>
  <c r="AI37" i="7"/>
  <c r="AN30" i="7"/>
  <c r="AP30" i="7" s="1"/>
  <c r="AI36" i="7"/>
  <c r="AN32" i="7"/>
  <c r="AP32" i="7" s="1"/>
  <c r="AL22" i="7"/>
  <c r="AL36" i="7" s="1"/>
  <c r="AL23" i="7"/>
  <c r="AM23" i="7" s="1"/>
  <c r="AM37" i="7" s="1"/>
  <c r="AN28" i="7"/>
  <c r="AP28" i="7" s="1"/>
  <c r="AN34" i="7"/>
  <c r="AP34" i="7" s="1"/>
  <c r="AM7" i="7"/>
  <c r="AN7" i="7" s="1"/>
  <c r="AP7" i="7" s="1"/>
  <c r="AM5" i="7"/>
  <c r="AN5" i="7" s="1"/>
  <c r="AP5" i="7" s="1"/>
  <c r="AN9" i="7"/>
  <c r="AP9" i="7" s="1"/>
  <c r="AL18" i="7"/>
  <c r="AM4" i="7"/>
  <c r="AM18" i="7" s="1"/>
  <c r="AN15" i="7"/>
  <c r="AP15" i="7" s="1"/>
  <c r="AN13" i="7"/>
  <c r="AP13" i="7" s="1"/>
  <c r="AN11" i="7"/>
  <c r="AP11" i="7" s="1"/>
  <c r="AI17" i="7"/>
  <c r="AI18" i="7"/>
  <c r="AL17" i="7"/>
  <c r="AM3" i="7"/>
  <c r="AI229" i="6"/>
  <c r="AN222" i="6"/>
  <c r="AP222" i="6" s="1"/>
  <c r="AN216" i="6"/>
  <c r="AP216" i="6" s="1"/>
  <c r="AN220" i="6"/>
  <c r="AP220" i="6" s="1"/>
  <c r="AI228" i="6"/>
  <c r="AN218" i="6"/>
  <c r="AP218" i="6" s="1"/>
  <c r="AN224" i="6"/>
  <c r="AP224" i="6" s="1"/>
  <c r="AL228" i="6"/>
  <c r="AN226" i="6"/>
  <c r="AP226" i="6" s="1"/>
  <c r="AL215" i="6"/>
  <c r="AM214" i="6"/>
  <c r="AN201" i="6"/>
  <c r="AP201" i="6" s="1"/>
  <c r="AI209" i="6"/>
  <c r="AN197" i="6"/>
  <c r="AP197" i="6" s="1"/>
  <c r="AI210" i="6"/>
  <c r="AN199" i="6"/>
  <c r="AP199" i="6" s="1"/>
  <c r="AN207" i="6"/>
  <c r="AP207" i="6" s="1"/>
  <c r="AN203" i="6"/>
  <c r="AP203" i="6" s="1"/>
  <c r="AM210" i="6"/>
  <c r="AN205" i="6"/>
  <c r="AP205" i="6" s="1"/>
  <c r="AL195" i="6"/>
  <c r="AL210" i="6"/>
  <c r="AN186" i="6"/>
  <c r="AP186" i="6" s="1"/>
  <c r="AI190" i="6"/>
  <c r="AN180" i="6"/>
  <c r="AP180" i="6" s="1"/>
  <c r="AN188" i="6"/>
  <c r="AP188" i="6" s="1"/>
  <c r="AI191" i="6"/>
  <c r="AN178" i="6"/>
  <c r="AP178" i="6" s="1"/>
  <c r="AN182" i="6"/>
  <c r="AP182" i="6" s="1"/>
  <c r="AN184" i="6"/>
  <c r="AP184" i="6" s="1"/>
  <c r="AL177" i="6"/>
  <c r="AL176" i="6"/>
  <c r="AN169" i="6"/>
  <c r="AP169" i="6" s="1"/>
  <c r="AN159" i="6"/>
  <c r="AP159" i="6" s="1"/>
  <c r="AN163" i="6"/>
  <c r="AP163" i="6" s="1"/>
  <c r="AN161" i="6"/>
  <c r="AP161" i="6" s="1"/>
  <c r="AN165" i="6"/>
  <c r="AP165" i="6" s="1"/>
  <c r="AN167" i="6"/>
  <c r="AP167" i="6" s="1"/>
  <c r="AI172" i="6"/>
  <c r="AL158" i="6"/>
  <c r="AL171" i="6"/>
  <c r="AM157" i="6"/>
  <c r="AI171" i="6"/>
  <c r="AN148" i="6"/>
  <c r="AP148" i="6" s="1"/>
  <c r="AI153" i="6"/>
  <c r="AI152" i="6"/>
  <c r="AN146" i="6"/>
  <c r="AP146" i="6" s="1"/>
  <c r="AN150" i="6"/>
  <c r="AP150" i="6" s="1"/>
  <c r="AN142" i="6"/>
  <c r="AP142" i="6" s="1"/>
  <c r="AN144" i="6"/>
  <c r="AP144" i="6" s="1"/>
  <c r="AM139" i="6"/>
  <c r="AL141" i="6"/>
  <c r="AM141" i="6" s="1"/>
  <c r="AN140" i="6" s="1"/>
  <c r="AP140" i="6" s="1"/>
  <c r="AL138" i="6"/>
  <c r="AM60" i="6"/>
  <c r="AM101" i="6"/>
  <c r="AI134" i="6"/>
  <c r="AI133" i="6"/>
  <c r="AN129" i="6"/>
  <c r="AP129" i="6" s="1"/>
  <c r="AN123" i="6"/>
  <c r="AP123" i="6" s="1"/>
  <c r="AN131" i="6"/>
  <c r="AP131" i="6" s="1"/>
  <c r="AM121" i="6"/>
  <c r="AN125" i="6"/>
  <c r="AP125" i="6" s="1"/>
  <c r="AN127" i="6"/>
  <c r="AP127" i="6" s="1"/>
  <c r="AL119" i="6"/>
  <c r="AL122" i="6"/>
  <c r="AM122" i="6" s="1"/>
  <c r="AM120" i="6"/>
  <c r="AI114" i="6"/>
  <c r="AN103" i="6"/>
  <c r="AP103" i="6" s="1"/>
  <c r="AN111" i="6"/>
  <c r="AP111" i="6" s="1"/>
  <c r="AI113" i="6"/>
  <c r="AN109" i="6"/>
  <c r="AP109" i="6" s="1"/>
  <c r="AN105" i="6"/>
  <c r="AP105" i="6" s="1"/>
  <c r="AN107" i="6"/>
  <c r="AP107" i="6" s="1"/>
  <c r="AL99" i="6"/>
  <c r="AL102" i="6"/>
  <c r="AM102" i="6" s="1"/>
  <c r="AN101" i="6" s="1"/>
  <c r="AP101" i="6" s="1"/>
  <c r="AM100" i="6"/>
  <c r="AN91" i="6"/>
  <c r="AP91" i="6" s="1"/>
  <c r="AR91" i="6" s="1"/>
  <c r="AN89" i="6"/>
  <c r="AP89" i="6" s="1"/>
  <c r="AR89" i="6" s="1"/>
  <c r="AI93" i="6"/>
  <c r="AN87" i="6"/>
  <c r="AP87" i="6" s="1"/>
  <c r="AR87" i="6" s="1"/>
  <c r="AI94" i="6"/>
  <c r="AM81" i="6"/>
  <c r="AM82" i="6"/>
  <c r="AN83" i="6"/>
  <c r="AP83" i="6" s="1"/>
  <c r="AR83" i="6" s="1"/>
  <c r="AN85" i="6"/>
  <c r="AP85" i="6" s="1"/>
  <c r="AR85" i="6" s="1"/>
  <c r="AL80" i="6"/>
  <c r="AL79" i="6"/>
  <c r="AM64" i="6"/>
  <c r="AN63" i="6" s="1"/>
  <c r="AP63" i="6" s="1"/>
  <c r="AL74" i="6"/>
  <c r="AI74" i="6"/>
  <c r="AN65" i="6"/>
  <c r="AP65" i="6" s="1"/>
  <c r="AN69" i="6"/>
  <c r="AP69" i="6" s="1"/>
  <c r="AI73" i="6"/>
  <c r="AM61" i="6"/>
  <c r="AN67" i="6"/>
  <c r="AP67" i="6" s="1"/>
  <c r="AN71" i="6"/>
  <c r="AP71" i="6" s="1"/>
  <c r="AM62" i="6"/>
  <c r="AL59" i="6"/>
  <c r="C40" i="6"/>
  <c r="AM40" i="6" s="1"/>
  <c r="AM51" i="6"/>
  <c r="AM52" i="6"/>
  <c r="AI53" i="6"/>
  <c r="AN41" i="6"/>
  <c r="AP41" i="6" s="1"/>
  <c r="AN45" i="6"/>
  <c r="AP45" i="6" s="1"/>
  <c r="AN49" i="6"/>
  <c r="AP49" i="6" s="1"/>
  <c r="AL39" i="6"/>
  <c r="AL53" i="6" s="1"/>
  <c r="AI54" i="6"/>
  <c r="AN43" i="6"/>
  <c r="AP43" i="6" s="1"/>
  <c r="AN47" i="6"/>
  <c r="AP47" i="6" s="1"/>
  <c r="AL54" i="6"/>
  <c r="AL35" i="6"/>
  <c r="AI35" i="6"/>
  <c r="AI34" i="6"/>
  <c r="AN30" i="6"/>
  <c r="AP30" i="6" s="1"/>
  <c r="AL28" i="6"/>
  <c r="AM28" i="6" s="1"/>
  <c r="AN28" i="6" s="1"/>
  <c r="AP28" i="6" s="1"/>
  <c r="AL26" i="6"/>
  <c r="AM26" i="6" s="1"/>
  <c r="AN26" i="6" s="1"/>
  <c r="AP26" i="6" s="1"/>
  <c r="AL32" i="6"/>
  <c r="AM32" i="6" s="1"/>
  <c r="AN32" i="6" s="1"/>
  <c r="AP32" i="6" s="1"/>
  <c r="AL22" i="6"/>
  <c r="AM22" i="6" s="1"/>
  <c r="AN22" i="6" s="1"/>
  <c r="AP22" i="6" s="1"/>
  <c r="AN24" i="6"/>
  <c r="AM21" i="6"/>
  <c r="AM35" i="6" s="1"/>
  <c r="AM20" i="6"/>
  <c r="AM31" i="5"/>
  <c r="AN31" i="5" s="1"/>
  <c r="C37" i="5"/>
  <c r="AM37" i="5" s="1"/>
  <c r="AM36" i="5"/>
  <c r="AI14" i="6"/>
  <c r="AI13" i="6"/>
  <c r="AI12" i="6"/>
  <c r="AI11" i="6"/>
  <c r="AI10" i="6"/>
  <c r="AI9" i="6"/>
  <c r="AI8" i="6"/>
  <c r="AI7" i="6"/>
  <c r="AI6" i="6"/>
  <c r="AQ15" i="6"/>
  <c r="AP16" i="6"/>
  <c r="AQ16" i="6"/>
  <c r="AO16" i="6"/>
  <c r="AO15" i="6"/>
  <c r="AN16" i="6"/>
  <c r="C3" i="6"/>
  <c r="A4" i="6" s="1"/>
  <c r="C4" i="6" s="1"/>
  <c r="AK16" i="6"/>
  <c r="AK15" i="6"/>
  <c r="AJ16" i="6"/>
  <c r="AJ15" i="6"/>
  <c r="AM93" i="7" l="1"/>
  <c r="AM80" i="7"/>
  <c r="AL94" i="7"/>
  <c r="AM74" i="7"/>
  <c r="AN51" i="7"/>
  <c r="AP51" i="7" s="1"/>
  <c r="AN43" i="7"/>
  <c r="AP43" i="7" s="1"/>
  <c r="AN49" i="7"/>
  <c r="AP49" i="7" s="1"/>
  <c r="AN47" i="7"/>
  <c r="AP47" i="7" s="1"/>
  <c r="AI56" i="7"/>
  <c r="AI55" i="7"/>
  <c r="P55" i="7"/>
  <c r="P56" i="7"/>
  <c r="AL55" i="7"/>
  <c r="AL56" i="7"/>
  <c r="AM56" i="7"/>
  <c r="AM55" i="7"/>
  <c r="AN45" i="7"/>
  <c r="AP45" i="7" s="1"/>
  <c r="AM22" i="7"/>
  <c r="AN22" i="7" s="1"/>
  <c r="AP22" i="7" s="1"/>
  <c r="AL37" i="7"/>
  <c r="AM17" i="7"/>
  <c r="AN3" i="7"/>
  <c r="AM215" i="6"/>
  <c r="AM229" i="6" s="1"/>
  <c r="AL229" i="6"/>
  <c r="AM228" i="6"/>
  <c r="AL209" i="6"/>
  <c r="AM195" i="6"/>
  <c r="AL190" i="6"/>
  <c r="AM176" i="6"/>
  <c r="AM177" i="6"/>
  <c r="AM191" i="6" s="1"/>
  <c r="AL191" i="6"/>
  <c r="AL172" i="6"/>
  <c r="AM158" i="6"/>
  <c r="AM172" i="6" s="1"/>
  <c r="AM171" i="6"/>
  <c r="AL152" i="6"/>
  <c r="AM138" i="6"/>
  <c r="AM153" i="6"/>
  <c r="AL153" i="6"/>
  <c r="AN121" i="6"/>
  <c r="AP121" i="6" s="1"/>
  <c r="AR93" i="6"/>
  <c r="AL133" i="6"/>
  <c r="AM119" i="6"/>
  <c r="AL134" i="6"/>
  <c r="AM134" i="6"/>
  <c r="AL113" i="6"/>
  <c r="AM99" i="6"/>
  <c r="AL114" i="6"/>
  <c r="AM114" i="6"/>
  <c r="AN81" i="6"/>
  <c r="AP81" i="6" s="1"/>
  <c r="AM79" i="6"/>
  <c r="AL93" i="6"/>
  <c r="AL94" i="6"/>
  <c r="AM80" i="6"/>
  <c r="AM94" i="6" s="1"/>
  <c r="AM74" i="6"/>
  <c r="AN61" i="6"/>
  <c r="AP61" i="6" s="1"/>
  <c r="AM59" i="6"/>
  <c r="AL73" i="6"/>
  <c r="AM54" i="6"/>
  <c r="AM39" i="6"/>
  <c r="AM53" i="6" s="1"/>
  <c r="AN51" i="6"/>
  <c r="AP51" i="6" s="1"/>
  <c r="AL34" i="6"/>
  <c r="AM34" i="6"/>
  <c r="AP24" i="6"/>
  <c r="AN20" i="6"/>
  <c r="AN34" i="6" s="1"/>
  <c r="AN36" i="5"/>
  <c r="AQ36" i="5" s="1"/>
  <c r="AI4" i="6"/>
  <c r="AL4" i="6" s="1"/>
  <c r="AM4" i="6" s="1"/>
  <c r="AL6" i="6"/>
  <c r="AM6" i="6" s="1"/>
  <c r="AL7" i="6"/>
  <c r="AM7" i="6" s="1"/>
  <c r="AL8" i="6"/>
  <c r="AM8" i="6" s="1"/>
  <c r="AL9" i="6"/>
  <c r="AM9" i="6" s="1"/>
  <c r="AL10" i="6"/>
  <c r="AM10" i="6" s="1"/>
  <c r="AL11" i="6"/>
  <c r="AM11" i="6" s="1"/>
  <c r="AL12" i="6"/>
  <c r="AM12" i="6" s="1"/>
  <c r="AL13" i="6"/>
  <c r="AM13" i="6" s="1"/>
  <c r="AL14" i="6"/>
  <c r="AM14" i="6" s="1"/>
  <c r="AI3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D16" i="6"/>
  <c r="D15" i="6"/>
  <c r="AH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Q198" i="4"/>
  <c r="AR198" i="4" s="1"/>
  <c r="AI227" i="4"/>
  <c r="AL227" i="4" s="1"/>
  <c r="AM227" i="4" s="1"/>
  <c r="AI226" i="4"/>
  <c r="AL226" i="4" s="1"/>
  <c r="AM226" i="4" s="1"/>
  <c r="AI225" i="4"/>
  <c r="AL225" i="4" s="1"/>
  <c r="AM225" i="4" s="1"/>
  <c r="AI224" i="4"/>
  <c r="AL224" i="4" s="1"/>
  <c r="AM224" i="4" s="1"/>
  <c r="AI223" i="4"/>
  <c r="AL223" i="4" s="1"/>
  <c r="AM223" i="4" s="1"/>
  <c r="AI222" i="4"/>
  <c r="AL222" i="4" s="1"/>
  <c r="AM222" i="4" s="1"/>
  <c r="AI221" i="4"/>
  <c r="AL221" i="4" s="1"/>
  <c r="AM221" i="4" s="1"/>
  <c r="AI220" i="4"/>
  <c r="AL220" i="4" s="1"/>
  <c r="AM220" i="4" s="1"/>
  <c r="AI219" i="4"/>
  <c r="AL219" i="4" s="1"/>
  <c r="AM219" i="4" s="1"/>
  <c r="AI218" i="4"/>
  <c r="AK229" i="4"/>
  <c r="AJ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AO228" i="4"/>
  <c r="AK228" i="4"/>
  <c r="AJ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A225" i="4"/>
  <c r="A223" i="4"/>
  <c r="A221" i="4"/>
  <c r="A219" i="4"/>
  <c r="AI217" i="4"/>
  <c r="AP228" i="4"/>
  <c r="AI216" i="4"/>
  <c r="AL216" i="4" s="1"/>
  <c r="C216" i="4"/>
  <c r="A217" i="4" s="1"/>
  <c r="AI27" i="5"/>
  <c r="AL27" i="5" s="1"/>
  <c r="AI26" i="5"/>
  <c r="AL26" i="5" s="1"/>
  <c r="C26" i="5"/>
  <c r="C27" i="5" s="1"/>
  <c r="A203" i="4"/>
  <c r="AI201" i="4"/>
  <c r="AI202" i="4"/>
  <c r="AL202" i="4" s="1"/>
  <c r="AM202" i="4" s="1"/>
  <c r="AI203" i="4"/>
  <c r="AL203" i="4" s="1"/>
  <c r="AM203" i="4" s="1"/>
  <c r="AI204" i="4"/>
  <c r="AL204" i="4" s="1"/>
  <c r="AM204" i="4" s="1"/>
  <c r="AI205" i="4"/>
  <c r="AL205" i="4" s="1"/>
  <c r="AM205" i="4" s="1"/>
  <c r="AI206" i="4"/>
  <c r="AL206" i="4" s="1"/>
  <c r="AM206" i="4" s="1"/>
  <c r="AI207" i="4"/>
  <c r="AL207" i="4" s="1"/>
  <c r="AM207" i="4" s="1"/>
  <c r="AI208" i="4"/>
  <c r="AL208" i="4" s="1"/>
  <c r="AI209" i="4"/>
  <c r="AL209" i="4" s="1"/>
  <c r="AI200" i="4"/>
  <c r="AL200" i="4" s="1"/>
  <c r="AK211" i="4"/>
  <c r="AJ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AP210" i="4"/>
  <c r="AO210" i="4"/>
  <c r="AK210" i="4"/>
  <c r="AJ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A207" i="4"/>
  <c r="A205" i="4"/>
  <c r="AL201" i="4"/>
  <c r="AM201" i="4" s="1"/>
  <c r="C200" i="4"/>
  <c r="A201" i="4" s="1"/>
  <c r="AI199" i="4"/>
  <c r="AI198" i="4"/>
  <c r="C198" i="4"/>
  <c r="A199" i="4" s="1"/>
  <c r="C199" i="4" s="1"/>
  <c r="AF193" i="4"/>
  <c r="AF192" i="4"/>
  <c r="AD193" i="4"/>
  <c r="AD192" i="4"/>
  <c r="AI22" i="5"/>
  <c r="AL22" i="5" s="1"/>
  <c r="AQ21" i="5"/>
  <c r="AI21" i="5"/>
  <c r="AL21" i="5" s="1"/>
  <c r="C21" i="5"/>
  <c r="A22" i="5" s="1"/>
  <c r="AI184" i="4"/>
  <c r="AL184" i="4" s="1"/>
  <c r="AM184" i="4" s="1"/>
  <c r="AI183" i="4"/>
  <c r="AL183" i="4" s="1"/>
  <c r="AM183" i="4" s="1"/>
  <c r="AI181" i="4"/>
  <c r="AL181" i="4" s="1"/>
  <c r="AI182" i="4"/>
  <c r="AL182" i="4" s="1"/>
  <c r="AI185" i="4"/>
  <c r="AI186" i="4"/>
  <c r="AL186" i="4" s="1"/>
  <c r="AM186" i="4" s="1"/>
  <c r="AI187" i="4"/>
  <c r="AI188" i="4"/>
  <c r="AL188" i="4" s="1"/>
  <c r="AM188" i="4" s="1"/>
  <c r="AI189" i="4"/>
  <c r="AL189" i="4" s="1"/>
  <c r="AM189" i="4" s="1"/>
  <c r="AN193" i="4"/>
  <c r="AK193" i="4"/>
  <c r="AJ193" i="4"/>
  <c r="AH193" i="4"/>
  <c r="AG193" i="4"/>
  <c r="AE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AP192" i="4"/>
  <c r="AN192" i="4"/>
  <c r="AK192" i="4"/>
  <c r="AJ192" i="4"/>
  <c r="AH192" i="4"/>
  <c r="AG192" i="4"/>
  <c r="AE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AI191" i="4"/>
  <c r="AL191" i="4" s="1"/>
  <c r="AI190" i="4"/>
  <c r="AL190" i="4" s="1"/>
  <c r="C190" i="4"/>
  <c r="C191" i="4" s="1"/>
  <c r="A189" i="4"/>
  <c r="AL187" i="4"/>
  <c r="AM187" i="4" s="1"/>
  <c r="A187" i="4"/>
  <c r="AL185" i="4"/>
  <c r="AM185" i="4" s="1"/>
  <c r="A185" i="4"/>
  <c r="C182" i="4"/>
  <c r="A183" i="4" s="1"/>
  <c r="AQ192" i="4"/>
  <c r="AI180" i="4"/>
  <c r="C180" i="4"/>
  <c r="A181" i="4" s="1"/>
  <c r="AQ162" i="4"/>
  <c r="AQ174" i="4" s="1"/>
  <c r="J174" i="4"/>
  <c r="J175" i="4"/>
  <c r="E174" i="4"/>
  <c r="AN175" i="4"/>
  <c r="AK175" i="4"/>
  <c r="AJ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I175" i="4"/>
  <c r="H175" i="4"/>
  <c r="G175" i="4"/>
  <c r="F175" i="4"/>
  <c r="E175" i="4"/>
  <c r="D175" i="4"/>
  <c r="AN174" i="4"/>
  <c r="AK174" i="4"/>
  <c r="AJ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I174" i="4"/>
  <c r="H174" i="4"/>
  <c r="G174" i="4"/>
  <c r="F174" i="4"/>
  <c r="D174" i="4"/>
  <c r="AI173" i="4"/>
  <c r="AL173" i="4" s="1"/>
  <c r="AI172" i="4"/>
  <c r="AL172" i="4" s="1"/>
  <c r="C172" i="4"/>
  <c r="C173" i="4" s="1"/>
  <c r="AI171" i="4"/>
  <c r="AL171" i="4" s="1"/>
  <c r="AM171" i="4" s="1"/>
  <c r="A171" i="4"/>
  <c r="AI170" i="4"/>
  <c r="AL170" i="4" s="1"/>
  <c r="AM170" i="4" s="1"/>
  <c r="AI169" i="4"/>
  <c r="AL169" i="4" s="1"/>
  <c r="AM169" i="4" s="1"/>
  <c r="A169" i="4"/>
  <c r="AI168" i="4"/>
  <c r="AL168" i="4" s="1"/>
  <c r="AM168" i="4" s="1"/>
  <c r="AI167" i="4"/>
  <c r="AL167" i="4" s="1"/>
  <c r="AM167" i="4" s="1"/>
  <c r="A167" i="4"/>
  <c r="AI166" i="4"/>
  <c r="AL166" i="4" s="1"/>
  <c r="AM166" i="4" s="1"/>
  <c r="AI165" i="4"/>
  <c r="AL165" i="4" s="1"/>
  <c r="AM165" i="4" s="1"/>
  <c r="AI164" i="4"/>
  <c r="AL164" i="4" s="1"/>
  <c r="C164" i="4"/>
  <c r="A165" i="4" s="1"/>
  <c r="AI163" i="4"/>
  <c r="AI162" i="4"/>
  <c r="C162" i="4"/>
  <c r="C163" i="4" s="1"/>
  <c r="AG156" i="4"/>
  <c r="AG157" i="4"/>
  <c r="C15" i="5"/>
  <c r="A16" i="5" s="1"/>
  <c r="AI16" i="5"/>
  <c r="AL16" i="5" s="1"/>
  <c r="AI15" i="5"/>
  <c r="AL15" i="5" s="1"/>
  <c r="C154" i="4"/>
  <c r="C155" i="4" s="1"/>
  <c r="AI155" i="4"/>
  <c r="AL155" i="4" s="1"/>
  <c r="AI154" i="4"/>
  <c r="AL154" i="4" s="1"/>
  <c r="AN157" i="4"/>
  <c r="AK157" i="4"/>
  <c r="AJ157" i="4"/>
  <c r="AH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AP156" i="4"/>
  <c r="AN156" i="4"/>
  <c r="AK156" i="4"/>
  <c r="AJ156" i="4"/>
  <c r="AH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AI153" i="4"/>
  <c r="AL153" i="4" s="1"/>
  <c r="AM153" i="4" s="1"/>
  <c r="A153" i="4"/>
  <c r="AI152" i="4"/>
  <c r="AL152" i="4" s="1"/>
  <c r="AM152" i="4" s="1"/>
  <c r="AI151" i="4"/>
  <c r="AL151" i="4" s="1"/>
  <c r="AM151" i="4" s="1"/>
  <c r="A151" i="4"/>
  <c r="AI150" i="4"/>
  <c r="AL150" i="4" s="1"/>
  <c r="AM150" i="4" s="1"/>
  <c r="AI149" i="4"/>
  <c r="AL149" i="4" s="1"/>
  <c r="AM149" i="4" s="1"/>
  <c r="A149" i="4"/>
  <c r="AI148" i="4"/>
  <c r="AL148" i="4" s="1"/>
  <c r="AM148" i="4" s="1"/>
  <c r="AI147" i="4"/>
  <c r="AL147" i="4" s="1"/>
  <c r="AM147" i="4" s="1"/>
  <c r="AI146" i="4"/>
  <c r="AL146" i="4" s="1"/>
  <c r="C146" i="4"/>
  <c r="A147" i="4" s="1"/>
  <c r="AI145" i="4"/>
  <c r="AI144" i="4"/>
  <c r="C144" i="4"/>
  <c r="C145" i="4" s="1"/>
  <c r="AM190" i="4" l="1"/>
  <c r="AM26" i="5"/>
  <c r="AM164" i="4"/>
  <c r="AM94" i="7"/>
  <c r="AN79" i="7"/>
  <c r="AN74" i="7"/>
  <c r="AP74" i="7"/>
  <c r="A145" i="4"/>
  <c r="AN55" i="7"/>
  <c r="AP55" i="7"/>
  <c r="AM36" i="7"/>
  <c r="AN36" i="7"/>
  <c r="AP36" i="7"/>
  <c r="AP3" i="7"/>
  <c r="AP17" i="7" s="1"/>
  <c r="AN17" i="7"/>
  <c r="AN214" i="6"/>
  <c r="AN228" i="6" s="1"/>
  <c r="AM209" i="6"/>
  <c r="AN195" i="6"/>
  <c r="AM190" i="6"/>
  <c r="AN176" i="6"/>
  <c r="AN157" i="6"/>
  <c r="AN171" i="6" s="1"/>
  <c r="AM152" i="6"/>
  <c r="AN138" i="6"/>
  <c r="AM133" i="6"/>
  <c r="AN119" i="6"/>
  <c r="AM113" i="6"/>
  <c r="AN99" i="6"/>
  <c r="AM93" i="6"/>
  <c r="AN79" i="6"/>
  <c r="AN39" i="6"/>
  <c r="AP39" i="6" s="1"/>
  <c r="AP53" i="6" s="1"/>
  <c r="AN59" i="6"/>
  <c r="AP59" i="6" s="1"/>
  <c r="AM73" i="6"/>
  <c r="AM146" i="4"/>
  <c r="AO146" i="4" s="1"/>
  <c r="C181" i="4"/>
  <c r="AM181" i="4" s="1"/>
  <c r="AP20" i="6"/>
  <c r="AP34" i="6" s="1"/>
  <c r="AL3" i="6"/>
  <c r="AM3" i="6" s="1"/>
  <c r="AM27" i="5"/>
  <c r="A27" i="5"/>
  <c r="AI16" i="6"/>
  <c r="AI15" i="6"/>
  <c r="AM5" i="6"/>
  <c r="AN13" i="6"/>
  <c r="AP13" i="6" s="1"/>
  <c r="AN11" i="6"/>
  <c r="AP11" i="6" s="1"/>
  <c r="AN9" i="6"/>
  <c r="AP9" i="6" s="1"/>
  <c r="AN7" i="6"/>
  <c r="AP7" i="6" s="1"/>
  <c r="AL16" i="6"/>
  <c r="AI229" i="4"/>
  <c r="AI228" i="4"/>
  <c r="AN220" i="4"/>
  <c r="AN222" i="4"/>
  <c r="AN224" i="4"/>
  <c r="AN226" i="4"/>
  <c r="AM216" i="4"/>
  <c r="C217" i="4"/>
  <c r="AL217" i="4"/>
  <c r="AL229" i="4" s="1"/>
  <c r="AL218" i="4"/>
  <c r="AM218" i="4" s="1"/>
  <c r="AN218" i="4" s="1"/>
  <c r="AN206" i="4"/>
  <c r="AN204" i="4"/>
  <c r="AN202" i="4"/>
  <c r="AM200" i="4"/>
  <c r="AN200" i="4" s="1"/>
  <c r="AI210" i="4"/>
  <c r="AI211" i="4"/>
  <c r="AM209" i="4"/>
  <c r="AL198" i="4"/>
  <c r="AL199" i="4"/>
  <c r="AL211" i="4" s="1"/>
  <c r="AM208" i="4"/>
  <c r="AO186" i="4"/>
  <c r="C22" i="5"/>
  <c r="AM22" i="5" s="1"/>
  <c r="AM21" i="5"/>
  <c r="A191" i="4"/>
  <c r="AO188" i="4"/>
  <c r="AL193" i="4"/>
  <c r="AO184" i="4"/>
  <c r="AI192" i="4"/>
  <c r="AI193" i="4"/>
  <c r="AM191" i="4"/>
  <c r="AO190" i="4" s="1"/>
  <c r="AL180" i="4"/>
  <c r="AM182" i="4"/>
  <c r="AO182" i="4" s="1"/>
  <c r="AI174" i="4"/>
  <c r="AI175" i="4"/>
  <c r="A163" i="4"/>
  <c r="AM173" i="4"/>
  <c r="AO164" i="4"/>
  <c r="AO166" i="4"/>
  <c r="AO170" i="4"/>
  <c r="AO168" i="4"/>
  <c r="AL162" i="4"/>
  <c r="AL163" i="4"/>
  <c r="AL175" i="4" s="1"/>
  <c r="AM172" i="4"/>
  <c r="A173" i="4"/>
  <c r="AO148" i="4"/>
  <c r="C16" i="5"/>
  <c r="AM16" i="5" s="1"/>
  <c r="AM15" i="5"/>
  <c r="AM155" i="4"/>
  <c r="AM154" i="4"/>
  <c r="A155" i="4"/>
  <c r="AI156" i="4"/>
  <c r="AI157" i="4"/>
  <c r="AO150" i="4"/>
  <c r="AO152" i="4"/>
  <c r="AL144" i="4"/>
  <c r="AL145" i="4"/>
  <c r="AL157" i="4" s="1"/>
  <c r="O138" i="4"/>
  <c r="P138" i="4"/>
  <c r="L138" i="4"/>
  <c r="L139" i="4"/>
  <c r="AO26" i="5" l="1"/>
  <c r="AP79" i="7"/>
  <c r="AP93" i="7" s="1"/>
  <c r="AN93" i="7"/>
  <c r="AP214" i="6"/>
  <c r="AP228" i="6" s="1"/>
  <c r="AP195" i="6"/>
  <c r="AP209" i="6" s="1"/>
  <c r="AN209" i="6"/>
  <c r="AP176" i="6"/>
  <c r="AP190" i="6" s="1"/>
  <c r="AN190" i="6"/>
  <c r="AP157" i="6"/>
  <c r="AP171" i="6" s="1"/>
  <c r="AP138" i="6"/>
  <c r="AP152" i="6" s="1"/>
  <c r="AN152" i="6"/>
  <c r="AN53" i="6"/>
  <c r="AL15" i="6"/>
  <c r="AN133" i="6"/>
  <c r="AP119" i="6"/>
  <c r="AP133" i="6" s="1"/>
  <c r="AN113" i="6"/>
  <c r="AP99" i="6"/>
  <c r="AP113" i="6" s="1"/>
  <c r="AN93" i="6"/>
  <c r="AP79" i="6"/>
  <c r="AP93" i="6" s="1"/>
  <c r="AN73" i="6"/>
  <c r="AP73" i="6"/>
  <c r="AO15" i="5"/>
  <c r="AO21" i="5"/>
  <c r="AP21" i="5" s="1"/>
  <c r="AN5" i="6"/>
  <c r="AP5" i="6" s="1"/>
  <c r="AM15" i="6"/>
  <c r="AM16" i="6"/>
  <c r="AN3" i="6"/>
  <c r="AP3" i="6" s="1"/>
  <c r="AM228" i="4"/>
  <c r="AM217" i="4"/>
  <c r="AM229" i="4" s="1"/>
  <c r="AL228" i="4"/>
  <c r="AN208" i="4"/>
  <c r="AL210" i="4"/>
  <c r="AM198" i="4"/>
  <c r="AM199" i="4"/>
  <c r="AM211" i="4" s="1"/>
  <c r="AM193" i="4"/>
  <c r="AL192" i="4"/>
  <c r="AM180" i="4"/>
  <c r="AO172" i="4"/>
  <c r="AM163" i="4"/>
  <c r="AM175" i="4" s="1"/>
  <c r="AL174" i="4"/>
  <c r="AM162" i="4"/>
  <c r="AO154" i="4"/>
  <c r="AL156" i="4"/>
  <c r="AM144" i="4"/>
  <c r="AM145" i="4"/>
  <c r="AM157" i="4" s="1"/>
  <c r="AI135" i="4"/>
  <c r="AL135" i="4" s="1"/>
  <c r="AM135" i="4" s="1"/>
  <c r="AI134" i="4"/>
  <c r="AL134" i="4" s="1"/>
  <c r="AM134" i="4" s="1"/>
  <c r="AI133" i="4"/>
  <c r="AL133" i="4" s="1"/>
  <c r="AM133" i="4" s="1"/>
  <c r="AI132" i="4"/>
  <c r="AL132" i="4" s="1"/>
  <c r="AM132" i="4" s="1"/>
  <c r="AI131" i="4"/>
  <c r="AL131" i="4" s="1"/>
  <c r="AM131" i="4" s="1"/>
  <c r="AI130" i="4"/>
  <c r="AL130" i="4" s="1"/>
  <c r="AM130" i="4" s="1"/>
  <c r="AI129" i="4"/>
  <c r="AL129" i="4" s="1"/>
  <c r="AM129" i="4" s="1"/>
  <c r="AI128" i="4"/>
  <c r="AL128" i="4" s="1"/>
  <c r="AI127" i="4"/>
  <c r="AL127" i="4" s="1"/>
  <c r="AI126" i="4"/>
  <c r="AL126" i="4" s="1"/>
  <c r="E139" i="4"/>
  <c r="F139" i="4"/>
  <c r="G139" i="4"/>
  <c r="H139" i="4"/>
  <c r="I139" i="4"/>
  <c r="J139" i="4"/>
  <c r="K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J139" i="4"/>
  <c r="AK139" i="4"/>
  <c r="AN139" i="4"/>
  <c r="H138" i="4"/>
  <c r="I138" i="4"/>
  <c r="J138" i="4"/>
  <c r="K138" i="4"/>
  <c r="M138" i="4"/>
  <c r="N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J138" i="4"/>
  <c r="AK138" i="4"/>
  <c r="AN138" i="4"/>
  <c r="A133" i="4"/>
  <c r="A135" i="4"/>
  <c r="A131" i="4"/>
  <c r="C128" i="4"/>
  <c r="A129" i="4" s="1"/>
  <c r="C126" i="4"/>
  <c r="A127" i="4" s="1"/>
  <c r="D139" i="4"/>
  <c r="AP138" i="4"/>
  <c r="G138" i="4"/>
  <c r="F138" i="4"/>
  <c r="E138" i="4"/>
  <c r="D138" i="4"/>
  <c r="C127" i="4" l="1"/>
  <c r="AM128" i="4"/>
  <c r="AO128" i="4" s="1"/>
  <c r="AP15" i="6"/>
  <c r="AN15" i="6"/>
  <c r="AN216" i="4"/>
  <c r="AQ216" i="4" s="1"/>
  <c r="AN228" i="4"/>
  <c r="AM210" i="4"/>
  <c r="AN210" i="4" s="1"/>
  <c r="AN198" i="4"/>
  <c r="AM192" i="4"/>
  <c r="AO192" i="4" s="1"/>
  <c r="AO180" i="4"/>
  <c r="AM174" i="4"/>
  <c r="AO174" i="4" s="1"/>
  <c r="AO162" i="4"/>
  <c r="AP162" i="4" s="1"/>
  <c r="AP174" i="4" s="1"/>
  <c r="AM156" i="4"/>
  <c r="AO156" i="4" s="1"/>
  <c r="AO144" i="4"/>
  <c r="AI139" i="4"/>
  <c r="AI138" i="4"/>
  <c r="AL139" i="4"/>
  <c r="AM127" i="4"/>
  <c r="AM139" i="4" s="1"/>
  <c r="AO130" i="4"/>
  <c r="AO132" i="4"/>
  <c r="AO134" i="4"/>
  <c r="AL138" i="4"/>
  <c r="AM126" i="4"/>
  <c r="AA6" i="5"/>
  <c r="AO126" i="4" l="1"/>
  <c r="AM138" i="4"/>
  <c r="AO138" i="4" s="1"/>
  <c r="AH120" i="4"/>
  <c r="AH121" i="4"/>
  <c r="AJ121" i="4" l="1"/>
  <c r="AK121" i="4"/>
  <c r="AL121" i="4"/>
  <c r="AN121" i="4"/>
  <c r="AJ120" i="4"/>
  <c r="AK120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D121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D120" i="4"/>
  <c r="AI119" i="4"/>
  <c r="AM119" i="4" s="1"/>
  <c r="AN118" i="4"/>
  <c r="AI118" i="4"/>
  <c r="AL118" i="4" s="1"/>
  <c r="AM118" i="4" s="1"/>
  <c r="AI117" i="4"/>
  <c r="AM117" i="4" s="1"/>
  <c r="AN116" i="4"/>
  <c r="AI116" i="4"/>
  <c r="AL116" i="4" s="1"/>
  <c r="AM116" i="4" s="1"/>
  <c r="AI115" i="4"/>
  <c r="AM115" i="4" s="1"/>
  <c r="AN114" i="4"/>
  <c r="AI114" i="4"/>
  <c r="AL114" i="4" s="1"/>
  <c r="AM114" i="4" s="1"/>
  <c r="AO114" i="4" s="1"/>
  <c r="AI113" i="4"/>
  <c r="AM113" i="4" s="1"/>
  <c r="AN112" i="4"/>
  <c r="AI112" i="4"/>
  <c r="AL112" i="4" s="1"/>
  <c r="AM112" i="4" s="1"/>
  <c r="AI111" i="4"/>
  <c r="AI110" i="4"/>
  <c r="AL110" i="4" s="1"/>
  <c r="C110" i="4"/>
  <c r="A111" i="4" s="1"/>
  <c r="AI109" i="4"/>
  <c r="AI108" i="4"/>
  <c r="C108" i="4"/>
  <c r="A109" i="4" s="1"/>
  <c r="AI121" i="4" l="1"/>
  <c r="AI120" i="4"/>
  <c r="AM110" i="4"/>
  <c r="AO112" i="4"/>
  <c r="AP112" i="4" s="1"/>
  <c r="AP120" i="4" s="1"/>
  <c r="AO116" i="4"/>
  <c r="C109" i="4"/>
  <c r="AM109" i="4" s="1"/>
  <c r="C111" i="4"/>
  <c r="AM111" i="4" s="1"/>
  <c r="AO110" i="4" s="1"/>
  <c r="AL108" i="4"/>
  <c r="AL120" i="4" s="1"/>
  <c r="AN108" i="4"/>
  <c r="AN110" i="4"/>
  <c r="AN120" i="4" l="1"/>
  <c r="AM121" i="4"/>
  <c r="AM108" i="4"/>
  <c r="AM120" i="4" s="1"/>
  <c r="AN103" i="4"/>
  <c r="AL103" i="4"/>
  <c r="AK103" i="4"/>
  <c r="AJ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AP102" i="4"/>
  <c r="AJ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AI101" i="4"/>
  <c r="AM101" i="4" s="1"/>
  <c r="AN100" i="4"/>
  <c r="AI100" i="4"/>
  <c r="AL100" i="4" s="1"/>
  <c r="AM100" i="4" s="1"/>
  <c r="AI99" i="4"/>
  <c r="AM99" i="4" s="1"/>
  <c r="AN98" i="4"/>
  <c r="AI98" i="4"/>
  <c r="AI97" i="4"/>
  <c r="AN96" i="4"/>
  <c r="AI96" i="4"/>
  <c r="AI95" i="4"/>
  <c r="AI94" i="4"/>
  <c r="AL94" i="4" s="1"/>
  <c r="AI93" i="4"/>
  <c r="AI92" i="4"/>
  <c r="AL92" i="4" s="1"/>
  <c r="C92" i="4"/>
  <c r="C93" i="4" s="1"/>
  <c r="AI91" i="4"/>
  <c r="AI90" i="4"/>
  <c r="AL90" i="4" s="1"/>
  <c r="C90" i="4"/>
  <c r="AI89" i="4"/>
  <c r="AI88" i="4"/>
  <c r="C88" i="4"/>
  <c r="AM92" i="4" l="1"/>
  <c r="AN88" i="4"/>
  <c r="A89" i="4"/>
  <c r="C89" i="4"/>
  <c r="AM89" i="4" s="1"/>
  <c r="C91" i="4"/>
  <c r="AM91" i="4" s="1"/>
  <c r="A91" i="4"/>
  <c r="AO120" i="4"/>
  <c r="AO108" i="4"/>
  <c r="AN94" i="4"/>
  <c r="AM90" i="4"/>
  <c r="AM95" i="4"/>
  <c r="AI102" i="4"/>
  <c r="AL98" i="4"/>
  <c r="AM98" i="4" s="1"/>
  <c r="AO98" i="4" s="1"/>
  <c r="AI103" i="4"/>
  <c r="AM93" i="4"/>
  <c r="AL96" i="4"/>
  <c r="AM96" i="4" s="1"/>
  <c r="AM97" i="4"/>
  <c r="AO100" i="4"/>
  <c r="AM94" i="4"/>
  <c r="AL88" i="4"/>
  <c r="AN92" i="4"/>
  <c r="AN90" i="4"/>
  <c r="AO92" i="4" l="1"/>
  <c r="AO90" i="4"/>
  <c r="AO96" i="4"/>
  <c r="AN102" i="4"/>
  <c r="AO94" i="4"/>
  <c r="AM103" i="4"/>
  <c r="AL102" i="4"/>
  <c r="AM88" i="4"/>
  <c r="AK102" i="4"/>
  <c r="AN83" i="4"/>
  <c r="AL83" i="4"/>
  <c r="AK83" i="4"/>
  <c r="AJ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AP82" i="4"/>
  <c r="AJ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AI81" i="4"/>
  <c r="AM81" i="4" s="1"/>
  <c r="AN80" i="4"/>
  <c r="AI80" i="4"/>
  <c r="AL80" i="4" s="1"/>
  <c r="AM80" i="4" s="1"/>
  <c r="AI79" i="4"/>
  <c r="AM79" i="4" s="1"/>
  <c r="AN78" i="4"/>
  <c r="AI78" i="4"/>
  <c r="AL78" i="4" s="1"/>
  <c r="AI77" i="4"/>
  <c r="C77" i="4"/>
  <c r="AN76" i="4"/>
  <c r="AI76" i="4"/>
  <c r="AL76" i="4" s="1"/>
  <c r="AI75" i="4"/>
  <c r="AI74" i="4"/>
  <c r="AL74" i="4" s="1"/>
  <c r="C74" i="4"/>
  <c r="C75" i="4" s="1"/>
  <c r="AI73" i="4"/>
  <c r="AI72" i="4"/>
  <c r="AL72" i="4" s="1"/>
  <c r="C72" i="4"/>
  <c r="C73" i="4" s="1"/>
  <c r="AI71" i="4"/>
  <c r="AI70" i="4"/>
  <c r="AL70" i="4" s="1"/>
  <c r="C70" i="4"/>
  <c r="C71" i="4" s="1"/>
  <c r="AI69" i="4"/>
  <c r="AI68" i="4"/>
  <c r="C68" i="4"/>
  <c r="C69" i="4" s="1"/>
  <c r="AM73" i="4" l="1"/>
  <c r="AM71" i="4"/>
  <c r="AO80" i="4"/>
  <c r="AM75" i="4"/>
  <c r="AH84" i="4"/>
  <c r="AO88" i="4"/>
  <c r="AM102" i="4"/>
  <c r="AO102" i="4" s="1"/>
  <c r="AI82" i="4"/>
  <c r="AM77" i="4"/>
  <c r="AM72" i="4"/>
  <c r="AM69" i="4"/>
  <c r="AM70" i="4"/>
  <c r="AM74" i="4"/>
  <c r="AK74" i="4"/>
  <c r="AM76" i="4"/>
  <c r="AM78" i="4"/>
  <c r="AO78" i="4" s="1"/>
  <c r="AI83" i="4"/>
  <c r="AL68" i="4"/>
  <c r="AN68" i="4"/>
  <c r="AN70" i="4"/>
  <c r="AN72" i="4"/>
  <c r="AN74" i="4"/>
  <c r="AJ62" i="4"/>
  <c r="AK62" i="4"/>
  <c r="AL62" i="4"/>
  <c r="AN62" i="4"/>
  <c r="AJ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D62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D61" i="4"/>
  <c r="AO72" i="4" l="1"/>
  <c r="AO70" i="4"/>
  <c r="AO74" i="4"/>
  <c r="AO76" i="4"/>
  <c r="AM83" i="4"/>
  <c r="AN82" i="4"/>
  <c r="AL82" i="4"/>
  <c r="AM68" i="4"/>
  <c r="AK68" i="4"/>
  <c r="AK82" i="4" s="1"/>
  <c r="AP61" i="4"/>
  <c r="AM82" i="4" l="1"/>
  <c r="AO82" i="4" s="1"/>
  <c r="AO68" i="4"/>
  <c r="AI31" i="4"/>
  <c r="AI54" i="4" l="1"/>
  <c r="AI53" i="4"/>
  <c r="C53" i="4"/>
  <c r="C54" i="4" s="1"/>
  <c r="AI60" i="4"/>
  <c r="AI59" i="4"/>
  <c r="AL59" i="4" s="1"/>
  <c r="AI58" i="4"/>
  <c r="AM58" i="4" s="1"/>
  <c r="AN57" i="4"/>
  <c r="AI57" i="4"/>
  <c r="AL57" i="4" s="1"/>
  <c r="AI56" i="4"/>
  <c r="C56" i="4"/>
  <c r="AN55" i="4"/>
  <c r="AI55" i="4"/>
  <c r="AL55" i="4" s="1"/>
  <c r="AI52" i="4"/>
  <c r="AI51" i="4"/>
  <c r="AL51" i="4" s="1"/>
  <c r="AK51" i="4" s="1"/>
  <c r="C51" i="4"/>
  <c r="C52" i="4" s="1"/>
  <c r="AI50" i="4"/>
  <c r="AI49" i="4"/>
  <c r="AL49" i="4" s="1"/>
  <c r="AK49" i="4" s="1"/>
  <c r="C49" i="4"/>
  <c r="C50" i="4" s="1"/>
  <c r="AI48" i="4"/>
  <c r="AI47" i="4"/>
  <c r="C47" i="4"/>
  <c r="C48" i="4" s="1"/>
  <c r="AI62" i="4" l="1"/>
  <c r="AL53" i="4"/>
  <c r="AI61" i="4"/>
  <c r="AH63" i="4"/>
  <c r="AN53" i="4"/>
  <c r="AM54" i="4"/>
  <c r="AM52" i="4"/>
  <c r="AM60" i="4"/>
  <c r="AM50" i="4"/>
  <c r="AM59" i="4"/>
  <c r="AM51" i="4"/>
  <c r="AM49" i="4"/>
  <c r="AM56" i="4"/>
  <c r="AN49" i="4"/>
  <c r="AM55" i="4"/>
  <c r="AM57" i="4"/>
  <c r="AO57" i="4" s="1"/>
  <c r="AN59" i="4"/>
  <c r="AL47" i="4"/>
  <c r="AK47" i="4" s="1"/>
  <c r="AN47" i="4"/>
  <c r="AM48" i="4"/>
  <c r="AN51" i="4"/>
  <c r="AN61" i="4" l="1"/>
  <c r="AM62" i="4"/>
  <c r="AL61" i="4"/>
  <c r="AK53" i="4"/>
  <c r="AK61" i="4" s="1"/>
  <c r="AM53" i="4"/>
  <c r="AO53" i="4" s="1"/>
  <c r="AO51" i="4"/>
  <c r="AO59" i="4"/>
  <c r="AO49" i="4"/>
  <c r="AO55" i="4"/>
  <c r="AM47" i="4"/>
  <c r="AC19" i="4"/>
  <c r="AC18" i="4"/>
  <c r="AC40" i="4"/>
  <c r="AC39" i="4"/>
  <c r="AN40" i="4"/>
  <c r="AL40" i="4"/>
  <c r="AK40" i="4"/>
  <c r="AJ40" i="4"/>
  <c r="AH40" i="4"/>
  <c r="AG40" i="4"/>
  <c r="AF40" i="4"/>
  <c r="AE40" i="4"/>
  <c r="AD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P39" i="4"/>
  <c r="AK39" i="4"/>
  <c r="AJ39" i="4"/>
  <c r="AH39" i="4"/>
  <c r="AG39" i="4"/>
  <c r="AF39" i="4"/>
  <c r="AE39" i="4"/>
  <c r="AD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I38" i="4"/>
  <c r="AI37" i="4"/>
  <c r="AL37" i="4" s="1"/>
  <c r="C37" i="4"/>
  <c r="C38" i="4" s="1"/>
  <c r="AI36" i="4"/>
  <c r="AI35" i="4"/>
  <c r="AL35" i="4" s="1"/>
  <c r="C35" i="4"/>
  <c r="C36" i="4" s="1"/>
  <c r="AI34" i="4"/>
  <c r="AI33" i="4"/>
  <c r="AL33" i="4" s="1"/>
  <c r="AI32" i="4"/>
  <c r="AL31" i="4"/>
  <c r="C32" i="4"/>
  <c r="AI30" i="4"/>
  <c r="AM30" i="4" s="1"/>
  <c r="AI29" i="4"/>
  <c r="AL29" i="4" s="1"/>
  <c r="C29" i="4"/>
  <c r="C30" i="4" s="1"/>
  <c r="AI28" i="4"/>
  <c r="AM28" i="4" s="1"/>
  <c r="AI27" i="4"/>
  <c r="AL27" i="4" s="1"/>
  <c r="C27" i="4"/>
  <c r="C28" i="4" s="1"/>
  <c r="AI26" i="4"/>
  <c r="AM26" i="4" s="1"/>
  <c r="AI25" i="4"/>
  <c r="AL25" i="4" s="1"/>
  <c r="C25" i="4"/>
  <c r="C26" i="4" s="1"/>
  <c r="AM32" i="4" l="1"/>
  <c r="AM36" i="4"/>
  <c r="AM61" i="4"/>
  <c r="AO61" i="4" s="1"/>
  <c r="AO47" i="4"/>
  <c r="AM31" i="4"/>
  <c r="AO31" i="4" s="1"/>
  <c r="AM33" i="4"/>
  <c r="AM34" i="4"/>
  <c r="AH41" i="4"/>
  <c r="AI40" i="4"/>
  <c r="AM38" i="4"/>
  <c r="AM25" i="4"/>
  <c r="AM27" i="4"/>
  <c r="AM29" i="4"/>
  <c r="AM35" i="4"/>
  <c r="AM37" i="4"/>
  <c r="AN25" i="4"/>
  <c r="AN29" i="4"/>
  <c r="AN33" i="4"/>
  <c r="AN37" i="4"/>
  <c r="AL39" i="4"/>
  <c r="AN27" i="4"/>
  <c r="AN31" i="4"/>
  <c r="AN35" i="4"/>
  <c r="AI39" i="4"/>
  <c r="AO35" i="4" l="1"/>
  <c r="AO25" i="4"/>
  <c r="AO37" i="4"/>
  <c r="AO33" i="4"/>
  <c r="AO27" i="4"/>
  <c r="AM40" i="4"/>
  <c r="AO29" i="4"/>
  <c r="AM39" i="4"/>
  <c r="AN39" i="4"/>
  <c r="AI6" i="4"/>
  <c r="AL6" i="4" s="1"/>
  <c r="AI7" i="4"/>
  <c r="AI8" i="4"/>
  <c r="AL8" i="4" s="1"/>
  <c r="AI9" i="4"/>
  <c r="AI10" i="4"/>
  <c r="AL10" i="4" s="1"/>
  <c r="AI11" i="4"/>
  <c r="AI12" i="4"/>
  <c r="AL12" i="4" s="1"/>
  <c r="AI13" i="4"/>
  <c r="AI14" i="4"/>
  <c r="AL14" i="4" s="1"/>
  <c r="AI15" i="4"/>
  <c r="AI16" i="4"/>
  <c r="AL16" i="4" s="1"/>
  <c r="AI17" i="4"/>
  <c r="AI5" i="4"/>
  <c r="AI4" i="4"/>
  <c r="AN19" i="4"/>
  <c r="AL19" i="4"/>
  <c r="AK19" i="4"/>
  <c r="AJ19" i="4"/>
  <c r="AH19" i="4"/>
  <c r="AG19" i="4"/>
  <c r="AF19" i="4"/>
  <c r="AE19" i="4"/>
  <c r="AD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P18" i="4"/>
  <c r="AK18" i="4"/>
  <c r="AJ18" i="4"/>
  <c r="AH18" i="4"/>
  <c r="AG18" i="4"/>
  <c r="AF18" i="4"/>
  <c r="AE18" i="4"/>
  <c r="AD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6" i="4"/>
  <c r="C17" i="4" s="1"/>
  <c r="AM17" i="4" s="1"/>
  <c r="C14" i="4"/>
  <c r="C15" i="4" s="1"/>
  <c r="C12" i="4"/>
  <c r="C13" i="4" s="1"/>
  <c r="AM13" i="4" s="1"/>
  <c r="C10" i="4"/>
  <c r="C11" i="4" s="1"/>
  <c r="C8" i="4"/>
  <c r="C6" i="4"/>
  <c r="C7" i="4" s="1"/>
  <c r="C4" i="4"/>
  <c r="C5" i="4" s="1"/>
  <c r="AN156" i="2"/>
  <c r="AO156" i="2"/>
  <c r="AM8" i="4" l="1"/>
  <c r="AM14" i="4"/>
  <c r="AM6" i="4"/>
  <c r="C9" i="4"/>
  <c r="AM9" i="4" s="1"/>
  <c r="AO39" i="4"/>
  <c r="AM15" i="4"/>
  <c r="AM16" i="4"/>
  <c r="AO16" i="4" s="1"/>
  <c r="AM7" i="4"/>
  <c r="AI18" i="4"/>
  <c r="AM12" i="4"/>
  <c r="AO12" i="4" s="1"/>
  <c r="AM10" i="4"/>
  <c r="AM11" i="4"/>
  <c r="AM5" i="4"/>
  <c r="AN6" i="4"/>
  <c r="AN10" i="4"/>
  <c r="AN14" i="4"/>
  <c r="AI19" i="4"/>
  <c r="AH20" i="4"/>
  <c r="AL4" i="4"/>
  <c r="AN4" i="4"/>
  <c r="AN8" i="4"/>
  <c r="AN12" i="4"/>
  <c r="AN16" i="4"/>
  <c r="AO6" i="4" l="1"/>
  <c r="AO8" i="4"/>
  <c r="AO14" i="4"/>
  <c r="AM19" i="4"/>
  <c r="AO10" i="4"/>
  <c r="AN18" i="4"/>
  <c r="AL18" i="4"/>
  <c r="AM4" i="4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J142" i="2"/>
  <c r="AK142" i="2"/>
  <c r="AL142" i="2"/>
  <c r="AN142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J141" i="2"/>
  <c r="AK141" i="2"/>
  <c r="D142" i="2"/>
  <c r="D141" i="2"/>
  <c r="AM18" i="4" l="1"/>
  <c r="AO18" i="4" s="1"/>
  <c r="AO4" i="4"/>
  <c r="C137" i="2"/>
  <c r="AN137" i="2" s="1"/>
  <c r="C135" i="2"/>
  <c r="C136" i="2" s="1"/>
  <c r="AI134" i="2"/>
  <c r="AI135" i="2"/>
  <c r="AL135" i="2" s="1"/>
  <c r="AI136" i="2"/>
  <c r="AI137" i="2"/>
  <c r="AL137" i="2" s="1"/>
  <c r="AM137" i="2" s="1"/>
  <c r="C133" i="2"/>
  <c r="C134" i="2" s="1"/>
  <c r="C131" i="2"/>
  <c r="C132" i="2" s="1"/>
  <c r="AI128" i="2"/>
  <c r="AI129" i="2"/>
  <c r="AL129" i="2" s="1"/>
  <c r="AI130" i="2"/>
  <c r="AI131" i="2"/>
  <c r="AL131" i="2" s="1"/>
  <c r="AI132" i="2"/>
  <c r="AI133" i="2"/>
  <c r="AI138" i="2"/>
  <c r="AI139" i="2"/>
  <c r="AI140" i="2"/>
  <c r="AP141" i="2"/>
  <c r="C139" i="2"/>
  <c r="C140" i="2" s="1"/>
  <c r="C129" i="2"/>
  <c r="C130" i="2" s="1"/>
  <c r="AI127" i="2"/>
  <c r="AL127" i="2" s="1"/>
  <c r="C127" i="2"/>
  <c r="C128" i="2" s="1"/>
  <c r="AM135" i="2" l="1"/>
  <c r="AM140" i="2"/>
  <c r="C138" i="2"/>
  <c r="AM138" i="2" s="1"/>
  <c r="AO137" i="2" s="1"/>
  <c r="AN135" i="2"/>
  <c r="AM136" i="2"/>
  <c r="AO135" i="2" s="1"/>
  <c r="AM134" i="2"/>
  <c r="AI141" i="2"/>
  <c r="AH143" i="2"/>
  <c r="AI142" i="2"/>
  <c r="AM132" i="2"/>
  <c r="AL133" i="2"/>
  <c r="AN131" i="2"/>
  <c r="AN139" i="2"/>
  <c r="AM131" i="2"/>
  <c r="AN133" i="2"/>
  <c r="AL139" i="2"/>
  <c r="AM139" i="2" s="1"/>
  <c r="AN129" i="2"/>
  <c r="AM130" i="2"/>
  <c r="AM129" i="2"/>
  <c r="AN127" i="2"/>
  <c r="AM128" i="2"/>
  <c r="AO139" i="2" l="1"/>
  <c r="AM142" i="2"/>
  <c r="AN141" i="2"/>
  <c r="AO131" i="2"/>
  <c r="AL141" i="2"/>
  <c r="AM133" i="2"/>
  <c r="AO129" i="2"/>
  <c r="AM127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D120" i="2"/>
  <c r="AM141" i="2" l="1"/>
  <c r="AO141" i="2" s="1"/>
  <c r="AO133" i="2"/>
  <c r="AO127" i="2"/>
  <c r="AJ121" i="2"/>
  <c r="AK121" i="2"/>
  <c r="AL121" i="2"/>
  <c r="AN121" i="2"/>
  <c r="AJ120" i="2"/>
  <c r="AK120" i="2"/>
  <c r="AF121" i="2"/>
  <c r="AG121" i="2"/>
  <c r="AH121" i="2"/>
  <c r="AH120" i="2"/>
  <c r="D121" i="2"/>
  <c r="AP120" i="2"/>
  <c r="AI119" i="2"/>
  <c r="AI118" i="2"/>
  <c r="AL118" i="2" s="1"/>
  <c r="C118" i="2"/>
  <c r="C119" i="2" s="1"/>
  <c r="AI117" i="2"/>
  <c r="AI116" i="2"/>
  <c r="AL116" i="2" s="1"/>
  <c r="C116" i="2"/>
  <c r="C117" i="2" s="1"/>
  <c r="AI115" i="2"/>
  <c r="AI114" i="2"/>
  <c r="C114" i="2"/>
  <c r="C115" i="2" s="1"/>
  <c r="AI121" i="2" l="1"/>
  <c r="AI120" i="2"/>
  <c r="AH122" i="2"/>
  <c r="AM117" i="2"/>
  <c r="AM119" i="2"/>
  <c r="AM116" i="2"/>
  <c r="AM118" i="2"/>
  <c r="AM115" i="2"/>
  <c r="AN116" i="2"/>
  <c r="AL114" i="2"/>
  <c r="AL120" i="2" s="1"/>
  <c r="AN114" i="2"/>
  <c r="AN107" i="2"/>
  <c r="AL107" i="2"/>
  <c r="AK107" i="2"/>
  <c r="AJ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AP106" i="2"/>
  <c r="AK106" i="2"/>
  <c r="AJ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AI105" i="2"/>
  <c r="AI104" i="2"/>
  <c r="AL104" i="2" s="1"/>
  <c r="C104" i="2"/>
  <c r="C105" i="2" s="1"/>
  <c r="AI103" i="2"/>
  <c r="AI102" i="2"/>
  <c r="AL102" i="2" s="1"/>
  <c r="C102" i="2"/>
  <c r="C103" i="2" s="1"/>
  <c r="AI101" i="2"/>
  <c r="AI100" i="2"/>
  <c r="AL100" i="2" s="1"/>
  <c r="C100" i="2"/>
  <c r="C101" i="2" s="1"/>
  <c r="AI99" i="2"/>
  <c r="AI98" i="2"/>
  <c r="AL98" i="2" s="1"/>
  <c r="C98" i="2"/>
  <c r="C99" i="2" s="1"/>
  <c r="AI97" i="2"/>
  <c r="AI96" i="2"/>
  <c r="C96" i="2"/>
  <c r="C97" i="2" s="1"/>
  <c r="AN120" i="2" l="1"/>
  <c r="AM99" i="2"/>
  <c r="AM121" i="2"/>
  <c r="AO116" i="2"/>
  <c r="AM100" i="2"/>
  <c r="AO118" i="2"/>
  <c r="AM114" i="2"/>
  <c r="AM120" i="2" s="1"/>
  <c r="AH108" i="2"/>
  <c r="AM98" i="2"/>
  <c r="AM102" i="2"/>
  <c r="AM104" i="2"/>
  <c r="AI107" i="2"/>
  <c r="AM101" i="2"/>
  <c r="AM103" i="2"/>
  <c r="AM105" i="2"/>
  <c r="AM97" i="2"/>
  <c r="AL96" i="2"/>
  <c r="AM96" i="2" s="1"/>
  <c r="AN96" i="2"/>
  <c r="AN100" i="2"/>
  <c r="AI106" i="2"/>
  <c r="AN98" i="2"/>
  <c r="AN91" i="2"/>
  <c r="AL91" i="2"/>
  <c r="AK91" i="2"/>
  <c r="AJ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AP90" i="2"/>
  <c r="AK90" i="2"/>
  <c r="AJ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AI89" i="2"/>
  <c r="AI88" i="2"/>
  <c r="AL88" i="2" s="1"/>
  <c r="C88" i="2"/>
  <c r="C89" i="2" s="1"/>
  <c r="AI87" i="2"/>
  <c r="AI86" i="2"/>
  <c r="AL86" i="2" s="1"/>
  <c r="C86" i="2"/>
  <c r="C87" i="2" s="1"/>
  <c r="AI85" i="2"/>
  <c r="AI84" i="2"/>
  <c r="AL84" i="2" s="1"/>
  <c r="C84" i="2"/>
  <c r="C85" i="2" s="1"/>
  <c r="AI83" i="2"/>
  <c r="AI82" i="2"/>
  <c r="AL82" i="2" s="1"/>
  <c r="C82" i="2"/>
  <c r="C83" i="2" s="1"/>
  <c r="AI81" i="2"/>
  <c r="AI80" i="2"/>
  <c r="C80" i="2"/>
  <c r="C81" i="2" s="1"/>
  <c r="AM87" i="2" l="1"/>
  <c r="AO98" i="2"/>
  <c r="AM83" i="2"/>
  <c r="AM88" i="2"/>
  <c r="AM86" i="2"/>
  <c r="AO86" i="2" s="1"/>
  <c r="AO100" i="2"/>
  <c r="AO120" i="2"/>
  <c r="AO114" i="2"/>
  <c r="AO102" i="2"/>
  <c r="AL106" i="2"/>
  <c r="AM107" i="2"/>
  <c r="AO104" i="2"/>
  <c r="AO96" i="2"/>
  <c r="AM106" i="2"/>
  <c r="AN106" i="2"/>
  <c r="AM89" i="2"/>
  <c r="AO88" i="2" s="1"/>
  <c r="AH92" i="2"/>
  <c r="AI91" i="2"/>
  <c r="AM85" i="2"/>
  <c r="AM81" i="2"/>
  <c r="AL80" i="2"/>
  <c r="AL90" i="2" s="1"/>
  <c r="AM82" i="2"/>
  <c r="AM84" i="2"/>
  <c r="AO84" i="2" s="1"/>
  <c r="AN80" i="2"/>
  <c r="AN84" i="2"/>
  <c r="AI90" i="2"/>
  <c r="AN82" i="2"/>
  <c r="AO82" i="2" l="1"/>
  <c r="AO106" i="2"/>
  <c r="AM91" i="2"/>
  <c r="AM80" i="2"/>
  <c r="AM90" i="2" s="1"/>
  <c r="AN90" i="2"/>
  <c r="AP73" i="2"/>
  <c r="AO90" i="2" l="1"/>
  <c r="AO80" i="2"/>
  <c r="AN74" i="2"/>
  <c r="AL74" i="2"/>
  <c r="AK74" i="2"/>
  <c r="AJ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AK73" i="2"/>
  <c r="AJ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AI70" i="2"/>
  <c r="AI69" i="2"/>
  <c r="AL69" i="2" s="1"/>
  <c r="C69" i="2"/>
  <c r="C70" i="2" s="1"/>
  <c r="AI68" i="2"/>
  <c r="AI67" i="2"/>
  <c r="AL67" i="2" s="1"/>
  <c r="C67" i="2"/>
  <c r="C68" i="2" s="1"/>
  <c r="AI66" i="2"/>
  <c r="AI65" i="2"/>
  <c r="AL65" i="2" s="1"/>
  <c r="C65" i="2"/>
  <c r="C66" i="2" s="1"/>
  <c r="AI72" i="2"/>
  <c r="AI71" i="2"/>
  <c r="AL71" i="2" s="1"/>
  <c r="C71" i="2"/>
  <c r="C72" i="2" s="1"/>
  <c r="AI64" i="2"/>
  <c r="AI63" i="2"/>
  <c r="C63" i="2"/>
  <c r="C64" i="2" s="1"/>
  <c r="AM72" i="2" l="1"/>
  <c r="AM70" i="2"/>
  <c r="AM69" i="2"/>
  <c r="AL63" i="2"/>
  <c r="AL73" i="2" s="1"/>
  <c r="AH75" i="2"/>
  <c r="AM67" i="2"/>
  <c r="AM66" i="2"/>
  <c r="AM64" i="2"/>
  <c r="AI74" i="2"/>
  <c r="AM71" i="2"/>
  <c r="AM65" i="2"/>
  <c r="AM68" i="2"/>
  <c r="AN63" i="2"/>
  <c r="AN67" i="2"/>
  <c r="AI73" i="2"/>
  <c r="AN65" i="2"/>
  <c r="AO71" i="2" l="1"/>
  <c r="AO67" i="2"/>
  <c r="AO69" i="2"/>
  <c r="AM63" i="2"/>
  <c r="AM73" i="2" s="1"/>
  <c r="AO65" i="2"/>
  <c r="AM74" i="2"/>
  <c r="AN73" i="2"/>
  <c r="AO63" i="2" l="1"/>
  <c r="AO73" i="2"/>
  <c r="AP56" i="2"/>
  <c r="C54" i="2" l="1"/>
  <c r="C55" i="2" s="1"/>
  <c r="AI55" i="2"/>
  <c r="AI54" i="2"/>
  <c r="AL54" i="2" s="1"/>
  <c r="AM54" i="2" l="1"/>
  <c r="AM55" i="2"/>
  <c r="AN57" i="2"/>
  <c r="AL57" i="2"/>
  <c r="AK57" i="2"/>
  <c r="AJ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AK56" i="2"/>
  <c r="AJ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AI53" i="2"/>
  <c r="AI52" i="2"/>
  <c r="AL52" i="2" s="1"/>
  <c r="C52" i="2"/>
  <c r="C53" i="2" s="1"/>
  <c r="AI51" i="2"/>
  <c r="AI50" i="2"/>
  <c r="AL50" i="2" s="1"/>
  <c r="C50" i="2"/>
  <c r="C51" i="2" s="1"/>
  <c r="AI49" i="2"/>
  <c r="AI48" i="2"/>
  <c r="AL48" i="2" s="1"/>
  <c r="C48" i="2"/>
  <c r="C49" i="2" s="1"/>
  <c r="AI47" i="2"/>
  <c r="AI46" i="2"/>
  <c r="C46" i="2"/>
  <c r="C47" i="2" s="1"/>
  <c r="AO54" i="2" l="1"/>
  <c r="AM53" i="2"/>
  <c r="AM52" i="2"/>
  <c r="AM49" i="2"/>
  <c r="AM51" i="2"/>
  <c r="AI56" i="2"/>
  <c r="AH58" i="2" s="1"/>
  <c r="AM47" i="2"/>
  <c r="AL46" i="2"/>
  <c r="AL56" i="2" s="1"/>
  <c r="AI57" i="2"/>
  <c r="AM48" i="2"/>
  <c r="AM50" i="2"/>
  <c r="AN46" i="2"/>
  <c r="AN50" i="2"/>
  <c r="AN52" i="2"/>
  <c r="AI32" i="2"/>
  <c r="AO52" i="2" l="1"/>
  <c r="AO48" i="2"/>
  <c r="AN56" i="2"/>
  <c r="AM57" i="2"/>
  <c r="AM46" i="2"/>
  <c r="AO50" i="2"/>
  <c r="D27" i="3"/>
  <c r="J18" i="3"/>
  <c r="E18" i="3"/>
  <c r="I16" i="3"/>
  <c r="D16" i="3"/>
  <c r="I15" i="3"/>
  <c r="D15" i="3"/>
  <c r="J8" i="3"/>
  <c r="E8" i="3"/>
  <c r="I6" i="3"/>
  <c r="D6" i="3"/>
  <c r="I5" i="3"/>
  <c r="D5" i="3"/>
  <c r="AN41" i="2"/>
  <c r="AL41" i="2"/>
  <c r="AK41" i="2"/>
  <c r="AJ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AP40" i="2"/>
  <c r="AK40" i="2"/>
  <c r="AJ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AI39" i="2"/>
  <c r="AI38" i="2"/>
  <c r="AL38" i="2" s="1"/>
  <c r="C38" i="2"/>
  <c r="C39" i="2" s="1"/>
  <c r="AI37" i="2"/>
  <c r="AI36" i="2"/>
  <c r="AL36" i="2" s="1"/>
  <c r="C36" i="2"/>
  <c r="C37" i="2" s="1"/>
  <c r="AI35" i="2"/>
  <c r="AI34" i="2"/>
  <c r="AL34" i="2" s="1"/>
  <c r="C34" i="2"/>
  <c r="C35" i="2" s="1"/>
  <c r="AI33" i="2"/>
  <c r="AL32" i="2"/>
  <c r="C32" i="2"/>
  <c r="C33" i="2" s="1"/>
  <c r="AN27" i="2"/>
  <c r="AL27" i="2"/>
  <c r="AK27" i="2"/>
  <c r="AJ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AP26" i="2"/>
  <c r="AK26" i="2"/>
  <c r="AJ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AI25" i="2"/>
  <c r="AI24" i="2"/>
  <c r="AL24" i="2" s="1"/>
  <c r="C24" i="2"/>
  <c r="C25" i="2" s="1"/>
  <c r="AI23" i="2"/>
  <c r="AI22" i="2"/>
  <c r="AL22" i="2" s="1"/>
  <c r="C22" i="2"/>
  <c r="C23" i="2" s="1"/>
  <c r="AI21" i="2"/>
  <c r="AI20" i="2"/>
  <c r="AL20" i="2" s="1"/>
  <c r="C20" i="2"/>
  <c r="C21" i="2" s="1"/>
  <c r="AI19" i="2"/>
  <c r="AI18" i="2"/>
  <c r="AL18" i="2" s="1"/>
  <c r="C18" i="2"/>
  <c r="C19" i="2" s="1"/>
  <c r="AN13" i="2"/>
  <c r="AL13" i="2"/>
  <c r="AK13" i="2"/>
  <c r="AJ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AP12" i="2"/>
  <c r="AK12" i="2"/>
  <c r="AJ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AI11" i="2"/>
  <c r="AI10" i="2"/>
  <c r="AL10" i="2" s="1"/>
  <c r="C10" i="2"/>
  <c r="C11" i="2" s="1"/>
  <c r="AI9" i="2"/>
  <c r="AI8" i="2"/>
  <c r="AL8" i="2" s="1"/>
  <c r="C8" i="2"/>
  <c r="C9" i="2" s="1"/>
  <c r="AI7" i="2"/>
  <c r="AI6" i="2"/>
  <c r="AL6" i="2" s="1"/>
  <c r="C6" i="2"/>
  <c r="C7" i="2" s="1"/>
  <c r="AI5" i="2"/>
  <c r="AI4" i="2"/>
  <c r="AL4" i="2" s="1"/>
  <c r="C4" i="2"/>
  <c r="C5" i="2" s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P39" i="1"/>
  <c r="AK39" i="1"/>
  <c r="AJ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I38" i="1"/>
  <c r="AI37" i="1"/>
  <c r="AL37" i="1" s="1"/>
  <c r="C37" i="1"/>
  <c r="C38" i="1" s="1"/>
  <c r="AI36" i="1"/>
  <c r="AI35" i="1"/>
  <c r="AL35" i="1" s="1"/>
  <c r="C35" i="1"/>
  <c r="C36" i="1" s="1"/>
  <c r="AI34" i="1"/>
  <c r="AI33" i="1"/>
  <c r="AL33" i="1" s="1"/>
  <c r="C33" i="1"/>
  <c r="C34" i="1" s="1"/>
  <c r="AI32" i="1"/>
  <c r="AI31" i="1"/>
  <c r="AL31" i="1" s="1"/>
  <c r="C31" i="1"/>
  <c r="C32" i="1" s="1"/>
  <c r="AN32" i="1" s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P25" i="1"/>
  <c r="AK25" i="1"/>
  <c r="AJ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I24" i="1"/>
  <c r="AI23" i="1"/>
  <c r="AL23" i="1" s="1"/>
  <c r="C23" i="1"/>
  <c r="C24" i="1" s="1"/>
  <c r="AN24" i="1" s="1"/>
  <c r="AI22" i="1"/>
  <c r="AI21" i="1"/>
  <c r="AL21" i="1" s="1"/>
  <c r="C21" i="1"/>
  <c r="C22" i="1" s="1"/>
  <c r="AN22" i="1" s="1"/>
  <c r="AI20" i="1"/>
  <c r="AI19" i="1"/>
  <c r="AL19" i="1" s="1"/>
  <c r="C19" i="1"/>
  <c r="C20" i="1" s="1"/>
  <c r="AI18" i="1"/>
  <c r="AI17" i="1"/>
  <c r="AL17" i="1" s="1"/>
  <c r="C17" i="1"/>
  <c r="C18" i="1" s="1"/>
  <c r="AN18" i="1" s="1"/>
  <c r="AG13" i="1"/>
  <c r="AF13" i="1"/>
  <c r="AE13" i="1"/>
  <c r="AD13" i="1"/>
  <c r="AB13" i="1"/>
  <c r="Z13" i="1"/>
  <c r="Y13" i="1"/>
  <c r="X13" i="1"/>
  <c r="W13" i="1"/>
  <c r="V13" i="1"/>
  <c r="U13" i="1"/>
  <c r="S13" i="1"/>
  <c r="P13" i="1"/>
  <c r="O13" i="1"/>
  <c r="N13" i="1"/>
  <c r="L13" i="1"/>
  <c r="K13" i="1"/>
  <c r="J13" i="1"/>
  <c r="I13" i="1"/>
  <c r="H13" i="1"/>
  <c r="G13" i="1"/>
  <c r="E13" i="1"/>
  <c r="AK12" i="1"/>
  <c r="AJ12" i="1"/>
  <c r="AG12" i="1"/>
  <c r="AF12" i="1"/>
  <c r="AE12" i="1"/>
  <c r="AD12" i="1"/>
  <c r="AB12" i="1"/>
  <c r="Z12" i="1"/>
  <c r="Y12" i="1"/>
  <c r="X12" i="1"/>
  <c r="W12" i="1"/>
  <c r="V12" i="1"/>
  <c r="U12" i="1"/>
  <c r="S12" i="1"/>
  <c r="P12" i="1"/>
  <c r="O12" i="1"/>
  <c r="N12" i="1"/>
  <c r="L12" i="1"/>
  <c r="K12" i="1"/>
  <c r="J12" i="1"/>
  <c r="I12" i="1"/>
  <c r="H12" i="1"/>
  <c r="G12" i="1"/>
  <c r="E12" i="1"/>
  <c r="AI11" i="1"/>
  <c r="AI10" i="1"/>
  <c r="AL10" i="1" s="1"/>
  <c r="C10" i="1"/>
  <c r="AN10" i="1" s="1"/>
  <c r="AI9" i="1"/>
  <c r="AI8" i="1"/>
  <c r="AL8" i="1" s="1"/>
  <c r="C8" i="1"/>
  <c r="C9" i="1" s="1"/>
  <c r="AM9" i="1" s="1"/>
  <c r="AI7" i="1"/>
  <c r="AI6" i="1"/>
  <c r="AL6" i="1" s="1"/>
  <c r="C6" i="1"/>
  <c r="AN6" i="1" s="1"/>
  <c r="AI5" i="1"/>
  <c r="AI4" i="1"/>
  <c r="AL4" i="1" s="1"/>
  <c r="C4" i="1"/>
  <c r="C5" i="1" s="1"/>
  <c r="AM5" i="1" s="1"/>
  <c r="AM34" i="1" l="1"/>
  <c r="AM36" i="1"/>
  <c r="AI40" i="1"/>
  <c r="AL40" i="1" s="1"/>
  <c r="AL25" i="1"/>
  <c r="AM21" i="1"/>
  <c r="AM37" i="1"/>
  <c r="E6" i="3"/>
  <c r="D9" i="3" s="1"/>
  <c r="AM10" i="1"/>
  <c r="AM19" i="1"/>
  <c r="AM6" i="1"/>
  <c r="AI12" i="1"/>
  <c r="AM17" i="1"/>
  <c r="AM35" i="1"/>
  <c r="AO35" i="1" s="1"/>
  <c r="AM33" i="1"/>
  <c r="AO33" i="1" s="1"/>
  <c r="AM23" i="2"/>
  <c r="AM23" i="1"/>
  <c r="AI26" i="1"/>
  <c r="AL39" i="1"/>
  <c r="AM38" i="1"/>
  <c r="AM37" i="2"/>
  <c r="J6" i="3"/>
  <c r="I9" i="3" s="1"/>
  <c r="E16" i="3"/>
  <c r="D19" i="3" s="1"/>
  <c r="AI25" i="1"/>
  <c r="C7" i="1"/>
  <c r="AN7" i="1" s="1"/>
  <c r="AI39" i="1"/>
  <c r="J16" i="3"/>
  <c r="I19" i="3" s="1"/>
  <c r="C11" i="1"/>
  <c r="AN11" i="1" s="1"/>
  <c r="AM20" i="1"/>
  <c r="AN20" i="1"/>
  <c r="AN26" i="1" s="1"/>
  <c r="AM31" i="1"/>
  <c r="AM22" i="1"/>
  <c r="AM24" i="1"/>
  <c r="AO23" i="1" s="1"/>
  <c r="AJ26" i="1"/>
  <c r="AL26" i="1" s="1"/>
  <c r="AM36" i="2"/>
  <c r="AM7" i="2"/>
  <c r="AM25" i="2"/>
  <c r="AM8" i="2"/>
  <c r="AM11" i="2"/>
  <c r="AN10" i="2"/>
  <c r="AM21" i="2"/>
  <c r="AN20" i="2"/>
  <c r="AM4" i="2"/>
  <c r="AL26" i="2"/>
  <c r="AM22" i="2"/>
  <c r="AN38" i="2"/>
  <c r="AL12" i="2"/>
  <c r="AN6" i="2"/>
  <c r="AM9" i="2"/>
  <c r="AM18" i="2"/>
  <c r="AN24" i="2"/>
  <c r="AM35" i="2"/>
  <c r="AN34" i="2"/>
  <c r="AO46" i="2"/>
  <c r="AM56" i="2"/>
  <c r="AO56" i="2" s="1"/>
  <c r="AM39" i="2"/>
  <c r="AL40" i="2"/>
  <c r="AM32" i="2"/>
  <c r="AL12" i="1"/>
  <c r="AM4" i="1"/>
  <c r="AM8" i="1"/>
  <c r="AM18" i="1"/>
  <c r="AN4" i="1"/>
  <c r="AN5" i="1"/>
  <c r="AM7" i="1"/>
  <c r="AN8" i="1"/>
  <c r="AN9" i="1"/>
  <c r="AI13" i="1"/>
  <c r="AJ13" i="1"/>
  <c r="AM32" i="1"/>
  <c r="AM40" i="1" s="1"/>
  <c r="AM39" i="1"/>
  <c r="AI13" i="2"/>
  <c r="AM5" i="2"/>
  <c r="AI27" i="2"/>
  <c r="AM19" i="2"/>
  <c r="AI41" i="2"/>
  <c r="AM33" i="2"/>
  <c r="AN17" i="1"/>
  <c r="AN19" i="1"/>
  <c r="AK26" i="1"/>
  <c r="AN34" i="1"/>
  <c r="AN36" i="1"/>
  <c r="AN38" i="1"/>
  <c r="AM6" i="2"/>
  <c r="AM10" i="2"/>
  <c r="AO10" i="2" s="1"/>
  <c r="AI12" i="2"/>
  <c r="AM20" i="2"/>
  <c r="AM24" i="2"/>
  <c r="AI26" i="2"/>
  <c r="AM34" i="2"/>
  <c r="AO34" i="2" s="1"/>
  <c r="AM38" i="2"/>
  <c r="AI40" i="2"/>
  <c r="AN21" i="1"/>
  <c r="AN23" i="1"/>
  <c r="AN31" i="1"/>
  <c r="AN33" i="1"/>
  <c r="AN35" i="1"/>
  <c r="AN37" i="1"/>
  <c r="AN4" i="2"/>
  <c r="AN8" i="2"/>
  <c r="AN18" i="2"/>
  <c r="AN22" i="2"/>
  <c r="AN32" i="2"/>
  <c r="AN36" i="2"/>
  <c r="AO19" i="1" l="1"/>
  <c r="AO20" i="2"/>
  <c r="AO21" i="1"/>
  <c r="AM27" i="2"/>
  <c r="AO36" i="2"/>
  <c r="AO37" i="1"/>
  <c r="AM26" i="1"/>
  <c r="AO31" i="1"/>
  <c r="AM11" i="1"/>
  <c r="AM12" i="1" s="1"/>
  <c r="AO6" i="2"/>
  <c r="AO17" i="1"/>
  <c r="AO39" i="1"/>
  <c r="AO22" i="2"/>
  <c r="AM25" i="1"/>
  <c r="AN40" i="1"/>
  <c r="AM13" i="2"/>
  <c r="AO24" i="2"/>
  <c r="AO8" i="2"/>
  <c r="AO38" i="2"/>
  <c r="AM41" i="2"/>
  <c r="AN25" i="1"/>
  <c r="AM26" i="2"/>
  <c r="AO32" i="2"/>
  <c r="AN12" i="1"/>
  <c r="AK13" i="1"/>
  <c r="AM13" i="1" s="1"/>
  <c r="AL13" i="1"/>
  <c r="AN40" i="2"/>
  <c r="AN26" i="2"/>
  <c r="AN12" i="2"/>
  <c r="AN39" i="1"/>
  <c r="AM40" i="2"/>
  <c r="AM12" i="2"/>
  <c r="AO12" i="2" s="1"/>
  <c r="AO4" i="2"/>
  <c r="AN13" i="1"/>
  <c r="AO18" i="2"/>
  <c r="AO26" i="2" l="1"/>
  <c r="AO25" i="1"/>
  <c r="AO12" i="1"/>
  <c r="AO40" i="2"/>
  <c r="AM89" i="8" l="1"/>
  <c r="AM88" i="8"/>
  <c r="AN88" i="8" l="1"/>
  <c r="AP88" i="8" l="1"/>
  <c r="C87" i="8"/>
  <c r="AM87" i="8" s="1"/>
  <c r="AM107" i="8" s="1"/>
  <c r="AM86" i="8"/>
  <c r="AM106" i="8" s="1"/>
  <c r="AN86" i="8" l="1"/>
  <c r="AN106" i="8" s="1"/>
  <c r="AP86" i="8" l="1"/>
  <c r="AP106" i="8" s="1"/>
</calcChain>
</file>

<file path=xl/comments1.xml><?xml version="1.0" encoding="utf-8"?>
<comments xmlns="http://schemas.openxmlformats.org/spreadsheetml/2006/main">
  <authors>
    <author>Dell</author>
  </authors>
  <commentList>
    <comment ref="I79" authorId="0" shapeId="0">
      <text>
        <r>
          <rPr>
            <b/>
            <sz val="9"/>
            <color indexed="81"/>
            <rFont val="Tahoma"/>
            <family val="2"/>
          </rPr>
          <t>Powercut confusion</t>
        </r>
      </text>
    </comment>
    <comment ref="L79" authorId="0" shapeId="0">
      <text>
        <r>
          <rPr>
            <b/>
            <sz val="9"/>
            <color indexed="81"/>
            <rFont val="Tahoma"/>
            <family val="2"/>
          </rPr>
          <t>Finger Injury 1pm Gone</t>
        </r>
      </text>
    </comment>
    <comment ref="M79" authorId="0" shapeId="0">
      <text>
        <r>
          <rPr>
            <b/>
            <sz val="9"/>
            <color indexed="81"/>
            <rFont val="Tahoma"/>
            <family val="2"/>
          </rPr>
          <t>Finger Injury Hospital</t>
        </r>
      </text>
    </comment>
    <comment ref="N79" authorId="0" shapeId="0">
      <text>
        <r>
          <rPr>
            <b/>
            <sz val="9"/>
            <color indexed="81"/>
            <rFont val="Tahoma"/>
            <family val="2"/>
          </rPr>
          <t>Finger Injury 10.30 Gone</t>
        </r>
      </text>
    </comment>
    <comment ref="R79" authorId="0" shapeId="0">
      <text>
        <r>
          <rPr>
            <b/>
            <sz val="9"/>
            <color indexed="81"/>
            <rFont val="Tahoma"/>
            <family val="2"/>
          </rPr>
          <t>Bike Problem</t>
        </r>
      </text>
    </comment>
    <comment ref="S79" authorId="0" shapeId="0">
      <text>
        <r>
          <rPr>
            <b/>
            <sz val="9"/>
            <color indexed="81"/>
            <rFont val="Tahoma"/>
            <family val="2"/>
          </rPr>
          <t>Work not Comfort</t>
        </r>
      </text>
    </comment>
    <comment ref="T79" authorId="0" shapeId="0">
      <text>
        <r>
          <rPr>
            <b/>
            <sz val="9"/>
            <color indexed="81"/>
            <rFont val="Tahoma"/>
            <family val="2"/>
          </rPr>
          <t>Sharp Sanjay not comfort</t>
        </r>
      </text>
    </comment>
    <comment ref="U79" authorId="0" shapeId="0">
      <text>
        <r>
          <rPr>
            <b/>
            <sz val="9"/>
            <color indexed="81"/>
            <rFont val="Tahoma"/>
            <family val="2"/>
          </rPr>
          <t>Work not Comfort</t>
        </r>
      </text>
    </comment>
    <comment ref="V81" authorId="0" shapeId="0">
      <text>
        <r>
          <rPr>
            <b/>
            <sz val="9"/>
            <color indexed="81"/>
            <rFont val="Tahoma"/>
            <family val="2"/>
          </rPr>
          <t>Prabakaran Joined</t>
        </r>
      </text>
    </comment>
    <comment ref="AA81" authorId="0" shapeId="0">
      <text>
        <r>
          <rPr>
            <b/>
            <sz val="9"/>
            <color indexed="81"/>
            <rFont val="Tahoma"/>
            <family val="2"/>
          </rPr>
          <t>5.30 gone due to not well</t>
        </r>
      </text>
    </comment>
    <comment ref="AB81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K83" authorId="0" shapeId="0">
      <text>
        <r>
          <rPr>
            <b/>
            <sz val="9"/>
            <color indexed="81"/>
            <rFont val="Tahoma"/>
            <family val="2"/>
          </rPr>
          <t>EMI</t>
        </r>
      </text>
    </comment>
    <comment ref="W83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I85" authorId="0" shapeId="0">
      <text>
        <r>
          <rPr>
            <b/>
            <sz val="9"/>
            <color indexed="81"/>
            <rFont val="Tahoma"/>
            <family val="2"/>
          </rPr>
          <t>Powercut confusion</t>
        </r>
      </text>
    </comment>
    <comment ref="S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T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Y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Z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A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B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C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D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F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G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H8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Notwell</t>
        </r>
      </text>
    </comment>
    <comment ref="AG90" authorId="0" shapeId="0">
      <text>
        <r>
          <rPr>
            <b/>
            <sz val="9"/>
            <color indexed="81"/>
            <rFont val="Tahoma"/>
            <family val="2"/>
          </rPr>
          <t>Not Well Ped Problem</t>
        </r>
      </text>
    </comment>
    <comment ref="R91" authorId="0" shapeId="0">
      <text>
        <r>
          <rPr>
            <b/>
            <sz val="9"/>
            <color indexed="81"/>
            <rFont val="Tahoma"/>
            <family val="2"/>
          </rPr>
          <t>Leg Injury Leave</t>
        </r>
      </text>
    </comment>
    <comment ref="T91" authorId="0" shapeId="0">
      <text>
        <r>
          <rPr>
            <b/>
            <sz val="9"/>
            <color indexed="81"/>
            <rFont val="Tahoma"/>
            <family val="2"/>
          </rPr>
          <t>Leg Injury Leave</t>
        </r>
      </text>
    </comment>
    <comment ref="Y91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H91" authorId="0" shapeId="0">
      <text>
        <r>
          <rPr>
            <b/>
            <sz val="9"/>
            <color indexed="81"/>
            <rFont val="Tahoma"/>
            <family val="2"/>
          </rPr>
          <t>Back Pai</t>
        </r>
      </text>
    </comment>
    <comment ref="K99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99" authorId="0" shapeId="0">
      <text>
        <r>
          <rPr>
            <b/>
            <sz val="9"/>
            <color indexed="81"/>
            <rFont val="Tahoma"/>
            <family val="2"/>
          </rPr>
          <t>Power resumes at 9 ~ 3.30</t>
        </r>
      </text>
    </comment>
    <comment ref="M99" authorId="0" shapeId="0">
      <text>
        <r>
          <rPr>
            <b/>
            <sz val="9"/>
            <color indexed="81"/>
            <rFont val="Tahoma"/>
            <family val="2"/>
          </rPr>
          <t>Power resumes at 9 ~ 8.00</t>
        </r>
      </text>
    </comment>
    <comment ref="D101" authorId="0" shapeId="0">
      <text>
        <r>
          <rPr>
            <b/>
            <sz val="9"/>
            <color indexed="81"/>
            <rFont val="Tahoma"/>
            <family val="2"/>
          </rPr>
          <t>5.30 Permission  Advance  1000 &amp; Next day leave</t>
        </r>
      </text>
    </comment>
    <comment ref="E101" authorId="0" shapeId="0">
      <text>
        <r>
          <rPr>
            <b/>
            <sz val="9"/>
            <color indexed="81"/>
            <rFont val="Tahoma"/>
            <family val="2"/>
          </rPr>
          <t xml:space="preserve">Marriage
</t>
        </r>
      </text>
    </comment>
    <comment ref="F101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J101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01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101" authorId="0" shapeId="0">
      <text>
        <r>
          <rPr>
            <b/>
            <sz val="9"/>
            <color indexed="81"/>
            <rFont val="Tahoma"/>
            <family val="2"/>
          </rPr>
          <t>Power resumes at 9 ~ 3.30</t>
        </r>
      </text>
    </comment>
    <comment ref="M101" authorId="0" shapeId="0">
      <text>
        <r>
          <rPr>
            <b/>
            <sz val="9"/>
            <color indexed="81"/>
            <rFont val="Tahoma"/>
            <family val="2"/>
          </rPr>
          <t>Power resumes at 9 ~ 8.00</t>
        </r>
      </text>
    </comment>
    <comment ref="O101" authorId="0" shapeId="0">
      <text>
        <r>
          <rPr>
            <b/>
            <sz val="9"/>
            <color indexed="81"/>
            <rFont val="Tahoma"/>
            <family val="2"/>
          </rPr>
          <t>5.00pm went due to old company salary</t>
        </r>
      </text>
    </comment>
    <comment ref="Q101" authorId="0" shapeId="0">
      <text>
        <r>
          <rPr>
            <b/>
            <sz val="9"/>
            <color indexed="81"/>
            <rFont val="Tahoma"/>
            <family val="2"/>
          </rPr>
          <t>Body Pain</t>
        </r>
      </text>
    </comment>
    <comment ref="R101" authorId="0" shapeId="0">
      <text>
        <r>
          <rPr>
            <b/>
            <sz val="9"/>
            <color indexed="81"/>
            <rFont val="Tahoma"/>
            <family val="2"/>
          </rPr>
          <t>5.30 went due to Trips not well</t>
        </r>
      </text>
    </comment>
    <comment ref="V101" authorId="0" shapeId="0">
      <text>
        <r>
          <rPr>
            <b/>
            <sz val="9"/>
            <color indexed="81"/>
            <rFont val="Tahoma"/>
            <family val="2"/>
          </rPr>
          <t>Arrived at 9.10~7.00pm Rain &amp; Train</t>
        </r>
      </text>
    </comment>
    <comment ref="X101" authorId="0" shapeId="0">
      <text>
        <r>
          <rPr>
            <b/>
            <sz val="9"/>
            <color indexed="81"/>
            <rFont val="Tahoma"/>
            <family val="2"/>
          </rPr>
          <t>Baby Hospital</t>
        </r>
      </text>
    </comment>
    <comment ref="Y101" authorId="0" shapeId="0">
      <text>
        <r>
          <rPr>
            <b/>
            <sz val="9"/>
            <color indexed="81"/>
            <rFont val="Tahoma"/>
            <family val="2"/>
          </rPr>
          <t>Frnd Acci Hospital</t>
        </r>
      </text>
    </comment>
    <comment ref="Z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A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C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D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E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F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AG101" authorId="0" shapeId="0">
      <text>
        <r>
          <rPr>
            <b/>
            <sz val="9"/>
            <color indexed="81"/>
            <rFont val="Tahoma"/>
            <family val="2"/>
          </rPr>
          <t>not to willing</t>
        </r>
      </text>
    </comment>
    <comment ref="J102" authorId="0" shapeId="0">
      <text>
        <r>
          <rPr>
            <b/>
            <sz val="9"/>
            <color indexed="81"/>
            <rFont val="Tahoma"/>
            <family val="2"/>
          </rPr>
          <t>12.30~4.30 only Power On</t>
        </r>
      </text>
    </comment>
    <comment ref="I103" authorId="0" shapeId="0">
      <text>
        <r>
          <rPr>
            <b/>
            <sz val="9"/>
            <color indexed="81"/>
            <rFont val="Tahoma"/>
            <family val="2"/>
          </rPr>
          <t>Power Problem at kakkalur Transformer 3.00 pm Power cut</t>
        </r>
      </text>
    </comment>
    <comment ref="J103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03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103" authorId="0" shapeId="0">
      <text>
        <r>
          <rPr>
            <b/>
            <sz val="9"/>
            <color indexed="81"/>
            <rFont val="Tahoma"/>
            <family val="2"/>
          </rPr>
          <t>Power resumes at 9 ~ 3.30</t>
        </r>
      </text>
    </comment>
    <comment ref="M103" authorId="0" shapeId="0">
      <text>
        <r>
          <rPr>
            <b/>
            <sz val="9"/>
            <color indexed="81"/>
            <rFont val="Tahoma"/>
            <family val="2"/>
          </rPr>
          <t>Power resumes at 9 ~ 8.00</t>
        </r>
      </text>
    </comment>
    <comment ref="P103" authorId="0" shapeId="0">
      <text>
        <r>
          <rPr>
            <b/>
            <sz val="9"/>
            <color indexed="81"/>
            <rFont val="Tahoma"/>
            <family val="2"/>
          </rPr>
          <t>Suraj Send off Central No sleeping 8~12pm no power after 6 pm leave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E10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J104" authorId="0" shapeId="0">
      <text>
        <r>
          <rPr>
            <b/>
            <sz val="9"/>
            <color indexed="81"/>
            <rFont val="Tahoma"/>
            <family val="2"/>
          </rPr>
          <t>12.30~5.30 only Power On</t>
        </r>
      </text>
    </comment>
    <comment ref="U104" authorId="0" shapeId="0">
      <text>
        <r>
          <rPr>
            <b/>
            <sz val="9"/>
            <color indexed="81"/>
            <rFont val="Tahoma"/>
            <family val="2"/>
          </rPr>
          <t>8~3 Ear bud missing</t>
        </r>
      </text>
    </comment>
    <comment ref="AD104" authorId="0" shapeId="0">
      <text>
        <r>
          <rPr>
            <b/>
            <sz val="9"/>
            <color indexed="81"/>
            <rFont val="Tahoma"/>
            <family val="2"/>
          </rPr>
          <t>Not Well running nose
5pm went</t>
        </r>
      </text>
    </comment>
    <comment ref="F105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I105" authorId="0" shapeId="0">
      <text>
        <r>
          <rPr>
            <b/>
            <sz val="9"/>
            <color indexed="81"/>
            <rFont val="Tahoma"/>
            <family val="2"/>
          </rPr>
          <t>Not Well
Girl</t>
        </r>
      </text>
    </comment>
    <comment ref="J105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05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105" authorId="0" shapeId="0">
      <text>
        <r>
          <rPr>
            <b/>
            <sz val="9"/>
            <color indexed="81"/>
            <rFont val="Tahoma"/>
            <family val="2"/>
          </rPr>
          <t>Power resumes at 9 ~ 3.30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O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P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R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S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T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V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W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X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Y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Z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A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C105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D105" authorId="0" shapeId="0">
      <text>
        <r>
          <rPr>
            <b/>
            <sz val="9"/>
            <color indexed="81"/>
            <rFont val="Tahoma"/>
            <family val="2"/>
          </rPr>
          <t>New person Saroj join</t>
        </r>
      </text>
    </comment>
    <comment ref="AE105" authorId="0" shapeId="0">
      <text>
        <r>
          <rPr>
            <b/>
            <sz val="9"/>
            <color indexed="81"/>
            <rFont val="Tahoma"/>
            <family val="2"/>
          </rPr>
          <t>New person Saroj join</t>
        </r>
      </text>
    </comment>
    <comment ref="AF105" authorId="0" shapeId="0">
      <text>
        <r>
          <rPr>
            <b/>
            <sz val="9"/>
            <color indexed="81"/>
            <rFont val="Tahoma"/>
            <family val="2"/>
          </rPr>
          <t>New person Saroj join</t>
        </r>
      </text>
    </comment>
    <comment ref="AG105" authorId="0" shapeId="0">
      <text>
        <r>
          <rPr>
            <b/>
            <sz val="9"/>
            <color indexed="81"/>
            <rFont val="Tahoma"/>
            <family val="2"/>
          </rPr>
          <t>New person Saroj join</t>
        </r>
      </text>
    </comment>
    <comment ref="J106" authorId="0" shapeId="0">
      <text>
        <r>
          <rPr>
            <b/>
            <sz val="9"/>
            <color indexed="81"/>
            <rFont val="Tahoma"/>
            <family val="2"/>
          </rPr>
          <t>12.30~5.30 only Power On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I107" authorId="0" shapeId="0">
      <text>
        <r>
          <rPr>
            <b/>
            <sz val="9"/>
            <color indexed="81"/>
            <rFont val="Tahoma"/>
            <family val="2"/>
          </rPr>
          <t>Power Problem at kakkalur Transformer 3.00 pm Power cut</t>
        </r>
      </text>
    </comment>
    <comment ref="J107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07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107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M107" authorId="0" shapeId="0">
      <text>
        <r>
          <rPr>
            <b/>
            <sz val="9"/>
            <color indexed="81"/>
            <rFont val="Tahoma"/>
            <family val="2"/>
          </rPr>
          <t>Power resumes at 9 ~ 8.00</t>
        </r>
      </text>
    </comment>
    <comment ref="P107" authorId="0" shapeId="0">
      <text>
        <r>
          <rPr>
            <b/>
            <sz val="9"/>
            <color indexed="81"/>
            <rFont val="Tahoma"/>
            <family val="2"/>
          </rPr>
          <t>Suraj Send off Central No sleeping 8~12pm no power after lunch leave</t>
        </r>
      </text>
    </comment>
    <comment ref="Y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Z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A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C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D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E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F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AG107" authorId="0" shapeId="0">
      <text>
        <r>
          <rPr>
            <b/>
            <sz val="9"/>
            <color indexed="81"/>
            <rFont val="Tahoma"/>
            <family val="2"/>
          </rPr>
          <t>Went to Native</t>
        </r>
      </text>
    </comment>
    <comment ref="J108" authorId="0" shapeId="0">
      <text>
        <r>
          <rPr>
            <b/>
            <sz val="9"/>
            <color indexed="81"/>
            <rFont val="Tahoma"/>
            <family val="2"/>
          </rPr>
          <t>12.30~5.30 only Power On</t>
        </r>
      </text>
    </comment>
    <comment ref="P108" authorId="0" shapeId="0">
      <text>
        <r>
          <rPr>
            <b/>
            <sz val="9"/>
            <color indexed="81"/>
            <rFont val="Tahoma"/>
            <family val="2"/>
          </rPr>
          <t>Suraj Send off Central No sleeping 8~12pm no power after lunch leave</t>
        </r>
      </text>
    </comment>
    <comment ref="U108" authorId="0" shapeId="0">
      <text>
        <r>
          <rPr>
            <b/>
            <sz val="9"/>
            <color indexed="81"/>
            <rFont val="Tahoma"/>
            <family val="2"/>
          </rPr>
          <t>7~3pm 1hr Power cut</t>
        </r>
      </text>
    </comment>
    <comment ref="V108" authorId="0" shapeId="0">
      <text>
        <r>
          <rPr>
            <b/>
            <sz val="9"/>
            <color indexed="81"/>
            <rFont val="Tahoma"/>
            <family val="2"/>
          </rPr>
          <t>8.30~6.30 Working</t>
        </r>
      </text>
    </comment>
    <comment ref="I109" authorId="0" shapeId="0">
      <text>
        <r>
          <rPr>
            <b/>
            <sz val="9"/>
            <color indexed="81"/>
            <rFont val="Tahoma"/>
            <family val="2"/>
          </rPr>
          <t>Power Problem at kakkalur Transformer 3.00 pm Power cut</t>
        </r>
      </text>
    </comment>
    <comment ref="J109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09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L109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M109" authorId="0" shapeId="0">
      <text>
        <r>
          <rPr>
            <b/>
            <sz val="9"/>
            <color indexed="81"/>
            <rFont val="Tahoma"/>
            <family val="2"/>
          </rPr>
          <t>Not Well Birthday</t>
        </r>
      </text>
    </comment>
    <comment ref="J110" authorId="0" shapeId="0">
      <text>
        <r>
          <rPr>
            <b/>
            <sz val="9"/>
            <color indexed="81"/>
            <rFont val="Tahoma"/>
            <family val="2"/>
          </rPr>
          <t>12.30~5.30 only Power On</t>
        </r>
      </text>
    </comment>
    <comment ref="S110" authorId="0" shapeId="0">
      <text>
        <r>
          <rPr>
            <b/>
            <sz val="9"/>
            <color indexed="81"/>
            <rFont val="Tahoma"/>
            <family val="2"/>
          </rPr>
          <t>Head Ache
Not well</t>
        </r>
      </text>
    </comment>
    <comment ref="U110" authorId="0" shapeId="0">
      <text>
        <r>
          <rPr>
            <b/>
            <sz val="9"/>
            <color indexed="81"/>
            <rFont val="Tahoma"/>
            <family val="2"/>
          </rPr>
          <t>7~3pm 1hr Power cut</t>
        </r>
      </text>
    </comment>
    <comment ref="X110" authorId="0" shapeId="0">
      <text>
        <r>
          <rPr>
            <b/>
            <sz val="9"/>
            <color indexed="81"/>
            <rFont val="Tahoma"/>
            <family val="2"/>
          </rPr>
          <t>8.30</t>
        </r>
      </text>
    </comment>
    <comment ref="I111" authorId="0" shapeId="0">
      <text>
        <r>
          <rPr>
            <b/>
            <sz val="9"/>
            <color indexed="81"/>
            <rFont val="Tahoma"/>
            <family val="2"/>
          </rPr>
          <t>Power Problem at kakkalur Transformer 3.00 pm Power cut</t>
        </r>
      </text>
    </comment>
    <comment ref="J111" authorId="0" shapeId="0">
      <text>
        <r>
          <rPr>
            <b/>
            <sz val="9"/>
            <color indexed="81"/>
            <rFont val="Tahoma"/>
            <family val="2"/>
          </rPr>
          <t>Power Problem at kakkalur Transformer upto 12.30 pm Power cut</t>
        </r>
      </text>
    </comment>
    <comment ref="K111" authorId="0" shapeId="0">
      <text>
        <r>
          <rPr>
            <b/>
            <sz val="9"/>
            <color indexed="81"/>
            <rFont val="Tahoma"/>
            <family val="2"/>
          </rPr>
          <t>Pradheep Joined Power resumes at 9 ~ 5.30</t>
        </r>
      </text>
    </comment>
    <comment ref="L111" authorId="0" shapeId="0">
      <text>
        <r>
          <rPr>
            <b/>
            <sz val="9"/>
            <color indexed="81"/>
            <rFont val="Tahoma"/>
            <family val="2"/>
          </rPr>
          <t>Power resumes at 9 ~ 5.30</t>
        </r>
      </text>
    </comment>
    <comment ref="M111" authorId="0" shapeId="0">
      <text>
        <r>
          <rPr>
            <b/>
            <sz val="9"/>
            <color indexed="81"/>
            <rFont val="Tahoma"/>
            <family val="2"/>
          </rPr>
          <t>Power resumes at 9 ~ 8.00</t>
        </r>
      </text>
    </comment>
    <comment ref="J112" authorId="0" shapeId="0">
      <text>
        <r>
          <rPr>
            <b/>
            <sz val="9"/>
            <color indexed="81"/>
            <rFont val="Tahoma"/>
            <family val="2"/>
          </rPr>
          <t>12.30~5.30 only Power On</t>
        </r>
      </text>
    </comment>
    <comment ref="U112" authorId="0" shapeId="0">
      <text>
        <r>
          <rPr>
            <b/>
            <sz val="9"/>
            <color indexed="81"/>
            <rFont val="Tahoma"/>
            <family val="2"/>
          </rPr>
          <t>7~3pm 1hr Power cut</t>
        </r>
      </text>
    </comment>
    <comment ref="AG112" authorId="0" shapeId="0">
      <text>
        <r>
          <rPr>
            <b/>
            <sz val="9"/>
            <color indexed="81"/>
            <rFont val="Tahoma"/>
            <family val="2"/>
          </rPr>
          <t>House Shifting</t>
        </r>
      </text>
    </comment>
    <comment ref="U121" authorId="0" shapeId="0">
      <text>
        <r>
          <rPr>
            <b/>
            <sz val="9"/>
            <color indexed="81"/>
            <rFont val="Tahoma"/>
            <family val="2"/>
          </rPr>
          <t>9 pm Arrived Cooking late</t>
        </r>
      </text>
    </comment>
    <comment ref="Y122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F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N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Q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T123" authorId="0" shapeId="0">
      <text>
        <r>
          <rPr>
            <b/>
            <sz val="9"/>
            <color indexed="81"/>
            <rFont val="Tahoma"/>
            <family val="2"/>
          </rPr>
          <t>New Person Nikil kumar Bihari Joined today</t>
        </r>
      </text>
    </comment>
    <comment ref="W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Y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A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B123" authorId="0" shapeId="0">
      <text>
        <r>
          <rPr>
            <b/>
            <sz val="9"/>
            <color indexed="81"/>
            <rFont val="Tahoma"/>
            <family val="2"/>
          </rPr>
          <t>New  Person Akilesh</t>
        </r>
      </text>
    </comment>
    <comment ref="AC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D123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E123" authorId="0" shapeId="0">
      <text>
        <r>
          <rPr>
            <b/>
            <sz val="9"/>
            <color indexed="81"/>
            <rFont val="Tahoma"/>
            <family val="2"/>
          </rPr>
          <t>New  Person Chandan 9~6.30pm</t>
        </r>
      </text>
    </comment>
    <comment ref="AF123" authorId="0" shapeId="0">
      <text>
        <r>
          <rPr>
            <b/>
            <sz val="9"/>
            <color indexed="81"/>
            <rFont val="Tahoma"/>
            <family val="2"/>
          </rPr>
          <t>New  Person Chandan 9~6.30pm</t>
        </r>
      </text>
    </comment>
    <comment ref="AH123" authorId="0" shapeId="0">
      <text>
        <r>
          <rPr>
            <b/>
            <sz val="9"/>
            <color indexed="81"/>
            <rFont val="Tahoma"/>
            <family val="2"/>
          </rPr>
          <t>New  Person Chandhan</t>
        </r>
      </text>
    </comment>
    <comment ref="D124" authorId="0" shapeId="0">
      <text>
        <r>
          <rPr>
            <b/>
            <sz val="9"/>
            <color indexed="81"/>
            <rFont val="Tahoma"/>
            <family val="2"/>
          </rPr>
          <t>Not Well Back pain</t>
        </r>
      </text>
    </comment>
    <comment ref="F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H124" authorId="0" shapeId="0">
      <text>
        <r>
          <rPr>
            <sz val="9"/>
            <color indexed="81"/>
            <rFont val="Tahoma"/>
            <family val="2"/>
          </rPr>
          <t xml:space="preserve">Gas Galli 6pm
</t>
        </r>
      </text>
    </comment>
    <comment ref="M124" authorId="0" shapeId="0">
      <text>
        <r>
          <rPr>
            <b/>
            <sz val="9"/>
            <color indexed="81"/>
            <rFont val="Tahoma"/>
            <family val="2"/>
          </rPr>
          <t>8-12.30 Not coming eswar pick at central</t>
        </r>
      </text>
    </comment>
    <comment ref="N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P124" authorId="0" shapeId="0">
      <text>
        <r>
          <rPr>
            <b/>
            <sz val="9"/>
            <color indexed="81"/>
            <rFont val="Tahoma"/>
            <family val="2"/>
          </rPr>
          <t>6pm went tooth Pain</t>
        </r>
      </text>
    </comment>
    <comment ref="Q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V124" authorId="0" shapeId="0">
      <text>
        <r>
          <rPr>
            <b/>
            <sz val="9"/>
            <color indexed="81"/>
            <rFont val="Tahoma"/>
            <family val="2"/>
          </rPr>
          <t>Head Pain 5pm Went</t>
        </r>
      </text>
    </comment>
    <comment ref="W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A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C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D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AF124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G127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G128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N131" authorId="0" shapeId="0">
      <text>
        <r>
          <rPr>
            <b/>
            <sz val="9"/>
            <color indexed="81"/>
            <rFont val="Tahoma"/>
            <family val="2"/>
          </rPr>
          <t>Returnfrom Native</t>
        </r>
      </text>
    </comment>
    <comment ref="AA131" authorId="0" shapeId="0">
      <text>
        <r>
          <rPr>
            <b/>
            <sz val="9"/>
            <color indexed="81"/>
            <rFont val="Tahoma"/>
            <family val="2"/>
          </rPr>
          <t>Not well 8~1 Working</t>
        </r>
      </text>
    </comment>
    <comment ref="P132" authorId="0" shapeId="0">
      <text>
        <r>
          <rPr>
            <b/>
            <sz val="9"/>
            <color indexed="81"/>
            <rFont val="Tahoma"/>
            <family val="2"/>
          </rPr>
          <t>(9.10am Arrived) Chicken</t>
        </r>
      </text>
    </comment>
    <comment ref="AH132" authorId="0" shapeId="0">
      <text>
        <r>
          <rPr>
            <b/>
            <sz val="9"/>
            <color indexed="81"/>
            <rFont val="Tahoma"/>
            <family val="2"/>
          </rPr>
          <t>9~6.20 went no reason</t>
        </r>
      </text>
    </comment>
    <comment ref="U138" authorId="0" shapeId="0">
      <text>
        <r>
          <rPr>
            <b/>
            <sz val="9"/>
            <color indexed="81"/>
            <rFont val="Tahoma"/>
            <family val="2"/>
          </rPr>
          <t>Guna Joined</t>
        </r>
      </text>
    </comment>
    <comment ref="W138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Y138" authorId="0" shapeId="0">
      <text>
        <r>
          <rPr>
            <b/>
            <sz val="9"/>
            <color indexed="81"/>
            <rFont val="Tahoma"/>
            <family val="2"/>
          </rPr>
          <t>Auto accident</t>
        </r>
      </text>
    </comment>
    <comment ref="AE138" authorId="0" shapeId="0">
      <text>
        <r>
          <rPr>
            <b/>
            <sz val="9"/>
            <color indexed="81"/>
            <rFont val="Tahoma"/>
            <family val="2"/>
          </rPr>
          <t>Sister Hospital</t>
        </r>
      </text>
    </comment>
    <comment ref="D140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T140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U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W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X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Y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Z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A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B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C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E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F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G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AH140" authorId="0" shapeId="0">
      <text>
        <r>
          <rPr>
            <b/>
            <sz val="9"/>
            <color indexed="81"/>
            <rFont val="Tahoma"/>
            <family val="2"/>
          </rPr>
          <t>Went to native not come</t>
        </r>
      </text>
    </comment>
    <comment ref="E141" authorId="0" shapeId="0">
      <text>
        <r>
          <rPr>
            <b/>
            <sz val="9"/>
            <color indexed="81"/>
            <rFont val="Tahoma"/>
            <family val="2"/>
          </rPr>
          <t xml:space="preserve">Accident Chandan </t>
        </r>
      </text>
    </comment>
    <comment ref="L141" authorId="0" shapeId="0">
      <text>
        <r>
          <rPr>
            <b/>
            <sz val="9"/>
            <color indexed="81"/>
            <rFont val="Tahoma"/>
            <family val="2"/>
          </rPr>
          <t>6.30 pm went neck pain</t>
        </r>
      </text>
    </comment>
    <comment ref="G142" authorId="0" shapeId="0">
      <text>
        <r>
          <rPr>
            <b/>
            <sz val="9"/>
            <color indexed="81"/>
            <rFont val="Tahoma"/>
            <family val="2"/>
          </rPr>
          <t>8.45 coming</t>
        </r>
      </text>
    </comment>
    <comment ref="L142" authorId="0" shapeId="0">
      <text>
        <r>
          <rPr>
            <b/>
            <sz val="9"/>
            <color indexed="81"/>
            <rFont val="Tahoma"/>
            <family val="2"/>
          </rPr>
          <t>8.45 coming</t>
        </r>
      </text>
    </comment>
    <comment ref="N142" authorId="0" shapeId="0">
      <text>
        <r>
          <rPr>
            <b/>
            <sz val="9"/>
            <color indexed="81"/>
            <rFont val="Tahoma"/>
            <family val="2"/>
          </rPr>
          <t>Tooth Pain</t>
        </r>
      </text>
    </comment>
    <comment ref="O142" authorId="0" shapeId="0">
      <text>
        <r>
          <rPr>
            <b/>
            <sz val="9"/>
            <color indexed="81"/>
            <rFont val="Tahoma"/>
            <family val="2"/>
          </rPr>
          <t>8.15~6.15 went room no reason</t>
        </r>
      </text>
    </comment>
    <comment ref="W142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E143" authorId="0" shapeId="0">
      <text>
        <r>
          <rPr>
            <b/>
            <sz val="9"/>
            <color indexed="81"/>
            <rFont val="Tahoma"/>
            <family val="2"/>
          </rPr>
          <t xml:space="preserve">Accident Chandan </t>
        </r>
      </text>
    </comment>
    <comment ref="AG143" authorId="0" shapeId="0">
      <text>
        <r>
          <rPr>
            <b/>
            <sz val="9"/>
            <color indexed="81"/>
            <rFont val="Tahoma"/>
            <family val="2"/>
          </rPr>
          <t>Went 6pm</t>
        </r>
      </text>
    </comment>
    <comment ref="W144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 xml:space="preserve">Accident Chandan </t>
        </r>
      </text>
    </comment>
    <comment ref="W146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E147" authorId="0" shapeId="0">
      <text>
        <r>
          <rPr>
            <b/>
            <sz val="9"/>
            <color indexed="81"/>
            <rFont val="Tahoma"/>
            <family val="2"/>
          </rPr>
          <t xml:space="preserve">Accident Chandan 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Body Pain</t>
        </r>
      </text>
    </comment>
    <comment ref="W148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AE148" authorId="0" shapeId="0">
      <text>
        <r>
          <rPr>
            <b/>
            <sz val="9"/>
            <color indexed="81"/>
            <rFont val="Tahoma"/>
            <family val="2"/>
          </rPr>
          <t>Body Pain</t>
        </r>
      </text>
    </comment>
    <comment ref="E149" authorId="0" shapeId="0">
      <text>
        <r>
          <rPr>
            <b/>
            <sz val="9"/>
            <color indexed="81"/>
            <rFont val="Tahoma"/>
            <family val="2"/>
          </rPr>
          <t xml:space="preserve">Accident Chandan </t>
        </r>
      </text>
    </comment>
    <comment ref="D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E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F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G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H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J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K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L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M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N150" authorId="0" shapeId="0">
      <text>
        <r>
          <rPr>
            <b/>
            <sz val="9"/>
            <color indexed="81"/>
            <rFont val="Tahoma"/>
            <family val="2"/>
          </rPr>
          <t>Met Accident 2 finger injury at 25t New balaji Machine (Govt Hospital)</t>
        </r>
      </text>
    </comment>
    <comment ref="W150" authorId="0" shapeId="0">
      <text>
        <r>
          <rPr>
            <b/>
            <sz val="9"/>
            <color indexed="81"/>
            <rFont val="Tahoma"/>
            <family val="2"/>
          </rPr>
          <t>Sat Powercut Sunday working 7~3.30</t>
        </r>
      </text>
    </comment>
    <comment ref="X150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G157" authorId="0" shapeId="0">
      <text>
        <r>
          <rPr>
            <b/>
            <sz val="9"/>
            <color indexed="81"/>
            <rFont val="Tahoma"/>
            <family val="2"/>
          </rPr>
          <t>Sister Daughter Death</t>
        </r>
      </text>
    </comment>
    <comment ref="H157" authorId="0" shapeId="0">
      <text>
        <r>
          <rPr>
            <b/>
            <sz val="9"/>
            <color indexed="81"/>
            <rFont val="Tahoma"/>
            <family val="2"/>
          </rPr>
          <t>Sister Daughter Death</t>
        </r>
      </text>
    </comment>
    <comment ref="N157" authorId="0" shapeId="0">
      <text>
        <r>
          <rPr>
            <b/>
            <sz val="9"/>
            <color indexed="81"/>
            <rFont val="Tahoma"/>
            <family val="2"/>
          </rPr>
          <t>Engagement 2pm went</t>
        </r>
      </text>
    </comment>
    <comment ref="O15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157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57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Y157" authorId="0" shapeId="0">
      <text>
        <r>
          <rPr>
            <b/>
            <sz val="9"/>
            <color indexed="81"/>
            <rFont val="Tahoma"/>
            <family val="2"/>
          </rPr>
          <t>6pm went</t>
        </r>
      </text>
    </comment>
    <comment ref="AB157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C15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D15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E15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158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58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58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O159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159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59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Z159" authorId="0" shapeId="0">
      <text>
        <r>
          <rPr>
            <b/>
            <sz val="9"/>
            <color indexed="81"/>
            <rFont val="Tahoma"/>
            <family val="2"/>
          </rPr>
          <t>Leave throat pain</t>
        </r>
      </text>
    </comment>
    <comment ref="AB159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I160" authorId="0" shapeId="0">
      <text>
        <r>
          <rPr>
            <b/>
            <sz val="9"/>
            <color indexed="81"/>
            <rFont val="Tahoma"/>
            <family val="2"/>
          </rPr>
          <t>Power cut due to rain 5.30 company closed Eswar request</t>
        </r>
      </text>
    </comment>
    <comment ref="N160" authorId="0" shapeId="0">
      <text>
        <r>
          <rPr>
            <b/>
            <sz val="9"/>
            <color indexed="81"/>
            <rFont val="Tahoma"/>
            <family val="2"/>
          </rPr>
          <t>Gas Purchase</t>
        </r>
      </text>
    </comment>
    <comment ref="S160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0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Y160" authorId="0" shapeId="0">
      <text>
        <r>
          <rPr>
            <b/>
            <sz val="9"/>
            <color indexed="81"/>
            <rFont val="Tahoma"/>
            <family val="2"/>
          </rPr>
          <t>Throat Pain 6.30 Gone</t>
        </r>
      </text>
    </comment>
    <comment ref="AB160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L161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S161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1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1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D161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I162" authorId="0" shapeId="0">
      <text>
        <r>
          <rPr>
            <b/>
            <sz val="9"/>
            <color indexed="81"/>
            <rFont val="Tahoma"/>
            <family val="2"/>
          </rPr>
          <t>Power cut due to rain 5.30 company closed Eswar request</t>
        </r>
      </text>
    </comment>
    <comment ref="S162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2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2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S163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3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3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I164" authorId="0" shapeId="0">
      <text>
        <r>
          <rPr>
            <b/>
            <sz val="9"/>
            <color indexed="81"/>
            <rFont val="Tahoma"/>
            <family val="2"/>
          </rPr>
          <t>Power cut due to rain 5.30 company closed Eswar request</t>
        </r>
      </text>
    </comment>
    <comment ref="S164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4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4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S165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5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5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C165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I166" authorId="0" shapeId="0">
      <text>
        <r>
          <rPr>
            <b/>
            <sz val="9"/>
            <color indexed="81"/>
            <rFont val="Tahoma"/>
            <family val="2"/>
          </rPr>
          <t>Power cut due to rain 5.30 company closed Eswar request</t>
        </r>
      </text>
    </comment>
    <comment ref="S166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6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6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Q167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S167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7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7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C16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I168" authorId="0" shapeId="0">
      <text>
        <r>
          <rPr>
            <b/>
            <sz val="9"/>
            <color indexed="81"/>
            <rFont val="Tahoma"/>
            <family val="2"/>
          </rPr>
          <t>Power cut due to rain 5.30 company closed Eswar request</t>
        </r>
      </text>
    </comment>
    <comment ref="S168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U168" authorId="0" shapeId="0">
      <text>
        <r>
          <rPr>
            <b/>
            <sz val="9"/>
            <color indexed="81"/>
            <rFont val="Tahoma"/>
            <family val="2"/>
          </rPr>
          <t>Vinayagar Chathurthi</t>
        </r>
      </text>
    </comment>
    <comment ref="AB168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B169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AB170" authorId="0" shapeId="0">
      <text>
        <r>
          <rPr>
            <b/>
            <sz val="9"/>
            <color indexed="81"/>
            <rFont val="Tahoma"/>
            <family val="2"/>
          </rPr>
          <t>Power rate increase strick all companies</t>
        </r>
      </text>
    </comment>
    <comment ref="E176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H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I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J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M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N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O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P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Q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S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T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U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V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W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X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Y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Z176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76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B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AC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AD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AE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AG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AH176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E177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77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77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78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J178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S178" authorId="0" shapeId="0">
      <text>
        <r>
          <rPr>
            <b/>
            <sz val="9"/>
            <color indexed="81"/>
            <rFont val="Tahoma"/>
            <family val="2"/>
          </rPr>
          <t>Hang over</t>
        </r>
      </text>
    </comment>
    <comment ref="Y178" authorId="0" shapeId="0">
      <text>
        <r>
          <rPr>
            <b/>
            <sz val="9"/>
            <color indexed="81"/>
            <rFont val="Tahoma"/>
            <family val="2"/>
          </rPr>
          <t>Sunday 8~1.30 Cleaning work
Rs.300</t>
        </r>
      </text>
    </comment>
    <comment ref="Z178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78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79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N179" authorId="0" shapeId="0">
      <text>
        <r>
          <rPr>
            <b/>
            <sz val="9"/>
            <color indexed="81"/>
            <rFont val="Tahoma"/>
            <family val="2"/>
          </rPr>
          <t>8.20pm late</t>
        </r>
      </text>
    </comment>
    <comment ref="Z179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79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0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Y180" authorId="0" shapeId="0">
      <text>
        <r>
          <rPr>
            <b/>
            <sz val="9"/>
            <color indexed="81"/>
            <rFont val="Tahoma"/>
            <family val="2"/>
          </rPr>
          <t>Sunday 8~1.30 Cleaning work
Rs.300</t>
        </r>
      </text>
    </comment>
    <comment ref="Z180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0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1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1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1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2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F182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H182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P182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Q182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S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T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U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V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W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X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Y182" authorId="0" shapeId="0">
      <text>
        <r>
          <rPr>
            <b/>
            <sz val="9"/>
            <color indexed="81"/>
            <rFont val="Tahoma"/>
            <family val="2"/>
          </rPr>
          <t>another Company</t>
        </r>
      </text>
    </comment>
    <comment ref="Z182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2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B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AC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AD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AE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AG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AH182" authorId="0" shapeId="0">
      <text>
        <r>
          <rPr>
            <b/>
            <sz val="9"/>
            <color indexed="81"/>
            <rFont val="Tahoma"/>
            <family val="2"/>
          </rPr>
          <t>Eswar ka Bobby joined</t>
        </r>
      </text>
    </comment>
    <comment ref="E183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3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3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4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Y184" authorId="0" shapeId="0">
      <text>
        <r>
          <rPr>
            <b/>
            <sz val="9"/>
            <color indexed="81"/>
            <rFont val="Tahoma"/>
            <family val="2"/>
          </rPr>
          <t>Sunday 8~1.30 Cleaning work
Rs.300</t>
        </r>
      </text>
    </comment>
    <comment ref="Z184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4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5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5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5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6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L186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Y186" authorId="0" shapeId="0">
      <text>
        <r>
          <rPr>
            <b/>
            <sz val="9"/>
            <color indexed="81"/>
            <rFont val="Tahoma"/>
            <family val="2"/>
          </rPr>
          <t>Sunday 8~1.30 Cleaning work
Rs.300</t>
        </r>
      </text>
    </comment>
    <comment ref="Z186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6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B186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E187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7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7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8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8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8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E189" authorId="0" shapeId="0">
      <text>
        <r>
          <rPr>
            <b/>
            <sz val="9"/>
            <color indexed="81"/>
            <rFont val="Tahoma"/>
            <family val="2"/>
          </rPr>
          <t>Gandhi Jayanthi</t>
        </r>
      </text>
    </comment>
    <comment ref="Z189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AA189" authorId="0" shapeId="0">
      <text>
        <r>
          <rPr>
            <b/>
            <sz val="9"/>
            <color indexed="81"/>
            <rFont val="Tahoma"/>
            <family val="2"/>
          </rPr>
          <t>Ayudha Pooja</t>
        </r>
      </text>
    </comment>
    <comment ref="D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E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F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G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H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I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J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K195" authorId="0" shapeId="0">
      <text>
        <r>
          <rPr>
            <b/>
            <sz val="9"/>
            <color indexed="81"/>
            <rFont val="Tahoma"/>
            <family val="2"/>
          </rPr>
          <t>Met Accident 4 finger injury at 45t balaji Machine (Operation at Sunshine Hospital)</t>
        </r>
      </text>
    </comment>
    <comment ref="O195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195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AD195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J197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197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R197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AD197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198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198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Q198" authorId="0" shapeId="0">
      <text>
        <r>
          <rPr>
            <b/>
            <sz val="9"/>
            <color indexed="81"/>
            <rFont val="Tahoma"/>
            <family val="2"/>
          </rPr>
          <t>Not well 4.30 went</t>
        </r>
      </text>
    </comment>
    <comment ref="W198" authorId="0" shapeId="0">
      <text>
        <r>
          <rPr>
            <b/>
            <sz val="9"/>
            <color indexed="81"/>
            <rFont val="Tahoma"/>
            <family val="2"/>
          </rPr>
          <t>Gas no 4.30 went</t>
        </r>
      </text>
    </comment>
    <comment ref="AB198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E199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199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AD199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200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0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O201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1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T201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202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2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O203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3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Q203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Y203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204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4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I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205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5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Q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R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S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T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AD205" authorId="0" shapeId="0">
      <text>
        <r>
          <rPr>
            <b/>
            <sz val="9"/>
            <color indexed="81"/>
            <rFont val="Tahoma"/>
            <family val="2"/>
          </rPr>
          <t>Leave
Not well</t>
        </r>
      </text>
    </comment>
    <comment ref="O206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P206" authorId="0" shapeId="0">
      <text>
        <r>
          <rPr>
            <b/>
            <sz val="9"/>
            <color indexed="81"/>
            <rFont val="Tahoma"/>
            <family val="2"/>
          </rPr>
          <t>Depavali Leave</t>
        </r>
      </text>
    </comment>
    <comment ref="F21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14" authorId="0" shapeId="0">
      <text>
        <r>
          <rPr>
            <b/>
            <sz val="9"/>
            <color indexed="81"/>
            <rFont val="Tahoma"/>
            <family val="2"/>
          </rPr>
          <t>No Power upto 3.30pm no work also</t>
        </r>
      </text>
    </comment>
    <comment ref="M21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N214" authorId="0" shapeId="0">
      <text>
        <r>
          <rPr>
            <b/>
            <sz val="9"/>
            <color indexed="81"/>
            <rFont val="Tahoma"/>
            <family val="2"/>
          </rPr>
          <t>Registration office</t>
        </r>
      </text>
    </comment>
    <comment ref="S214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1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4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14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1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1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15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1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5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15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16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6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6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16" authorId="0" shapeId="0">
      <text>
        <r>
          <rPr>
            <b/>
            <sz val="9"/>
            <color indexed="81"/>
            <rFont val="Tahoma"/>
            <family val="2"/>
          </rPr>
          <t>No Power upto 3.30pm no work also</t>
        </r>
      </text>
    </comment>
    <comment ref="M216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16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6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16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6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16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17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7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7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17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17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7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17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7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17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18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8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8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18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18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P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R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218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8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U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V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W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X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Y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Z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A218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8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C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D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E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F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G218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H218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19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19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19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19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19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19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19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19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19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0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0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0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20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J220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20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P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R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220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0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U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V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W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X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Y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Z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A220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0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C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D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E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F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G220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H220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1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1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1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21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21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1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21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1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21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2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2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2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22" authorId="0" shapeId="0">
      <text>
        <r>
          <rPr>
            <b/>
            <sz val="9"/>
            <color indexed="81"/>
            <rFont val="Tahoma"/>
            <family val="2"/>
          </rPr>
          <t>No Power upto 3.30pm no work also</t>
        </r>
      </text>
    </comment>
    <comment ref="M222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O222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S222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2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22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2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22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3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3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3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23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23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3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23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3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23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4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I224" authorId="0" shapeId="0">
      <text>
        <r>
          <rPr>
            <b/>
            <sz val="9"/>
            <color indexed="81"/>
            <rFont val="Tahoma"/>
            <family val="2"/>
          </rPr>
          <t>11am went just visit</t>
        </r>
      </text>
    </comment>
    <comment ref="M22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24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24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4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C224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D224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H224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F22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G22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H225" authorId="0" shapeId="0">
      <text>
        <r>
          <rPr>
            <b/>
            <sz val="9"/>
            <color indexed="81"/>
            <rFont val="Tahoma"/>
            <family val="2"/>
          </rPr>
          <t>MIZGAM CYLCONE</t>
        </r>
        <r>
          <rPr>
            <sz val="9"/>
            <color indexed="81"/>
            <rFont val="Tahoma"/>
            <family val="2"/>
          </rPr>
          <t xml:space="preserve">
Heavy rain and no power</t>
        </r>
      </text>
    </comment>
    <comment ref="M22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S225" authorId="0" shapeId="0">
      <text>
        <r>
          <rPr>
            <b/>
            <sz val="9"/>
            <color indexed="81"/>
            <rFont val="Tahoma"/>
            <family val="2"/>
          </rPr>
          <t>SATURDAY POWER SHUTDOWN</t>
        </r>
      </text>
    </comment>
    <comment ref="T22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A225" authorId="0" shapeId="0">
      <text>
        <r>
          <rPr>
            <b/>
            <sz val="9"/>
            <color indexed="81"/>
            <rFont val="Tahoma"/>
            <family val="2"/>
          </rPr>
          <t>Sunday No load for comp off</t>
        </r>
      </text>
    </comment>
    <comment ref="AB225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  <comment ref="AH225" authorId="0" shapeId="0">
      <text>
        <r>
          <rPr>
            <b/>
            <sz val="9"/>
            <color indexed="81"/>
            <rFont val="Tahoma"/>
            <family val="2"/>
          </rPr>
          <t>No Load 
Christmas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U3" authorId="0" shapeId="0">
      <text>
        <r>
          <rPr>
            <b/>
            <sz val="9"/>
            <color indexed="81"/>
            <rFont val="Tahoma"/>
            <family val="2"/>
          </rPr>
          <t>Bro Poison</t>
        </r>
      </text>
    </comment>
    <comment ref="V3" authorId="0" shapeId="0">
      <text>
        <r>
          <rPr>
            <b/>
            <sz val="9"/>
            <color indexed="81"/>
            <rFont val="Tahoma"/>
            <family val="2"/>
          </rPr>
          <t>Bro Poison</t>
        </r>
      </text>
    </comment>
    <comment ref="W3" authorId="0" shapeId="0">
      <text>
        <r>
          <rPr>
            <b/>
            <sz val="9"/>
            <color indexed="81"/>
            <rFont val="Tahoma"/>
            <family val="2"/>
          </rPr>
          <t>Bro Poison</t>
        </r>
      </text>
    </comment>
    <comment ref="Y3" authorId="0" shapeId="0">
      <text>
        <r>
          <rPr>
            <b/>
            <sz val="9"/>
            <color indexed="81"/>
            <rFont val="Tahoma"/>
            <family val="2"/>
          </rPr>
          <t>Bro Poison</t>
        </r>
      </text>
    </comment>
    <comment ref="Z3" authorId="0" shapeId="0">
      <text>
        <r>
          <rPr>
            <b/>
            <sz val="9"/>
            <color indexed="81"/>
            <rFont val="Tahoma"/>
            <family val="2"/>
          </rPr>
          <t>Bro Poison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Katti &amp; Fever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Fever &amp; Disentry</t>
        </r>
      </text>
    </comment>
    <comment ref="AD5" authorId="0" shapeId="0">
      <text>
        <r>
          <rPr>
            <b/>
            <sz val="9"/>
            <color indexed="81"/>
            <rFont val="Tahoma"/>
            <family val="2"/>
          </rPr>
          <t>Katti &amp; Fever</t>
        </r>
      </text>
    </comment>
    <comment ref="AG5" authorId="0" shapeId="0">
      <text>
        <r>
          <rPr>
            <b/>
            <sz val="9"/>
            <color indexed="81"/>
            <rFont val="Tahoma"/>
            <family val="2"/>
          </rPr>
          <t>Katti &amp; Fever</t>
        </r>
      </text>
    </comment>
    <comment ref="AH5" authorId="0" shapeId="0">
      <text>
        <r>
          <rPr>
            <b/>
            <sz val="9"/>
            <color indexed="81"/>
            <rFont val="Tahoma"/>
            <family val="2"/>
          </rPr>
          <t>Katti &amp; Fever</t>
        </r>
      </text>
    </comment>
    <comment ref="P7" authorId="0" shapeId="0">
      <text>
        <r>
          <rPr>
            <b/>
            <sz val="9"/>
            <color indexed="81"/>
            <rFont val="Tahoma"/>
            <family val="2"/>
          </rPr>
          <t>Went Pattabiram friend send off</t>
        </r>
      </text>
    </comment>
    <comment ref="Y7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T9" authorId="0" shapeId="0">
      <text>
        <r>
          <rPr>
            <b/>
            <sz val="9"/>
            <color indexed="81"/>
            <rFont val="Tahoma"/>
            <family val="2"/>
          </rPr>
          <t>Bank</t>
        </r>
      </text>
    </comment>
    <comment ref="AF9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G9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AF11" authorId="0" shapeId="0">
      <text>
        <r>
          <rPr>
            <b/>
            <sz val="9"/>
            <color indexed="81"/>
            <rFont val="Tahoma"/>
            <family val="2"/>
          </rPr>
          <t>Leave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Not Well 1/2 day came</t>
        </r>
      </text>
    </comment>
    <comment ref="S25" authorId="0" shapeId="0">
      <text>
        <r>
          <rPr>
            <b/>
            <sz val="9"/>
            <color indexed="81"/>
            <rFont val="Tahoma"/>
            <family val="2"/>
          </rPr>
          <t>Gas Gaali</t>
        </r>
      </text>
    </comment>
    <comment ref="V25" authorId="0" shapeId="0">
      <text>
        <r>
          <rPr>
            <b/>
            <sz val="9"/>
            <color indexed="81"/>
            <rFont val="Tahoma"/>
            <family val="2"/>
          </rPr>
          <t>Kakkalur 9am come</t>
        </r>
      </text>
    </comment>
    <comment ref="T28" authorId="0" shapeId="0">
      <text>
        <r>
          <rPr>
            <b/>
            <sz val="9"/>
            <color indexed="81"/>
            <rFont val="Tahoma"/>
            <family val="2"/>
          </rPr>
          <t>Bank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Leave Pat pain</t>
        </r>
      </text>
    </comment>
    <comment ref="U43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AC43" authorId="0" shapeId="0">
      <text>
        <r>
          <rPr>
            <b/>
            <sz val="9"/>
            <color indexed="81"/>
            <rFont val="Tahoma"/>
            <family val="2"/>
          </rPr>
          <t xml:space="preserve">went 1pm,
Not well
Holli Celibration
</t>
        </r>
      </text>
    </comment>
    <comment ref="S45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U45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AD45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G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I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J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K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L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N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O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R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U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V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W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X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Y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Z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B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C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D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E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F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G47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J49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O49" authorId="0" shapeId="0">
      <text>
        <r>
          <rPr>
            <b/>
            <sz val="9"/>
            <color indexed="81"/>
            <rFont val="Tahoma"/>
            <family val="2"/>
          </rPr>
          <t xml:space="preserve">Sleep
Rentu
</t>
        </r>
      </text>
    </comment>
    <comment ref="U49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AB49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AG49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G50" authorId="0" shapeId="0">
      <text>
        <r>
          <rPr>
            <b/>
            <sz val="9"/>
            <color indexed="81"/>
            <rFont val="Tahoma"/>
            <family val="2"/>
          </rPr>
          <t>late Come</t>
        </r>
      </text>
    </comment>
    <comment ref="L51" authorId="0" shapeId="0">
      <text>
        <r>
          <rPr>
            <b/>
            <sz val="9"/>
            <color indexed="81"/>
            <rFont val="Tahoma"/>
            <family val="2"/>
          </rPr>
          <t>mayanakollai</t>
        </r>
      </text>
    </comment>
    <comment ref="N51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X51" authorId="0" shapeId="0">
      <text>
        <r>
          <rPr>
            <b/>
            <sz val="9"/>
            <color indexed="81"/>
            <rFont val="Tahoma"/>
            <family val="2"/>
          </rPr>
          <t>Leave Train Miss No inform</t>
        </r>
      </text>
    </comment>
    <comment ref="AB51" authorId="0" shapeId="0">
      <text>
        <r>
          <rPr>
            <b/>
            <sz val="9"/>
            <color indexed="81"/>
            <rFont val="Tahoma"/>
            <family val="2"/>
          </rPr>
          <t>Leave, Hospital wife No inform</t>
        </r>
      </text>
    </comment>
    <comment ref="AF51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Q53" authorId="0" shapeId="0">
      <text>
        <r>
          <rPr>
            <b/>
            <sz val="9"/>
            <color indexed="81"/>
            <rFont val="Tahoma"/>
            <family val="2"/>
          </rPr>
          <t>Jana</t>
        </r>
      </text>
    </comment>
    <comment ref="R53" authorId="0" shapeId="0">
      <text>
        <r>
          <rPr>
            <b/>
            <sz val="9"/>
            <color indexed="81"/>
            <rFont val="Tahoma"/>
            <family val="2"/>
          </rPr>
          <t>Santhosh</t>
        </r>
      </text>
    </comment>
    <comment ref="AF53" authorId="0" shapeId="0">
      <text>
        <r>
          <rPr>
            <b/>
            <sz val="9"/>
            <color indexed="81"/>
            <rFont val="Tahoma"/>
            <family val="2"/>
          </rPr>
          <t>Leave  Fever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Chandan OT Coming</t>
        </r>
      </text>
    </comment>
    <comment ref="J6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N62" authorId="0" shapeId="0">
      <text>
        <r>
          <rPr>
            <b/>
            <sz val="9"/>
            <color indexed="81"/>
            <rFont val="Tahoma"/>
            <family val="2"/>
          </rPr>
          <t>Anna Send off leave</t>
        </r>
      </text>
    </comment>
    <comment ref="O62" authorId="0" shapeId="0">
      <text>
        <r>
          <rPr>
            <b/>
            <sz val="9"/>
            <color indexed="81"/>
            <rFont val="Tahoma"/>
            <family val="2"/>
          </rPr>
          <t>Anna Send off leave</t>
        </r>
      </text>
    </comment>
    <comment ref="P62" authorId="0" shapeId="0">
      <text>
        <r>
          <rPr>
            <b/>
            <sz val="9"/>
            <color indexed="81"/>
            <rFont val="Tahoma"/>
            <family val="2"/>
          </rPr>
          <t>Anna Send off leave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V62" authorId="0" shapeId="0">
      <text>
        <r>
          <rPr>
            <sz val="9"/>
            <color indexed="81"/>
            <rFont val="Tahoma"/>
            <family val="2"/>
          </rPr>
          <t>Parliment
Election Day</t>
        </r>
      </text>
    </comment>
    <comment ref="Y62" authorId="0" shapeId="0">
      <text>
        <r>
          <rPr>
            <sz val="9"/>
            <color indexed="81"/>
            <rFont val="Tahoma"/>
            <family val="2"/>
          </rPr>
          <t xml:space="preserve">Sleeping </t>
        </r>
      </text>
    </comment>
    <comment ref="AE6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4.30 pm went GAS NO</t>
        </r>
      </text>
    </comment>
    <comment ref="AF63" authorId="0" shapeId="0">
      <text>
        <r>
          <rPr>
            <b/>
            <sz val="9"/>
            <color indexed="81"/>
            <rFont val="Tahoma"/>
            <family val="2"/>
          </rPr>
          <t>6000 advance got for marriage funtion transfer 4.30pm went</t>
        </r>
      </text>
    </comment>
    <comment ref="P64" authorId="0" shapeId="0">
      <text>
        <r>
          <rPr>
            <b/>
            <sz val="9"/>
            <color indexed="81"/>
            <rFont val="Tahoma"/>
            <family val="2"/>
          </rPr>
          <t>8.30`1pmAmabattur</t>
        </r>
      </text>
    </comment>
    <comment ref="Q64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R64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S64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V64" authorId="0" shapeId="0">
      <text>
        <r>
          <rPr>
            <sz val="9"/>
            <color indexed="81"/>
            <rFont val="Tahoma"/>
            <family val="2"/>
          </rPr>
          <t>Parliment
Election Day</t>
        </r>
      </text>
    </comment>
    <comment ref="AF64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I68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Finance sign</t>
        </r>
      </text>
    </comment>
    <comment ref="R68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S68" authorId="0" shapeId="0">
      <text>
        <r>
          <rPr>
            <b/>
            <sz val="9"/>
            <color indexed="81"/>
            <rFont val="Tahoma"/>
            <family val="2"/>
          </rPr>
          <t>Leave No Inform</t>
        </r>
      </text>
    </comment>
    <comment ref="U68" authorId="0" shapeId="0">
      <text>
        <r>
          <rPr>
            <b/>
            <sz val="9"/>
            <color indexed="81"/>
            <rFont val="Tahoma"/>
            <family val="2"/>
          </rPr>
          <t>Fired due to mis behaviour</t>
        </r>
      </text>
    </comment>
    <comment ref="I70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N70" authorId="0" shapeId="0">
      <text>
        <r>
          <rPr>
            <b/>
            <sz val="9"/>
            <color indexed="81"/>
            <rFont val="Tahoma"/>
            <family val="2"/>
          </rPr>
          <t>half day stomach pain</t>
        </r>
      </text>
    </comment>
    <comment ref="J7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Q7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V72" authorId="0" shapeId="0">
      <text>
        <r>
          <rPr>
            <sz val="9"/>
            <color indexed="81"/>
            <rFont val="Tahoma"/>
            <family val="2"/>
          </rPr>
          <t>Parliment
Election Day</t>
        </r>
      </text>
    </comment>
    <comment ref="AE72" authorId="0" shapeId="0">
      <text>
        <r>
          <rPr>
            <b/>
            <sz val="9"/>
            <color indexed="81"/>
            <rFont val="Tahoma"/>
            <family val="2"/>
          </rPr>
          <t>8-2pm</t>
        </r>
      </text>
    </comment>
    <comment ref="N79" authorId="0" shapeId="0">
      <text>
        <r>
          <rPr>
            <b/>
            <sz val="9"/>
            <color indexed="81"/>
            <rFont val="Tahoma"/>
            <family val="2"/>
          </rPr>
          <t>Hand Injury</t>
        </r>
      </text>
    </comment>
    <comment ref="AE7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W80" authorId="0" shapeId="0">
      <text>
        <r>
          <rPr>
            <b/>
            <sz val="9"/>
            <color indexed="81"/>
            <rFont val="Tahoma"/>
            <family val="2"/>
          </rPr>
          <t>11AM COMING BOOBY SENDOFF</t>
        </r>
      </text>
    </comment>
    <comment ref="P81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Q81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Z81" authorId="0" shapeId="0">
      <text>
        <r>
          <rPr>
            <b/>
            <sz val="9"/>
            <color indexed="81"/>
            <rFont val="Tahoma"/>
            <family val="2"/>
          </rPr>
          <t>Body Pain</t>
        </r>
      </text>
    </comment>
    <comment ref="E83" authorId="0" shapeId="0">
      <text>
        <r>
          <rPr>
            <b/>
            <sz val="9"/>
            <color indexed="81"/>
            <rFont val="Tahoma"/>
            <family val="2"/>
          </rPr>
          <t>Back Pain</t>
        </r>
      </text>
    </comment>
    <comment ref="U83" authorId="0" shapeId="0">
      <text>
        <r>
          <rPr>
            <b/>
            <sz val="9"/>
            <color indexed="81"/>
            <rFont val="Tahoma"/>
            <family val="2"/>
          </rPr>
          <t>Tirupathi</t>
        </r>
      </text>
    </comment>
    <comment ref="AB83" authorId="0" shapeId="0">
      <text>
        <r>
          <rPr>
            <b/>
            <sz val="9"/>
            <color indexed="81"/>
            <rFont val="Tahoma"/>
            <family val="2"/>
          </rPr>
          <t>Cow hitting mother</t>
        </r>
      </text>
    </comment>
    <comment ref="AH83" authorId="0" shapeId="0">
      <text>
        <r>
          <rPr>
            <b/>
            <sz val="9"/>
            <color indexed="81"/>
            <rFont val="Tahoma"/>
            <family val="2"/>
          </rPr>
          <t>Wire Fire</t>
        </r>
      </text>
    </comment>
    <comment ref="I85" authorId="0" shapeId="0">
      <text>
        <r>
          <rPr>
            <b/>
            <sz val="9"/>
            <color indexed="81"/>
            <rFont val="Tahoma"/>
            <family val="2"/>
          </rPr>
          <t>Not well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PF Claim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 xml:space="preserve">PF Claim
</t>
        </r>
      </text>
    </comment>
    <comment ref="Q89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R89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Death</t>
        </r>
      </text>
    </comment>
    <comment ref="Y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Z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A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B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D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E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F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G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AH89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X90" authorId="0" shapeId="0">
      <text>
        <r>
          <rPr>
            <b/>
            <sz val="9"/>
            <color indexed="81"/>
            <rFont val="Tahoma"/>
            <family val="2"/>
          </rPr>
          <t>4.30 went mosque</t>
        </r>
      </text>
    </comment>
    <comment ref="Q91" authorId="0" shapeId="0">
      <text>
        <r>
          <rPr>
            <b/>
            <sz val="9"/>
            <color indexed="81"/>
            <rFont val="Tahoma"/>
            <family val="2"/>
          </rPr>
          <t>Went without information</t>
        </r>
      </text>
    </comment>
    <comment ref="R91" authorId="0" shapeId="0">
      <text>
        <r>
          <rPr>
            <b/>
            <sz val="9"/>
            <color indexed="81"/>
            <rFont val="Tahoma"/>
            <family val="2"/>
          </rPr>
          <t>Went without information</t>
        </r>
      </text>
    </comment>
    <comment ref="S91" authorId="0" shapeId="0">
      <text>
        <r>
          <rPr>
            <b/>
            <sz val="9"/>
            <color indexed="81"/>
            <rFont val="Tahoma"/>
            <family val="2"/>
          </rPr>
          <t>Went without information</t>
        </r>
      </text>
    </comment>
    <comment ref="T91" authorId="0" shapeId="0">
      <text>
        <r>
          <rPr>
            <b/>
            <sz val="9"/>
            <color indexed="81"/>
            <rFont val="Tahoma"/>
            <family val="2"/>
          </rPr>
          <t>Went without information</t>
        </r>
      </text>
    </comment>
    <comment ref="L92" authorId="0" shapeId="0">
      <text>
        <r>
          <rPr>
            <b/>
            <sz val="9"/>
            <color indexed="81"/>
            <rFont val="Tahoma"/>
            <family val="2"/>
          </rPr>
          <t>4.30 went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Notwell</t>
        </r>
      </text>
    </comment>
    <comment ref="R98" authorId="0" shapeId="0">
      <text>
        <r>
          <rPr>
            <b/>
            <sz val="9"/>
            <color indexed="81"/>
            <rFont val="Tahoma"/>
            <family val="2"/>
          </rPr>
          <t>SAT POWER SHUT DOWN</t>
        </r>
      </text>
    </comment>
    <comment ref="T98" authorId="0" shapeId="0">
      <text>
        <r>
          <rPr>
            <b/>
            <sz val="9"/>
            <color indexed="81"/>
            <rFont val="Tahoma"/>
            <family val="2"/>
          </rPr>
          <t>TIRUPATHI</t>
        </r>
      </text>
    </comment>
    <comment ref="U98" authorId="0" shapeId="0">
      <text>
        <r>
          <rPr>
            <b/>
            <sz val="9"/>
            <color indexed="81"/>
            <rFont val="Tahoma"/>
            <family val="2"/>
          </rPr>
          <t>TIRUPATHI</t>
        </r>
      </text>
    </comment>
    <comment ref="F100" authorId="0" shapeId="0">
      <text>
        <r>
          <rPr>
            <b/>
            <sz val="9"/>
            <color indexed="81"/>
            <rFont val="Tahoma"/>
            <family val="2"/>
          </rPr>
          <t>Notwell</t>
        </r>
      </text>
    </comment>
    <comment ref="Q100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R100" authorId="0" shapeId="0">
      <text>
        <r>
          <rPr>
            <b/>
            <sz val="9"/>
            <color indexed="81"/>
            <rFont val="Tahoma"/>
            <family val="2"/>
          </rPr>
          <t>SAT POWER SHUT DOWN</t>
        </r>
      </text>
    </comment>
    <comment ref="T100" authorId="0" shapeId="0">
      <text>
        <r>
          <rPr>
            <b/>
            <sz val="9"/>
            <color indexed="81"/>
            <rFont val="Tahoma"/>
            <family val="2"/>
          </rPr>
          <t>TIRUPATHI</t>
        </r>
      </text>
    </comment>
    <comment ref="AE100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AF100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D102" authorId="0" shapeId="0">
      <text>
        <r>
          <rPr>
            <b/>
            <sz val="9"/>
            <color indexed="81"/>
            <rFont val="Tahoma"/>
            <family val="2"/>
          </rPr>
          <t xml:space="preserve">Kambam, Wire, Hospital notwell, wife, </t>
        </r>
      </text>
    </comment>
    <comment ref="F102" authorId="0" shapeId="0">
      <text>
        <r>
          <rPr>
            <b/>
            <sz val="9"/>
            <color indexed="81"/>
            <rFont val="Tahoma"/>
            <family val="2"/>
          </rPr>
          <t xml:space="preserve">Kambam, Wire, Hospital notwell, wife, </t>
        </r>
      </text>
    </comment>
    <comment ref="G102" authorId="0" shapeId="0">
      <text>
        <r>
          <rPr>
            <b/>
            <sz val="9"/>
            <color indexed="81"/>
            <rFont val="Tahoma"/>
            <family val="2"/>
          </rPr>
          <t xml:space="preserve">Kambam, Wire, Hospital notwell, wife, </t>
        </r>
      </text>
    </comment>
    <comment ref="K102" authorId="0" shapeId="0">
      <text>
        <r>
          <rPr>
            <b/>
            <sz val="9"/>
            <color indexed="81"/>
            <rFont val="Tahoma"/>
            <family val="2"/>
          </rPr>
          <t xml:space="preserve">Kambam, Wire, Hospital notwell, wife, </t>
        </r>
      </text>
    </comment>
    <comment ref="O102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P102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Q102" authorId="0" shapeId="0">
      <text>
        <r>
          <rPr>
            <b/>
            <sz val="9"/>
            <color indexed="81"/>
            <rFont val="Tahoma"/>
            <family val="2"/>
          </rPr>
          <t xml:space="preserve">No inform </t>
        </r>
      </text>
    </comment>
    <comment ref="J104" authorId="0" shapeId="0">
      <text>
        <r>
          <rPr>
            <b/>
            <sz val="9"/>
            <color indexed="81"/>
            <rFont val="Tahoma"/>
            <family val="2"/>
          </rPr>
          <t>No inform</t>
        </r>
      </text>
    </comment>
    <comment ref="R106" authorId="0" shapeId="0">
      <text>
        <r>
          <rPr>
            <b/>
            <sz val="9"/>
            <color indexed="81"/>
            <rFont val="Tahoma"/>
            <family val="2"/>
          </rPr>
          <t>SAT POWER SHUT DOWN</t>
        </r>
      </text>
    </comment>
    <comment ref="D108" authorId="0" shapeId="0">
      <text>
        <r>
          <rPr>
            <b/>
            <sz val="9"/>
            <color indexed="81"/>
            <rFont val="Tahoma"/>
            <family val="2"/>
          </rPr>
          <t>Baby not well</t>
        </r>
      </text>
    </comment>
    <comment ref="F108" authorId="0" shapeId="0">
      <text>
        <r>
          <rPr>
            <b/>
            <sz val="9"/>
            <color indexed="81"/>
            <rFont val="Tahoma"/>
            <family val="2"/>
          </rPr>
          <t>Baby not well</t>
        </r>
      </text>
    </comment>
    <comment ref="G108" authorId="0" shapeId="0">
      <text>
        <r>
          <rPr>
            <b/>
            <sz val="9"/>
            <color indexed="81"/>
            <rFont val="Tahoma"/>
            <family val="2"/>
          </rPr>
          <t>Baby not well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Baby not well</t>
        </r>
      </text>
    </comment>
    <comment ref="K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M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O108" authorId="0" shapeId="0">
      <text>
        <r>
          <rPr>
            <b/>
            <sz val="9"/>
            <color indexed="81"/>
            <rFont val="Tahoma"/>
            <family val="2"/>
          </rPr>
          <t>Blood check</t>
        </r>
      </text>
    </comment>
    <comment ref="U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V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W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X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Y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AA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AB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AC108" authorId="0" shapeId="0">
      <text>
        <r>
          <rPr>
            <b/>
            <sz val="9"/>
            <color indexed="81"/>
            <rFont val="Tahoma"/>
            <family val="2"/>
          </rPr>
          <t>not well 10 am went</t>
        </r>
      </text>
    </comment>
    <comment ref="R110" authorId="0" shapeId="0">
      <text>
        <r>
          <rPr>
            <b/>
            <sz val="9"/>
            <color indexed="81"/>
            <rFont val="Tahoma"/>
            <family val="2"/>
          </rPr>
          <t>SAT POWER SHUT DOWN</t>
        </r>
      </text>
    </comment>
    <comment ref="R117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L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M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N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O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P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R119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S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T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U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V119" authorId="0" shapeId="0">
      <text>
        <r>
          <rPr>
            <b/>
            <sz val="9"/>
            <color indexed="81"/>
            <rFont val="Tahoma"/>
            <family val="2"/>
          </rPr>
          <t>Rentu replace new person Lucky</t>
        </r>
      </text>
    </comment>
    <comment ref="Z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A119" authorId="0" shapeId="0">
      <text>
        <r>
          <rPr>
            <b/>
            <sz val="9"/>
            <color indexed="81"/>
            <rFont val="Tahoma"/>
            <family val="2"/>
          </rPr>
          <t xml:space="preserve">basanthFever </t>
        </r>
      </text>
    </comment>
    <comment ref="AB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C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D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F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G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AH119" authorId="0" shapeId="0">
      <text>
        <r>
          <rPr>
            <b/>
            <sz val="9"/>
            <color indexed="81"/>
            <rFont val="Tahoma"/>
            <family val="2"/>
          </rPr>
          <t>Basanth</t>
        </r>
      </text>
    </comment>
    <comment ref="I121" authorId="0" shapeId="0">
      <text>
        <r>
          <rPr>
            <b/>
            <sz val="9"/>
            <color indexed="81"/>
            <rFont val="Tahoma"/>
            <family val="2"/>
          </rPr>
          <t>Balmukunth replace new person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L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M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N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P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R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S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T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U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V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AB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AF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AG121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Power burst</t>
        </r>
      </text>
    </comment>
    <comment ref="M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N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O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R123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T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U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V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Y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AG123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P125" authorId="0" shapeId="0">
      <text>
        <r>
          <rPr>
            <b/>
            <sz val="9"/>
            <color indexed="81"/>
            <rFont val="Tahoma"/>
            <family val="2"/>
          </rPr>
          <t xml:space="preserve">Stomach
</t>
        </r>
      </text>
    </comment>
    <comment ref="R125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AC125" authorId="0" shapeId="0">
      <text>
        <r>
          <rPr>
            <b/>
            <sz val="9"/>
            <color indexed="81"/>
            <rFont val="Tahoma"/>
            <family val="2"/>
          </rPr>
          <t>Hand Injury in 35ton went sunshine hospital</t>
        </r>
      </text>
    </comment>
    <comment ref="R127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Y127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AA127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R129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Y129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R131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U131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V131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AA131" authorId="0" shapeId="0">
      <text>
        <r>
          <rPr>
            <b/>
            <sz val="9"/>
            <color indexed="81"/>
            <rFont val="Tahoma"/>
            <family val="2"/>
          </rPr>
          <t>Fever</t>
        </r>
      </text>
    </comment>
    <comment ref="O133" authorId="0" shapeId="0">
      <text>
        <r>
          <rPr>
            <b/>
            <sz val="9"/>
            <color indexed="81"/>
            <rFont val="Tahoma"/>
            <family val="2"/>
          </rPr>
          <t>Stomach Pain</t>
        </r>
      </text>
    </comment>
    <comment ref="R133" authorId="0" shapeId="0">
      <text>
        <r>
          <rPr>
            <b/>
            <sz val="9"/>
            <color indexed="81"/>
            <rFont val="Tahoma"/>
            <family val="2"/>
          </rPr>
          <t>Balmukunth replace new person Adhithya kumar</t>
        </r>
      </text>
    </comment>
    <comment ref="R140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0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41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1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42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2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AF142" authorId="0" shapeId="0">
      <text>
        <r>
          <rPr>
            <b/>
            <sz val="9"/>
            <color indexed="81"/>
            <rFont val="Tahoma"/>
            <family val="2"/>
          </rPr>
          <t>10.30 am coming</t>
        </r>
      </text>
    </comment>
    <comment ref="R143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3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P144" authorId="0" shapeId="0">
      <text>
        <r>
          <rPr>
            <b/>
            <sz val="9"/>
            <color indexed="81"/>
            <rFont val="Tahoma"/>
            <family val="2"/>
          </rPr>
          <t>Stomach Pain 10.30 went</t>
        </r>
      </text>
    </comment>
    <comment ref="R144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4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AE144" authorId="0" shapeId="0">
      <text>
        <r>
          <rPr>
            <b/>
            <sz val="9"/>
            <color indexed="81"/>
            <rFont val="Tahoma"/>
            <family val="2"/>
          </rPr>
          <t>Central Leave</t>
        </r>
      </text>
    </comment>
    <comment ref="R145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5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AF145" authorId="0" shapeId="0">
      <text>
        <r>
          <rPr>
            <b/>
            <sz val="9"/>
            <color indexed="81"/>
            <rFont val="Tahoma"/>
            <family val="2"/>
          </rPr>
          <t>Central 4pm went</t>
        </r>
      </text>
    </comment>
    <comment ref="R146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6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47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7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P148" authorId="0" shapeId="0">
      <text>
        <r>
          <rPr>
            <b/>
            <sz val="9"/>
            <color indexed="81"/>
            <rFont val="Tahoma"/>
            <family val="2"/>
          </rPr>
          <t>Went Home town</t>
        </r>
      </text>
    </comment>
    <comment ref="R148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8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49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49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P150" authorId="0" shapeId="0">
      <text>
        <r>
          <rPr>
            <b/>
            <sz val="9"/>
            <color indexed="81"/>
            <rFont val="Tahoma"/>
            <family val="2"/>
          </rPr>
          <t>Went Home town</t>
        </r>
      </text>
    </comment>
    <comment ref="R150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0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1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1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P152" authorId="0" shapeId="0">
      <text>
        <r>
          <rPr>
            <b/>
            <sz val="9"/>
            <color indexed="81"/>
            <rFont val="Tahoma"/>
            <family val="2"/>
          </rPr>
          <t>Went Home town</t>
        </r>
      </text>
    </comment>
    <comment ref="R152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2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3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3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4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4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5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5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6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6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X156" authorId="0" shapeId="0">
      <text>
        <r>
          <rPr>
            <b/>
            <sz val="9"/>
            <color indexed="81"/>
            <rFont val="Tahoma"/>
            <family val="2"/>
          </rPr>
          <t>Went to cental</t>
        </r>
      </text>
    </comment>
    <comment ref="AC156" authorId="0" shapeId="0">
      <text>
        <r>
          <rPr>
            <b/>
            <sz val="9"/>
            <color indexed="81"/>
            <rFont val="Tahoma"/>
            <family val="2"/>
          </rPr>
          <t>Wen Native</t>
        </r>
      </text>
    </comment>
    <comment ref="AD156" authorId="0" shapeId="0">
      <text>
        <r>
          <rPr>
            <b/>
            <sz val="9"/>
            <color indexed="81"/>
            <rFont val="Tahoma"/>
            <family val="2"/>
          </rPr>
          <t>Wen Native</t>
        </r>
      </text>
    </comment>
    <comment ref="R157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7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AH157" authorId="0" shapeId="0">
      <text>
        <r>
          <rPr>
            <b/>
            <sz val="9"/>
            <color indexed="81"/>
            <rFont val="Tahoma"/>
            <family val="2"/>
          </rPr>
          <t>Native</t>
        </r>
      </text>
    </comment>
    <comment ref="P158" authorId="0" shapeId="0">
      <text>
        <r>
          <rPr>
            <b/>
            <sz val="9"/>
            <color indexed="81"/>
            <rFont val="Tahoma"/>
            <family val="2"/>
          </rPr>
          <t>Drink</t>
        </r>
      </text>
    </comment>
    <comment ref="R158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8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59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59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60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60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R161" authorId="0" shapeId="0">
      <text>
        <r>
          <rPr>
            <b/>
            <sz val="9"/>
            <color indexed="81"/>
            <rFont val="Tahoma"/>
            <family val="2"/>
          </rPr>
          <t>Independence Day</t>
        </r>
      </text>
    </comment>
    <comment ref="T161" authorId="0" shapeId="0">
      <text>
        <r>
          <rPr>
            <b/>
            <sz val="9"/>
            <color indexed="81"/>
            <rFont val="Tahoma"/>
            <family val="2"/>
          </rPr>
          <t>Power shut down</t>
        </r>
      </text>
    </comment>
    <comment ref="AG211" authorId="0" shapeId="0">
      <text>
        <r>
          <rPr>
            <b/>
            <sz val="9"/>
            <color indexed="81"/>
            <rFont val="Tahoma"/>
            <family val="2"/>
          </rPr>
          <t>Pengal Cyclone 
Heavy rain all leave
bike not started
train coming</t>
        </r>
      </text>
    </comment>
    <comment ref="U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V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W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X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Y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Z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AB215" authorId="0" shapeId="0">
      <text>
        <r>
          <rPr>
            <b/>
            <sz val="9"/>
            <color indexed="81"/>
            <rFont val="Tahoma"/>
            <family val="2"/>
          </rPr>
          <t>Mantu</t>
        </r>
      </text>
    </comment>
    <comment ref="AD220" authorId="0" shapeId="0">
      <text>
        <r>
          <rPr>
            <b/>
            <sz val="9"/>
            <color indexed="81"/>
            <rFont val="Tahoma"/>
            <family val="2"/>
          </rPr>
          <t>Stomach Pain</t>
        </r>
      </text>
    </comment>
    <comment ref="AD221" authorId="0" shapeId="0">
      <text>
        <r>
          <rPr>
            <b/>
            <sz val="9"/>
            <color indexed="81"/>
            <rFont val="Tahoma"/>
            <family val="2"/>
          </rPr>
          <t>35 ton running girl 27 &amp; 28 coming 29 not coming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Y96" authorId="0" shapeId="0">
      <text>
        <r>
          <rPr>
            <b/>
            <sz val="9"/>
            <color indexed="81"/>
            <rFont val="Tahoma"/>
            <family val="2"/>
          </rPr>
          <t>Hindi Lady</t>
        </r>
      </text>
    </comment>
    <comment ref="Z96" authorId="0" shapeId="0">
      <text>
        <r>
          <rPr>
            <b/>
            <sz val="9"/>
            <color indexed="81"/>
            <rFont val="Tahoma"/>
            <family val="2"/>
          </rPr>
          <t>Hindi Lady</t>
        </r>
      </text>
    </comment>
    <comment ref="L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M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N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O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P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Q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R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S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T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U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V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X98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Q104" authorId="0" shapeId="0">
      <text>
        <r>
          <rPr>
            <b/>
            <sz val="9"/>
            <color indexed="81"/>
            <rFont val="Tahoma"/>
            <family val="2"/>
          </rPr>
          <t>Deepa New Joinee</t>
        </r>
      </text>
    </comment>
    <comment ref="V113" authorId="0" shapeId="0">
      <text>
        <r>
          <rPr>
            <b/>
            <sz val="9"/>
            <color indexed="81"/>
            <rFont val="Tahoma"/>
            <family val="2"/>
          </rPr>
          <t xml:space="preserve">Bhavani </t>
        </r>
      </text>
    </comment>
    <comment ref="Z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A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B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C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D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E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AG152" authorId="0" shapeId="0">
      <text>
        <r>
          <rPr>
            <b/>
            <sz val="9"/>
            <color indexed="81"/>
            <rFont val="Tahoma"/>
            <family val="2"/>
          </rPr>
          <t>New Lady</t>
        </r>
      </text>
    </comment>
    <comment ref="Z154" authorId="0" shapeId="0">
      <text>
        <r>
          <rPr>
            <b/>
            <sz val="9"/>
            <color indexed="81"/>
            <rFont val="Tahoma"/>
            <family val="2"/>
          </rPr>
          <t xml:space="preserve">New laduka
</t>
        </r>
      </text>
    </comment>
    <comment ref="AA154" authorId="0" shapeId="0">
      <text>
        <r>
          <rPr>
            <b/>
            <sz val="9"/>
            <color indexed="81"/>
            <rFont val="Tahoma"/>
            <family val="2"/>
          </rPr>
          <t xml:space="preserve">New laduka
</t>
        </r>
      </text>
    </comment>
    <comment ref="AB154" authorId="0" shapeId="0">
      <text>
        <r>
          <rPr>
            <b/>
            <sz val="9"/>
            <color indexed="81"/>
            <rFont val="Tahoma"/>
            <family val="2"/>
          </rPr>
          <t xml:space="preserve">New laduka
</t>
        </r>
      </text>
    </comment>
    <comment ref="AC154" authorId="0" shapeId="0">
      <text>
        <r>
          <rPr>
            <b/>
            <sz val="9"/>
            <color indexed="81"/>
            <rFont val="Tahoma"/>
            <family val="2"/>
          </rPr>
          <t xml:space="preserve">New laduka
</t>
        </r>
      </text>
    </comment>
    <comment ref="Z171" authorId="0" shapeId="0">
      <text>
        <r>
          <rPr>
            <b/>
            <sz val="9"/>
            <color indexed="81"/>
            <rFont val="Tahoma"/>
            <family val="2"/>
          </rPr>
          <t xml:space="preserve">Instagram Sister
</t>
        </r>
      </text>
    </comment>
    <comment ref="X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Y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Z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A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B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C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E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F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G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AH175" authorId="0" shapeId="0">
      <text>
        <r>
          <rPr>
            <b/>
            <sz val="9"/>
            <color indexed="81"/>
            <rFont val="Tahoma"/>
            <family val="2"/>
          </rPr>
          <t>Eswar with new fellow</t>
        </r>
      </text>
    </comment>
    <comment ref="Q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R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S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T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X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Z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B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C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G177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R187" authorId="0" shapeId="0">
      <text>
        <r>
          <rPr>
            <b/>
            <sz val="9"/>
            <color indexed="81"/>
            <rFont val="Tahoma"/>
            <family val="2"/>
          </rPr>
          <t>Both wifes coming 
2+1+1 Ladies</t>
        </r>
      </text>
    </comment>
    <comment ref="T187" authorId="0" shapeId="0">
      <text>
        <r>
          <rPr>
            <b/>
            <sz val="9"/>
            <color indexed="81"/>
            <rFont val="Tahoma"/>
            <family val="2"/>
          </rPr>
          <t>Both wifes coming 
2+1+1 Ladies</t>
        </r>
      </text>
    </comment>
    <comment ref="AB189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C189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E189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  <comment ref="AF189" authorId="0" shapeId="0">
      <text>
        <r>
          <rPr>
            <b/>
            <sz val="9"/>
            <color indexed="81"/>
            <rFont val="Tahoma"/>
            <family val="2"/>
          </rPr>
          <t>Magesh new person</t>
        </r>
      </text>
    </comment>
  </commentList>
</comments>
</file>

<file path=xl/sharedStrings.xml><?xml version="1.0" encoding="utf-8"?>
<sst xmlns="http://schemas.openxmlformats.org/spreadsheetml/2006/main" count="1312" uniqueCount="215">
  <si>
    <t>S.No</t>
  </si>
  <si>
    <t>Employee Name</t>
  </si>
  <si>
    <t>Attendence - January ' 2021</t>
  </si>
  <si>
    <t>Work Day</t>
  </si>
  <si>
    <t>Paid leave</t>
  </si>
  <si>
    <t>Self Leave</t>
  </si>
  <si>
    <t>Total Day</t>
  </si>
  <si>
    <t>Salary</t>
  </si>
  <si>
    <t>Estim Plan</t>
  </si>
  <si>
    <t>Vijay</t>
  </si>
  <si>
    <t>H</t>
  </si>
  <si>
    <t>S</t>
  </si>
  <si>
    <t>P</t>
  </si>
  <si>
    <t>R</t>
  </si>
  <si>
    <t>O</t>
  </si>
  <si>
    <t>U</t>
  </si>
  <si>
    <t>E</t>
  </si>
  <si>
    <t>Ashok</t>
  </si>
  <si>
    <t>L</t>
  </si>
  <si>
    <t>N</t>
  </si>
  <si>
    <t>I</t>
  </si>
  <si>
    <t>-</t>
  </si>
  <si>
    <t>G</t>
  </si>
  <si>
    <t>Balaji</t>
  </si>
  <si>
    <t>D</t>
  </si>
  <si>
    <t>A</t>
  </si>
  <si>
    <t>B</t>
  </si>
  <si>
    <t>Shankar</t>
  </si>
  <si>
    <t>Y</t>
  </si>
  <si>
    <t>C</t>
  </si>
  <si>
    <t>Manpower attend</t>
  </si>
  <si>
    <t>Over time</t>
  </si>
  <si>
    <t>Attendence - February ' 2021</t>
  </si>
  <si>
    <t>Plan</t>
  </si>
  <si>
    <t>Attendence - March ' 2021</t>
  </si>
  <si>
    <t>Attendence - April ' 2021</t>
  </si>
  <si>
    <t>Dheena</t>
  </si>
  <si>
    <t>Attendence - May' 2021</t>
  </si>
  <si>
    <t>Attendence - June' 2021</t>
  </si>
  <si>
    <t>Name</t>
  </si>
  <si>
    <t>Viji</t>
  </si>
  <si>
    <t>April ' 2021</t>
  </si>
  <si>
    <t xml:space="preserve">Monthly Salary </t>
  </si>
  <si>
    <t>No.of woking days</t>
  </si>
  <si>
    <t>Attendence days</t>
  </si>
  <si>
    <t>Paid Leave</t>
  </si>
  <si>
    <t>OT Hours</t>
  </si>
  <si>
    <t>Total</t>
  </si>
  <si>
    <t>Attendence - July' 2021</t>
  </si>
  <si>
    <t>Tea Cost</t>
  </si>
  <si>
    <t>Actual</t>
  </si>
  <si>
    <t>advance</t>
  </si>
  <si>
    <t>Attendence - August' 2021</t>
  </si>
  <si>
    <t>Preveen Raj</t>
  </si>
  <si>
    <t xml:space="preserve"> </t>
  </si>
  <si>
    <t>Attendence - September' 2021</t>
  </si>
  <si>
    <t>Attendence - October' 2021</t>
  </si>
  <si>
    <t>Attendence - November' 2021</t>
  </si>
  <si>
    <t>Attendence - December' 2021</t>
  </si>
  <si>
    <t>Jamat Ali</t>
  </si>
  <si>
    <t>Chotu</t>
  </si>
  <si>
    <t>Sathish</t>
  </si>
  <si>
    <t>Thangaraj</t>
  </si>
  <si>
    <t>Siva</t>
  </si>
  <si>
    <t>Bharath</t>
  </si>
  <si>
    <t>Attendence - January ' 2022</t>
  </si>
  <si>
    <t>Jahidul</t>
  </si>
  <si>
    <t>Yugesh Paswan</t>
  </si>
  <si>
    <t>Routray</t>
  </si>
  <si>
    <t>Attendence - February ' 2022</t>
  </si>
  <si>
    <t>Arjun Yadav</t>
  </si>
  <si>
    <t>Santhosh Yadav</t>
  </si>
  <si>
    <t>Attendence - March ' 2022</t>
  </si>
  <si>
    <t>Sakthivel</t>
  </si>
  <si>
    <t>Attendence - April ' 2022</t>
  </si>
  <si>
    <t>Minhaj</t>
  </si>
  <si>
    <t>Attendence - May' 2022</t>
  </si>
  <si>
    <t>Attendence - June' 2022</t>
  </si>
  <si>
    <t>Jarip Ali</t>
  </si>
  <si>
    <t>Jilani</t>
  </si>
  <si>
    <t>7</t>
  </si>
  <si>
    <t>Jul 4 Days Salary</t>
  </si>
  <si>
    <t>Jul 2 Days Salary</t>
  </si>
  <si>
    <t>Attendence - July' 2022</t>
  </si>
  <si>
    <t>Jul 6 Days Salary</t>
  </si>
  <si>
    <t>Basant kumar</t>
  </si>
  <si>
    <t>Manoj Kumar</t>
  </si>
  <si>
    <t>Vinoth Kumar</t>
  </si>
  <si>
    <t>Jai Singh</t>
  </si>
  <si>
    <t>Attendence - August' 2022</t>
  </si>
  <si>
    <t>Senthil</t>
  </si>
  <si>
    <t>July'22</t>
  </si>
  <si>
    <t>Attendence - September' 2022</t>
  </si>
  <si>
    <t>Advance</t>
  </si>
  <si>
    <t>Attendence - October' 2022</t>
  </si>
  <si>
    <t>Bhuvanshwar</t>
  </si>
  <si>
    <t>Attendence - November' 2022</t>
  </si>
  <si>
    <t>Total Salary</t>
  </si>
  <si>
    <t>Rai Singh</t>
  </si>
  <si>
    <t>Suraj</t>
  </si>
  <si>
    <t>Attendence - December' 2022</t>
  </si>
  <si>
    <t>Balance</t>
  </si>
  <si>
    <t>Sipalram</t>
  </si>
  <si>
    <t>Attendence</t>
  </si>
  <si>
    <t xml:space="preserve">Basant </t>
  </si>
  <si>
    <t>Bhuvan</t>
  </si>
  <si>
    <t>Overtime</t>
  </si>
  <si>
    <t>Work Days</t>
  </si>
  <si>
    <t>Self leave</t>
  </si>
  <si>
    <t>Final Salary</t>
  </si>
  <si>
    <t>Attendance - January ' 2023</t>
  </si>
  <si>
    <t>Actual Paid</t>
  </si>
  <si>
    <t>No.of Work Days</t>
  </si>
  <si>
    <t>S. No</t>
  </si>
  <si>
    <t>Eswar</t>
  </si>
  <si>
    <t>Attendance - February ' 2023</t>
  </si>
  <si>
    <t>Raju</t>
  </si>
  <si>
    <t>Attendance - March ' 2023</t>
  </si>
  <si>
    <t>Karthikeyan</t>
  </si>
  <si>
    <t>Raju/Ranjith</t>
  </si>
  <si>
    <t>Prem</t>
  </si>
  <si>
    <t>Attendance - April ' 2023</t>
  </si>
  <si>
    <t>Attendance - May ' 2023</t>
  </si>
  <si>
    <t>Prabakaran</t>
  </si>
  <si>
    <t>Attendance - June' 2023</t>
  </si>
  <si>
    <t>Ramesh</t>
  </si>
  <si>
    <t>Kamesh</t>
  </si>
  <si>
    <t>Sandheep</t>
  </si>
  <si>
    <t>Pradheep</t>
  </si>
  <si>
    <t>Attendance - July' 2023</t>
  </si>
  <si>
    <t>Saroj</t>
  </si>
  <si>
    <t>Attendance - August' 2023</t>
  </si>
  <si>
    <t>New</t>
  </si>
  <si>
    <t>GUNA</t>
  </si>
  <si>
    <t>Attendance - September' 2023</t>
  </si>
  <si>
    <t>Gunasekar</t>
  </si>
  <si>
    <t>Rentu</t>
  </si>
  <si>
    <t>Attendance - October' 2023</t>
  </si>
  <si>
    <t xml:space="preserve">  </t>
  </si>
  <si>
    <t>Attendance - November' 2023</t>
  </si>
  <si>
    <t>Rekha</t>
  </si>
  <si>
    <t>Attendance - December' 2023</t>
  </si>
  <si>
    <t>Attendance - January ' 2024</t>
  </si>
  <si>
    <t>Scrap</t>
  </si>
  <si>
    <t>Girl</t>
  </si>
  <si>
    <t>Boy</t>
  </si>
  <si>
    <t>Attendance - February ' 2024</t>
  </si>
  <si>
    <t>Kavitha</t>
  </si>
  <si>
    <t>boy</t>
  </si>
  <si>
    <t>Attendance - March ' 2024</t>
  </si>
  <si>
    <t>Balan</t>
  </si>
  <si>
    <t>Sudhakar</t>
  </si>
  <si>
    <t>Attendance - April ' 2024</t>
  </si>
  <si>
    <t>Deepak Kumar</t>
  </si>
  <si>
    <t>Satheesh</t>
  </si>
  <si>
    <t>Attendance - May ' 2024</t>
  </si>
  <si>
    <t>Srinivasan</t>
  </si>
  <si>
    <t>Adi</t>
  </si>
  <si>
    <t>Balmukunth</t>
  </si>
  <si>
    <t>Attendance - June ' 2024</t>
  </si>
  <si>
    <t>Abishek</t>
  </si>
  <si>
    <t>Roshan</t>
  </si>
  <si>
    <t>Rajkumar</t>
  </si>
  <si>
    <t>Rajeshkumar</t>
  </si>
  <si>
    <t>Gokul</t>
  </si>
  <si>
    <t>Attendance - July' 2024</t>
  </si>
  <si>
    <t>Attendance - August' 2024</t>
  </si>
  <si>
    <t>Basanth Yadav</t>
  </si>
  <si>
    <t>Adhitya</t>
  </si>
  <si>
    <t>Mithun</t>
  </si>
  <si>
    <t>Ramkumar</t>
  </si>
  <si>
    <t>Imran</t>
  </si>
  <si>
    <t>Subash</t>
  </si>
  <si>
    <t>Nithish</t>
  </si>
  <si>
    <t>Rajesh</t>
  </si>
  <si>
    <t>Attendance - September' 2024</t>
  </si>
  <si>
    <t>Attendance - October' 2024</t>
  </si>
  <si>
    <t>Pappu</t>
  </si>
  <si>
    <t>Attendance - November' 2024</t>
  </si>
  <si>
    <t>Attendance - December' 2024</t>
  </si>
  <si>
    <t>Attendance - January ' 2025</t>
  </si>
  <si>
    <t>Attendance - February ' 2025</t>
  </si>
  <si>
    <t>Joy</t>
  </si>
  <si>
    <t>Himato</t>
  </si>
  <si>
    <t>Kiran</t>
  </si>
  <si>
    <t>Mogesh</t>
  </si>
  <si>
    <t>mogesh</t>
  </si>
  <si>
    <t>joy</t>
  </si>
  <si>
    <t>kiran</t>
  </si>
  <si>
    <t xml:space="preserve">Eswar </t>
  </si>
  <si>
    <t>Attendance - March ' 2025</t>
  </si>
  <si>
    <t>Attendance - April ' 2025</t>
  </si>
  <si>
    <t>Bhavani</t>
  </si>
  <si>
    <t>Yellow</t>
  </si>
  <si>
    <t>New Hus</t>
  </si>
  <si>
    <t>Lady wife</t>
  </si>
  <si>
    <t>Deepa</t>
  </si>
  <si>
    <t>Attendance - May ' 2025</t>
  </si>
  <si>
    <t>z</t>
  </si>
  <si>
    <t>Husband</t>
  </si>
  <si>
    <t>SureshKumar</t>
  </si>
  <si>
    <t>Attendance - June ' 2025</t>
  </si>
  <si>
    <t>Hemanth</t>
  </si>
  <si>
    <t>Attendance - July ' 2025</t>
  </si>
  <si>
    <t xml:space="preserve">New Lady </t>
  </si>
  <si>
    <t>Wife Lady</t>
  </si>
  <si>
    <t>New 2 Athmi</t>
  </si>
  <si>
    <t>Chandrika</t>
  </si>
  <si>
    <t>Mag Brother</t>
  </si>
  <si>
    <t>Magi 1</t>
  </si>
  <si>
    <t>Sur 1</t>
  </si>
  <si>
    <t>Sur 11</t>
  </si>
  <si>
    <t>Sur 111</t>
  </si>
  <si>
    <t>Sur 1111</t>
  </si>
  <si>
    <t>Attendance - August '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</si>
</sst>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33CC"/>
      <name val="Arial"/>
      <family val="2"/>
    </font>
    <font>
      <b/>
      <sz val="14"/>
      <color rgb="FFFF3300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Vijaya"/>
      <family val="2"/>
    </font>
    <font>
      <sz val="13.5"/>
      <color theme="1"/>
      <name val="Vijaya"/>
      <family val="2"/>
    </font>
    <font>
      <b/>
      <sz val="18"/>
      <color theme="5" tint="-0.499984740745262"/>
      <name val="Vijaya"/>
      <family val="2"/>
    </font>
    <font>
      <b/>
      <sz val="11"/>
      <color theme="1"/>
      <name val="Vijaya"/>
      <family val="2"/>
    </font>
    <font>
      <sz val="11"/>
      <color rgb="FFFFFF00"/>
      <name val="Vijaya"/>
      <family val="2"/>
    </font>
    <font>
      <sz val="12"/>
      <color theme="1"/>
      <name val="Vijaya"/>
      <family val="2"/>
    </font>
    <font>
      <b/>
      <sz val="11"/>
      <color rgb="FFFF0000"/>
      <name val="Vijaya"/>
      <family val="2"/>
    </font>
    <font>
      <sz val="18"/>
      <color theme="1"/>
      <name val="Vijaya"/>
      <family val="2"/>
    </font>
    <font>
      <sz val="16"/>
      <color theme="1"/>
      <name val="Vijaya"/>
      <family val="2"/>
    </font>
    <font>
      <sz val="10"/>
      <color theme="1"/>
      <name val="Vijaya"/>
      <family val="2"/>
    </font>
    <font>
      <sz val="10"/>
      <color theme="1"/>
      <name val="Calibri"/>
      <family val="2"/>
      <scheme val="minor"/>
    </font>
    <font>
      <b/>
      <sz val="20"/>
      <name val="Vijaya"/>
      <family val="2"/>
    </font>
    <font>
      <sz val="11"/>
      <color rgb="FFFF0000"/>
      <name val="Vijaya"/>
      <family val="2"/>
    </font>
    <font>
      <sz val="18"/>
      <color rgb="FFFF0000"/>
      <name val="Vijaya"/>
      <family val="2"/>
    </font>
    <font>
      <sz val="18"/>
      <color theme="7" tint="-0.249977111117893"/>
      <name val="Vijaya"/>
      <family val="2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5" tint="-0.499984740745262"/>
      <name val="Vijaya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rgb="FFFF0000"/>
      <name val="Arial Narrow"/>
      <family val="2"/>
    </font>
    <font>
      <sz val="12"/>
      <color theme="1"/>
      <name val="Arial Narrow"/>
      <family val="2"/>
    </font>
    <font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00"/>
      <name val="Arial Narrow"/>
      <family val="2"/>
    </font>
    <font>
      <b/>
      <sz val="10"/>
      <color theme="1"/>
      <name val="Arial Narrow"/>
      <family val="2"/>
    </font>
    <font>
      <b/>
      <sz val="10"/>
      <color rgb="FF0033CC"/>
      <name val="Arial Narrow"/>
      <family val="2"/>
    </font>
    <font>
      <b/>
      <sz val="14"/>
      <color rgb="FFFFC000"/>
      <name val="Arial Narrow"/>
      <family val="2"/>
    </font>
    <font>
      <b/>
      <sz val="10"/>
      <color rgb="FFFFC000"/>
      <name val="Arial Narrow"/>
      <family val="2"/>
    </font>
    <font>
      <b/>
      <sz val="10"/>
      <color rgb="FFC00000"/>
      <name val="Arial Narrow"/>
      <family val="2"/>
    </font>
    <font>
      <b/>
      <sz val="18"/>
      <color rgb="FFFFC000"/>
      <name val="Arial Narrow"/>
      <family val="2"/>
    </font>
    <font>
      <b/>
      <sz val="9"/>
      <color rgb="FFFFC000"/>
      <name val="Arial Narrow"/>
      <family val="2"/>
    </font>
    <font>
      <b/>
      <sz val="11"/>
      <color rgb="FFFFC000"/>
      <name val="Arial Narrow"/>
      <family val="2"/>
    </font>
    <font>
      <b/>
      <sz val="10"/>
      <name val="Arial Narrow"/>
      <family val="2"/>
    </font>
    <font>
      <b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14"/>
      <color rgb="FFFF0000"/>
      <name val="Arial Narrow"/>
      <family val="2"/>
    </font>
    <font>
      <sz val="10"/>
      <color rgb="FFFF0000"/>
      <name val="Arial Narrow"/>
      <family val="2"/>
    </font>
    <font>
      <b/>
      <sz val="10"/>
      <color theme="0"/>
      <name val="Arial Narrow"/>
      <family val="2"/>
    </font>
    <font>
      <b/>
      <sz val="16"/>
      <color rgb="FF333300"/>
      <name val="Arial Narrow"/>
      <family val="2"/>
    </font>
    <font>
      <sz val="7"/>
      <color theme="1"/>
      <name val="Arial Narrow"/>
      <family val="2"/>
    </font>
    <font>
      <sz val="10"/>
      <color rgb="FFFFC000"/>
      <name val="Arial Narrow"/>
      <family val="2"/>
    </font>
    <font>
      <sz val="8"/>
      <color rgb="FFFFC000"/>
      <name val="Arial Narrow"/>
      <family val="2"/>
    </font>
    <font>
      <b/>
      <sz val="16"/>
      <color theme="1"/>
      <name val="Vijaya"/>
      <family val="2"/>
    </font>
    <font>
      <sz val="14"/>
      <color theme="1"/>
      <name val="Vijaya"/>
      <family val="2"/>
    </font>
    <font>
      <sz val="14"/>
      <color rgb="FFFF0000"/>
      <name val="Vijaya"/>
      <family val="2"/>
    </font>
    <font>
      <b/>
      <sz val="16"/>
      <color rgb="FFFF0000"/>
      <name val="Arial Narrow"/>
      <family val="2"/>
    </font>
    <font>
      <sz val="8"/>
      <color theme="1"/>
      <name val="Arial Narrow"/>
      <family val="2"/>
    </font>
    <font>
      <b/>
      <sz val="12"/>
      <color rgb="FFFFC000"/>
      <name val="Arial Narrow"/>
      <family val="2"/>
    </font>
    <font>
      <b/>
      <sz val="14"/>
      <color theme="8" tint="0.39997558519241921"/>
      <name val="Arial Narrow"/>
      <family val="2"/>
    </font>
    <font>
      <b/>
      <sz val="9"/>
      <color theme="8" tint="0.39997558519241921"/>
      <name val="Arial Narrow"/>
      <family val="2"/>
    </font>
    <font>
      <b/>
      <sz val="10"/>
      <color theme="8" tint="0.39997558519241921"/>
      <name val="Arial Narrow"/>
      <family val="2"/>
    </font>
    <font>
      <b/>
      <sz val="11"/>
      <color theme="8" tint="0.39997558519241921"/>
      <name val="Arial Narrow"/>
      <family val="2"/>
    </font>
    <font>
      <b/>
      <sz val="12"/>
      <color rgb="FF00FFCC"/>
      <name val="Arial Narrow"/>
      <family val="2"/>
    </font>
  </fonts>
  <fills count="7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966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8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0" fontId="6" fillId="0" borderId="5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/>
    <xf numFmtId="0" fontId="11" fillId="0" borderId="0" xfId="0" applyFont="1"/>
    <xf numFmtId="0" fontId="11" fillId="2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1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1" fillId="0" borderId="6" xfId="0" applyFont="1" applyBorder="1"/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7" fillId="15" borderId="6" xfId="0" applyFont="1" applyFill="1" applyBorder="1" applyAlignment="1">
      <alignment horizontal="center"/>
    </xf>
    <xf numFmtId="0" fontId="17" fillId="0" borderId="6" xfId="0" applyFont="1" applyBorder="1"/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1" fontId="11" fillId="13" borderId="6" xfId="0" applyNumberFormat="1" applyFont="1" applyFill="1" applyBorder="1" applyAlignment="1">
      <alignment horizontal="center"/>
    </xf>
    <xf numFmtId="1" fontId="11" fillId="13" borderId="1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21" fillId="17" borderId="6" xfId="0" applyFont="1" applyFill="1" applyBorder="1" applyAlignment="1"/>
    <xf numFmtId="0" fontId="0" fillId="17" borderId="6" xfId="0" applyFill="1" applyBorder="1" applyAlignment="1"/>
    <xf numFmtId="0" fontId="0" fillId="19" borderId="6" xfId="0" applyFill="1" applyBorder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1" fillId="17" borderId="15" xfId="0" applyFont="1" applyFill="1" applyBorder="1" applyAlignment="1"/>
    <xf numFmtId="0" fontId="0" fillId="17" borderId="15" xfId="0" applyFill="1" applyBorder="1" applyAlignment="1"/>
    <xf numFmtId="0" fontId="0" fillId="19" borderId="15" xfId="0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19" borderId="22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1" fillId="6" borderId="24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4" fillId="0" borderId="39" xfId="0" applyFont="1" applyBorder="1"/>
    <xf numFmtId="0" fontId="11" fillId="0" borderId="18" xfId="0" applyFont="1" applyBorder="1"/>
    <xf numFmtId="0" fontId="14" fillId="0" borderId="18" xfId="0" applyFont="1" applyBorder="1"/>
    <xf numFmtId="0" fontId="11" fillId="0" borderId="40" xfId="0" applyFont="1" applyBorder="1"/>
    <xf numFmtId="0" fontId="14" fillId="0" borderId="42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6" borderId="36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19" borderId="4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6" borderId="45" xfId="0" applyFont="1" applyFill="1" applyBorder="1" applyAlignment="1">
      <alignment horizontal="center" vertical="center"/>
    </xf>
    <xf numFmtId="0" fontId="11" fillId="7" borderId="45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11" fillId="19" borderId="35" xfId="0" applyFont="1" applyFill="1" applyBorder="1" applyAlignment="1">
      <alignment horizontal="center" vertical="center"/>
    </xf>
    <xf numFmtId="0" fontId="11" fillId="10" borderId="39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1" fillId="10" borderId="40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1" fontId="11" fillId="0" borderId="31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22" borderId="9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22" borderId="6" xfId="0" applyFont="1" applyFill="1" applyBorder="1" applyAlignment="1">
      <alignment horizontal="center"/>
    </xf>
    <xf numFmtId="0" fontId="11" fillId="26" borderId="6" xfId="0" applyFont="1" applyFill="1" applyBorder="1" applyAlignment="1">
      <alignment horizontal="center"/>
    </xf>
    <xf numFmtId="0" fontId="11" fillId="7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27" borderId="9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27" borderId="9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29" borderId="35" xfId="0" applyFont="1" applyFill="1" applyBorder="1" applyAlignment="1">
      <alignment horizontal="center" vertical="center"/>
    </xf>
    <xf numFmtId="0" fontId="11" fillId="29" borderId="22" xfId="0" applyFont="1" applyFill="1" applyBorder="1" applyAlignment="1">
      <alignment horizontal="center" vertical="center"/>
    </xf>
    <xf numFmtId="0" fontId="11" fillId="29" borderId="46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19" borderId="9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0" fontId="11" fillId="30" borderId="6" xfId="0" applyFont="1" applyFill="1" applyBorder="1" applyAlignment="1">
      <alignment horizontal="center"/>
    </xf>
    <xf numFmtId="0" fontId="11" fillId="24" borderId="46" xfId="0" applyFont="1" applyFill="1" applyBorder="1" applyAlignment="1">
      <alignment horizontal="center" vertical="center"/>
    </xf>
    <xf numFmtId="0" fontId="11" fillId="27" borderId="35" xfId="0" applyFont="1" applyFill="1" applyBorder="1" applyAlignment="1">
      <alignment horizontal="center" vertical="center"/>
    </xf>
    <xf numFmtId="0" fontId="11" fillId="27" borderId="2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9" xfId="0" applyFont="1" applyFill="1" applyBorder="1" applyAlignment="1">
      <alignment horizontal="center"/>
    </xf>
    <xf numFmtId="0" fontId="23" fillId="23" borderId="6" xfId="0" applyFont="1" applyFill="1" applyBorder="1" applyAlignment="1">
      <alignment horizontal="center"/>
    </xf>
    <xf numFmtId="0" fontId="11" fillId="32" borderId="6" xfId="0" applyFont="1" applyFill="1" applyBorder="1" applyAlignment="1">
      <alignment horizontal="center"/>
    </xf>
    <xf numFmtId="0" fontId="15" fillId="32" borderId="6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33" borderId="35" xfId="0" applyFont="1" applyFill="1" applyBorder="1" applyAlignment="1">
      <alignment horizontal="center" vertical="center"/>
    </xf>
    <xf numFmtId="0" fontId="11" fillId="33" borderId="22" xfId="0" applyFont="1" applyFill="1" applyBorder="1" applyAlignment="1">
      <alignment horizontal="center" vertical="center"/>
    </xf>
    <xf numFmtId="0" fontId="11" fillId="34" borderId="6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35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center"/>
    </xf>
    <xf numFmtId="0" fontId="1" fillId="0" borderId="0" xfId="0" applyFont="1"/>
    <xf numFmtId="0" fontId="11" fillId="5" borderId="9" xfId="0" applyFont="1" applyFill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0" fontId="11" fillId="29" borderId="6" xfId="0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31" fillId="0" borderId="0" xfId="0" applyFont="1"/>
    <xf numFmtId="0" fontId="30" fillId="0" borderId="6" xfId="0" applyFont="1" applyBorder="1"/>
    <xf numFmtId="0" fontId="30" fillId="0" borderId="6" xfId="0" applyFont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0" fillId="3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2" fillId="0" borderId="6" xfId="0" applyFont="1" applyBorder="1"/>
    <xf numFmtId="0" fontId="30" fillId="19" borderId="6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30" fillId="28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38" borderId="6" xfId="0" applyFont="1" applyFill="1" applyBorder="1" applyAlignment="1">
      <alignment horizontal="center"/>
    </xf>
    <xf numFmtId="0" fontId="33" fillId="40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3" fillId="4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1" fillId="0" borderId="6" xfId="0" applyFont="1" applyBorder="1"/>
    <xf numFmtId="0" fontId="30" fillId="39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3" fillId="16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42" borderId="6" xfId="0" applyFont="1" applyFill="1" applyBorder="1" applyAlignment="1">
      <alignment horizontal="center"/>
    </xf>
    <xf numFmtId="164" fontId="39" fillId="32" borderId="6" xfId="0" applyNumberFormat="1" applyFont="1" applyFill="1" applyBorder="1" applyAlignment="1">
      <alignment horizontal="center"/>
    </xf>
    <xf numFmtId="1" fontId="33" fillId="0" borderId="6" xfId="0" applyNumberFormat="1" applyFont="1" applyBorder="1" applyAlignment="1">
      <alignment horizontal="center"/>
    </xf>
    <xf numFmtId="0" fontId="30" fillId="44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40" fillId="29" borderId="6" xfId="0" applyFont="1" applyFill="1" applyBorder="1" applyAlignment="1">
      <alignment horizontal="center"/>
    </xf>
    <xf numFmtId="164" fontId="41" fillId="0" borderId="6" xfId="0" applyNumberFormat="1" applyFont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42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3" fillId="10" borderId="6" xfId="0" applyFont="1" applyFill="1" applyBorder="1" applyAlignment="1">
      <alignment horizontal="center"/>
    </xf>
    <xf numFmtId="0" fontId="30" fillId="10" borderId="6" xfId="0" applyFont="1" applyFill="1" applyBorder="1" applyAlignment="1">
      <alignment horizontal="center"/>
    </xf>
    <xf numFmtId="0" fontId="43" fillId="42" borderId="6" xfId="0" applyFont="1" applyFill="1" applyBorder="1" applyAlignment="1">
      <alignment horizontal="center"/>
    </xf>
    <xf numFmtId="0" fontId="44" fillId="10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44" fillId="10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0" fillId="47" borderId="6" xfId="0" applyFont="1" applyFill="1" applyBorder="1" applyAlignment="1">
      <alignment horizontal="center"/>
    </xf>
    <xf numFmtId="0" fontId="30" fillId="29" borderId="6" xfId="0" applyFont="1" applyFill="1" applyBorder="1" applyAlignment="1">
      <alignment horizontal="center"/>
    </xf>
    <xf numFmtId="0" fontId="33" fillId="39" borderId="6" xfId="0" applyFont="1" applyFill="1" applyBorder="1" applyAlignment="1">
      <alignment horizontal="center"/>
    </xf>
    <xf numFmtId="0" fontId="30" fillId="48" borderId="6" xfId="0" applyFont="1" applyFill="1" applyBorder="1" applyAlignment="1">
      <alignment horizontal="center"/>
    </xf>
    <xf numFmtId="0" fontId="44" fillId="10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44" fillId="10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47" fillId="45" borderId="47" xfId="0" applyFont="1" applyFill="1" applyBorder="1" applyAlignment="1">
      <alignment vertical="center" wrapText="1"/>
    </xf>
    <xf numFmtId="0" fontId="41" fillId="0" borderId="6" xfId="0" applyFont="1" applyBorder="1" applyAlignment="1">
      <alignment horizontal="center"/>
    </xf>
    <xf numFmtId="0" fontId="40" fillId="49" borderId="6" xfId="0" applyFont="1" applyFill="1" applyBorder="1" applyAlignment="1">
      <alignment horizontal="center"/>
    </xf>
    <xf numFmtId="0" fontId="48" fillId="36" borderId="6" xfId="0" applyFont="1" applyFill="1" applyBorder="1" applyAlignment="1">
      <alignment horizontal="center"/>
    </xf>
    <xf numFmtId="0" fontId="48" fillId="50" borderId="6" xfId="0" applyFont="1" applyFill="1" applyBorder="1" applyAlignment="1">
      <alignment horizontal="center"/>
    </xf>
    <xf numFmtId="0" fontId="30" fillId="50" borderId="6" xfId="0" applyFont="1" applyFill="1" applyBorder="1" applyAlignment="1">
      <alignment horizontal="center"/>
    </xf>
    <xf numFmtId="0" fontId="30" fillId="51" borderId="6" xfId="0" applyFont="1" applyFill="1" applyBorder="1" applyAlignment="1">
      <alignment horizontal="center"/>
    </xf>
    <xf numFmtId="0" fontId="40" fillId="52" borderId="6" xfId="0" applyFont="1" applyFill="1" applyBorder="1" applyAlignment="1">
      <alignment horizontal="center"/>
    </xf>
    <xf numFmtId="0" fontId="48" fillId="27" borderId="6" xfId="0" applyFont="1" applyFill="1" applyBorder="1" applyAlignment="1">
      <alignment horizontal="center"/>
    </xf>
    <xf numFmtId="0" fontId="48" fillId="29" borderId="6" xfId="0" applyFont="1" applyFill="1" applyBorder="1" applyAlignment="1">
      <alignment horizontal="center"/>
    </xf>
    <xf numFmtId="0" fontId="30" fillId="53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48" fillId="54" borderId="6" xfId="0" applyFont="1" applyFill="1" applyBorder="1" applyAlignment="1">
      <alignment horizontal="center"/>
    </xf>
    <xf numFmtId="0" fontId="48" fillId="43" borderId="6" xfId="0" applyFont="1" applyFill="1" applyBorder="1" applyAlignment="1">
      <alignment horizontal="center"/>
    </xf>
    <xf numFmtId="0" fontId="40" fillId="41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32" borderId="6" xfId="0" applyFont="1" applyFill="1" applyBorder="1" applyAlignment="1">
      <alignment horizontal="center"/>
    </xf>
    <xf numFmtId="0" fontId="30" fillId="55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40" fillId="27" borderId="6" xfId="0" applyFont="1" applyFill="1" applyBorder="1" applyAlignment="1">
      <alignment horizontal="center"/>
    </xf>
    <xf numFmtId="0" fontId="40" fillId="53" borderId="6" xfId="0" applyFont="1" applyFill="1" applyBorder="1" applyAlignment="1">
      <alignment horizontal="center"/>
    </xf>
    <xf numFmtId="0" fontId="39" fillId="54" borderId="6" xfId="0" applyFont="1" applyFill="1" applyBorder="1" applyAlignment="1">
      <alignment horizontal="center"/>
    </xf>
    <xf numFmtId="0" fontId="30" fillId="57" borderId="6" xfId="0" applyFont="1" applyFill="1" applyBorder="1" applyAlignment="1">
      <alignment horizontal="center"/>
    </xf>
    <xf numFmtId="0" fontId="39" fillId="45" borderId="6" xfId="0" applyFont="1" applyFill="1" applyBorder="1" applyAlignment="1">
      <alignment horizontal="center"/>
    </xf>
    <xf numFmtId="0" fontId="30" fillId="58" borderId="6" xfId="0" applyFont="1" applyFill="1" applyBorder="1" applyAlignment="1">
      <alignment horizontal="center"/>
    </xf>
    <xf numFmtId="1" fontId="0" fillId="0" borderId="0" xfId="0" applyNumberFormat="1"/>
    <xf numFmtId="1" fontId="28" fillId="0" borderId="0" xfId="0" applyNumberFormat="1" applyFont="1"/>
    <xf numFmtId="1" fontId="11" fillId="6" borderId="25" xfId="0" applyNumberFormat="1" applyFont="1" applyFill="1" applyBorder="1" applyAlignment="1">
      <alignment horizontal="center" vertical="center"/>
    </xf>
    <xf numFmtId="1" fontId="11" fillId="7" borderId="25" xfId="0" applyNumberFormat="1" applyFont="1" applyFill="1" applyBorder="1" applyAlignment="1">
      <alignment horizontal="center" vertical="center"/>
    </xf>
    <xf numFmtId="1" fontId="11" fillId="6" borderId="24" xfId="0" applyNumberFormat="1" applyFont="1" applyFill="1" applyBorder="1" applyAlignment="1">
      <alignment horizontal="center" vertical="center"/>
    </xf>
    <xf numFmtId="1" fontId="11" fillId="7" borderId="24" xfId="0" applyNumberFormat="1" applyFont="1" applyFill="1" applyBorder="1" applyAlignment="1">
      <alignment horizontal="center" vertical="center"/>
    </xf>
    <xf numFmtId="1" fontId="11" fillId="6" borderId="41" xfId="0" applyNumberFormat="1" applyFont="1" applyFill="1" applyBorder="1" applyAlignment="1">
      <alignment horizontal="center" vertical="center"/>
    </xf>
    <xf numFmtId="1" fontId="11" fillId="7" borderId="41" xfId="0" applyNumberFormat="1" applyFont="1" applyFill="1" applyBorder="1" applyAlignment="1">
      <alignment horizontal="center" vertical="center"/>
    </xf>
    <xf numFmtId="0" fontId="40" fillId="60" borderId="6" xfId="0" applyFont="1" applyFill="1" applyBorder="1" applyAlignment="1">
      <alignment horizontal="center"/>
    </xf>
    <xf numFmtId="0" fontId="40" fillId="58" borderId="6" xfId="0" applyFont="1" applyFill="1" applyBorder="1" applyAlignment="1">
      <alignment horizontal="center"/>
    </xf>
    <xf numFmtId="0" fontId="53" fillId="0" borderId="6" xfId="0" applyFont="1" applyBorder="1"/>
    <xf numFmtId="0" fontId="30" fillId="45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54" fillId="54" borderId="6" xfId="0" applyFont="1" applyFill="1" applyBorder="1" applyAlignment="1">
      <alignment horizontal="center"/>
    </xf>
    <xf numFmtId="0" fontId="30" fillId="61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left"/>
    </xf>
    <xf numFmtId="0" fontId="30" fillId="22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62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48" fillId="63" borderId="6" xfId="0" applyFont="1" applyFill="1" applyBorder="1" applyAlignment="1">
      <alignment horizontal="center"/>
    </xf>
    <xf numFmtId="0" fontId="48" fillId="64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left" vertical="top"/>
    </xf>
    <xf numFmtId="0" fontId="40" fillId="65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top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35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43" borderId="6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20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8" fillId="63" borderId="6" xfId="0" applyFont="1" applyFill="1" applyBorder="1" applyAlignment="1">
      <alignment horizontal="center" vertical="center"/>
    </xf>
    <xf numFmtId="0" fontId="48" fillId="64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23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4" fontId="56" fillId="20" borderId="6" xfId="0" applyNumberFormat="1" applyFont="1" applyFill="1" applyBorder="1" applyAlignment="1">
      <alignment horizontal="center" vertical="center"/>
    </xf>
    <xf numFmtId="0" fontId="30" fillId="0" borderId="62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3" fillId="20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" fontId="56" fillId="20" borderId="6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0" fillId="63" borderId="6" xfId="0" applyFont="1" applyFill="1" applyBorder="1" applyAlignment="1">
      <alignment horizontal="center"/>
    </xf>
    <xf numFmtId="0" fontId="57" fillId="67" borderId="6" xfId="0" applyFont="1" applyFill="1" applyBorder="1" applyAlignment="1">
      <alignment horizontal="center" vertical="center"/>
    </xf>
    <xf numFmtId="0" fontId="58" fillId="67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20" fillId="12" borderId="6" xfId="0" applyFont="1" applyFill="1" applyBorder="1" applyAlignment="1">
      <alignment horizontal="center" vertical="center"/>
    </xf>
    <xf numFmtId="0" fontId="30" fillId="27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30" fillId="0" borderId="6" xfId="0" applyFont="1" applyBorder="1" applyAlignment="1">
      <alignment horizontal="center" vertical="center"/>
    </xf>
    <xf numFmtId="0" fontId="30" fillId="64" borderId="6" xfId="0" applyFont="1" applyFill="1" applyBorder="1" applyAlignment="1">
      <alignment horizontal="center" vertical="center"/>
    </xf>
    <xf numFmtId="0" fontId="57" fillId="64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30" fillId="48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3" borderId="6" xfId="0" applyFont="1" applyFill="1" applyBorder="1" applyAlignment="1">
      <alignment horizontal="center" vertical="center"/>
    </xf>
    <xf numFmtId="0" fontId="30" fillId="68" borderId="6" xfId="0" applyFont="1" applyFill="1" applyBorder="1" applyAlignment="1">
      <alignment horizontal="center" vertical="center"/>
    </xf>
    <xf numFmtId="0" fontId="30" fillId="69" borderId="6" xfId="0" applyFont="1" applyFill="1" applyBorder="1" applyAlignment="1">
      <alignment horizontal="center" vertical="center"/>
    </xf>
    <xf numFmtId="164" fontId="30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70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4" fontId="63" fillId="6" borderId="6" xfId="0" applyNumberFormat="1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left" vertical="top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41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4" fontId="48" fillId="63" borderId="6" xfId="0" applyNumberFormat="1" applyFont="1" applyFill="1" applyBorder="1" applyAlignment="1">
      <alignment horizontal="center" vertical="center"/>
    </xf>
    <xf numFmtId="164" fontId="30" fillId="4" borderId="6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66" borderId="6" xfId="0" applyFont="1" applyFill="1" applyBorder="1" applyAlignment="1">
      <alignment horizontal="center" vertical="center"/>
    </xf>
    <xf numFmtId="0" fontId="43" fillId="71" borderId="6" xfId="0" applyFont="1" applyFill="1" applyBorder="1" applyAlignment="1">
      <alignment horizontal="center" vertical="center"/>
    </xf>
    <xf numFmtId="0" fontId="44" fillId="72" borderId="6" xfId="0" applyFont="1" applyFill="1" applyBorder="1" applyAlignment="1">
      <alignment horizontal="center" vertical="center"/>
    </xf>
    <xf numFmtId="0" fontId="67" fillId="71" borderId="6" xfId="0" applyFont="1" applyFill="1" applyBorder="1" applyAlignment="1">
      <alignment horizontal="center"/>
    </xf>
    <xf numFmtId="0" fontId="30" fillId="73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 wrapText="1"/>
    </xf>
    <xf numFmtId="0" fontId="11" fillId="3" borderId="15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1" fontId="59" fillId="0" borderId="6" xfId="0" applyNumberFormat="1" applyFont="1" applyBorder="1" applyAlignment="1">
      <alignment horizontal="center" vertical="center"/>
    </xf>
    <xf numFmtId="1" fontId="59" fillId="16" borderId="6" xfId="0" applyNumberFormat="1" applyFont="1" applyFill="1" applyBorder="1" applyAlignment="1">
      <alignment horizontal="center" vertical="center"/>
    </xf>
    <xf numFmtId="0" fontId="59" fillId="16" borderId="6" xfId="0" applyFont="1" applyFill="1" applyBorder="1" applyAlignment="1">
      <alignment horizontal="center" vertical="center"/>
    </xf>
    <xf numFmtId="1" fontId="19" fillId="16" borderId="19" xfId="0" applyNumberFormat="1" applyFont="1" applyFill="1" applyBorder="1" applyAlignment="1">
      <alignment horizontal="center" vertical="center"/>
    </xf>
    <xf numFmtId="0" fontId="19" fillId="16" borderId="20" xfId="0" applyFont="1" applyFill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1" fontId="18" fillId="0" borderId="6" xfId="0" applyNumberFormat="1" applyFont="1" applyBorder="1" applyAlignment="1">
      <alignment horizontal="center" vertical="center"/>
    </xf>
    <xf numFmtId="1" fontId="19" fillId="16" borderId="21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1" fontId="60" fillId="22" borderId="6" xfId="0" applyNumberFormat="1" applyFont="1" applyFill="1" applyBorder="1" applyAlignment="1">
      <alignment horizontal="center" vertical="center"/>
    </xf>
    <xf numFmtId="1" fontId="60" fillId="4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1" fontId="16" fillId="6" borderId="9" xfId="0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1" fontId="19" fillId="6" borderId="9" xfId="0" applyNumberFormat="1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1" fontId="61" fillId="4" borderId="7" xfId="0" applyNumberFormat="1" applyFont="1" applyFill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  <xf numFmtId="1" fontId="16" fillId="4" borderId="6" xfId="0" applyNumberFormat="1" applyFont="1" applyFill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1" fontId="16" fillId="0" borderId="15" xfId="0" applyNumberFormat="1" applyFont="1" applyBorder="1" applyAlignment="1">
      <alignment horizontal="center" vertical="center"/>
    </xf>
    <xf numFmtId="1" fontId="16" fillId="0" borderId="9" xfId="0" applyNumberFormat="1" applyFont="1" applyFill="1" applyBorder="1" applyAlignment="1">
      <alignment horizontal="center" vertical="center"/>
    </xf>
    <xf numFmtId="1" fontId="16" fillId="0" borderId="22" xfId="0" applyNumberFormat="1" applyFont="1" applyFill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1" fillId="6" borderId="45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1" fontId="16" fillId="6" borderId="59" xfId="0" applyNumberFormat="1" applyFont="1" applyFill="1" applyBorder="1" applyAlignment="1">
      <alignment horizontal="center" vertical="center"/>
    </xf>
    <xf numFmtId="1" fontId="16" fillId="6" borderId="22" xfId="0" applyNumberFormat="1" applyFont="1" applyFill="1" applyBorder="1" applyAlignment="1">
      <alignment horizontal="center" vertical="center"/>
    </xf>
    <xf numFmtId="1" fontId="16" fillId="6" borderId="32" xfId="0" applyNumberFormat="1" applyFont="1" applyFill="1" applyBorder="1" applyAlignment="1">
      <alignment horizontal="center" vertical="center"/>
    </xf>
    <xf numFmtId="1" fontId="16" fillId="6" borderId="23" xfId="0" applyNumberFormat="1" applyFont="1" applyFill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1" fontId="16" fillId="0" borderId="15" xfId="0" applyNumberFormat="1" applyFont="1" applyFill="1" applyBorder="1" applyAlignment="1">
      <alignment horizontal="center" vertical="center"/>
    </xf>
    <xf numFmtId="1" fontId="16" fillId="27" borderId="2" xfId="0" applyNumberFormat="1" applyFont="1" applyFill="1" applyBorder="1" applyAlignment="1">
      <alignment horizontal="center" vertical="center" wrapText="1"/>
    </xf>
    <xf numFmtId="1" fontId="16" fillId="27" borderId="13" xfId="0" applyNumberFormat="1" applyFont="1" applyFill="1" applyBorder="1" applyAlignment="1">
      <alignment horizontal="center" vertical="center" wrapText="1"/>
    </xf>
    <xf numFmtId="0" fontId="16" fillId="27" borderId="11" xfId="0" applyFont="1" applyFill="1" applyBorder="1" applyAlignment="1">
      <alignment horizontal="center" vertical="center" wrapText="1"/>
    </xf>
    <xf numFmtId="0" fontId="16" fillId="27" borderId="14" xfId="0" applyFont="1" applyFill="1" applyBorder="1" applyAlignment="1">
      <alignment horizontal="center" vertical="center" wrapText="1"/>
    </xf>
    <xf numFmtId="1" fontId="16" fillId="0" borderId="59" xfId="0" applyNumberFormat="1" applyFont="1" applyBorder="1" applyAlignment="1">
      <alignment horizontal="center" vertical="center"/>
    </xf>
    <xf numFmtId="1" fontId="16" fillId="0" borderId="59" xfId="0" applyNumberFormat="1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11" fillId="27" borderId="12" xfId="0" applyFont="1" applyFill="1" applyBorder="1" applyAlignment="1">
      <alignment horizontal="center" vertical="center"/>
    </xf>
    <xf numFmtId="0" fontId="12" fillId="27" borderId="37" xfId="0" applyFont="1" applyFill="1" applyBorder="1" applyAlignment="1">
      <alignment horizontal="center" vertical="center" wrapText="1"/>
    </xf>
    <xf numFmtId="0" fontId="12" fillId="27" borderId="11" xfId="0" applyFont="1" applyFill="1" applyBorder="1" applyAlignment="1">
      <alignment horizontal="center" vertical="center" wrapText="1"/>
    </xf>
    <xf numFmtId="0" fontId="12" fillId="27" borderId="38" xfId="0" applyFont="1" applyFill="1" applyBorder="1" applyAlignment="1">
      <alignment horizontal="center" vertical="center" wrapText="1"/>
    </xf>
    <xf numFmtId="0" fontId="12" fillId="27" borderId="14" xfId="0" applyFont="1" applyFill="1" applyBorder="1" applyAlignment="1">
      <alignment horizontal="center" vertical="center" wrapText="1"/>
    </xf>
    <xf numFmtId="0" fontId="22" fillId="29" borderId="60" xfId="0" applyFont="1" applyFill="1" applyBorder="1" applyAlignment="1">
      <alignment horizontal="center"/>
    </xf>
    <xf numFmtId="0" fontId="22" fillId="29" borderId="26" xfId="0" applyFont="1" applyFill="1" applyBorder="1" applyAlignment="1">
      <alignment horizontal="center"/>
    </xf>
    <xf numFmtId="0" fontId="22" fillId="29" borderId="27" xfId="0" applyFont="1" applyFill="1" applyBorder="1" applyAlignment="1">
      <alignment horizontal="center"/>
    </xf>
    <xf numFmtId="0" fontId="13" fillId="10" borderId="60" xfId="0" applyFont="1" applyFill="1" applyBorder="1" applyAlignment="1">
      <alignment horizontal="center" vertical="top"/>
    </xf>
    <xf numFmtId="0" fontId="13" fillId="10" borderId="27" xfId="0" applyFont="1" applyFill="1" applyBorder="1" applyAlignment="1">
      <alignment horizontal="center" vertical="top"/>
    </xf>
    <xf numFmtId="0" fontId="11" fillId="27" borderId="1" xfId="0" applyFont="1" applyFill="1" applyBorder="1" applyAlignment="1">
      <alignment horizontal="center" vertical="center" wrapText="1"/>
    </xf>
    <xf numFmtId="0" fontId="11" fillId="27" borderId="12" xfId="0" applyFont="1" applyFill="1" applyBorder="1" applyAlignment="1">
      <alignment horizontal="center" vertical="center" wrapText="1"/>
    </xf>
    <xf numFmtId="0" fontId="11" fillId="27" borderId="2" xfId="0" applyFont="1" applyFill="1" applyBorder="1" applyAlignment="1">
      <alignment horizontal="center" vertical="center" wrapText="1"/>
    </xf>
    <xf numFmtId="0" fontId="11" fillId="27" borderId="13" xfId="0" applyFont="1" applyFill="1" applyBorder="1" applyAlignment="1">
      <alignment horizontal="center" vertical="center" wrapText="1"/>
    </xf>
    <xf numFmtId="0" fontId="16" fillId="27" borderId="2" xfId="0" applyFont="1" applyFill="1" applyBorder="1" applyAlignment="1">
      <alignment horizontal="center" vertical="center" wrapText="1"/>
    </xf>
    <xf numFmtId="0" fontId="16" fillId="27" borderId="13" xfId="0" applyFont="1" applyFill="1" applyBorder="1" applyAlignment="1">
      <alignment horizontal="center" vertical="center" wrapText="1"/>
    </xf>
    <xf numFmtId="1" fontId="16" fillId="0" borderId="5" xfId="0" applyNumberFormat="1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1" fontId="16" fillId="6" borderId="33" xfId="0" applyNumberFormat="1" applyFont="1" applyFill="1" applyBorder="1" applyAlignment="1">
      <alignment horizontal="center" vertical="center"/>
    </xf>
    <xf numFmtId="1" fontId="16" fillId="6" borderId="35" xfId="0" applyNumberFormat="1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1" fontId="20" fillId="27" borderId="2" xfId="0" applyNumberFormat="1" applyFont="1" applyFill="1" applyBorder="1" applyAlignment="1">
      <alignment horizontal="center" vertical="center" wrapText="1"/>
    </xf>
    <xf numFmtId="1" fontId="20" fillId="27" borderId="13" xfId="0" applyNumberFormat="1" applyFont="1" applyFill="1" applyBorder="1" applyAlignment="1">
      <alignment horizontal="center" vertical="center" wrapText="1"/>
    </xf>
    <xf numFmtId="0" fontId="20" fillId="27" borderId="2" xfId="0" applyFont="1" applyFill="1" applyBorder="1" applyAlignment="1">
      <alignment horizontal="center" vertical="center" wrapText="1"/>
    </xf>
    <xf numFmtId="0" fontId="20" fillId="27" borderId="13" xfId="0" applyFont="1" applyFill="1" applyBorder="1" applyAlignment="1">
      <alignment horizontal="center" vertical="center" wrapText="1"/>
    </xf>
    <xf numFmtId="1" fontId="11" fillId="0" borderId="6" xfId="0" applyNumberFormat="1" applyFont="1" applyBorder="1" applyAlignment="1">
      <alignment horizontal="center" vertical="center"/>
    </xf>
    <xf numFmtId="1" fontId="11" fillId="0" borderId="15" xfId="0" applyNumberFormat="1" applyFont="1" applyFill="1" applyBorder="1" applyAlignment="1">
      <alignment horizontal="center" vertical="center"/>
    </xf>
    <xf numFmtId="1" fontId="11" fillId="0" borderId="6" xfId="0" applyNumberFormat="1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center" vertical="center"/>
    </xf>
    <xf numFmtId="0" fontId="11" fillId="27" borderId="37" xfId="0" applyFont="1" applyFill="1" applyBorder="1" applyAlignment="1">
      <alignment horizontal="center" vertical="center" wrapText="1"/>
    </xf>
    <xf numFmtId="0" fontId="11" fillId="27" borderId="11" xfId="0" applyFont="1" applyFill="1" applyBorder="1" applyAlignment="1">
      <alignment horizontal="center" vertical="center" wrapText="1"/>
    </xf>
    <xf numFmtId="0" fontId="11" fillId="27" borderId="38" xfId="0" applyFont="1" applyFill="1" applyBorder="1" applyAlignment="1">
      <alignment horizontal="center" vertical="center" wrapText="1"/>
    </xf>
    <xf numFmtId="0" fontId="11" fillId="27" borderId="14" xfId="0" applyFont="1" applyFill="1" applyBorder="1" applyAlignment="1">
      <alignment horizontal="center" vertical="center" wrapText="1"/>
    </xf>
    <xf numFmtId="0" fontId="22" fillId="31" borderId="60" xfId="0" applyFont="1" applyFill="1" applyBorder="1" applyAlignment="1">
      <alignment horizontal="center"/>
    </xf>
    <xf numFmtId="0" fontId="22" fillId="31" borderId="26" xfId="0" applyFont="1" applyFill="1" applyBorder="1" applyAlignment="1">
      <alignment horizontal="center"/>
    </xf>
    <xf numFmtId="0" fontId="22" fillId="31" borderId="27" xfId="0" applyFont="1" applyFill="1" applyBorder="1" applyAlignment="1">
      <alignment horizontal="center"/>
    </xf>
    <xf numFmtId="0" fontId="29" fillId="4" borderId="24" xfId="0" applyFont="1" applyFill="1" applyBorder="1" applyAlignment="1">
      <alignment horizontal="center" vertical="center"/>
    </xf>
    <xf numFmtId="0" fontId="29" fillId="4" borderId="45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 wrapText="1"/>
    </xf>
    <xf numFmtId="0" fontId="20" fillId="27" borderId="12" xfId="0" applyFont="1" applyFill="1" applyBorder="1" applyAlignment="1">
      <alignment horizontal="center" vertical="center" wrapText="1"/>
    </xf>
    <xf numFmtId="1" fontId="15" fillId="28" borderId="7" xfId="0" applyNumberFormat="1" applyFont="1" applyFill="1" applyBorder="1" applyAlignment="1">
      <alignment horizontal="center" vertical="center" wrapText="1"/>
    </xf>
    <xf numFmtId="1" fontId="19" fillId="0" borderId="9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" fontId="19" fillId="6" borderId="33" xfId="0" applyNumberFormat="1" applyFont="1" applyFill="1" applyBorder="1" applyAlignment="1">
      <alignment horizontal="center" vertical="center"/>
    </xf>
    <xf numFmtId="1" fontId="19" fillId="6" borderId="35" xfId="0" applyNumberFormat="1" applyFont="1" applyFill="1" applyBorder="1" applyAlignment="1">
      <alignment horizontal="center" vertical="center"/>
    </xf>
    <xf numFmtId="1" fontId="19" fillId="6" borderId="32" xfId="0" applyNumberFormat="1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1" fontId="24" fillId="28" borderId="7" xfId="0" applyNumberFormat="1" applyFont="1" applyFill="1" applyBorder="1" applyAlignment="1">
      <alignment horizontal="center" vertical="center"/>
    </xf>
    <xf numFmtId="1" fontId="24" fillId="0" borderId="7" xfId="0" applyNumberFormat="1" applyFont="1" applyFill="1" applyBorder="1" applyAlignment="1">
      <alignment horizontal="center" vertical="center"/>
    </xf>
    <xf numFmtId="1" fontId="24" fillId="4" borderId="7" xfId="0" applyNumberFormat="1" applyFont="1" applyFill="1" applyBorder="1" applyAlignment="1">
      <alignment horizontal="center" vertical="center"/>
    </xf>
    <xf numFmtId="1" fontId="18" fillId="0" borderId="7" xfId="0" applyNumberFormat="1" applyFont="1" applyFill="1" applyBorder="1" applyAlignment="1">
      <alignment horizontal="center" vertical="center"/>
    </xf>
    <xf numFmtId="1" fontId="16" fillId="19" borderId="2" xfId="0" applyNumberFormat="1" applyFont="1" applyFill="1" applyBorder="1" applyAlignment="1">
      <alignment horizontal="center" vertical="center" wrapText="1"/>
    </xf>
    <xf numFmtId="1" fontId="16" fillId="19" borderId="13" xfId="0" applyNumberFormat="1" applyFont="1" applyFill="1" applyBorder="1" applyAlignment="1">
      <alignment horizontal="center" vertical="center" wrapText="1"/>
    </xf>
    <xf numFmtId="1" fontId="19" fillId="19" borderId="2" xfId="0" applyNumberFormat="1" applyFont="1" applyFill="1" applyBorder="1" applyAlignment="1">
      <alignment horizontal="center" vertical="center" wrapText="1"/>
    </xf>
    <xf numFmtId="1" fontId="19" fillId="19" borderId="13" xfId="0" applyNumberFormat="1" applyFont="1" applyFill="1" applyBorder="1" applyAlignment="1">
      <alignment horizontal="center" vertical="center" wrapText="1"/>
    </xf>
    <xf numFmtId="0" fontId="16" fillId="19" borderId="11" xfId="0" applyFont="1" applyFill="1" applyBorder="1" applyAlignment="1">
      <alignment horizontal="center" vertical="center" wrapText="1"/>
    </xf>
    <xf numFmtId="0" fontId="16" fillId="19" borderId="14" xfId="0" applyFont="1" applyFill="1" applyBorder="1" applyAlignment="1">
      <alignment horizontal="center" vertical="center" wrapText="1"/>
    </xf>
    <xf numFmtId="1" fontId="19" fillId="0" borderId="15" xfId="0" applyNumberFormat="1" applyFont="1" applyBorder="1" applyAlignment="1">
      <alignment horizontal="center" vertical="center"/>
    </xf>
    <xf numFmtId="1" fontId="18" fillId="0" borderId="31" xfId="0" applyNumberFormat="1" applyFont="1" applyFill="1" applyBorder="1" applyAlignment="1">
      <alignment horizontal="center" vertical="center"/>
    </xf>
    <xf numFmtId="0" fontId="11" fillId="19" borderId="29" xfId="0" applyFont="1" applyFill="1" applyBorder="1" applyAlignment="1">
      <alignment horizontal="center" vertical="center"/>
    </xf>
    <xf numFmtId="0" fontId="11" fillId="19" borderId="30" xfId="0" applyFont="1" applyFill="1" applyBorder="1" applyAlignment="1">
      <alignment horizontal="center" vertical="center"/>
    </xf>
    <xf numFmtId="0" fontId="12" fillId="19" borderId="37" xfId="0" applyFont="1" applyFill="1" applyBorder="1" applyAlignment="1">
      <alignment horizontal="center" vertical="center" wrapText="1"/>
    </xf>
    <xf numFmtId="0" fontId="12" fillId="19" borderId="11" xfId="0" applyFont="1" applyFill="1" applyBorder="1" applyAlignment="1">
      <alignment horizontal="center" vertical="center" wrapText="1"/>
    </xf>
    <xf numFmtId="0" fontId="12" fillId="19" borderId="38" xfId="0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horizontal="center" vertical="center" wrapText="1"/>
    </xf>
    <xf numFmtId="0" fontId="22" fillId="10" borderId="26" xfId="0" applyFont="1" applyFill="1" applyBorder="1" applyAlignment="1">
      <alignment horizontal="center" vertical="center"/>
    </xf>
    <xf numFmtId="0" fontId="22" fillId="10" borderId="27" xfId="0" applyFont="1" applyFill="1" applyBorder="1" applyAlignment="1">
      <alignment horizontal="center" vertical="center"/>
    </xf>
    <xf numFmtId="0" fontId="13" fillId="23" borderId="24" xfId="0" applyFont="1" applyFill="1" applyBorder="1" applyAlignment="1">
      <alignment horizontal="center" vertical="center"/>
    </xf>
    <xf numFmtId="0" fontId="13" fillId="23" borderId="45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16" fillId="19" borderId="2" xfId="0" applyFont="1" applyFill="1" applyBorder="1" applyAlignment="1">
      <alignment horizontal="center" vertical="center" wrapText="1"/>
    </xf>
    <xf numFmtId="0" fontId="16" fillId="19" borderId="13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1" fontId="19" fillId="4" borderId="6" xfId="0" applyNumberFormat="1" applyFont="1" applyFill="1" applyBorder="1" applyAlignment="1">
      <alignment horizontal="center" vertical="center"/>
    </xf>
    <xf numFmtId="1" fontId="18" fillId="4" borderId="7" xfId="0" applyNumberFormat="1" applyFont="1" applyFill="1" applyBorder="1" applyAlignment="1">
      <alignment horizontal="center" vertical="center"/>
    </xf>
    <xf numFmtId="1" fontId="25" fillId="0" borderId="31" xfId="0" applyNumberFormat="1" applyFont="1" applyFill="1" applyBorder="1" applyAlignment="1">
      <alignment horizontal="center" vertical="center"/>
    </xf>
    <xf numFmtId="1" fontId="25" fillId="0" borderId="7" xfId="0" applyNumberFormat="1" applyFont="1" applyFill="1" applyBorder="1" applyAlignment="1">
      <alignment horizontal="center" vertical="center"/>
    </xf>
    <xf numFmtId="1" fontId="18" fillId="4" borderId="31" xfId="0" applyNumberFormat="1" applyFont="1" applyFill="1" applyBorder="1" applyAlignment="1">
      <alignment horizontal="center" vertical="center"/>
    </xf>
    <xf numFmtId="1" fontId="24" fillId="25" borderId="7" xfId="0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1" fontId="18" fillId="28" borderId="7" xfId="0" applyNumberFormat="1" applyFont="1" applyFill="1" applyBorder="1" applyAlignment="1">
      <alignment horizontal="center" vertical="center"/>
    </xf>
    <xf numFmtId="1" fontId="19" fillId="28" borderId="6" xfId="0" applyNumberFormat="1" applyFont="1" applyFill="1" applyBorder="1" applyAlignment="1">
      <alignment horizontal="center" vertical="center"/>
    </xf>
    <xf numFmtId="0" fontId="11" fillId="29" borderId="29" xfId="0" applyFont="1" applyFill="1" applyBorder="1" applyAlignment="1">
      <alignment horizontal="center" vertical="center"/>
    </xf>
    <xf numFmtId="0" fontId="11" fillId="29" borderId="30" xfId="0" applyFont="1" applyFill="1" applyBorder="1" applyAlignment="1">
      <alignment horizontal="center" vertical="center"/>
    </xf>
    <xf numFmtId="0" fontId="12" fillId="29" borderId="37" xfId="0" applyFont="1" applyFill="1" applyBorder="1" applyAlignment="1">
      <alignment horizontal="center" vertical="center" wrapText="1"/>
    </xf>
    <xf numFmtId="0" fontId="12" fillId="29" borderId="11" xfId="0" applyFont="1" applyFill="1" applyBorder="1" applyAlignment="1">
      <alignment horizontal="center" vertical="center" wrapText="1"/>
    </xf>
    <xf numFmtId="0" fontId="12" fillId="29" borderId="38" xfId="0" applyFont="1" applyFill="1" applyBorder="1" applyAlignment="1">
      <alignment horizontal="center" vertical="center" wrapText="1"/>
    </xf>
    <xf numFmtId="0" fontId="12" fillId="29" borderId="14" xfId="0" applyFont="1" applyFill="1" applyBorder="1" applyAlignment="1">
      <alignment horizontal="center" vertical="center" wrapText="1"/>
    </xf>
    <xf numFmtId="0" fontId="22" fillId="27" borderId="26" xfId="0" applyFont="1" applyFill="1" applyBorder="1" applyAlignment="1">
      <alignment horizontal="center" vertical="center"/>
    </xf>
    <xf numFmtId="0" fontId="22" fillId="27" borderId="27" xfId="0" applyFont="1" applyFill="1" applyBorder="1" applyAlignment="1">
      <alignment horizontal="center" vertical="center"/>
    </xf>
    <xf numFmtId="0" fontId="13" fillId="18" borderId="24" xfId="0" applyFont="1" applyFill="1" applyBorder="1" applyAlignment="1">
      <alignment horizontal="center" vertical="center"/>
    </xf>
    <xf numFmtId="0" fontId="13" fillId="18" borderId="45" xfId="0" applyFont="1" applyFill="1" applyBorder="1" applyAlignment="1">
      <alignment horizontal="center" vertical="center"/>
    </xf>
    <xf numFmtId="0" fontId="16" fillId="29" borderId="1" xfId="0" applyFont="1" applyFill="1" applyBorder="1" applyAlignment="1">
      <alignment horizontal="center" vertical="center" wrapText="1"/>
    </xf>
    <xf numFmtId="0" fontId="16" fillId="29" borderId="12" xfId="0" applyFont="1" applyFill="1" applyBorder="1" applyAlignment="1">
      <alignment horizontal="center" vertical="center" wrapText="1"/>
    </xf>
    <xf numFmtId="0" fontId="16" fillId="29" borderId="2" xfId="0" applyFont="1" applyFill="1" applyBorder="1" applyAlignment="1">
      <alignment horizontal="center" vertical="center" wrapText="1"/>
    </xf>
    <xf numFmtId="0" fontId="16" fillId="29" borderId="13" xfId="0" applyFont="1" applyFill="1" applyBorder="1" applyAlignment="1">
      <alignment horizontal="center" vertical="center" wrapText="1"/>
    </xf>
    <xf numFmtId="1" fontId="16" fillId="29" borderId="2" xfId="0" applyNumberFormat="1" applyFont="1" applyFill="1" applyBorder="1" applyAlignment="1">
      <alignment horizontal="center" vertical="center" wrapText="1"/>
    </xf>
    <xf numFmtId="1" fontId="16" fillId="29" borderId="13" xfId="0" applyNumberFormat="1" applyFont="1" applyFill="1" applyBorder="1" applyAlignment="1">
      <alignment horizontal="center" vertical="center" wrapText="1"/>
    </xf>
    <xf numFmtId="1" fontId="19" fillId="29" borderId="2" xfId="0" applyNumberFormat="1" applyFont="1" applyFill="1" applyBorder="1" applyAlignment="1">
      <alignment horizontal="center" vertical="center" wrapText="1"/>
    </xf>
    <xf numFmtId="1" fontId="19" fillId="29" borderId="13" xfId="0" applyNumberFormat="1" applyFont="1" applyFill="1" applyBorder="1" applyAlignment="1">
      <alignment horizontal="center" vertical="center" wrapText="1"/>
    </xf>
    <xf numFmtId="0" fontId="16" fillId="29" borderId="11" xfId="0" applyFont="1" applyFill="1" applyBorder="1" applyAlignment="1">
      <alignment horizontal="center" vertical="center" wrapText="1"/>
    </xf>
    <xf numFmtId="0" fontId="16" fillId="29" borderId="14" xfId="0" applyFont="1" applyFill="1" applyBorder="1" applyAlignment="1">
      <alignment horizontal="center" vertical="center" wrapText="1"/>
    </xf>
    <xf numFmtId="1" fontId="19" fillId="0" borderId="31" xfId="0" applyNumberFormat="1" applyFont="1" applyFill="1" applyBorder="1" applyAlignment="1">
      <alignment horizontal="center" vertical="center"/>
    </xf>
    <xf numFmtId="1" fontId="19" fillId="0" borderId="7" xfId="0" applyNumberFormat="1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12" xfId="0" applyFont="1" applyFill="1" applyBorder="1" applyAlignment="1">
      <alignment horizontal="center" vertical="center" wrapText="1"/>
    </xf>
    <xf numFmtId="0" fontId="11" fillId="29" borderId="2" xfId="0" applyFont="1" applyFill="1" applyBorder="1" applyAlignment="1">
      <alignment horizontal="center" vertical="center" wrapText="1"/>
    </xf>
    <xf numFmtId="0" fontId="11" fillId="29" borderId="13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/>
    </xf>
    <xf numFmtId="1" fontId="16" fillId="0" borderId="31" xfId="0" applyNumberFormat="1" applyFont="1" applyFill="1" applyBorder="1" applyAlignment="1">
      <alignment horizontal="center" vertical="center"/>
    </xf>
    <xf numFmtId="1" fontId="16" fillId="0" borderId="7" xfId="0" applyNumberFormat="1" applyFont="1" applyFill="1" applyBorder="1" applyAlignment="1">
      <alignment horizontal="center" vertical="center"/>
    </xf>
    <xf numFmtId="1" fontId="16" fillId="4" borderId="15" xfId="0" applyNumberFormat="1" applyFont="1" applyFill="1" applyBorder="1" applyAlignment="1">
      <alignment horizontal="center" vertical="center"/>
    </xf>
    <xf numFmtId="1" fontId="11" fillId="0" borderId="57" xfId="0" applyNumberFormat="1" applyFont="1" applyBorder="1" applyAlignment="1">
      <alignment horizontal="center" vertical="center"/>
    </xf>
    <xf numFmtId="1" fontId="11" fillId="0" borderId="58" xfId="0" applyNumberFormat="1" applyFont="1" applyBorder="1" applyAlignment="1">
      <alignment horizontal="center" vertical="center"/>
    </xf>
    <xf numFmtId="0" fontId="20" fillId="27" borderId="4" xfId="0" applyFont="1" applyFill="1" applyBorder="1" applyAlignment="1">
      <alignment horizontal="center" vertical="center" wrapText="1"/>
    </xf>
    <xf numFmtId="0" fontId="20" fillId="27" borderId="56" xfId="0" applyFont="1" applyFill="1" applyBorder="1" applyAlignment="1">
      <alignment horizontal="center" vertical="center" wrapText="1"/>
    </xf>
    <xf numFmtId="1" fontId="16" fillId="6" borderId="50" xfId="0" applyNumberFormat="1" applyFont="1" applyFill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12" fillId="33" borderId="37" xfId="0" applyFont="1" applyFill="1" applyBorder="1" applyAlignment="1">
      <alignment horizontal="center" vertical="center" wrapText="1"/>
    </xf>
    <xf numFmtId="0" fontId="12" fillId="33" borderId="11" xfId="0" applyFont="1" applyFill="1" applyBorder="1" applyAlignment="1">
      <alignment horizontal="center" vertical="center" wrapText="1"/>
    </xf>
    <xf numFmtId="0" fontId="12" fillId="33" borderId="38" xfId="0" applyFont="1" applyFill="1" applyBorder="1" applyAlignment="1">
      <alignment horizontal="center" vertical="center" wrapText="1"/>
    </xf>
    <xf numFmtId="0" fontId="12" fillId="33" borderId="14" xfId="0" applyFont="1" applyFill="1" applyBorder="1" applyAlignment="1">
      <alignment horizontal="center" vertical="center" wrapText="1"/>
    </xf>
    <xf numFmtId="0" fontId="22" fillId="23" borderId="60" xfId="0" applyFont="1" applyFill="1" applyBorder="1" applyAlignment="1">
      <alignment horizontal="center"/>
    </xf>
    <xf numFmtId="0" fontId="22" fillId="23" borderId="26" xfId="0" applyFont="1" applyFill="1" applyBorder="1" applyAlignment="1">
      <alignment horizontal="center"/>
    </xf>
    <xf numFmtId="0" fontId="22" fillId="23" borderId="27" xfId="0" applyFont="1" applyFill="1" applyBorder="1" applyAlignment="1">
      <alignment horizontal="center"/>
    </xf>
    <xf numFmtId="0" fontId="13" fillId="4" borderId="60" xfId="0" applyFont="1" applyFill="1" applyBorder="1" applyAlignment="1">
      <alignment horizontal="center" vertical="top"/>
    </xf>
    <xf numFmtId="0" fontId="13" fillId="4" borderId="27" xfId="0" applyFont="1" applyFill="1" applyBorder="1" applyAlignment="1">
      <alignment horizontal="center" vertical="top"/>
    </xf>
    <xf numFmtId="0" fontId="11" fillId="33" borderId="1" xfId="0" applyFont="1" applyFill="1" applyBorder="1" applyAlignment="1">
      <alignment horizontal="center" vertical="center" wrapText="1"/>
    </xf>
    <xf numFmtId="0" fontId="11" fillId="33" borderId="12" xfId="0" applyFont="1" applyFill="1" applyBorder="1" applyAlignment="1">
      <alignment horizontal="center" vertical="center" wrapText="1"/>
    </xf>
    <xf numFmtId="0" fontId="11" fillId="33" borderId="2" xfId="0" applyFont="1" applyFill="1" applyBorder="1" applyAlignment="1">
      <alignment horizontal="center" vertical="center" wrapText="1"/>
    </xf>
    <xf numFmtId="0" fontId="11" fillId="33" borderId="13" xfId="0" applyFont="1" applyFill="1" applyBorder="1" applyAlignment="1">
      <alignment horizontal="center" vertical="center" wrapText="1"/>
    </xf>
    <xf numFmtId="0" fontId="16" fillId="33" borderId="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1" fontId="16" fillId="33" borderId="2" xfId="0" applyNumberFormat="1" applyFont="1" applyFill="1" applyBorder="1" applyAlignment="1">
      <alignment horizontal="center" vertical="center" wrapText="1"/>
    </xf>
    <xf numFmtId="1" fontId="16" fillId="33" borderId="13" xfId="0" applyNumberFormat="1" applyFont="1" applyFill="1" applyBorder="1" applyAlignment="1">
      <alignment horizontal="center" vertical="center" wrapText="1"/>
    </xf>
    <xf numFmtId="0" fontId="16" fillId="33" borderId="4" xfId="0" applyFont="1" applyFill="1" applyBorder="1" applyAlignment="1">
      <alignment horizontal="center" vertical="center" wrapText="1"/>
    </xf>
    <xf numFmtId="0" fontId="16" fillId="33" borderId="56" xfId="0" applyFont="1" applyFill="1" applyBorder="1" applyAlignment="1">
      <alignment horizontal="center" vertical="center" wrapText="1"/>
    </xf>
    <xf numFmtId="1" fontId="16" fillId="0" borderId="57" xfId="0" applyNumberFormat="1" applyFont="1" applyBorder="1" applyAlignment="1">
      <alignment horizontal="center" vertical="center"/>
    </xf>
    <xf numFmtId="1" fontId="16" fillId="0" borderId="58" xfId="0" applyNumberFormat="1" applyFont="1" applyBorder="1" applyAlignment="1">
      <alignment horizontal="center" vertical="center"/>
    </xf>
    <xf numFmtId="1" fontId="16" fillId="0" borderId="6" xfId="0" applyNumberFormat="1" applyFont="1" applyFill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11" fillId="0" borderId="9" xfId="0" applyNumberFormat="1" applyFont="1" applyFill="1" applyBorder="1" applyAlignment="1">
      <alignment horizontal="center" vertical="center"/>
    </xf>
    <xf numFmtId="0" fontId="44" fillId="10" borderId="16" xfId="0" applyFont="1" applyFill="1" applyBorder="1" applyAlignment="1">
      <alignment horizontal="center"/>
    </xf>
    <xf numFmtId="0" fontId="44" fillId="10" borderId="18" xfId="0" applyFont="1" applyFill="1" applyBorder="1" applyAlignment="1">
      <alignment horizontal="center"/>
    </xf>
    <xf numFmtId="0" fontId="33" fillId="18" borderId="16" xfId="0" applyFont="1" applyFill="1" applyBorder="1" applyAlignment="1">
      <alignment horizontal="center"/>
    </xf>
    <xf numFmtId="0" fontId="33" fillId="18" borderId="18" xfId="0" applyFont="1" applyFill="1" applyBorder="1" applyAlignment="1">
      <alignment horizontal="center"/>
    </xf>
    <xf numFmtId="0" fontId="30" fillId="0" borderId="9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46" fillId="45" borderId="9" xfId="0" applyFont="1" applyFill="1" applyBorder="1" applyAlignment="1">
      <alignment horizontal="center" vertical="center" wrapText="1"/>
    </xf>
    <xf numFmtId="0" fontId="46" fillId="45" borderId="15" xfId="0" applyFont="1" applyFill="1" applyBorder="1" applyAlignment="1">
      <alignment horizontal="center" vertical="center" wrapText="1"/>
    </xf>
    <xf numFmtId="0" fontId="43" fillId="45" borderId="9" xfId="0" applyFont="1" applyFill="1" applyBorder="1" applyAlignment="1">
      <alignment horizontal="center" vertical="center" wrapText="1"/>
    </xf>
    <xf numFmtId="0" fontId="43" fillId="45" borderId="15" xfId="0" applyFont="1" applyFill="1" applyBorder="1" applyAlignment="1">
      <alignment horizontal="center" vertical="center" wrapText="1"/>
    </xf>
    <xf numFmtId="0" fontId="47" fillId="45" borderId="47" xfId="0" applyFont="1" applyFill="1" applyBorder="1" applyAlignment="1">
      <alignment horizontal="center" vertical="center" wrapText="1"/>
    </xf>
    <xf numFmtId="0" fontId="47" fillId="45" borderId="40" xfId="0" applyFont="1" applyFill="1" applyBorder="1" applyAlignment="1">
      <alignment horizontal="center" vertical="center" wrapText="1"/>
    </xf>
    <xf numFmtId="0" fontId="47" fillId="45" borderId="61" xfId="0" applyFont="1" applyFill="1" applyBorder="1" applyAlignment="1">
      <alignment horizontal="center" vertical="center" wrapText="1"/>
    </xf>
    <xf numFmtId="0" fontId="47" fillId="45" borderId="39" xfId="0" applyFont="1" applyFill="1" applyBorder="1" applyAlignment="1">
      <alignment horizontal="center" vertical="center" wrapText="1"/>
    </xf>
    <xf numFmtId="0" fontId="45" fillId="45" borderId="16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0" fontId="45" fillId="45" borderId="18" xfId="0" applyFont="1" applyFill="1" applyBorder="1" applyAlignment="1">
      <alignment horizontal="center" vertical="center"/>
    </xf>
    <xf numFmtId="0" fontId="42" fillId="46" borderId="16" xfId="0" applyFont="1" applyFill="1" applyBorder="1" applyAlignment="1">
      <alignment horizontal="center" vertical="center"/>
    </xf>
    <xf numFmtId="0" fontId="42" fillId="46" borderId="18" xfId="0" applyFont="1" applyFill="1" applyBorder="1" applyAlignment="1">
      <alignment horizontal="center" vertical="center"/>
    </xf>
    <xf numFmtId="0" fontId="43" fillId="45" borderId="47" xfId="0" applyFont="1" applyFill="1" applyBorder="1" applyAlignment="1">
      <alignment horizontal="center" vertical="center" wrapText="1"/>
    </xf>
    <xf numFmtId="0" fontId="43" fillId="45" borderId="40" xfId="0" applyFont="1" applyFill="1" applyBorder="1" applyAlignment="1">
      <alignment horizontal="center" vertical="center" wrapText="1"/>
    </xf>
    <xf numFmtId="0" fontId="43" fillId="45" borderId="61" xfId="0" applyFont="1" applyFill="1" applyBorder="1" applyAlignment="1">
      <alignment horizontal="center" vertical="center" wrapText="1"/>
    </xf>
    <xf numFmtId="0" fontId="43" fillId="45" borderId="39" xfId="0" applyFont="1" applyFill="1" applyBorder="1" applyAlignment="1">
      <alignment horizontal="center" vertical="center" wrapText="1"/>
    </xf>
    <xf numFmtId="0" fontId="30" fillId="42" borderId="6" xfId="0" applyFont="1" applyFill="1" applyBorder="1" applyAlignment="1">
      <alignment horizontal="center"/>
    </xf>
    <xf numFmtId="0" fontId="30" fillId="43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2" fillId="43" borderId="6" xfId="0" applyFont="1" applyFill="1" applyBorder="1" applyAlignment="1">
      <alignment horizontal="center" vertical="center" wrapText="1"/>
    </xf>
    <xf numFmtId="0" fontId="30" fillId="43" borderId="6" xfId="0" applyFont="1" applyFill="1" applyBorder="1" applyAlignment="1">
      <alignment horizontal="center" vertical="center" wrapText="1"/>
    </xf>
    <xf numFmtId="0" fontId="31" fillId="43" borderId="6" xfId="0" applyFont="1" applyFill="1" applyBorder="1" applyAlignment="1">
      <alignment horizontal="center" vertical="center" wrapText="1"/>
    </xf>
    <xf numFmtId="0" fontId="35" fillId="42" borderId="6" xfId="0" applyFont="1" applyFill="1" applyBorder="1" applyAlignment="1">
      <alignment horizontal="center" vertical="center"/>
    </xf>
    <xf numFmtId="0" fontId="36" fillId="3" borderId="6" xfId="0" applyFont="1" applyFill="1" applyBorder="1" applyAlignment="1">
      <alignment horizontal="center" vertical="center"/>
    </xf>
    <xf numFmtId="0" fontId="30" fillId="30" borderId="6" xfId="0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2" fillId="28" borderId="6" xfId="0" applyFont="1" applyFill="1" applyBorder="1" applyAlignment="1">
      <alignment horizontal="center" vertical="center" wrapText="1"/>
    </xf>
    <xf numFmtId="0" fontId="30" fillId="28" borderId="6" xfId="0" applyFont="1" applyFill="1" applyBorder="1" applyAlignment="1">
      <alignment horizontal="center" vertical="center" wrapText="1"/>
    </xf>
    <xf numFmtId="0" fontId="31" fillId="28" borderId="6" xfId="0" applyFont="1" applyFill="1" applyBorder="1" applyAlignment="1">
      <alignment horizontal="center" vertical="center" wrapText="1"/>
    </xf>
    <xf numFmtId="0" fontId="35" fillId="39" borderId="6" xfId="0" applyFont="1" applyFill="1" applyBorder="1" applyAlignment="1">
      <alignment horizontal="center" vertical="center"/>
    </xf>
    <xf numFmtId="0" fontId="36" fillId="32" borderId="6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0" fontId="36" fillId="38" borderId="6" xfId="0" applyFont="1" applyFill="1" applyBorder="1" applyAlignment="1">
      <alignment horizontal="center" vertical="center"/>
    </xf>
    <xf numFmtId="0" fontId="30" fillId="18" borderId="6" xfId="0" applyFont="1" applyFill="1" applyBorder="1" applyAlignment="1">
      <alignment horizontal="center" vertical="center" wrapText="1"/>
    </xf>
    <xf numFmtId="0" fontId="32" fillId="18" borderId="6" xfId="0" applyFont="1" applyFill="1" applyBorder="1" applyAlignment="1">
      <alignment horizontal="center" vertical="center" wrapText="1"/>
    </xf>
    <xf numFmtId="0" fontId="35" fillId="29" borderId="6" xfId="0" applyFont="1" applyFill="1" applyBorder="1" applyAlignment="1">
      <alignment horizontal="center" vertical="center"/>
    </xf>
    <xf numFmtId="0" fontId="34" fillId="18" borderId="6" xfId="0" applyFont="1" applyFill="1" applyBorder="1" applyAlignment="1">
      <alignment horizontal="center" vertical="center" wrapText="1"/>
    </xf>
    <xf numFmtId="0" fontId="30" fillId="41" borderId="6" xfId="0" applyFont="1" applyFill="1" applyBorder="1" applyAlignment="1">
      <alignment horizontal="center" vertical="center" wrapText="1"/>
    </xf>
    <xf numFmtId="0" fontId="31" fillId="41" borderId="6" xfId="0" applyFont="1" applyFill="1" applyBorder="1" applyAlignment="1">
      <alignment horizontal="center" vertical="center" wrapText="1"/>
    </xf>
    <xf numFmtId="0" fontId="36" fillId="42" borderId="6" xfId="0" applyFont="1" applyFill="1" applyBorder="1" applyAlignment="1">
      <alignment horizontal="center" vertical="center"/>
    </xf>
    <xf numFmtId="0" fontId="32" fillId="41" borderId="6" xfId="0" applyFont="1" applyFill="1" applyBorder="1" applyAlignment="1">
      <alignment horizontal="center" vertical="center" wrapText="1"/>
    </xf>
    <xf numFmtId="0" fontId="30" fillId="29" borderId="6" xfId="0" applyFont="1" applyFill="1" applyBorder="1" applyAlignment="1">
      <alignment horizontal="center"/>
    </xf>
    <xf numFmtId="0" fontId="30" fillId="41" borderId="6" xfId="0" applyFont="1" applyFill="1" applyBorder="1" applyAlignment="1">
      <alignment horizontal="center"/>
    </xf>
    <xf numFmtId="0" fontId="43" fillId="45" borderId="6" xfId="0" applyFont="1" applyFill="1" applyBorder="1" applyAlignment="1">
      <alignment horizontal="center" vertical="center" wrapText="1"/>
    </xf>
    <xf numFmtId="0" fontId="47" fillId="45" borderId="6" xfId="0" applyFont="1" applyFill="1" applyBorder="1" applyAlignment="1">
      <alignment horizontal="center" vertical="center" wrapText="1"/>
    </xf>
    <xf numFmtId="0" fontId="45" fillId="45" borderId="6" xfId="0" applyFont="1" applyFill="1" applyBorder="1" applyAlignment="1">
      <alignment horizontal="center" vertical="center"/>
    </xf>
    <xf numFmtId="0" fontId="42" fillId="46" borderId="6" xfId="0" applyFont="1" applyFill="1" applyBorder="1" applyAlignment="1">
      <alignment horizontal="center" vertical="center"/>
    </xf>
    <xf numFmtId="0" fontId="46" fillId="45" borderId="6" xfId="0" applyFont="1" applyFill="1" applyBorder="1" applyAlignment="1">
      <alignment horizontal="center" vertical="center" wrapText="1"/>
    </xf>
    <xf numFmtId="0" fontId="44" fillId="10" borderId="6" xfId="0" applyFont="1" applyFill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48" fillId="54" borderId="16" xfId="0" applyFont="1" applyFill="1" applyBorder="1" applyAlignment="1">
      <alignment horizontal="center"/>
    </xf>
    <xf numFmtId="0" fontId="48" fillId="54" borderId="18" xfId="0" applyFont="1" applyFill="1" applyBorder="1" applyAlignment="1">
      <alignment horizontal="center"/>
    </xf>
    <xf numFmtId="0" fontId="48" fillId="43" borderId="16" xfId="0" applyFont="1" applyFill="1" applyBorder="1" applyAlignment="1">
      <alignment horizontal="center"/>
    </xf>
    <xf numFmtId="0" fontId="48" fillId="43" borderId="18" xfId="0" applyFont="1" applyFill="1" applyBorder="1" applyAlignment="1">
      <alignment horizontal="center"/>
    </xf>
    <xf numFmtId="0" fontId="51" fillId="59" borderId="9" xfId="0" applyFont="1" applyFill="1" applyBorder="1" applyAlignment="1">
      <alignment horizontal="center" vertical="center" wrapText="1"/>
    </xf>
    <xf numFmtId="0" fontId="51" fillId="59" borderId="15" xfId="0" applyFont="1" applyFill="1" applyBorder="1" applyAlignment="1">
      <alignment horizontal="center" vertical="center" wrapText="1"/>
    </xf>
    <xf numFmtId="0" fontId="40" fillId="59" borderId="9" xfId="0" applyFont="1" applyFill="1" applyBorder="1" applyAlignment="1">
      <alignment horizontal="center" vertical="center" wrapText="1"/>
    </xf>
    <xf numFmtId="0" fontId="40" fillId="59" borderId="15" xfId="0" applyFont="1" applyFill="1" applyBorder="1" applyAlignment="1">
      <alignment horizontal="center" vertical="center" wrapText="1"/>
    </xf>
    <xf numFmtId="0" fontId="49" fillId="59" borderId="47" xfId="0" applyFont="1" applyFill="1" applyBorder="1" applyAlignment="1">
      <alignment horizontal="center" vertical="center" wrapText="1"/>
    </xf>
    <xf numFmtId="0" fontId="49" fillId="59" borderId="40" xfId="0" applyFont="1" applyFill="1" applyBorder="1" applyAlignment="1">
      <alignment horizontal="center" vertical="center" wrapText="1"/>
    </xf>
    <xf numFmtId="0" fontId="49" fillId="59" borderId="61" xfId="0" applyFont="1" applyFill="1" applyBorder="1" applyAlignment="1">
      <alignment horizontal="center" vertical="center" wrapText="1"/>
    </xf>
    <xf numFmtId="0" fontId="49" fillId="59" borderId="39" xfId="0" applyFont="1" applyFill="1" applyBorder="1" applyAlignment="1">
      <alignment horizontal="center" vertical="center" wrapText="1"/>
    </xf>
    <xf numFmtId="0" fontId="50" fillId="59" borderId="16" xfId="0" applyFont="1" applyFill="1" applyBorder="1" applyAlignment="1">
      <alignment horizontal="center" vertical="center"/>
    </xf>
    <xf numFmtId="0" fontId="50" fillId="59" borderId="17" xfId="0" applyFont="1" applyFill="1" applyBorder="1" applyAlignment="1">
      <alignment horizontal="center" vertical="center"/>
    </xf>
    <xf numFmtId="0" fontId="50" fillId="59" borderId="18" xfId="0" applyFont="1" applyFill="1" applyBorder="1" applyAlignment="1">
      <alignment horizontal="center" vertical="center"/>
    </xf>
    <xf numFmtId="0" fontId="36" fillId="11" borderId="16" xfId="0" applyFont="1" applyFill="1" applyBorder="1" applyAlignment="1">
      <alignment horizontal="center" vertical="center"/>
    </xf>
    <xf numFmtId="0" fontId="36" fillId="11" borderId="18" xfId="0" applyFont="1" applyFill="1" applyBorder="1" applyAlignment="1">
      <alignment horizontal="center" vertical="center"/>
    </xf>
    <xf numFmtId="0" fontId="40" fillId="59" borderId="47" xfId="0" applyFont="1" applyFill="1" applyBorder="1" applyAlignment="1">
      <alignment horizontal="center" vertical="center" wrapText="1"/>
    </xf>
    <xf numFmtId="0" fontId="40" fillId="59" borderId="40" xfId="0" applyFont="1" applyFill="1" applyBorder="1" applyAlignment="1">
      <alignment horizontal="center" vertical="center" wrapText="1"/>
    </xf>
    <xf numFmtId="0" fontId="40" fillId="59" borderId="61" xfId="0" applyFont="1" applyFill="1" applyBorder="1" applyAlignment="1">
      <alignment horizontal="center" vertical="center" wrapText="1"/>
    </xf>
    <xf numFmtId="0" fontId="40" fillId="59" borderId="39" xfId="0" applyFont="1" applyFill="1" applyBorder="1" applyAlignment="1">
      <alignment horizontal="center" vertical="center" wrapText="1"/>
    </xf>
    <xf numFmtId="0" fontId="51" fillId="29" borderId="9" xfId="0" applyFont="1" applyFill="1" applyBorder="1" applyAlignment="1">
      <alignment horizontal="center" vertical="center" wrapText="1"/>
    </xf>
    <xf numFmtId="0" fontId="51" fillId="29" borderId="15" xfId="0" applyFont="1" applyFill="1" applyBorder="1" applyAlignment="1">
      <alignment horizontal="center" vertical="center" wrapText="1"/>
    </xf>
    <xf numFmtId="0" fontId="40" fillId="29" borderId="9" xfId="0" applyFont="1" applyFill="1" applyBorder="1" applyAlignment="1">
      <alignment horizontal="center" vertical="center" wrapText="1"/>
    </xf>
    <xf numFmtId="0" fontId="40" fillId="29" borderId="1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0" fontId="49" fillId="29" borderId="40" xfId="0" applyFont="1" applyFill="1" applyBorder="1" applyAlignment="1">
      <alignment horizontal="center" vertical="center" wrapText="1"/>
    </xf>
    <xf numFmtId="0" fontId="49" fillId="29" borderId="61" xfId="0" applyFont="1" applyFill="1" applyBorder="1" applyAlignment="1">
      <alignment horizontal="center" vertical="center" wrapText="1"/>
    </xf>
    <xf numFmtId="0" fontId="49" fillId="29" borderId="39" xfId="0" applyFont="1" applyFill="1" applyBorder="1" applyAlignment="1">
      <alignment horizontal="center" vertical="center" wrapText="1"/>
    </xf>
    <xf numFmtId="0" fontId="50" fillId="29" borderId="16" xfId="0" applyFont="1" applyFill="1" applyBorder="1" applyAlignment="1">
      <alignment horizontal="center" vertical="center"/>
    </xf>
    <xf numFmtId="0" fontId="50" fillId="29" borderId="17" xfId="0" applyFont="1" applyFill="1" applyBorder="1" applyAlignment="1">
      <alignment horizontal="center" vertical="center"/>
    </xf>
    <xf numFmtId="0" fontId="50" fillId="29" borderId="18" xfId="0" applyFont="1" applyFill="1" applyBorder="1" applyAlignment="1">
      <alignment horizontal="center" vertical="center"/>
    </xf>
    <xf numFmtId="0" fontId="36" fillId="56" borderId="16" xfId="0" applyFont="1" applyFill="1" applyBorder="1" applyAlignment="1">
      <alignment horizontal="center" vertical="center"/>
    </xf>
    <xf numFmtId="0" fontId="36" fillId="56" borderId="18" xfId="0" applyFont="1" applyFill="1" applyBorder="1" applyAlignment="1">
      <alignment horizontal="center" vertical="center"/>
    </xf>
    <xf numFmtId="0" fontId="40" fillId="29" borderId="47" xfId="0" applyFont="1" applyFill="1" applyBorder="1" applyAlignment="1">
      <alignment horizontal="center" vertical="center" wrapText="1"/>
    </xf>
    <xf numFmtId="0" fontId="40" fillId="29" borderId="40" xfId="0" applyFont="1" applyFill="1" applyBorder="1" applyAlignment="1">
      <alignment horizontal="center" vertical="center" wrapText="1"/>
    </xf>
    <xf numFmtId="0" fontId="40" fillId="29" borderId="61" xfId="0" applyFont="1" applyFill="1" applyBorder="1" applyAlignment="1">
      <alignment horizontal="center" vertical="center" wrapText="1"/>
    </xf>
    <xf numFmtId="0" fontId="40" fillId="29" borderId="39" xfId="0" applyFont="1" applyFill="1" applyBorder="1" applyAlignment="1">
      <alignment horizontal="center" vertical="center" wrapText="1"/>
    </xf>
    <xf numFmtId="0" fontId="48" fillId="27" borderId="16" xfId="0" applyFont="1" applyFill="1" applyBorder="1" applyAlignment="1">
      <alignment horizontal="center"/>
    </xf>
    <xf numFmtId="0" fontId="48" fillId="27" borderId="18" xfId="0" applyFont="1" applyFill="1" applyBorder="1" applyAlignment="1">
      <alignment horizontal="center"/>
    </xf>
    <xf numFmtId="0" fontId="48" fillId="29" borderId="16" xfId="0" applyFont="1" applyFill="1" applyBorder="1" applyAlignment="1">
      <alignment horizontal="center"/>
    </xf>
    <xf numFmtId="0" fontId="48" fillId="29" borderId="18" xfId="0" applyFont="1" applyFill="1" applyBorder="1" applyAlignment="1">
      <alignment horizontal="center"/>
    </xf>
    <xf numFmtId="2" fontId="52" fillId="4" borderId="9" xfId="0" applyNumberFormat="1" applyFont="1" applyFill="1" applyBorder="1" applyAlignment="1">
      <alignment horizontal="center" vertical="center"/>
    </xf>
    <xf numFmtId="2" fontId="52" fillId="4" borderId="15" xfId="0" applyNumberFormat="1" applyFont="1" applyFill="1" applyBorder="1" applyAlignment="1">
      <alignment horizontal="center" vertical="center"/>
    </xf>
    <xf numFmtId="0" fontId="51" fillId="52" borderId="9" xfId="0" applyFont="1" applyFill="1" applyBorder="1" applyAlignment="1">
      <alignment horizontal="center" vertical="center" wrapText="1"/>
    </xf>
    <xf numFmtId="0" fontId="51" fillId="52" borderId="15" xfId="0" applyFont="1" applyFill="1" applyBorder="1" applyAlignment="1">
      <alignment horizontal="center" vertical="center" wrapText="1"/>
    </xf>
    <xf numFmtId="0" fontId="40" fillId="52" borderId="47" xfId="0" applyFont="1" applyFill="1" applyBorder="1" applyAlignment="1">
      <alignment horizontal="center" vertical="center" wrapText="1"/>
    </xf>
    <xf numFmtId="0" fontId="40" fillId="52" borderId="40" xfId="0" applyFont="1" applyFill="1" applyBorder="1" applyAlignment="1">
      <alignment horizontal="center" vertical="center" wrapText="1"/>
    </xf>
    <xf numFmtId="0" fontId="40" fillId="52" borderId="61" xfId="0" applyFont="1" applyFill="1" applyBorder="1" applyAlignment="1">
      <alignment horizontal="center" vertical="center" wrapText="1"/>
    </xf>
    <xf numFmtId="0" fontId="40" fillId="52" borderId="39" xfId="0" applyFont="1" applyFill="1" applyBorder="1" applyAlignment="1">
      <alignment horizontal="center" vertical="center" wrapText="1"/>
    </xf>
    <xf numFmtId="0" fontId="40" fillId="52" borderId="9" xfId="0" applyFont="1" applyFill="1" applyBorder="1" applyAlignment="1">
      <alignment horizontal="center" vertical="center" wrapText="1"/>
    </xf>
    <xf numFmtId="0" fontId="40" fillId="52" borderId="15" xfId="0" applyFont="1" applyFill="1" applyBorder="1" applyAlignment="1">
      <alignment horizontal="center" vertical="center" wrapText="1"/>
    </xf>
    <xf numFmtId="0" fontId="49" fillId="52" borderId="47" xfId="0" applyFont="1" applyFill="1" applyBorder="1" applyAlignment="1">
      <alignment horizontal="center" vertical="center" wrapText="1"/>
    </xf>
    <xf numFmtId="0" fontId="49" fillId="52" borderId="40" xfId="0" applyFont="1" applyFill="1" applyBorder="1" applyAlignment="1">
      <alignment horizontal="center" vertical="center" wrapText="1"/>
    </xf>
    <xf numFmtId="0" fontId="49" fillId="52" borderId="61" xfId="0" applyFont="1" applyFill="1" applyBorder="1" applyAlignment="1">
      <alignment horizontal="center" vertical="center" wrapText="1"/>
    </xf>
    <xf numFmtId="0" fontId="49" fillId="52" borderId="39" xfId="0" applyFont="1" applyFill="1" applyBorder="1" applyAlignment="1">
      <alignment horizontal="center" vertical="center" wrapText="1"/>
    </xf>
    <xf numFmtId="0" fontId="50" fillId="52" borderId="16" xfId="0" applyFont="1" applyFill="1" applyBorder="1" applyAlignment="1">
      <alignment horizontal="center" vertical="center"/>
    </xf>
    <xf numFmtId="0" fontId="50" fillId="52" borderId="17" xfId="0" applyFont="1" applyFill="1" applyBorder="1" applyAlignment="1">
      <alignment horizontal="center" vertical="center"/>
    </xf>
    <xf numFmtId="0" fontId="50" fillId="52" borderId="18" xfId="0" applyFont="1" applyFill="1" applyBorder="1" applyAlignment="1">
      <alignment horizontal="center" vertical="center"/>
    </xf>
    <xf numFmtId="0" fontId="36" fillId="29" borderId="16" xfId="0" applyFont="1" applyFill="1" applyBorder="1" applyAlignment="1">
      <alignment horizontal="center" vertical="center"/>
    </xf>
    <xf numFmtId="0" fontId="36" fillId="29" borderId="18" xfId="0" applyFont="1" applyFill="1" applyBorder="1" applyAlignment="1">
      <alignment horizontal="center" vertical="center"/>
    </xf>
    <xf numFmtId="0" fontId="48" fillId="36" borderId="16" xfId="0" applyFont="1" applyFill="1" applyBorder="1" applyAlignment="1">
      <alignment horizontal="center"/>
    </xf>
    <xf numFmtId="0" fontId="48" fillId="36" borderId="18" xfId="0" applyFont="1" applyFill="1" applyBorder="1" applyAlignment="1">
      <alignment horizontal="center"/>
    </xf>
    <xf numFmtId="0" fontId="48" fillId="50" borderId="16" xfId="0" applyFont="1" applyFill="1" applyBorder="1" applyAlignment="1">
      <alignment horizontal="center"/>
    </xf>
    <xf numFmtId="0" fontId="48" fillId="50" borderId="18" xfId="0" applyFont="1" applyFill="1" applyBorder="1" applyAlignment="1">
      <alignment horizontal="center"/>
    </xf>
    <xf numFmtId="0" fontId="51" fillId="49" borderId="9" xfId="0" applyFont="1" applyFill="1" applyBorder="1" applyAlignment="1">
      <alignment horizontal="center" vertical="center" wrapText="1"/>
    </xf>
    <xf numFmtId="0" fontId="51" fillId="49" borderId="15" xfId="0" applyFont="1" applyFill="1" applyBorder="1" applyAlignment="1">
      <alignment horizontal="center" vertical="center" wrapText="1"/>
    </xf>
    <xf numFmtId="0" fontId="40" fillId="49" borderId="47" xfId="0" applyFont="1" applyFill="1" applyBorder="1" applyAlignment="1">
      <alignment horizontal="center" vertical="center" wrapText="1"/>
    </xf>
    <xf numFmtId="0" fontId="40" fillId="49" borderId="40" xfId="0" applyFont="1" applyFill="1" applyBorder="1" applyAlignment="1">
      <alignment horizontal="center" vertical="center" wrapText="1"/>
    </xf>
    <xf numFmtId="0" fontId="40" fillId="49" borderId="61" xfId="0" applyFont="1" applyFill="1" applyBorder="1" applyAlignment="1">
      <alignment horizontal="center" vertical="center" wrapText="1"/>
    </xf>
    <xf numFmtId="0" fontId="40" fillId="49" borderId="39" xfId="0" applyFont="1" applyFill="1" applyBorder="1" applyAlignment="1">
      <alignment horizontal="center" vertical="center" wrapText="1"/>
    </xf>
    <xf numFmtId="0" fontId="40" fillId="49" borderId="9" xfId="0" applyFont="1" applyFill="1" applyBorder="1" applyAlignment="1">
      <alignment horizontal="center" vertical="center" wrapText="1"/>
    </xf>
    <xf numFmtId="0" fontId="40" fillId="49" borderId="15" xfId="0" applyFont="1" applyFill="1" applyBorder="1" applyAlignment="1">
      <alignment horizontal="center" vertical="center" wrapText="1"/>
    </xf>
    <xf numFmtId="0" fontId="49" fillId="49" borderId="47" xfId="0" applyFont="1" applyFill="1" applyBorder="1" applyAlignment="1">
      <alignment horizontal="center" vertical="center" wrapText="1"/>
    </xf>
    <xf numFmtId="0" fontId="49" fillId="49" borderId="40" xfId="0" applyFont="1" applyFill="1" applyBorder="1" applyAlignment="1">
      <alignment horizontal="center" vertical="center" wrapText="1"/>
    </xf>
    <xf numFmtId="0" fontId="49" fillId="49" borderId="61" xfId="0" applyFont="1" applyFill="1" applyBorder="1" applyAlignment="1">
      <alignment horizontal="center" vertical="center" wrapText="1"/>
    </xf>
    <xf numFmtId="0" fontId="49" fillId="49" borderId="39" xfId="0" applyFont="1" applyFill="1" applyBorder="1" applyAlignment="1">
      <alignment horizontal="center" vertical="center" wrapText="1"/>
    </xf>
    <xf numFmtId="0" fontId="50" fillId="49" borderId="16" xfId="0" applyFont="1" applyFill="1" applyBorder="1" applyAlignment="1">
      <alignment horizontal="center" vertical="center"/>
    </xf>
    <xf numFmtId="0" fontId="50" fillId="49" borderId="17" xfId="0" applyFont="1" applyFill="1" applyBorder="1" applyAlignment="1">
      <alignment horizontal="center" vertical="center"/>
    </xf>
    <xf numFmtId="0" fontId="50" fillId="49" borderId="18" xfId="0" applyFont="1" applyFill="1" applyBorder="1" applyAlignment="1">
      <alignment horizontal="center" vertical="center"/>
    </xf>
    <xf numFmtId="0" fontId="36" fillId="49" borderId="16" xfId="0" applyFont="1" applyFill="1" applyBorder="1" applyAlignment="1">
      <alignment horizontal="center" vertical="center"/>
    </xf>
    <xf numFmtId="0" fontId="36" fillId="49" borderId="18" xfId="0" applyFont="1" applyFill="1" applyBorder="1" applyAlignment="1">
      <alignment horizontal="center" vertical="center"/>
    </xf>
    <xf numFmtId="0" fontId="51" fillId="50" borderId="9" xfId="0" applyFont="1" applyFill="1" applyBorder="1" applyAlignment="1">
      <alignment horizontal="center" vertical="center" wrapText="1"/>
    </xf>
    <xf numFmtId="0" fontId="51" fillId="50" borderId="15" xfId="0" applyFont="1" applyFill="1" applyBorder="1" applyAlignment="1">
      <alignment horizontal="center" vertical="center" wrapText="1"/>
    </xf>
    <xf numFmtId="0" fontId="40" fillId="50" borderId="9" xfId="0" applyFont="1" applyFill="1" applyBorder="1" applyAlignment="1">
      <alignment horizontal="center" vertical="center" wrapText="1"/>
    </xf>
    <xf numFmtId="0" fontId="40" fillId="50" borderId="15" xfId="0" applyFont="1" applyFill="1" applyBorder="1" applyAlignment="1">
      <alignment horizontal="center" vertical="center" wrapText="1"/>
    </xf>
    <xf numFmtId="0" fontId="49" fillId="50" borderId="47" xfId="0" applyFont="1" applyFill="1" applyBorder="1" applyAlignment="1">
      <alignment horizontal="center" vertical="center" wrapText="1"/>
    </xf>
    <xf numFmtId="0" fontId="49" fillId="50" borderId="40" xfId="0" applyFont="1" applyFill="1" applyBorder="1" applyAlignment="1">
      <alignment horizontal="center" vertical="center" wrapText="1"/>
    </xf>
    <xf numFmtId="0" fontId="49" fillId="50" borderId="61" xfId="0" applyFont="1" applyFill="1" applyBorder="1" applyAlignment="1">
      <alignment horizontal="center" vertical="center" wrapText="1"/>
    </xf>
    <xf numFmtId="0" fontId="49" fillId="50" borderId="39" xfId="0" applyFont="1" applyFill="1" applyBorder="1" applyAlignment="1">
      <alignment horizontal="center" vertical="center" wrapText="1"/>
    </xf>
    <xf numFmtId="0" fontId="50" fillId="50" borderId="16" xfId="0" applyFont="1" applyFill="1" applyBorder="1" applyAlignment="1">
      <alignment horizontal="center" vertical="center"/>
    </xf>
    <xf numFmtId="0" fontId="50" fillId="50" borderId="17" xfId="0" applyFont="1" applyFill="1" applyBorder="1" applyAlignment="1">
      <alignment horizontal="center" vertical="center"/>
    </xf>
    <xf numFmtId="0" fontId="50" fillId="50" borderId="18" xfId="0" applyFont="1" applyFill="1" applyBorder="1" applyAlignment="1">
      <alignment horizontal="center" vertical="center"/>
    </xf>
    <xf numFmtId="0" fontId="36" fillId="50" borderId="16" xfId="0" applyFont="1" applyFill="1" applyBorder="1" applyAlignment="1">
      <alignment horizontal="center" vertical="center"/>
    </xf>
    <xf numFmtId="0" fontId="36" fillId="50" borderId="18" xfId="0" applyFont="1" applyFill="1" applyBorder="1" applyAlignment="1">
      <alignment horizontal="center" vertical="center"/>
    </xf>
    <xf numFmtId="0" fontId="40" fillId="50" borderId="47" xfId="0" applyFont="1" applyFill="1" applyBorder="1" applyAlignment="1">
      <alignment horizontal="center" vertical="center" wrapText="1"/>
    </xf>
    <xf numFmtId="0" fontId="40" fillId="50" borderId="40" xfId="0" applyFont="1" applyFill="1" applyBorder="1" applyAlignment="1">
      <alignment horizontal="center" vertical="center" wrapText="1"/>
    </xf>
    <xf numFmtId="0" fontId="40" fillId="50" borderId="61" xfId="0" applyFont="1" applyFill="1" applyBorder="1" applyAlignment="1">
      <alignment horizontal="center" vertical="center" wrapText="1"/>
    </xf>
    <xf numFmtId="0" fontId="40" fillId="50" borderId="39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26" borderId="9" xfId="0" applyFont="1" applyFill="1" applyBorder="1" applyAlignment="1">
      <alignment horizontal="center" vertical="center"/>
    </xf>
    <xf numFmtId="0" fontId="30" fillId="26" borderId="15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44" fillId="72" borderId="16" xfId="0" applyFont="1" applyFill="1" applyBorder="1" applyAlignment="1">
      <alignment horizontal="center" vertical="center"/>
    </xf>
    <xf numFmtId="0" fontId="44" fillId="72" borderId="18" xfId="0" applyFont="1" applyFill="1" applyBorder="1" applyAlignment="1">
      <alignment horizontal="center" vertical="center"/>
    </xf>
    <xf numFmtId="0" fontId="47" fillId="71" borderId="9" xfId="0" applyFont="1" applyFill="1" applyBorder="1" applyAlignment="1">
      <alignment horizontal="center" vertical="center"/>
    </xf>
    <xf numFmtId="0" fontId="47" fillId="71" borderId="15" xfId="0" applyFont="1" applyFill="1" applyBorder="1" applyAlignment="1">
      <alignment horizontal="center" vertical="center"/>
    </xf>
    <xf numFmtId="0" fontId="43" fillId="71" borderId="16" xfId="0" applyFont="1" applyFill="1" applyBorder="1" applyAlignment="1">
      <alignment horizontal="center" vertical="center"/>
    </xf>
    <xf numFmtId="0" fontId="43" fillId="71" borderId="18" xfId="0" applyFont="1" applyFill="1" applyBorder="1" applyAlignment="1">
      <alignment horizontal="center" vertical="center"/>
    </xf>
    <xf numFmtId="0" fontId="66" fillId="71" borderId="9" xfId="0" applyFont="1" applyFill="1" applyBorder="1" applyAlignment="1">
      <alignment horizontal="center" vertical="center" wrapText="1"/>
    </xf>
    <xf numFmtId="0" fontId="66" fillId="71" borderId="15" xfId="0" applyFont="1" applyFill="1" applyBorder="1" applyAlignment="1">
      <alignment horizontal="center" vertical="center" wrapText="1"/>
    </xf>
    <xf numFmtId="0" fontId="67" fillId="71" borderId="9" xfId="0" applyFont="1" applyFill="1" applyBorder="1" applyAlignment="1">
      <alignment horizontal="center" vertical="center" wrapText="1"/>
    </xf>
    <xf numFmtId="0" fontId="67" fillId="71" borderId="15" xfId="0" applyFont="1" applyFill="1" applyBorder="1" applyAlignment="1">
      <alignment horizontal="center" vertical="center" wrapText="1"/>
    </xf>
    <xf numFmtId="0" fontId="68" fillId="71" borderId="47" xfId="0" applyFont="1" applyFill="1" applyBorder="1" applyAlignment="1">
      <alignment horizontal="center" vertical="center" wrapText="1"/>
    </xf>
    <xf numFmtId="0" fontId="68" fillId="71" borderId="40" xfId="0" applyFont="1" applyFill="1" applyBorder="1" applyAlignment="1">
      <alignment horizontal="center" vertical="center" wrapText="1"/>
    </xf>
    <xf numFmtId="0" fontId="68" fillId="71" borderId="61" xfId="0" applyFont="1" applyFill="1" applyBorder="1" applyAlignment="1">
      <alignment horizontal="center" vertical="center" wrapText="1"/>
    </xf>
    <xf numFmtId="0" fontId="68" fillId="71" borderId="39" xfId="0" applyFont="1" applyFill="1" applyBorder="1" applyAlignment="1">
      <alignment horizontal="center" vertical="center" wrapText="1"/>
    </xf>
    <xf numFmtId="0" fontId="65" fillId="66" borderId="16" xfId="0" applyFont="1" applyFill="1" applyBorder="1" applyAlignment="1">
      <alignment horizontal="center" vertical="center"/>
    </xf>
    <xf numFmtId="0" fontId="65" fillId="66" borderId="17" xfId="0" applyFont="1" applyFill="1" applyBorder="1" applyAlignment="1">
      <alignment horizontal="center" vertical="center"/>
    </xf>
    <xf numFmtId="0" fontId="65" fillId="66" borderId="18" xfId="0" applyFont="1" applyFill="1" applyBorder="1" applyAlignment="1">
      <alignment horizontal="center" vertical="center"/>
    </xf>
    <xf numFmtId="0" fontId="69" fillId="72" borderId="16" xfId="0" applyFont="1" applyFill="1" applyBorder="1" applyAlignment="1">
      <alignment horizontal="center" vertical="center"/>
    </xf>
    <xf numFmtId="0" fontId="69" fillId="72" borderId="18" xfId="0" applyFont="1" applyFill="1" applyBorder="1" applyAlignment="1">
      <alignment horizontal="center" vertical="center"/>
    </xf>
    <xf numFmtId="0" fontId="67" fillId="71" borderId="47" xfId="0" applyFont="1" applyFill="1" applyBorder="1" applyAlignment="1">
      <alignment horizontal="center" vertical="center" wrapText="1"/>
    </xf>
    <xf numFmtId="0" fontId="67" fillId="71" borderId="40" xfId="0" applyFont="1" applyFill="1" applyBorder="1" applyAlignment="1">
      <alignment horizontal="center" vertical="center" wrapText="1"/>
    </xf>
    <xf numFmtId="0" fontId="67" fillId="71" borderId="61" xfId="0" applyFont="1" applyFill="1" applyBorder="1" applyAlignment="1">
      <alignment horizontal="center" vertical="center" wrapText="1"/>
    </xf>
    <xf numFmtId="0" fontId="67" fillId="71" borderId="39" xfId="0" applyFont="1" applyFill="1" applyBorder="1" applyAlignment="1">
      <alignment horizontal="center" vertical="center" wrapText="1"/>
    </xf>
    <xf numFmtId="0" fontId="48" fillId="63" borderId="16" xfId="0" applyFont="1" applyFill="1" applyBorder="1" applyAlignment="1">
      <alignment horizontal="center" vertical="center"/>
    </xf>
    <xf numFmtId="0" fontId="48" fillId="63" borderId="18" xfId="0" applyFont="1" applyFill="1" applyBorder="1" applyAlignment="1">
      <alignment horizontal="center" vertical="center"/>
    </xf>
    <xf numFmtId="0" fontId="47" fillId="64" borderId="9" xfId="0" applyFont="1" applyFill="1" applyBorder="1" applyAlignment="1">
      <alignment horizontal="center" vertical="center"/>
    </xf>
    <xf numFmtId="0" fontId="47" fillId="64" borderId="15" xfId="0" applyFont="1" applyFill="1" applyBorder="1" applyAlignment="1">
      <alignment horizontal="center" vertical="center"/>
    </xf>
    <xf numFmtId="0" fontId="48" fillId="64" borderId="16" xfId="0" applyFont="1" applyFill="1" applyBorder="1" applyAlignment="1">
      <alignment horizontal="center" vertical="center"/>
    </xf>
    <xf numFmtId="0" fontId="48" fillId="64" borderId="18" xfId="0" applyFont="1" applyFill="1" applyBorder="1" applyAlignment="1">
      <alignment horizontal="center" vertical="center"/>
    </xf>
    <xf numFmtId="0" fontId="51" fillId="63" borderId="9" xfId="0" applyFont="1" applyFill="1" applyBorder="1" applyAlignment="1">
      <alignment horizontal="center" vertical="center" wrapText="1"/>
    </xf>
    <xf numFmtId="0" fontId="51" fillId="63" borderId="15" xfId="0" applyFont="1" applyFill="1" applyBorder="1" applyAlignment="1">
      <alignment horizontal="center" vertical="center" wrapText="1"/>
    </xf>
    <xf numFmtId="0" fontId="40" fillId="63" borderId="9" xfId="0" applyFont="1" applyFill="1" applyBorder="1" applyAlignment="1">
      <alignment horizontal="center" vertical="center" wrapText="1"/>
    </xf>
    <xf numFmtId="0" fontId="40" fillId="63" borderId="15" xfId="0" applyFont="1" applyFill="1" applyBorder="1" applyAlignment="1">
      <alignment horizontal="center" vertical="center" wrapText="1"/>
    </xf>
    <xf numFmtId="0" fontId="49" fillId="63" borderId="47" xfId="0" applyFont="1" applyFill="1" applyBorder="1" applyAlignment="1">
      <alignment horizontal="center" vertical="center" wrapText="1"/>
    </xf>
    <xf numFmtId="0" fontId="49" fillId="63" borderId="40" xfId="0" applyFont="1" applyFill="1" applyBorder="1" applyAlignment="1">
      <alignment horizontal="center" vertical="center" wrapText="1"/>
    </xf>
    <xf numFmtId="0" fontId="49" fillId="63" borderId="61" xfId="0" applyFont="1" applyFill="1" applyBorder="1" applyAlignment="1">
      <alignment horizontal="center" vertical="center" wrapText="1"/>
    </xf>
    <xf numFmtId="0" fontId="49" fillId="63" borderId="39" xfId="0" applyFont="1" applyFill="1" applyBorder="1" applyAlignment="1">
      <alignment horizontal="center" vertical="center" wrapText="1"/>
    </xf>
    <xf numFmtId="0" fontId="52" fillId="4" borderId="16" xfId="0" applyFont="1" applyFill="1" applyBorder="1" applyAlignment="1">
      <alignment horizontal="center" vertical="center"/>
    </xf>
    <xf numFmtId="0" fontId="52" fillId="4" borderId="17" xfId="0" applyFont="1" applyFill="1" applyBorder="1" applyAlignment="1">
      <alignment horizontal="center" vertical="center"/>
    </xf>
    <xf numFmtId="0" fontId="52" fillId="4" borderId="18" xfId="0" applyFont="1" applyFill="1" applyBorder="1" applyAlignment="1">
      <alignment horizontal="center" vertical="center"/>
    </xf>
    <xf numFmtId="0" fontId="64" fillId="66" borderId="16" xfId="0" applyFont="1" applyFill="1" applyBorder="1" applyAlignment="1">
      <alignment horizontal="center" vertical="center"/>
    </xf>
    <xf numFmtId="0" fontId="64" fillId="66" borderId="18" xfId="0" applyFont="1" applyFill="1" applyBorder="1" applyAlignment="1">
      <alignment horizontal="center" vertical="center"/>
    </xf>
    <xf numFmtId="0" fontId="40" fillId="63" borderId="47" xfId="0" applyFont="1" applyFill="1" applyBorder="1" applyAlignment="1">
      <alignment horizontal="center" vertical="center" wrapText="1"/>
    </xf>
    <xf numFmtId="0" fontId="40" fillId="63" borderId="40" xfId="0" applyFont="1" applyFill="1" applyBorder="1" applyAlignment="1">
      <alignment horizontal="center" vertical="center" wrapText="1"/>
    </xf>
    <xf numFmtId="0" fontId="40" fillId="63" borderId="61" xfId="0" applyFont="1" applyFill="1" applyBorder="1" applyAlignment="1">
      <alignment horizontal="center" vertical="center" wrapText="1"/>
    </xf>
    <xf numFmtId="0" fontId="40" fillId="63" borderId="39" xfId="0" applyFont="1" applyFill="1" applyBorder="1" applyAlignment="1">
      <alignment horizontal="center" vertical="center" wrapText="1"/>
    </xf>
    <xf numFmtId="0" fontId="62" fillId="4" borderId="16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62" fillId="4" borderId="18" xfId="0" applyFont="1" applyFill="1" applyBorder="1" applyAlignment="1">
      <alignment horizontal="center" vertical="center"/>
    </xf>
    <xf numFmtId="0" fontId="42" fillId="66" borderId="16" xfId="0" applyFont="1" applyFill="1" applyBorder="1" applyAlignment="1">
      <alignment horizontal="center" vertical="center"/>
    </xf>
    <xf numFmtId="0" fontId="42" fillId="66" borderId="18" xfId="0" applyFont="1" applyFill="1" applyBorder="1" applyAlignment="1">
      <alignment horizontal="center" vertical="center"/>
    </xf>
    <xf numFmtId="0" fontId="48" fillId="63" borderId="16" xfId="0" applyFont="1" applyFill="1" applyBorder="1" applyAlignment="1">
      <alignment horizontal="center"/>
    </xf>
    <xf numFmtId="0" fontId="48" fillId="63" borderId="18" xfId="0" applyFont="1" applyFill="1" applyBorder="1" applyAlignment="1">
      <alignment horizontal="center"/>
    </xf>
    <xf numFmtId="0" fontId="48" fillId="64" borderId="16" xfId="0" applyFont="1" applyFill="1" applyBorder="1" applyAlignment="1">
      <alignment horizontal="center"/>
    </xf>
    <xf numFmtId="0" fontId="48" fillId="64" borderId="18" xfId="0" applyFont="1" applyFill="1" applyBorder="1" applyAlignment="1">
      <alignment horizontal="center"/>
    </xf>
    <xf numFmtId="0" fontId="51" fillId="65" borderId="9" xfId="0" applyFont="1" applyFill="1" applyBorder="1" applyAlignment="1">
      <alignment horizontal="center" vertical="center" wrapText="1"/>
    </xf>
    <xf numFmtId="0" fontId="51" fillId="65" borderId="15" xfId="0" applyFont="1" applyFill="1" applyBorder="1" applyAlignment="1">
      <alignment horizontal="center" vertical="center" wrapText="1"/>
    </xf>
    <xf numFmtId="0" fontId="40" fillId="65" borderId="9" xfId="0" applyFont="1" applyFill="1" applyBorder="1" applyAlignment="1">
      <alignment horizontal="center" vertical="center" wrapText="1"/>
    </xf>
    <xf numFmtId="0" fontId="40" fillId="65" borderId="15" xfId="0" applyFont="1" applyFill="1" applyBorder="1" applyAlignment="1">
      <alignment horizontal="center" vertical="center" wrapText="1"/>
    </xf>
    <xf numFmtId="0" fontId="49" fillId="65" borderId="47" xfId="0" applyFont="1" applyFill="1" applyBorder="1" applyAlignment="1">
      <alignment horizontal="center" vertical="center" wrapText="1"/>
    </xf>
    <xf numFmtId="0" fontId="49" fillId="65" borderId="40" xfId="0" applyFont="1" applyFill="1" applyBorder="1" applyAlignment="1">
      <alignment horizontal="center" vertical="center" wrapText="1"/>
    </xf>
    <xf numFmtId="0" fontId="49" fillId="65" borderId="61" xfId="0" applyFont="1" applyFill="1" applyBorder="1" applyAlignment="1">
      <alignment horizontal="center" vertical="center" wrapText="1"/>
    </xf>
    <xf numFmtId="0" fontId="49" fillId="65" borderId="39" xfId="0" applyFont="1" applyFill="1" applyBorder="1" applyAlignment="1">
      <alignment horizontal="center" vertical="center" wrapText="1"/>
    </xf>
    <xf numFmtId="0" fontId="55" fillId="27" borderId="16" xfId="0" applyFont="1" applyFill="1" applyBorder="1" applyAlignment="1">
      <alignment horizontal="center" vertical="center"/>
    </xf>
    <xf numFmtId="0" fontId="55" fillId="27" borderId="17" xfId="0" applyFont="1" applyFill="1" applyBorder="1" applyAlignment="1">
      <alignment horizontal="center" vertical="center"/>
    </xf>
    <xf numFmtId="0" fontId="55" fillId="27" borderId="18" xfId="0" applyFont="1" applyFill="1" applyBorder="1" applyAlignment="1">
      <alignment horizontal="center" vertical="center"/>
    </xf>
    <xf numFmtId="0" fontId="40" fillId="65" borderId="47" xfId="0" applyFont="1" applyFill="1" applyBorder="1" applyAlignment="1">
      <alignment horizontal="center" vertical="center" wrapText="1"/>
    </xf>
    <xf numFmtId="0" fontId="40" fillId="65" borderId="40" xfId="0" applyFont="1" applyFill="1" applyBorder="1" applyAlignment="1">
      <alignment horizontal="center" vertical="center" wrapText="1"/>
    </xf>
    <xf numFmtId="0" fontId="40" fillId="65" borderId="61" xfId="0" applyFont="1" applyFill="1" applyBorder="1" applyAlignment="1">
      <alignment horizontal="center" vertical="center" wrapText="1"/>
    </xf>
    <xf numFmtId="0" fontId="40" fillId="65" borderId="39" xfId="0" applyFont="1" applyFill="1" applyBorder="1" applyAlignment="1">
      <alignment horizontal="center" vertical="center" wrapText="1"/>
    </xf>
    <xf numFmtId="0" fontId="53" fillId="4" borderId="9" xfId="0" applyFont="1" applyFill="1" applyBorder="1" applyAlignment="1">
      <alignment horizontal="center" vertical="center"/>
    </xf>
    <xf numFmtId="0" fontId="53" fillId="4" borderId="15" xfId="0" applyFont="1" applyFill="1" applyBorder="1" applyAlignment="1">
      <alignment horizontal="center" vertical="center"/>
    </xf>
    <xf numFmtId="0" fontId="30" fillId="69" borderId="9" xfId="0" applyFont="1" applyFill="1" applyBorder="1" applyAlignment="1">
      <alignment horizontal="center" vertical="center"/>
    </xf>
    <xf numFmtId="0" fontId="30" fillId="69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6" fillId="27" borderId="4" xfId="0" applyFont="1" applyFill="1" applyBorder="1" applyAlignment="1">
      <alignment horizontal="center" vertical="center" wrapText="1"/>
    </xf>
    <xf numFmtId="0" fontId="16" fillId="27" borderId="5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6600"/>
      <color rgb="FF00FFCC"/>
      <color rgb="FF339933"/>
      <color rgb="FF003300"/>
      <color rgb="FF800080"/>
      <color rgb="FF006600"/>
      <color rgb="FF339966"/>
      <color rgb="FF0033CC"/>
      <color rgb="FFCC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P40"/>
  <sheetViews>
    <sheetView topLeftCell="A34" workbookViewId="0">
      <selection activeCell="AN2" sqref="AN2:AN3"/>
    </sheetView>
  </sheetViews>
  <sheetFormatPr defaultColWidth="9.140625" defaultRowHeight="14.25"/>
  <cols>
    <col min="1" max="1" width="5.140625" style="16" customWidth="1"/>
    <col min="2" max="2" width="7.5703125" style="16" customWidth="1"/>
    <col min="3" max="3" width="6.140625" style="16" customWidth="1"/>
    <col min="4" max="34" width="2.7109375" style="16" customWidth="1"/>
    <col min="35" max="39" width="6" style="16" customWidth="1"/>
    <col min="40" max="40" width="6" style="30" customWidth="1"/>
    <col min="41" max="42" width="9.85546875" style="16" bestFit="1" customWidth="1"/>
    <col min="43" max="16384" width="9.140625" style="16"/>
  </cols>
  <sheetData>
    <row r="2" spans="1:42" ht="18.75" customHeight="1">
      <c r="A2" s="479" t="s">
        <v>0</v>
      </c>
      <c r="B2" s="508" t="s">
        <v>1</v>
      </c>
      <c r="C2" s="508"/>
      <c r="D2" s="490" t="s">
        <v>2</v>
      </c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2"/>
      <c r="AI2" s="481" t="s">
        <v>3</v>
      </c>
      <c r="AJ2" s="497" t="s">
        <v>4</v>
      </c>
      <c r="AK2" s="481" t="s">
        <v>5</v>
      </c>
      <c r="AL2" s="481" t="s">
        <v>6</v>
      </c>
      <c r="AM2" s="481" t="s">
        <v>7</v>
      </c>
      <c r="AN2" s="483" t="s">
        <v>8</v>
      </c>
    </row>
    <row r="3" spans="1:42" ht="18.75" customHeight="1">
      <c r="A3" s="479"/>
      <c r="B3" s="508"/>
      <c r="C3" s="508"/>
      <c r="D3" s="31">
        <v>1</v>
      </c>
      <c r="E3" s="31">
        <v>2</v>
      </c>
      <c r="F3" s="31">
        <v>3</v>
      </c>
      <c r="G3" s="31">
        <v>4</v>
      </c>
      <c r="H3" s="31">
        <v>5</v>
      </c>
      <c r="I3" s="31">
        <v>6</v>
      </c>
      <c r="J3" s="31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31">
        <v>13</v>
      </c>
      <c r="Q3" s="31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31">
        <v>20</v>
      </c>
      <c r="X3" s="31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31">
        <v>27</v>
      </c>
      <c r="AE3" s="31">
        <v>28</v>
      </c>
      <c r="AF3" s="31">
        <v>29</v>
      </c>
      <c r="AG3" s="31">
        <v>30</v>
      </c>
      <c r="AH3" s="31">
        <v>31</v>
      </c>
      <c r="AI3" s="482"/>
      <c r="AJ3" s="498"/>
      <c r="AK3" s="482"/>
      <c r="AL3" s="482"/>
      <c r="AM3" s="482"/>
      <c r="AN3" s="483"/>
    </row>
    <row r="4" spans="1:42" ht="15">
      <c r="A4" s="18">
        <v>1</v>
      </c>
      <c r="B4" s="19" t="s">
        <v>9</v>
      </c>
      <c r="C4" s="20">
        <f>B5/31</f>
        <v>354.83870967741933</v>
      </c>
      <c r="D4" s="32" t="s">
        <v>10</v>
      </c>
      <c r="E4" s="21">
        <v>1</v>
      </c>
      <c r="F4" s="32" t="s">
        <v>11</v>
      </c>
      <c r="G4" s="21">
        <v>1</v>
      </c>
      <c r="H4" s="21">
        <v>1</v>
      </c>
      <c r="I4" s="21">
        <v>1</v>
      </c>
      <c r="J4" s="21">
        <v>1</v>
      </c>
      <c r="K4" s="21">
        <v>1</v>
      </c>
      <c r="L4" s="21">
        <v>1</v>
      </c>
      <c r="M4" s="32" t="s">
        <v>11</v>
      </c>
      <c r="N4" s="21">
        <v>1</v>
      </c>
      <c r="O4" s="21">
        <v>1</v>
      </c>
      <c r="P4" s="21">
        <v>1</v>
      </c>
      <c r="Q4" s="32" t="s">
        <v>12</v>
      </c>
      <c r="R4" s="32" t="s">
        <v>12</v>
      </c>
      <c r="S4" s="21">
        <v>1</v>
      </c>
      <c r="T4" s="32" t="s">
        <v>11</v>
      </c>
      <c r="U4" s="21">
        <v>1</v>
      </c>
      <c r="V4" s="21">
        <v>1</v>
      </c>
      <c r="W4" s="21">
        <v>1</v>
      </c>
      <c r="X4" s="21">
        <v>1</v>
      </c>
      <c r="Y4" s="21">
        <v>1</v>
      </c>
      <c r="Z4" s="21">
        <v>1</v>
      </c>
      <c r="AA4" s="32" t="s">
        <v>11</v>
      </c>
      <c r="AB4" s="21">
        <v>1</v>
      </c>
      <c r="AC4" s="32" t="s">
        <v>13</v>
      </c>
      <c r="AD4" s="21">
        <v>1</v>
      </c>
      <c r="AE4" s="21">
        <v>1</v>
      </c>
      <c r="AF4" s="21">
        <v>1</v>
      </c>
      <c r="AG4" s="21">
        <v>1</v>
      </c>
      <c r="AH4" s="32" t="s">
        <v>11</v>
      </c>
      <c r="AI4" s="21">
        <f>E4+G4+H4+I4+J4+K4+L4+N4+O4+P4+S4+U4+V4+W4+X4+Y4+Z4+AB4+AD4+AE4+AF4+AG4</f>
        <v>22</v>
      </c>
      <c r="AJ4" s="28">
        <v>9</v>
      </c>
      <c r="AK4" s="21">
        <v>0</v>
      </c>
      <c r="AL4" s="21">
        <f>AI4+AJ4</f>
        <v>31</v>
      </c>
      <c r="AM4" s="397">
        <f>AL4*C4</f>
        <v>11000</v>
      </c>
      <c r="AN4" s="397">
        <f>C4*31</f>
        <v>11000</v>
      </c>
    </row>
    <row r="5" spans="1:42" ht="15">
      <c r="A5" s="21"/>
      <c r="B5" s="24">
        <v>11000</v>
      </c>
      <c r="C5" s="20">
        <f>C4/8*1</f>
        <v>44.354838709677416</v>
      </c>
      <c r="D5" s="32" t="s">
        <v>14</v>
      </c>
      <c r="E5" s="21">
        <v>0</v>
      </c>
      <c r="F5" s="32" t="s">
        <v>15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32" t="s">
        <v>15</v>
      </c>
      <c r="N5" s="21">
        <v>0</v>
      </c>
      <c r="O5" s="21">
        <v>0</v>
      </c>
      <c r="P5" s="21">
        <v>0</v>
      </c>
      <c r="Q5" s="32" t="s">
        <v>14</v>
      </c>
      <c r="R5" s="32" t="s">
        <v>14</v>
      </c>
      <c r="S5" s="21">
        <v>0</v>
      </c>
      <c r="T5" s="32" t="s">
        <v>15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32" t="s">
        <v>15</v>
      </c>
      <c r="AB5" s="21">
        <v>0</v>
      </c>
      <c r="AC5" s="32" t="s">
        <v>16</v>
      </c>
      <c r="AD5" s="21">
        <v>0</v>
      </c>
      <c r="AE5" s="21">
        <v>0</v>
      </c>
      <c r="AF5" s="21">
        <v>0</v>
      </c>
      <c r="AG5" s="21">
        <v>0</v>
      </c>
      <c r="AH5" s="32" t="s">
        <v>15</v>
      </c>
      <c r="AI5" s="21">
        <f>E5+G5+H5+I5+J5+K5+L5+N5+O5+P5+S5+U5+V5+W5+X5+Y5+Z5+AB5+AD5+AE5+AF5+AG5</f>
        <v>0</v>
      </c>
      <c r="AJ5" s="40"/>
      <c r="AK5" s="24"/>
      <c r="AL5" s="24"/>
      <c r="AM5" s="21">
        <f t="shared" ref="AM5:AM11" si="0">AL5*C5</f>
        <v>0</v>
      </c>
      <c r="AN5" s="20">
        <f>C5*50</f>
        <v>2217.7419354838707</v>
      </c>
    </row>
    <row r="6" spans="1:42" ht="15">
      <c r="A6" s="18">
        <v>2</v>
      </c>
      <c r="B6" s="19" t="s">
        <v>17</v>
      </c>
      <c r="C6" s="20">
        <f t="shared" ref="C6" si="1">B7/31</f>
        <v>290.32258064516128</v>
      </c>
      <c r="D6" s="32" t="s">
        <v>18</v>
      </c>
      <c r="E6" s="21">
        <v>1</v>
      </c>
      <c r="F6" s="32" t="s">
        <v>19</v>
      </c>
      <c r="G6" s="21">
        <v>1</v>
      </c>
      <c r="H6" s="21">
        <v>1</v>
      </c>
      <c r="I6" s="21">
        <v>1</v>
      </c>
      <c r="J6" s="21">
        <v>1</v>
      </c>
      <c r="K6" s="21">
        <v>1</v>
      </c>
      <c r="L6" s="21">
        <v>1</v>
      </c>
      <c r="M6" s="32" t="s">
        <v>19</v>
      </c>
      <c r="N6" s="21">
        <v>1</v>
      </c>
      <c r="O6" s="21">
        <v>1</v>
      </c>
      <c r="P6" s="21">
        <v>1</v>
      </c>
      <c r="Q6" s="32" t="s">
        <v>19</v>
      </c>
      <c r="R6" s="32" t="s">
        <v>19</v>
      </c>
      <c r="S6" s="21">
        <v>1</v>
      </c>
      <c r="T6" s="32" t="s">
        <v>19</v>
      </c>
      <c r="U6" s="21">
        <v>1</v>
      </c>
      <c r="V6" s="21">
        <v>1</v>
      </c>
      <c r="W6" s="33">
        <v>0</v>
      </c>
      <c r="X6" s="21">
        <v>1</v>
      </c>
      <c r="Y6" s="21">
        <v>1</v>
      </c>
      <c r="Z6" s="21">
        <v>1</v>
      </c>
      <c r="AA6" s="32" t="s">
        <v>19</v>
      </c>
      <c r="AB6" s="21">
        <v>1</v>
      </c>
      <c r="AC6" s="32" t="s">
        <v>12</v>
      </c>
      <c r="AD6" s="21">
        <v>1</v>
      </c>
      <c r="AE6" s="21">
        <v>1</v>
      </c>
      <c r="AF6" s="21">
        <v>1</v>
      </c>
      <c r="AG6" s="21">
        <v>1</v>
      </c>
      <c r="AH6" s="32" t="s">
        <v>19</v>
      </c>
      <c r="AI6" s="21">
        <f t="shared" ref="AI6:AI11" si="2">E6+G6+H6+I6+J6+K6+L6+N6+O6+P6+S6+U6+V6+W6+X6+Y6+Z6+AB6+AD6+AE6+AF6+AG6</f>
        <v>21</v>
      </c>
      <c r="AJ6" s="28">
        <v>9</v>
      </c>
      <c r="AK6" s="21">
        <v>1</v>
      </c>
      <c r="AL6" s="21">
        <f>AI6+AJ6</f>
        <v>30</v>
      </c>
      <c r="AM6" s="21">
        <f t="shared" si="0"/>
        <v>8709.677419354839</v>
      </c>
      <c r="AN6" s="21">
        <f>C6*31</f>
        <v>9000</v>
      </c>
    </row>
    <row r="7" spans="1:42" ht="15">
      <c r="A7" s="21"/>
      <c r="B7" s="24">
        <v>9000</v>
      </c>
      <c r="C7" s="20">
        <f t="shared" ref="C7" si="3">C6/8*1</f>
        <v>36.29032258064516</v>
      </c>
      <c r="D7" s="32" t="s">
        <v>20</v>
      </c>
      <c r="E7" s="21">
        <v>0</v>
      </c>
      <c r="F7" s="32" t="s">
        <v>21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32" t="s">
        <v>21</v>
      </c>
      <c r="N7" s="21">
        <v>0</v>
      </c>
      <c r="O7" s="21">
        <v>0</v>
      </c>
      <c r="P7" s="21">
        <v>0</v>
      </c>
      <c r="Q7" s="32" t="s">
        <v>22</v>
      </c>
      <c r="R7" s="32" t="s">
        <v>22</v>
      </c>
      <c r="S7" s="21">
        <v>0</v>
      </c>
      <c r="T7" s="32" t="s">
        <v>21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32" t="s">
        <v>21</v>
      </c>
      <c r="AB7" s="21">
        <v>0</v>
      </c>
      <c r="AC7" s="32" t="s">
        <v>15</v>
      </c>
      <c r="AD7" s="21">
        <v>0</v>
      </c>
      <c r="AE7" s="21">
        <v>0</v>
      </c>
      <c r="AF7" s="21">
        <v>0</v>
      </c>
      <c r="AG7" s="21">
        <v>0</v>
      </c>
      <c r="AH7" s="32" t="s">
        <v>21</v>
      </c>
      <c r="AI7" s="21">
        <f t="shared" si="2"/>
        <v>0</v>
      </c>
      <c r="AJ7" s="40"/>
      <c r="AK7" s="24"/>
      <c r="AL7" s="24"/>
      <c r="AM7" s="21">
        <f t="shared" si="0"/>
        <v>0</v>
      </c>
      <c r="AN7" s="20">
        <f>C7*50</f>
        <v>1814.516129032258</v>
      </c>
    </row>
    <row r="8" spans="1:42" ht="15">
      <c r="A8" s="18">
        <v>3</v>
      </c>
      <c r="B8" s="19" t="s">
        <v>23</v>
      </c>
      <c r="C8" s="20">
        <f t="shared" ref="C8" si="4">B9/31</f>
        <v>258.06451612903226</v>
      </c>
      <c r="D8" s="32" t="s">
        <v>24</v>
      </c>
      <c r="E8" s="21">
        <v>1</v>
      </c>
      <c r="F8" s="32" t="s">
        <v>24</v>
      </c>
      <c r="G8" s="21">
        <v>1</v>
      </c>
      <c r="H8" s="21">
        <v>1</v>
      </c>
      <c r="I8" s="21">
        <v>1</v>
      </c>
      <c r="J8" s="21">
        <v>1</v>
      </c>
      <c r="K8" s="21">
        <v>1</v>
      </c>
      <c r="L8" s="21">
        <v>1</v>
      </c>
      <c r="M8" s="32" t="s">
        <v>24</v>
      </c>
      <c r="N8" s="21">
        <v>1</v>
      </c>
      <c r="O8" s="21">
        <v>1</v>
      </c>
      <c r="P8" s="21">
        <v>1</v>
      </c>
      <c r="Q8" s="32" t="s">
        <v>25</v>
      </c>
      <c r="R8" s="32" t="s">
        <v>25</v>
      </c>
      <c r="S8" s="21">
        <v>1</v>
      </c>
      <c r="T8" s="32" t="s">
        <v>24</v>
      </c>
      <c r="U8" s="21">
        <v>1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32" t="s">
        <v>24</v>
      </c>
      <c r="AB8" s="21">
        <v>1</v>
      </c>
      <c r="AC8" s="32" t="s">
        <v>26</v>
      </c>
      <c r="AD8" s="21">
        <v>1</v>
      </c>
      <c r="AE8" s="21">
        <v>1</v>
      </c>
      <c r="AF8" s="21">
        <v>1</v>
      </c>
      <c r="AG8" s="21">
        <v>1</v>
      </c>
      <c r="AH8" s="32" t="s">
        <v>24</v>
      </c>
      <c r="AI8" s="21">
        <f t="shared" si="2"/>
        <v>22</v>
      </c>
      <c r="AJ8" s="28">
        <v>9</v>
      </c>
      <c r="AK8" s="21">
        <v>0</v>
      </c>
      <c r="AL8" s="21">
        <f>AI8+AJ8</f>
        <v>31</v>
      </c>
      <c r="AM8" s="21">
        <f t="shared" si="0"/>
        <v>8000</v>
      </c>
      <c r="AN8" s="21">
        <f>C8*31</f>
        <v>8000</v>
      </c>
    </row>
    <row r="9" spans="1:42" ht="15">
      <c r="A9" s="21"/>
      <c r="B9" s="24">
        <v>8000</v>
      </c>
      <c r="C9" s="20">
        <f t="shared" ref="C9" si="5">C8/8*1</f>
        <v>32.258064516129032</v>
      </c>
      <c r="D9" s="32" t="s">
        <v>25</v>
      </c>
      <c r="E9" s="21">
        <v>0</v>
      </c>
      <c r="F9" s="32" t="s">
        <v>25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32" t="s">
        <v>25</v>
      </c>
      <c r="N9" s="21">
        <v>0</v>
      </c>
      <c r="O9" s="21">
        <v>0</v>
      </c>
      <c r="P9" s="21">
        <v>0</v>
      </c>
      <c r="Q9" s="32" t="s">
        <v>18</v>
      </c>
      <c r="R9" s="32" t="s">
        <v>18</v>
      </c>
      <c r="S9" s="21">
        <v>0</v>
      </c>
      <c r="T9" s="32" t="s">
        <v>25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32" t="s">
        <v>25</v>
      </c>
      <c r="AB9" s="21">
        <v>0</v>
      </c>
      <c r="AC9" s="32" t="s">
        <v>18</v>
      </c>
      <c r="AD9" s="21">
        <v>0</v>
      </c>
      <c r="AE9" s="21">
        <v>0</v>
      </c>
      <c r="AF9" s="21">
        <v>0</v>
      </c>
      <c r="AG9" s="21">
        <v>0</v>
      </c>
      <c r="AH9" s="32" t="s">
        <v>25</v>
      </c>
      <c r="AI9" s="21">
        <f t="shared" si="2"/>
        <v>0</v>
      </c>
      <c r="AJ9" s="40"/>
      <c r="AK9" s="24"/>
      <c r="AL9" s="24"/>
      <c r="AM9" s="21">
        <f t="shared" si="0"/>
        <v>0</v>
      </c>
      <c r="AN9" s="20">
        <f>C9*50</f>
        <v>1612.9032258064517</v>
      </c>
    </row>
    <row r="10" spans="1:42" ht="15">
      <c r="A10" s="18">
        <v>4</v>
      </c>
      <c r="B10" s="19" t="s">
        <v>27</v>
      </c>
      <c r="C10" s="20">
        <f t="shared" ref="C10" si="6">B11/31</f>
        <v>258.06451612903226</v>
      </c>
      <c r="D10" s="32" t="s">
        <v>28</v>
      </c>
      <c r="E10" s="33">
        <v>0</v>
      </c>
      <c r="F10" s="32" t="s">
        <v>28</v>
      </c>
      <c r="G10" s="21">
        <v>1</v>
      </c>
      <c r="H10" s="21">
        <v>1</v>
      </c>
      <c r="I10" s="21">
        <v>1</v>
      </c>
      <c r="J10" s="21">
        <v>1</v>
      </c>
      <c r="K10" s="21">
        <v>1</v>
      </c>
      <c r="L10" s="21">
        <v>1</v>
      </c>
      <c r="M10" s="32" t="s">
        <v>28</v>
      </c>
      <c r="N10" s="21">
        <v>1</v>
      </c>
      <c r="O10" s="21">
        <v>1</v>
      </c>
      <c r="P10" s="21">
        <v>1</v>
      </c>
      <c r="Q10" s="32"/>
      <c r="R10" s="32"/>
      <c r="S10" s="21">
        <v>1</v>
      </c>
      <c r="T10" s="32" t="s">
        <v>28</v>
      </c>
      <c r="U10" s="21">
        <v>1</v>
      </c>
      <c r="V10" s="21">
        <v>1</v>
      </c>
      <c r="W10" s="21">
        <v>1</v>
      </c>
      <c r="X10" s="21">
        <v>1</v>
      </c>
      <c r="Y10" s="21">
        <v>1</v>
      </c>
      <c r="Z10" s="21">
        <v>1</v>
      </c>
      <c r="AA10" s="32" t="s">
        <v>28</v>
      </c>
      <c r="AB10" s="21">
        <v>1</v>
      </c>
      <c r="AC10" s="32" t="s">
        <v>20</v>
      </c>
      <c r="AD10" s="21">
        <v>1</v>
      </c>
      <c r="AE10" s="21">
        <v>1</v>
      </c>
      <c r="AF10" s="21">
        <v>1</v>
      </c>
      <c r="AG10" s="21">
        <v>1</v>
      </c>
      <c r="AH10" s="32" t="s">
        <v>28</v>
      </c>
      <c r="AI10" s="21">
        <f t="shared" si="2"/>
        <v>21</v>
      </c>
      <c r="AJ10" s="28">
        <v>7</v>
      </c>
      <c r="AK10" s="21">
        <v>3</v>
      </c>
      <c r="AL10" s="21">
        <f>AI10+AJ10</f>
        <v>28</v>
      </c>
      <c r="AM10" s="21">
        <f t="shared" si="0"/>
        <v>7225.8064516129034</v>
      </c>
      <c r="AN10" s="21">
        <f>C10*31</f>
        <v>8000</v>
      </c>
    </row>
    <row r="11" spans="1:42" ht="15">
      <c r="A11" s="21"/>
      <c r="B11" s="24">
        <v>8000</v>
      </c>
      <c r="C11" s="20">
        <f t="shared" ref="C11" si="7">C10/8*1</f>
        <v>32.258064516129032</v>
      </c>
      <c r="D11" s="32"/>
      <c r="E11" s="21">
        <v>0</v>
      </c>
      <c r="F11" s="32"/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32"/>
      <c r="N11" s="21">
        <v>0</v>
      </c>
      <c r="O11" s="21">
        <v>0</v>
      </c>
      <c r="P11" s="21">
        <v>0</v>
      </c>
      <c r="Q11" s="32"/>
      <c r="R11" s="32"/>
      <c r="S11" s="21">
        <v>0</v>
      </c>
      <c r="T11" s="32"/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32"/>
      <c r="AB11" s="21">
        <v>0</v>
      </c>
      <c r="AC11" s="32" t="s">
        <v>29</v>
      </c>
      <c r="AD11" s="21">
        <v>0</v>
      </c>
      <c r="AE11" s="21">
        <v>0</v>
      </c>
      <c r="AF11" s="21">
        <v>0</v>
      </c>
      <c r="AG11" s="21">
        <v>0</v>
      </c>
      <c r="AH11" s="32"/>
      <c r="AI11" s="21">
        <f t="shared" si="2"/>
        <v>0</v>
      </c>
      <c r="AJ11" s="28"/>
      <c r="AK11" s="21"/>
      <c r="AL11" s="21"/>
      <c r="AM11" s="21">
        <f t="shared" si="0"/>
        <v>0</v>
      </c>
      <c r="AN11" s="20">
        <f>C11*50</f>
        <v>1612.9032258064517</v>
      </c>
    </row>
    <row r="12" spans="1:42" ht="15" customHeight="1">
      <c r="A12" s="34"/>
      <c r="B12" s="493" t="s">
        <v>30</v>
      </c>
      <c r="C12" s="494"/>
      <c r="D12" s="34">
        <v>0</v>
      </c>
      <c r="E12" s="34">
        <f>E4+E6+E8+E10</f>
        <v>3</v>
      </c>
      <c r="F12" s="34">
        <v>0</v>
      </c>
      <c r="G12" s="34">
        <f>G4+G6+G8+G10</f>
        <v>4</v>
      </c>
      <c r="H12" s="34">
        <f t="shared" ref="H12:L13" si="8">H4+H6+H8+H10</f>
        <v>4</v>
      </c>
      <c r="I12" s="34">
        <f t="shared" si="8"/>
        <v>4</v>
      </c>
      <c r="J12" s="34">
        <f t="shared" si="8"/>
        <v>4</v>
      </c>
      <c r="K12" s="34">
        <f t="shared" si="8"/>
        <v>4</v>
      </c>
      <c r="L12" s="34">
        <f t="shared" si="8"/>
        <v>4</v>
      </c>
      <c r="M12" s="34">
        <v>0</v>
      </c>
      <c r="N12" s="34">
        <f t="shared" ref="N12:P13" si="9">N4+N6+N8+N10</f>
        <v>4</v>
      </c>
      <c r="O12" s="34">
        <f t="shared" si="9"/>
        <v>4</v>
      </c>
      <c r="P12" s="34">
        <f t="shared" si="9"/>
        <v>4</v>
      </c>
      <c r="Q12" s="34">
        <v>0</v>
      </c>
      <c r="R12" s="34">
        <v>0</v>
      </c>
      <c r="S12" s="34">
        <f>S4+S6+S8+S10</f>
        <v>4</v>
      </c>
      <c r="T12" s="34">
        <v>0</v>
      </c>
      <c r="U12" s="34">
        <f t="shared" ref="U12:AG13" si="10">U4+U6+U8+U10</f>
        <v>4</v>
      </c>
      <c r="V12" s="34">
        <f t="shared" si="10"/>
        <v>4</v>
      </c>
      <c r="W12" s="34">
        <f t="shared" si="10"/>
        <v>3</v>
      </c>
      <c r="X12" s="34">
        <f t="shared" si="10"/>
        <v>4</v>
      </c>
      <c r="Y12" s="34">
        <f t="shared" si="10"/>
        <v>4</v>
      </c>
      <c r="Z12" s="34">
        <f t="shared" si="10"/>
        <v>4</v>
      </c>
      <c r="AA12" s="34">
        <v>0</v>
      </c>
      <c r="AB12" s="34">
        <f t="shared" si="10"/>
        <v>4</v>
      </c>
      <c r="AC12" s="34">
        <v>0</v>
      </c>
      <c r="AD12" s="34">
        <f t="shared" si="10"/>
        <v>4</v>
      </c>
      <c r="AE12" s="34">
        <f t="shared" si="10"/>
        <v>4</v>
      </c>
      <c r="AF12" s="34">
        <f t="shared" si="10"/>
        <v>4</v>
      </c>
      <c r="AG12" s="34">
        <f t="shared" si="10"/>
        <v>4</v>
      </c>
      <c r="AH12" s="34">
        <v>0</v>
      </c>
      <c r="AI12" s="41">
        <f>SUM(D12:AH12)</f>
        <v>86</v>
      </c>
      <c r="AJ12" s="34">
        <f t="shared" ref="AJ12:AN12" si="11">SUM(AJ4:AJ11)</f>
        <v>34</v>
      </c>
      <c r="AK12" s="34">
        <f t="shared" si="11"/>
        <v>4</v>
      </c>
      <c r="AL12" s="34">
        <f t="shared" si="11"/>
        <v>120</v>
      </c>
      <c r="AM12" s="398">
        <f t="shared" si="11"/>
        <v>34935.483870967742</v>
      </c>
      <c r="AN12" s="398">
        <f t="shared" si="11"/>
        <v>43258.064516129038</v>
      </c>
      <c r="AO12" s="503">
        <f>AM12+AM13</f>
        <v>34935.483870967742</v>
      </c>
    </row>
    <row r="13" spans="1:42" ht="15" customHeight="1">
      <c r="A13" s="35"/>
      <c r="B13" s="486" t="s">
        <v>31</v>
      </c>
      <c r="C13" s="487"/>
      <c r="D13" s="34">
        <v>0</v>
      </c>
      <c r="E13" s="34">
        <f>E5+E7+E9+E11</f>
        <v>0</v>
      </c>
      <c r="F13" s="34">
        <v>0</v>
      </c>
      <c r="G13" s="34">
        <f>G5+G7+G9+G11</f>
        <v>0</v>
      </c>
      <c r="H13" s="34">
        <f t="shared" si="8"/>
        <v>0</v>
      </c>
      <c r="I13" s="34">
        <f t="shared" si="8"/>
        <v>0</v>
      </c>
      <c r="J13" s="34">
        <f t="shared" si="8"/>
        <v>0</v>
      </c>
      <c r="K13" s="34">
        <f t="shared" si="8"/>
        <v>0</v>
      </c>
      <c r="L13" s="34">
        <f t="shared" si="8"/>
        <v>0</v>
      </c>
      <c r="M13" s="34">
        <v>0</v>
      </c>
      <c r="N13" s="34">
        <f t="shared" si="9"/>
        <v>0</v>
      </c>
      <c r="O13" s="34">
        <f t="shared" si="9"/>
        <v>0</v>
      </c>
      <c r="P13" s="34">
        <f t="shared" si="9"/>
        <v>0</v>
      </c>
      <c r="Q13" s="34">
        <v>0</v>
      </c>
      <c r="R13" s="34">
        <v>0</v>
      </c>
      <c r="S13" s="34">
        <f>S5+S7+S9+S11</f>
        <v>0</v>
      </c>
      <c r="T13" s="34">
        <v>0</v>
      </c>
      <c r="U13" s="34">
        <f t="shared" si="10"/>
        <v>0</v>
      </c>
      <c r="V13" s="34">
        <f t="shared" si="10"/>
        <v>0</v>
      </c>
      <c r="W13" s="34">
        <f t="shared" si="10"/>
        <v>0</v>
      </c>
      <c r="X13" s="34">
        <f t="shared" si="10"/>
        <v>0</v>
      </c>
      <c r="Y13" s="34">
        <f t="shared" si="10"/>
        <v>0</v>
      </c>
      <c r="Z13" s="34">
        <f t="shared" si="10"/>
        <v>0</v>
      </c>
      <c r="AA13" s="34">
        <v>0</v>
      </c>
      <c r="AB13" s="34">
        <f t="shared" si="10"/>
        <v>0</v>
      </c>
      <c r="AC13" s="34">
        <v>0</v>
      </c>
      <c r="AD13" s="34">
        <f t="shared" si="10"/>
        <v>0</v>
      </c>
      <c r="AE13" s="34">
        <f t="shared" si="10"/>
        <v>0</v>
      </c>
      <c r="AF13" s="34">
        <f t="shared" si="10"/>
        <v>0</v>
      </c>
      <c r="AG13" s="34">
        <f t="shared" si="10"/>
        <v>0</v>
      </c>
      <c r="AH13" s="34">
        <v>0</v>
      </c>
      <c r="AI13" s="35">
        <f>SUM(D13:AH13)</f>
        <v>0</v>
      </c>
      <c r="AJ13" s="42">
        <f t="shared" ref="AJ13" si="12">F13+H13+I13+J13+K13+L13+M13+O13+P13+Q13+T13+V13+W13+X13+Y13+Z13+AA13+AC13+AE13+AF13+AG13+AH13</f>
        <v>0</v>
      </c>
      <c r="AK13" s="42">
        <f t="shared" ref="AK13" si="13">G13+I13+J13+K13+L13+M13+N13+P13+Q13+R13+U13+W13+X13+Y13+Z13+AA13+AB13+AD13+AF13+AG13+AH13+AI13</f>
        <v>0</v>
      </c>
      <c r="AL13" s="42">
        <f t="shared" ref="AL13" si="14">H13+J13+K13+L13+M13+N13+O13+Q13+R13+S13+V13+X13+Y13+Z13+AA13+AB13+AC13+AE13+AG13+AH13+AI13+AJ13</f>
        <v>0</v>
      </c>
      <c r="AM13" s="42">
        <f t="shared" ref="AM13" si="15">I13+K13+L13+M13+N13+O13+P13+R13+S13+T13+W13+Y13+Z13+AA13+AB13+AC13+AD13+AF13+AH13+AI13+AJ13+AK13</f>
        <v>0</v>
      </c>
      <c r="AN13" s="43">
        <f>AN5+AN7+AN9+AN11</f>
        <v>7258.0645161290322</v>
      </c>
      <c r="AO13" s="504"/>
    </row>
    <row r="15" spans="1:42" ht="19.5" customHeight="1">
      <c r="A15" s="479" t="s">
        <v>0</v>
      </c>
      <c r="B15" s="508" t="s">
        <v>1</v>
      </c>
      <c r="C15" s="508"/>
      <c r="D15" s="490" t="s">
        <v>32</v>
      </c>
      <c r="E15" s="491"/>
      <c r="F15" s="491"/>
      <c r="G15" s="491"/>
      <c r="H15" s="491"/>
      <c r="I15" s="491"/>
      <c r="J15" s="491"/>
      <c r="K15" s="491"/>
      <c r="L15" s="491"/>
      <c r="M15" s="491"/>
      <c r="N15" s="491"/>
      <c r="O15" s="491"/>
      <c r="P15" s="491"/>
      <c r="Q15" s="491"/>
      <c r="R15" s="491"/>
      <c r="S15" s="491"/>
      <c r="T15" s="491"/>
      <c r="U15" s="491"/>
      <c r="V15" s="491"/>
      <c r="W15" s="491"/>
      <c r="X15" s="491"/>
      <c r="Y15" s="491"/>
      <c r="Z15" s="491"/>
      <c r="AA15" s="491"/>
      <c r="AB15" s="491"/>
      <c r="AC15" s="491"/>
      <c r="AD15" s="491"/>
      <c r="AE15" s="491"/>
      <c r="AF15" s="491"/>
      <c r="AG15" s="495">
        <v>28</v>
      </c>
      <c r="AH15" s="496"/>
      <c r="AI15" s="481" t="s">
        <v>3</v>
      </c>
      <c r="AJ15" s="497" t="s">
        <v>4</v>
      </c>
      <c r="AK15" s="481" t="s">
        <v>5</v>
      </c>
      <c r="AL15" s="481" t="s">
        <v>6</v>
      </c>
      <c r="AM15" s="481" t="s">
        <v>7</v>
      </c>
      <c r="AN15" s="483" t="s">
        <v>8</v>
      </c>
      <c r="AO15" s="481" t="s">
        <v>7</v>
      </c>
      <c r="AP15" s="481" t="s">
        <v>33</v>
      </c>
    </row>
    <row r="16" spans="1:42">
      <c r="A16" s="479"/>
      <c r="B16" s="508"/>
      <c r="C16" s="508"/>
      <c r="D16" s="31">
        <v>1</v>
      </c>
      <c r="E16" s="31">
        <v>2</v>
      </c>
      <c r="F16" s="31">
        <v>3</v>
      </c>
      <c r="G16" s="31">
        <v>4</v>
      </c>
      <c r="H16" s="31">
        <v>5</v>
      </c>
      <c r="I16" s="31">
        <v>6</v>
      </c>
      <c r="J16" s="31">
        <v>7</v>
      </c>
      <c r="K16" s="31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1">
        <v>14</v>
      </c>
      <c r="R16" s="31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1">
        <v>21</v>
      </c>
      <c r="Y16" s="31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1">
        <v>28</v>
      </c>
      <c r="AF16" s="31">
        <v>29</v>
      </c>
      <c r="AG16" s="31">
        <v>30</v>
      </c>
      <c r="AH16" s="31">
        <v>31</v>
      </c>
      <c r="AI16" s="482"/>
      <c r="AJ16" s="498"/>
      <c r="AK16" s="482"/>
      <c r="AL16" s="482"/>
      <c r="AM16" s="482"/>
      <c r="AN16" s="483"/>
      <c r="AO16" s="482"/>
      <c r="AP16" s="482"/>
    </row>
    <row r="17" spans="1:42" ht="15">
      <c r="A17" s="18">
        <v>1</v>
      </c>
      <c r="B17" s="19" t="s">
        <v>9</v>
      </c>
      <c r="C17" s="20">
        <f>B18/AG15</f>
        <v>392.85714285714283</v>
      </c>
      <c r="D17" s="21">
        <v>1</v>
      </c>
      <c r="E17" s="21">
        <v>1</v>
      </c>
      <c r="F17" s="21">
        <v>1</v>
      </c>
      <c r="G17" s="33">
        <v>0</v>
      </c>
      <c r="H17" s="21">
        <v>1</v>
      </c>
      <c r="I17" s="36">
        <v>0</v>
      </c>
      <c r="J17" s="32">
        <v>2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>
        <v>1</v>
      </c>
      <c r="Q17" s="32">
        <v>1</v>
      </c>
      <c r="R17" s="21">
        <v>1</v>
      </c>
      <c r="S17" s="21">
        <v>1</v>
      </c>
      <c r="T17" s="21">
        <v>1</v>
      </c>
      <c r="U17" s="21">
        <v>1</v>
      </c>
      <c r="V17" s="21">
        <v>1</v>
      </c>
      <c r="W17" s="21">
        <v>1</v>
      </c>
      <c r="X17" s="32">
        <v>1</v>
      </c>
      <c r="Y17" s="21">
        <v>1</v>
      </c>
      <c r="Z17" s="21">
        <v>1</v>
      </c>
      <c r="AA17" s="21">
        <v>1</v>
      </c>
      <c r="AB17" s="21">
        <v>1</v>
      </c>
      <c r="AC17" s="21">
        <v>1</v>
      </c>
      <c r="AD17" s="21">
        <v>1</v>
      </c>
      <c r="AE17" s="32">
        <v>1</v>
      </c>
      <c r="AF17" s="39"/>
      <c r="AG17" s="39"/>
      <c r="AH17" s="39"/>
      <c r="AI17" s="21">
        <f>SUM(D17:AH17)</f>
        <v>27</v>
      </c>
      <c r="AJ17" s="28">
        <v>3</v>
      </c>
      <c r="AK17" s="21">
        <v>1</v>
      </c>
      <c r="AL17" s="21">
        <f>AI17+AJ17</f>
        <v>30</v>
      </c>
      <c r="AM17" s="397">
        <f>AL17*C17</f>
        <v>11785.714285714284</v>
      </c>
      <c r="AN17" s="397">
        <f>C17*AG15</f>
        <v>11000</v>
      </c>
      <c r="AO17" s="505">
        <f>AM17+AM18</f>
        <v>12964.285714285714</v>
      </c>
      <c r="AP17" s="505">
        <v>12500</v>
      </c>
    </row>
    <row r="18" spans="1:42" ht="15">
      <c r="A18" s="21"/>
      <c r="B18" s="24">
        <v>11000</v>
      </c>
      <c r="C18" s="20">
        <f>C17/8*1</f>
        <v>49.107142857142854</v>
      </c>
      <c r="D18" s="21">
        <v>2</v>
      </c>
      <c r="E18" s="21">
        <v>2</v>
      </c>
      <c r="F18" s="21">
        <v>2</v>
      </c>
      <c r="G18" s="21">
        <v>0</v>
      </c>
      <c r="H18" s="21">
        <v>2</v>
      </c>
      <c r="I18" s="36">
        <v>0</v>
      </c>
      <c r="J18" s="37">
        <v>0</v>
      </c>
      <c r="K18" s="21">
        <v>0</v>
      </c>
      <c r="L18" s="21">
        <v>2</v>
      </c>
      <c r="M18" s="21">
        <v>2</v>
      </c>
      <c r="N18" s="21">
        <v>0</v>
      </c>
      <c r="O18" s="21">
        <v>2</v>
      </c>
      <c r="P18" s="21">
        <v>2</v>
      </c>
      <c r="Q18" s="32">
        <v>0</v>
      </c>
      <c r="R18" s="21">
        <v>0</v>
      </c>
      <c r="S18" s="21">
        <v>2</v>
      </c>
      <c r="T18" s="21">
        <v>2</v>
      </c>
      <c r="U18" s="21">
        <v>2</v>
      </c>
      <c r="V18" s="21">
        <v>0</v>
      </c>
      <c r="W18" s="21">
        <v>0</v>
      </c>
      <c r="X18" s="32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2</v>
      </c>
      <c r="AD18" s="21">
        <v>0</v>
      </c>
      <c r="AE18" s="32">
        <v>0</v>
      </c>
      <c r="AF18" s="39"/>
      <c r="AG18" s="39"/>
      <c r="AH18" s="39"/>
      <c r="AI18" s="21">
        <f t="shared" ref="AI18:AI26" si="16">SUM(D18:AH18)</f>
        <v>24</v>
      </c>
      <c r="AJ18" s="40"/>
      <c r="AK18" s="24"/>
      <c r="AL18" s="24"/>
      <c r="AM18" s="21">
        <f>AI18*C18</f>
        <v>1178.5714285714284</v>
      </c>
      <c r="AN18" s="20">
        <f>C18*40</f>
        <v>1964.2857142857142</v>
      </c>
      <c r="AO18" s="505"/>
      <c r="AP18" s="505"/>
    </row>
    <row r="19" spans="1:42" ht="15">
      <c r="A19" s="18">
        <v>2</v>
      </c>
      <c r="B19" s="19" t="s">
        <v>17</v>
      </c>
      <c r="C19" s="20">
        <f>B20/AG15</f>
        <v>321.42857142857144</v>
      </c>
      <c r="D19" s="21">
        <v>1</v>
      </c>
      <c r="E19" s="21">
        <v>1</v>
      </c>
      <c r="F19" s="33">
        <v>0</v>
      </c>
      <c r="G19" s="21">
        <v>1</v>
      </c>
      <c r="H19" s="21">
        <v>1</v>
      </c>
      <c r="I19" s="36">
        <v>1</v>
      </c>
      <c r="J19" s="37">
        <v>1</v>
      </c>
      <c r="K19" s="21">
        <v>1</v>
      </c>
      <c r="L19" s="21">
        <v>1</v>
      </c>
      <c r="M19" s="21">
        <v>1</v>
      </c>
      <c r="N19" s="21">
        <v>1</v>
      </c>
      <c r="O19" s="21">
        <v>1</v>
      </c>
      <c r="P19" s="21">
        <v>1</v>
      </c>
      <c r="Q19" s="32">
        <v>1</v>
      </c>
      <c r="R19" s="21">
        <v>1</v>
      </c>
      <c r="S19" s="21">
        <v>1</v>
      </c>
      <c r="T19" s="33">
        <v>0</v>
      </c>
      <c r="U19" s="33">
        <v>0</v>
      </c>
      <c r="V19" s="33">
        <v>0</v>
      </c>
      <c r="W19" s="33">
        <v>0</v>
      </c>
      <c r="X19" s="32">
        <v>1</v>
      </c>
      <c r="Y19" s="21">
        <v>1</v>
      </c>
      <c r="Z19" s="21">
        <v>1</v>
      </c>
      <c r="AA19" s="21">
        <v>1</v>
      </c>
      <c r="AB19" s="33">
        <v>0</v>
      </c>
      <c r="AC19" s="21">
        <v>1</v>
      </c>
      <c r="AD19" s="21">
        <v>1</v>
      </c>
      <c r="AE19" s="32">
        <v>1</v>
      </c>
      <c r="AF19" s="39"/>
      <c r="AG19" s="39"/>
      <c r="AH19" s="39"/>
      <c r="AI19" s="21">
        <f t="shared" si="16"/>
        <v>22</v>
      </c>
      <c r="AJ19" s="28">
        <v>3</v>
      </c>
      <c r="AK19" s="21">
        <v>6</v>
      </c>
      <c r="AL19" s="21">
        <f>AI19+AJ19</f>
        <v>25</v>
      </c>
      <c r="AM19" s="21">
        <f t="shared" ref="AM19:AM21" si="17">AL19*C19</f>
        <v>8035.7142857142862</v>
      </c>
      <c r="AN19" s="21">
        <f>C19*AG15</f>
        <v>9000</v>
      </c>
      <c r="AO19" s="506">
        <f>AM19+AM20</f>
        <v>8758.9285714285725</v>
      </c>
      <c r="AP19" s="506">
        <v>9000</v>
      </c>
    </row>
    <row r="20" spans="1:42" ht="15">
      <c r="A20" s="21"/>
      <c r="B20" s="24">
        <v>9000</v>
      </c>
      <c r="C20" s="20">
        <f t="shared" ref="C20" si="18">C19/8*1</f>
        <v>40.178571428571431</v>
      </c>
      <c r="D20" s="21">
        <v>2</v>
      </c>
      <c r="E20" s="21">
        <v>2</v>
      </c>
      <c r="F20" s="21">
        <v>0</v>
      </c>
      <c r="G20" s="21">
        <v>2</v>
      </c>
      <c r="H20" s="21">
        <v>2</v>
      </c>
      <c r="I20" s="36">
        <v>0</v>
      </c>
      <c r="J20" s="37">
        <v>0</v>
      </c>
      <c r="K20" s="21">
        <v>0</v>
      </c>
      <c r="L20" s="21">
        <v>2</v>
      </c>
      <c r="M20" s="21">
        <v>2</v>
      </c>
      <c r="N20" s="21">
        <v>0</v>
      </c>
      <c r="O20" s="21">
        <v>2</v>
      </c>
      <c r="P20" s="21">
        <v>2</v>
      </c>
      <c r="Q20" s="32">
        <v>0</v>
      </c>
      <c r="R20" s="21">
        <v>0</v>
      </c>
      <c r="S20" s="38">
        <v>0</v>
      </c>
      <c r="T20" s="21">
        <v>0</v>
      </c>
      <c r="U20" s="21">
        <v>0</v>
      </c>
      <c r="V20" s="21">
        <v>0</v>
      </c>
      <c r="W20" s="21">
        <v>0</v>
      </c>
      <c r="X20" s="32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2</v>
      </c>
      <c r="AD20" s="21">
        <v>0</v>
      </c>
      <c r="AE20" s="32">
        <v>0</v>
      </c>
      <c r="AF20" s="39"/>
      <c r="AG20" s="39"/>
      <c r="AH20" s="39"/>
      <c r="AI20" s="21">
        <f t="shared" si="16"/>
        <v>18</v>
      </c>
      <c r="AJ20" s="40"/>
      <c r="AK20" s="24"/>
      <c r="AL20" s="24"/>
      <c r="AM20" s="21">
        <f>C20*AI20</f>
        <v>723.21428571428578</v>
      </c>
      <c r="AN20" s="20">
        <f>C20*40</f>
        <v>1607.1428571428573</v>
      </c>
      <c r="AO20" s="506"/>
      <c r="AP20" s="506"/>
    </row>
    <row r="21" spans="1:42" ht="15">
      <c r="A21" s="18">
        <v>3</v>
      </c>
      <c r="B21" s="19" t="s">
        <v>23</v>
      </c>
      <c r="C21" s="20">
        <f>B22/AG15</f>
        <v>285.71428571428572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36">
        <v>0</v>
      </c>
      <c r="J21" s="32">
        <v>2</v>
      </c>
      <c r="K21" s="33">
        <v>0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32">
        <v>2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32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32">
        <v>1</v>
      </c>
      <c r="AF21" s="39"/>
      <c r="AG21" s="39"/>
      <c r="AH21" s="39"/>
      <c r="AI21" s="21">
        <f t="shared" si="16"/>
        <v>28</v>
      </c>
      <c r="AJ21" s="28">
        <v>3</v>
      </c>
      <c r="AK21" s="21">
        <v>1</v>
      </c>
      <c r="AL21" s="21">
        <f>AI21+AJ21</f>
        <v>31</v>
      </c>
      <c r="AM21" s="21">
        <f t="shared" si="17"/>
        <v>8857.1428571428569</v>
      </c>
      <c r="AN21" s="21">
        <f>C21*AG15</f>
        <v>8000</v>
      </c>
      <c r="AO21" s="506">
        <f>AM21+AM22</f>
        <v>9785.7142857142862</v>
      </c>
      <c r="AP21" s="506">
        <v>9500</v>
      </c>
    </row>
    <row r="22" spans="1:42" ht="15">
      <c r="A22" s="21"/>
      <c r="B22" s="24">
        <v>8000</v>
      </c>
      <c r="C22" s="20">
        <f t="shared" ref="C22" si="19">C21/8*1</f>
        <v>35.714285714285715</v>
      </c>
      <c r="D22" s="21">
        <v>2</v>
      </c>
      <c r="E22" s="21">
        <v>2</v>
      </c>
      <c r="F22" s="21">
        <v>2</v>
      </c>
      <c r="G22" s="21">
        <v>2</v>
      </c>
      <c r="H22" s="21">
        <v>2</v>
      </c>
      <c r="I22" s="36">
        <v>0</v>
      </c>
      <c r="J22" s="37">
        <v>0</v>
      </c>
      <c r="K22" s="21">
        <v>0</v>
      </c>
      <c r="L22" s="21">
        <v>2</v>
      </c>
      <c r="M22" s="21">
        <v>2</v>
      </c>
      <c r="N22" s="38">
        <v>0</v>
      </c>
      <c r="O22" s="21">
        <v>2</v>
      </c>
      <c r="P22" s="21">
        <v>2</v>
      </c>
      <c r="Q22" s="32">
        <v>0</v>
      </c>
      <c r="R22" s="21">
        <v>0</v>
      </c>
      <c r="S22" s="21">
        <v>2</v>
      </c>
      <c r="T22" s="21">
        <v>2</v>
      </c>
      <c r="U22" s="21">
        <v>2</v>
      </c>
      <c r="V22" s="21">
        <v>0</v>
      </c>
      <c r="W22" s="21">
        <v>0</v>
      </c>
      <c r="X22" s="32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2</v>
      </c>
      <c r="AD22" s="21">
        <v>0</v>
      </c>
      <c r="AE22" s="32">
        <v>0</v>
      </c>
      <c r="AF22" s="39"/>
      <c r="AG22" s="39"/>
      <c r="AH22" s="39"/>
      <c r="AI22" s="21">
        <f t="shared" si="16"/>
        <v>26</v>
      </c>
      <c r="AJ22" s="40"/>
      <c r="AK22" s="24"/>
      <c r="AL22" s="24"/>
      <c r="AM22" s="21">
        <f>C22*AI22</f>
        <v>928.57142857142856</v>
      </c>
      <c r="AN22" s="20">
        <f>C22*40</f>
        <v>1428.5714285714287</v>
      </c>
      <c r="AO22" s="506"/>
      <c r="AP22" s="506"/>
    </row>
    <row r="23" spans="1:42" ht="15">
      <c r="A23" s="18">
        <v>4</v>
      </c>
      <c r="B23" s="19" t="s">
        <v>27</v>
      </c>
      <c r="C23" s="20">
        <f>B24/AG15</f>
        <v>285.71428571428572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33">
        <v>0</v>
      </c>
      <c r="J23" s="37">
        <v>1</v>
      </c>
      <c r="K23" s="21">
        <v>1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2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32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32">
        <v>1</v>
      </c>
      <c r="AF23" s="39"/>
      <c r="AG23" s="39"/>
      <c r="AH23" s="39"/>
      <c r="AI23" s="21">
        <f t="shared" si="16"/>
        <v>22</v>
      </c>
      <c r="AJ23" s="28">
        <v>3</v>
      </c>
      <c r="AK23" s="21">
        <v>6</v>
      </c>
      <c r="AL23" s="21">
        <f>AI23+AJ23</f>
        <v>25</v>
      </c>
      <c r="AM23" s="21">
        <f>AL23*C23</f>
        <v>7142.8571428571431</v>
      </c>
      <c r="AN23" s="21">
        <f>C23*AG15</f>
        <v>8000</v>
      </c>
      <c r="AO23" s="506">
        <f>AM23+AM24</f>
        <v>7785.7142857142862</v>
      </c>
      <c r="AP23" s="506">
        <v>8000</v>
      </c>
    </row>
    <row r="24" spans="1:42" ht="15">
      <c r="A24" s="21"/>
      <c r="B24" s="24">
        <v>8000</v>
      </c>
      <c r="C24" s="20">
        <f t="shared" ref="C24" si="20">C23/8*1</f>
        <v>35.714285714285715</v>
      </c>
      <c r="D24" s="21">
        <v>2</v>
      </c>
      <c r="E24" s="21">
        <v>2</v>
      </c>
      <c r="F24" s="21">
        <v>2</v>
      </c>
      <c r="G24" s="21">
        <v>2</v>
      </c>
      <c r="H24" s="21">
        <v>2</v>
      </c>
      <c r="I24" s="36">
        <v>0</v>
      </c>
      <c r="J24" s="37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32">
        <v>0</v>
      </c>
      <c r="R24" s="21">
        <v>0</v>
      </c>
      <c r="S24" s="21">
        <v>2</v>
      </c>
      <c r="T24" s="21">
        <v>2</v>
      </c>
      <c r="U24" s="21">
        <v>2</v>
      </c>
      <c r="V24" s="21">
        <v>0</v>
      </c>
      <c r="W24" s="21">
        <v>0</v>
      </c>
      <c r="X24" s="32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2</v>
      </c>
      <c r="AD24" s="21">
        <v>0</v>
      </c>
      <c r="AE24" s="32">
        <v>0</v>
      </c>
      <c r="AF24" s="39"/>
      <c r="AG24" s="39"/>
      <c r="AH24" s="39"/>
      <c r="AI24" s="21">
        <f t="shared" si="16"/>
        <v>18</v>
      </c>
      <c r="AJ24" s="28"/>
      <c r="AK24" s="21"/>
      <c r="AL24" s="21"/>
      <c r="AM24" s="21">
        <f>C24*AI24</f>
        <v>642.85714285714289</v>
      </c>
      <c r="AN24" s="20">
        <f>C24*40</f>
        <v>1428.5714285714287</v>
      </c>
      <c r="AO24" s="506"/>
      <c r="AP24" s="506"/>
    </row>
    <row r="25" spans="1:42">
      <c r="A25" s="34"/>
      <c r="B25" s="484" t="s">
        <v>30</v>
      </c>
      <c r="C25" s="485"/>
      <c r="D25" s="34">
        <f t="shared" ref="D25:AH25" si="21">D17+D19+D21+D23</f>
        <v>4</v>
      </c>
      <c r="E25" s="34">
        <f t="shared" si="21"/>
        <v>4</v>
      </c>
      <c r="F25" s="34">
        <f t="shared" si="21"/>
        <v>3</v>
      </c>
      <c r="G25" s="34">
        <f t="shared" si="21"/>
        <v>3</v>
      </c>
      <c r="H25" s="34">
        <f t="shared" si="21"/>
        <v>4</v>
      </c>
      <c r="I25" s="34">
        <f t="shared" si="21"/>
        <v>1</v>
      </c>
      <c r="J25" s="34">
        <f t="shared" si="21"/>
        <v>6</v>
      </c>
      <c r="K25" s="34">
        <f t="shared" si="21"/>
        <v>3</v>
      </c>
      <c r="L25" s="34">
        <f t="shared" si="21"/>
        <v>3</v>
      </c>
      <c r="M25" s="34">
        <f t="shared" si="21"/>
        <v>3</v>
      </c>
      <c r="N25" s="34">
        <f t="shared" si="21"/>
        <v>3</v>
      </c>
      <c r="O25" s="34">
        <f t="shared" si="21"/>
        <v>3</v>
      </c>
      <c r="P25" s="34">
        <f t="shared" si="21"/>
        <v>3</v>
      </c>
      <c r="Q25" s="34">
        <f t="shared" si="21"/>
        <v>5</v>
      </c>
      <c r="R25" s="34">
        <f t="shared" si="21"/>
        <v>4</v>
      </c>
      <c r="S25" s="34">
        <f t="shared" si="21"/>
        <v>4</v>
      </c>
      <c r="T25" s="34">
        <f t="shared" si="21"/>
        <v>3</v>
      </c>
      <c r="U25" s="34">
        <f t="shared" si="21"/>
        <v>3</v>
      </c>
      <c r="V25" s="34">
        <f t="shared" si="21"/>
        <v>3</v>
      </c>
      <c r="W25" s="34">
        <f t="shared" si="21"/>
        <v>3</v>
      </c>
      <c r="X25" s="34">
        <f t="shared" si="21"/>
        <v>4</v>
      </c>
      <c r="Y25" s="34">
        <f t="shared" si="21"/>
        <v>4</v>
      </c>
      <c r="Z25" s="34">
        <f t="shared" si="21"/>
        <v>4</v>
      </c>
      <c r="AA25" s="34">
        <f t="shared" si="21"/>
        <v>4</v>
      </c>
      <c r="AB25" s="34">
        <f t="shared" si="21"/>
        <v>3</v>
      </c>
      <c r="AC25" s="34">
        <f t="shared" si="21"/>
        <v>4</v>
      </c>
      <c r="AD25" s="34">
        <f t="shared" si="21"/>
        <v>4</v>
      </c>
      <c r="AE25" s="34">
        <f t="shared" si="21"/>
        <v>4</v>
      </c>
      <c r="AF25" s="34">
        <f t="shared" si="21"/>
        <v>0</v>
      </c>
      <c r="AG25" s="34">
        <f t="shared" si="21"/>
        <v>0</v>
      </c>
      <c r="AH25" s="34">
        <f t="shared" si="21"/>
        <v>0</v>
      </c>
      <c r="AI25" s="41">
        <f t="shared" si="16"/>
        <v>99</v>
      </c>
      <c r="AJ25" s="34">
        <f>SUM(AJ17:AJ24)</f>
        <v>12</v>
      </c>
      <c r="AK25" s="34">
        <f t="shared" ref="AK25:AL25" si="22">SUM(AK17:AK24)</f>
        <v>14</v>
      </c>
      <c r="AL25" s="34">
        <f t="shared" si="22"/>
        <v>111</v>
      </c>
      <c r="AM25" s="398">
        <f>AM17+AM19+AM21+AM23</f>
        <v>35821.428571428572</v>
      </c>
      <c r="AN25" s="391">
        <f>SUM(AN17:AN24)</f>
        <v>42428.571428571428</v>
      </c>
      <c r="AO25" s="507">
        <f>AM25+AM26</f>
        <v>39294.642857142855</v>
      </c>
      <c r="AP25" s="507">
        <f>SUM(AP17:AP24)</f>
        <v>39000</v>
      </c>
    </row>
    <row r="26" spans="1:42">
      <c r="A26" s="35"/>
      <c r="B26" s="486" t="s">
        <v>31</v>
      </c>
      <c r="C26" s="487"/>
      <c r="D26" s="35">
        <f t="shared" ref="D26:AH26" si="23">D18+D20+D22+D24</f>
        <v>8</v>
      </c>
      <c r="E26" s="35">
        <f t="shared" si="23"/>
        <v>8</v>
      </c>
      <c r="F26" s="35">
        <f t="shared" si="23"/>
        <v>6</v>
      </c>
      <c r="G26" s="35">
        <f t="shared" si="23"/>
        <v>6</v>
      </c>
      <c r="H26" s="35">
        <f t="shared" si="23"/>
        <v>8</v>
      </c>
      <c r="I26" s="35">
        <f t="shared" si="23"/>
        <v>0</v>
      </c>
      <c r="J26" s="35">
        <f t="shared" si="23"/>
        <v>0</v>
      </c>
      <c r="K26" s="35">
        <f t="shared" si="23"/>
        <v>0</v>
      </c>
      <c r="L26" s="35">
        <f t="shared" si="23"/>
        <v>6</v>
      </c>
      <c r="M26" s="35">
        <f t="shared" si="23"/>
        <v>6</v>
      </c>
      <c r="N26" s="35">
        <f t="shared" si="23"/>
        <v>0</v>
      </c>
      <c r="O26" s="35">
        <f t="shared" si="23"/>
        <v>6</v>
      </c>
      <c r="P26" s="35">
        <f t="shared" si="23"/>
        <v>6</v>
      </c>
      <c r="Q26" s="35">
        <f t="shared" si="23"/>
        <v>0</v>
      </c>
      <c r="R26" s="35">
        <f t="shared" si="23"/>
        <v>0</v>
      </c>
      <c r="S26" s="35">
        <f t="shared" si="23"/>
        <v>6</v>
      </c>
      <c r="T26" s="35">
        <f t="shared" si="23"/>
        <v>6</v>
      </c>
      <c r="U26" s="35">
        <f t="shared" si="23"/>
        <v>6</v>
      </c>
      <c r="V26" s="35">
        <f t="shared" si="23"/>
        <v>0</v>
      </c>
      <c r="W26" s="35">
        <f t="shared" si="23"/>
        <v>0</v>
      </c>
      <c r="X26" s="35">
        <f t="shared" si="23"/>
        <v>0</v>
      </c>
      <c r="Y26" s="35">
        <f t="shared" si="23"/>
        <v>0</v>
      </c>
      <c r="Z26" s="35">
        <f t="shared" si="23"/>
        <v>0</v>
      </c>
      <c r="AA26" s="35">
        <f t="shared" si="23"/>
        <v>0</v>
      </c>
      <c r="AB26" s="35">
        <f t="shared" si="23"/>
        <v>0</v>
      </c>
      <c r="AC26" s="35">
        <f t="shared" si="23"/>
        <v>8</v>
      </c>
      <c r="AD26" s="35">
        <f t="shared" si="23"/>
        <v>0</v>
      </c>
      <c r="AE26" s="35">
        <f t="shared" si="23"/>
        <v>0</v>
      </c>
      <c r="AF26" s="35">
        <f t="shared" si="23"/>
        <v>0</v>
      </c>
      <c r="AG26" s="35">
        <f t="shared" si="23"/>
        <v>0</v>
      </c>
      <c r="AH26" s="35">
        <f t="shared" si="23"/>
        <v>0</v>
      </c>
      <c r="AI26" s="35">
        <f t="shared" si="16"/>
        <v>86</v>
      </c>
      <c r="AJ26" s="42">
        <f t="shared" ref="AJ26" si="24">F26+H26+I26+J26+K26+L26+M26+O26+P26+Q26+T26+V26+W26+X26+Y26+Z26+AA26+AC26+AE26+AF26+AG26+AH26</f>
        <v>52</v>
      </c>
      <c r="AK26" s="42">
        <f t="shared" ref="AK26" si="25">G26+I26+J26+K26+L26+M26+N26+P26+Q26+R26+U26+W26+X26+Y26+Z26+AA26+AB26+AD26+AF26+AG26+AH26+AI26</f>
        <v>116</v>
      </c>
      <c r="AL26" s="42">
        <f t="shared" ref="AL26" si="26">H26+J26+K26+L26+M26+N26+O26+Q26+R26+S26+V26+X26+Y26+Z26+AA26+AB26+AC26+AE26+AG26+AH26+AI26+AJ26</f>
        <v>178</v>
      </c>
      <c r="AM26" s="43">
        <f>AM18+AM20+AM22+AM24</f>
        <v>3473.2142857142853</v>
      </c>
      <c r="AN26" s="44">
        <f>AN18+AN20+AN22+AN24</f>
        <v>6428.5714285714284</v>
      </c>
      <c r="AO26" s="504"/>
      <c r="AP26" s="504"/>
    </row>
    <row r="29" spans="1:42" ht="23.25">
      <c r="A29" s="479" t="s">
        <v>0</v>
      </c>
      <c r="B29" s="508" t="s">
        <v>1</v>
      </c>
      <c r="C29" s="508"/>
      <c r="D29" s="488" t="s">
        <v>34</v>
      </c>
      <c r="E29" s="488"/>
      <c r="F29" s="488"/>
      <c r="G29" s="488"/>
      <c r="H29" s="488"/>
      <c r="I29" s="488"/>
      <c r="J29" s="488"/>
      <c r="K29" s="488"/>
      <c r="L29" s="488"/>
      <c r="M29" s="488"/>
      <c r="N29" s="488"/>
      <c r="O29" s="488"/>
      <c r="P29" s="488"/>
      <c r="Q29" s="488"/>
      <c r="R29" s="488"/>
      <c r="S29" s="488"/>
      <c r="T29" s="488"/>
      <c r="U29" s="488"/>
      <c r="V29" s="488"/>
      <c r="W29" s="488"/>
      <c r="X29" s="488"/>
      <c r="Y29" s="488"/>
      <c r="Z29" s="488"/>
      <c r="AA29" s="488"/>
      <c r="AB29" s="488"/>
      <c r="AC29" s="488"/>
      <c r="AD29" s="488"/>
      <c r="AE29" s="488"/>
      <c r="AF29" s="488"/>
      <c r="AG29" s="489">
        <v>31</v>
      </c>
      <c r="AH29" s="489"/>
      <c r="AI29" s="483" t="s">
        <v>3</v>
      </c>
      <c r="AJ29" s="499" t="s">
        <v>4</v>
      </c>
      <c r="AK29" s="483" t="s">
        <v>5</v>
      </c>
      <c r="AL29" s="483" t="s">
        <v>6</v>
      </c>
      <c r="AM29" s="483" t="s">
        <v>7</v>
      </c>
      <c r="AN29" s="483" t="s">
        <v>8</v>
      </c>
      <c r="AO29" s="483" t="s">
        <v>7</v>
      </c>
      <c r="AP29" s="483" t="s">
        <v>33</v>
      </c>
    </row>
    <row r="30" spans="1:42">
      <c r="A30" s="479"/>
      <c r="B30" s="508"/>
      <c r="C30" s="508"/>
      <c r="D30" s="31">
        <v>1</v>
      </c>
      <c r="E30" s="31">
        <v>2</v>
      </c>
      <c r="F30" s="31">
        <v>3</v>
      </c>
      <c r="G30" s="31">
        <v>4</v>
      </c>
      <c r="H30" s="31">
        <v>5</v>
      </c>
      <c r="I30" s="31">
        <v>6</v>
      </c>
      <c r="J30" s="31">
        <v>7</v>
      </c>
      <c r="K30" s="31">
        <v>8</v>
      </c>
      <c r="L30" s="31">
        <v>9</v>
      </c>
      <c r="M30" s="31">
        <v>10</v>
      </c>
      <c r="N30" s="31">
        <v>11</v>
      </c>
      <c r="O30" s="31">
        <v>12</v>
      </c>
      <c r="P30" s="31">
        <v>13</v>
      </c>
      <c r="Q30" s="31">
        <v>14</v>
      </c>
      <c r="R30" s="31">
        <v>15</v>
      </c>
      <c r="S30" s="31">
        <v>16</v>
      </c>
      <c r="T30" s="31">
        <v>17</v>
      </c>
      <c r="U30" s="31">
        <v>18</v>
      </c>
      <c r="V30" s="31">
        <v>19</v>
      </c>
      <c r="W30" s="31">
        <v>20</v>
      </c>
      <c r="X30" s="31">
        <v>21</v>
      </c>
      <c r="Y30" s="31">
        <v>22</v>
      </c>
      <c r="Z30" s="31">
        <v>23</v>
      </c>
      <c r="AA30" s="31">
        <v>24</v>
      </c>
      <c r="AB30" s="31">
        <v>25</v>
      </c>
      <c r="AC30" s="31">
        <v>26</v>
      </c>
      <c r="AD30" s="31">
        <v>27</v>
      </c>
      <c r="AE30" s="31">
        <v>28</v>
      </c>
      <c r="AF30" s="31">
        <v>29</v>
      </c>
      <c r="AG30" s="31">
        <v>30</v>
      </c>
      <c r="AH30" s="31">
        <v>31</v>
      </c>
      <c r="AI30" s="483"/>
      <c r="AJ30" s="499"/>
      <c r="AK30" s="483"/>
      <c r="AL30" s="483"/>
      <c r="AM30" s="483"/>
      <c r="AN30" s="483"/>
      <c r="AO30" s="483"/>
      <c r="AP30" s="483"/>
    </row>
    <row r="31" spans="1:42" ht="15">
      <c r="A31" s="18">
        <v>1</v>
      </c>
      <c r="B31" s="19" t="s">
        <v>9</v>
      </c>
      <c r="C31" s="20">
        <f>B32/AG29</f>
        <v>354.83870967741933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37">
        <v>0</v>
      </c>
      <c r="K31" s="21">
        <v>1</v>
      </c>
      <c r="L31" s="21">
        <v>1</v>
      </c>
      <c r="M31" s="33">
        <v>0</v>
      </c>
      <c r="N31" s="21">
        <v>1</v>
      </c>
      <c r="O31" s="21">
        <v>1</v>
      </c>
      <c r="P31" s="21">
        <v>1</v>
      </c>
      <c r="Q31" s="37">
        <v>0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37">
        <v>0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37">
        <v>0</v>
      </c>
      <c r="AF31" s="21">
        <v>1</v>
      </c>
      <c r="AG31" s="21">
        <v>1</v>
      </c>
      <c r="AH31" s="21">
        <v>1</v>
      </c>
      <c r="AI31" s="21">
        <f t="shared" ref="AI31:AI40" si="27">SUM(D31:AH31)</f>
        <v>26</v>
      </c>
      <c r="AJ31" s="28">
        <v>4</v>
      </c>
      <c r="AK31" s="21">
        <v>1</v>
      </c>
      <c r="AL31" s="21">
        <f>AI31+AJ31</f>
        <v>30</v>
      </c>
      <c r="AM31" s="397">
        <f>AL31*C31</f>
        <v>10645.16129032258</v>
      </c>
      <c r="AN31" s="397">
        <f>C31*AG29</f>
        <v>11000</v>
      </c>
      <c r="AO31" s="500">
        <f>AM31+AM32</f>
        <v>11709.677419354837</v>
      </c>
      <c r="AP31" s="500">
        <v>12000</v>
      </c>
    </row>
    <row r="32" spans="1:42" ht="15">
      <c r="A32" s="21"/>
      <c r="B32" s="24">
        <v>11000</v>
      </c>
      <c r="C32" s="20">
        <f>C31/8*1</f>
        <v>44.354838709677416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37">
        <v>0</v>
      </c>
      <c r="K32" s="21">
        <v>0</v>
      </c>
      <c r="L32" s="21">
        <v>0</v>
      </c>
      <c r="M32" s="21">
        <v>0</v>
      </c>
      <c r="N32" s="21">
        <v>0</v>
      </c>
      <c r="O32" s="21">
        <v>2</v>
      </c>
      <c r="P32" s="21">
        <v>2</v>
      </c>
      <c r="Q32" s="37">
        <v>0</v>
      </c>
      <c r="R32" s="21">
        <v>2</v>
      </c>
      <c r="S32" s="21">
        <v>2</v>
      </c>
      <c r="T32" s="21">
        <v>2</v>
      </c>
      <c r="U32" s="21">
        <v>2</v>
      </c>
      <c r="V32" s="21">
        <v>2</v>
      </c>
      <c r="W32" s="21">
        <v>2</v>
      </c>
      <c r="X32" s="37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2</v>
      </c>
      <c r="AD32" s="21">
        <v>2</v>
      </c>
      <c r="AE32" s="37">
        <v>0</v>
      </c>
      <c r="AF32" s="21">
        <v>2</v>
      </c>
      <c r="AG32" s="21">
        <v>2</v>
      </c>
      <c r="AH32" s="21">
        <v>0</v>
      </c>
      <c r="AI32" s="21">
        <f t="shared" si="27"/>
        <v>24</v>
      </c>
      <c r="AJ32" s="40"/>
      <c r="AK32" s="24"/>
      <c r="AL32" s="24"/>
      <c r="AM32" s="21">
        <f>AI32*C32</f>
        <v>1064.516129032258</v>
      </c>
      <c r="AN32" s="20">
        <f>C32*40</f>
        <v>1774.1935483870966</v>
      </c>
      <c r="AO32" s="500"/>
      <c r="AP32" s="500"/>
    </row>
    <row r="33" spans="1:42" ht="15">
      <c r="A33" s="18">
        <v>2</v>
      </c>
      <c r="B33" s="19" t="s">
        <v>17</v>
      </c>
      <c r="C33" s="20">
        <f>B34/AG29</f>
        <v>290.32258064516128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37">
        <v>0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37">
        <v>0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37">
        <v>0</v>
      </c>
      <c r="Y33" s="21">
        <v>1</v>
      </c>
      <c r="Z33" s="21">
        <v>1</v>
      </c>
      <c r="AA33" s="21">
        <v>1</v>
      </c>
      <c r="AB33" s="33">
        <v>0</v>
      </c>
      <c r="AC33" s="21">
        <v>1</v>
      </c>
      <c r="AD33" s="21">
        <v>1</v>
      </c>
      <c r="AE33" s="37">
        <v>0</v>
      </c>
      <c r="AF33" s="21">
        <v>1</v>
      </c>
      <c r="AG33" s="21">
        <v>1</v>
      </c>
      <c r="AH33" s="21">
        <v>1</v>
      </c>
      <c r="AI33" s="21">
        <f t="shared" si="27"/>
        <v>26</v>
      </c>
      <c r="AJ33" s="28">
        <v>4</v>
      </c>
      <c r="AK33" s="21">
        <v>1</v>
      </c>
      <c r="AL33" s="21">
        <f>AI33+AJ33</f>
        <v>30</v>
      </c>
      <c r="AM33" s="21">
        <f t="shared" ref="AM33" si="28">AL33*C33</f>
        <v>8709.677419354839</v>
      </c>
      <c r="AN33" s="21">
        <f>C33*AG29</f>
        <v>9000</v>
      </c>
      <c r="AO33" s="500">
        <f>AM33+AM34</f>
        <v>9653.2258064516136</v>
      </c>
      <c r="AP33" s="500">
        <v>10000</v>
      </c>
    </row>
    <row r="34" spans="1:42" ht="15">
      <c r="A34" s="21"/>
      <c r="B34" s="24">
        <v>9000</v>
      </c>
      <c r="C34" s="20">
        <f t="shared" ref="C34" si="29">C33/8*1</f>
        <v>36.29032258064516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37">
        <v>0</v>
      </c>
      <c r="K34" s="21">
        <v>0</v>
      </c>
      <c r="L34" s="21">
        <v>0</v>
      </c>
      <c r="M34" s="21">
        <v>0</v>
      </c>
      <c r="N34" s="21">
        <v>2</v>
      </c>
      <c r="O34" s="21">
        <v>2</v>
      </c>
      <c r="P34" s="21">
        <v>2</v>
      </c>
      <c r="Q34" s="37">
        <v>0</v>
      </c>
      <c r="R34" s="21">
        <v>2</v>
      </c>
      <c r="S34" s="21">
        <v>2</v>
      </c>
      <c r="T34" s="21">
        <v>2</v>
      </c>
      <c r="U34" s="21">
        <v>2</v>
      </c>
      <c r="V34" s="21">
        <v>2</v>
      </c>
      <c r="W34" s="21">
        <v>2</v>
      </c>
      <c r="X34" s="37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2</v>
      </c>
      <c r="AD34" s="21">
        <v>2</v>
      </c>
      <c r="AE34" s="37">
        <v>0</v>
      </c>
      <c r="AF34" s="21">
        <v>2</v>
      </c>
      <c r="AG34" s="21">
        <v>2</v>
      </c>
      <c r="AH34" s="21">
        <v>0</v>
      </c>
      <c r="AI34" s="21">
        <f t="shared" si="27"/>
        <v>26</v>
      </c>
      <c r="AJ34" s="40"/>
      <c r="AK34" s="24"/>
      <c r="AL34" s="24"/>
      <c r="AM34" s="21">
        <f>C34*AI34</f>
        <v>943.54838709677415</v>
      </c>
      <c r="AN34" s="20">
        <f>C34*40</f>
        <v>1451.6129032258063</v>
      </c>
      <c r="AO34" s="500"/>
      <c r="AP34" s="500"/>
    </row>
    <row r="35" spans="1:42" ht="15">
      <c r="A35" s="18">
        <v>3</v>
      </c>
      <c r="B35" s="19" t="s">
        <v>23</v>
      </c>
      <c r="C35" s="20">
        <f>B36/AG29</f>
        <v>258.06451612903226</v>
      </c>
      <c r="D35" s="21">
        <v>1</v>
      </c>
      <c r="E35" s="21">
        <v>1</v>
      </c>
      <c r="F35" s="21">
        <v>1</v>
      </c>
      <c r="G35" s="21">
        <v>1</v>
      </c>
      <c r="H35" s="33">
        <v>0</v>
      </c>
      <c r="I35" s="33">
        <v>0</v>
      </c>
      <c r="J35" s="37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7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7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7">
        <v>0</v>
      </c>
      <c r="AF35" s="33">
        <v>0</v>
      </c>
      <c r="AG35" s="33">
        <v>0</v>
      </c>
      <c r="AH35" s="33">
        <v>0</v>
      </c>
      <c r="AI35" s="21">
        <f t="shared" si="27"/>
        <v>4</v>
      </c>
      <c r="AJ35" s="28">
        <v>0</v>
      </c>
      <c r="AK35" s="21">
        <v>0</v>
      </c>
      <c r="AL35" s="21">
        <f>AI35+AJ35</f>
        <v>4</v>
      </c>
      <c r="AM35" s="21">
        <f t="shared" ref="AM35" si="30">AL35*C35</f>
        <v>1032.258064516129</v>
      </c>
      <c r="AN35" s="21">
        <f>C35*AG29</f>
        <v>8000</v>
      </c>
      <c r="AO35" s="500">
        <f>AM35+AM36</f>
        <v>1032.258064516129</v>
      </c>
      <c r="AP35" s="500">
        <v>0</v>
      </c>
    </row>
    <row r="36" spans="1:42" ht="15">
      <c r="A36" s="21"/>
      <c r="B36" s="24">
        <v>8000</v>
      </c>
      <c r="C36" s="20">
        <f t="shared" ref="C36" si="31">C35/8*1</f>
        <v>32.258064516129032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37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37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37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37">
        <v>0</v>
      </c>
      <c r="AF36" s="21">
        <v>0</v>
      </c>
      <c r="AG36" s="21">
        <v>0</v>
      </c>
      <c r="AH36" s="21">
        <v>0</v>
      </c>
      <c r="AI36" s="21">
        <f t="shared" si="27"/>
        <v>0</v>
      </c>
      <c r="AJ36" s="40"/>
      <c r="AK36" s="24"/>
      <c r="AL36" s="24"/>
      <c r="AM36" s="21">
        <f>C36*AI36</f>
        <v>0</v>
      </c>
      <c r="AN36" s="20">
        <f>C36*40</f>
        <v>1290.3225806451612</v>
      </c>
      <c r="AO36" s="500"/>
      <c r="AP36" s="500"/>
    </row>
    <row r="37" spans="1:42" ht="15">
      <c r="A37" s="18">
        <v>4</v>
      </c>
      <c r="B37" s="19" t="s">
        <v>27</v>
      </c>
      <c r="C37" s="20">
        <f>B38/AG29</f>
        <v>258.06451612903226</v>
      </c>
      <c r="D37" s="21">
        <v>1</v>
      </c>
      <c r="E37" s="33">
        <v>0</v>
      </c>
      <c r="F37" s="21">
        <v>1</v>
      </c>
      <c r="G37" s="21">
        <v>1</v>
      </c>
      <c r="H37" s="21">
        <v>1</v>
      </c>
      <c r="I37" s="21">
        <v>1</v>
      </c>
      <c r="J37" s="37">
        <v>0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33">
        <v>0</v>
      </c>
      <c r="Q37" s="37">
        <v>0</v>
      </c>
      <c r="R37" s="21">
        <v>1</v>
      </c>
      <c r="S37" s="21">
        <v>1</v>
      </c>
      <c r="T37" s="21">
        <v>1</v>
      </c>
      <c r="U37" s="33">
        <v>0</v>
      </c>
      <c r="V37" s="21">
        <v>1</v>
      </c>
      <c r="W37" s="21">
        <v>1</v>
      </c>
      <c r="X37" s="37">
        <v>0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37">
        <v>0</v>
      </c>
      <c r="AF37" s="21">
        <v>1</v>
      </c>
      <c r="AG37" s="21">
        <v>1</v>
      </c>
      <c r="AH37" s="21">
        <v>1</v>
      </c>
      <c r="AI37" s="21">
        <f t="shared" si="27"/>
        <v>24</v>
      </c>
      <c r="AJ37" s="28">
        <v>4</v>
      </c>
      <c r="AK37" s="21">
        <v>3</v>
      </c>
      <c r="AL37" s="21">
        <f>AI37+AJ37</f>
        <v>28</v>
      </c>
      <c r="AM37" s="21">
        <f>AL37*C37</f>
        <v>7225.8064516129034</v>
      </c>
      <c r="AN37" s="21">
        <f>C37*AG29</f>
        <v>8000</v>
      </c>
      <c r="AO37" s="500">
        <f>AM37+AM38</f>
        <v>7935.4838709677424</v>
      </c>
      <c r="AP37" s="500">
        <v>8000</v>
      </c>
    </row>
    <row r="38" spans="1:42" ht="15">
      <c r="A38" s="21"/>
      <c r="B38" s="24">
        <v>8000</v>
      </c>
      <c r="C38" s="20">
        <f t="shared" ref="C38" si="32">C37/8*1</f>
        <v>32.258064516129032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37">
        <v>0</v>
      </c>
      <c r="K38" s="21">
        <v>0</v>
      </c>
      <c r="L38" s="21">
        <v>0</v>
      </c>
      <c r="M38" s="21">
        <v>0</v>
      </c>
      <c r="N38" s="21">
        <v>2</v>
      </c>
      <c r="O38" s="21">
        <v>2</v>
      </c>
      <c r="P38" s="21">
        <v>0</v>
      </c>
      <c r="Q38" s="37">
        <v>0</v>
      </c>
      <c r="R38" s="21">
        <v>2</v>
      </c>
      <c r="S38" s="21">
        <v>2</v>
      </c>
      <c r="T38" s="21">
        <v>2</v>
      </c>
      <c r="U38" s="21">
        <v>0</v>
      </c>
      <c r="V38" s="21">
        <v>2</v>
      </c>
      <c r="W38" s="21">
        <v>2</v>
      </c>
      <c r="X38" s="37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2</v>
      </c>
      <c r="AD38" s="21">
        <v>2</v>
      </c>
      <c r="AE38" s="37">
        <v>0</v>
      </c>
      <c r="AF38" s="21">
        <v>2</v>
      </c>
      <c r="AG38" s="21">
        <v>2</v>
      </c>
      <c r="AH38" s="21">
        <v>0</v>
      </c>
      <c r="AI38" s="21">
        <f t="shared" si="27"/>
        <v>22</v>
      </c>
      <c r="AJ38" s="28"/>
      <c r="AK38" s="21"/>
      <c r="AL38" s="21"/>
      <c r="AM38" s="21">
        <f>C38*AI38</f>
        <v>709.67741935483866</v>
      </c>
      <c r="AN38" s="20">
        <f>C38*40</f>
        <v>1290.3225806451612</v>
      </c>
      <c r="AO38" s="500"/>
      <c r="AP38" s="500"/>
    </row>
    <row r="39" spans="1:42">
      <c r="A39" s="34"/>
      <c r="B39" s="480" t="s">
        <v>30</v>
      </c>
      <c r="C39" s="480"/>
      <c r="D39" s="34">
        <f t="shared" ref="D39" si="33">D31+D33+D35+D37</f>
        <v>4</v>
      </c>
      <c r="E39" s="34">
        <f t="shared" ref="E39:AH39" si="34">E31+E33+E35+E37</f>
        <v>3</v>
      </c>
      <c r="F39" s="34">
        <f t="shared" si="34"/>
        <v>4</v>
      </c>
      <c r="G39" s="34">
        <f t="shared" si="34"/>
        <v>4</v>
      </c>
      <c r="H39" s="34">
        <f t="shared" si="34"/>
        <v>3</v>
      </c>
      <c r="I39" s="34">
        <f t="shared" si="34"/>
        <v>3</v>
      </c>
      <c r="J39" s="34">
        <f t="shared" si="34"/>
        <v>0</v>
      </c>
      <c r="K39" s="34">
        <f t="shared" si="34"/>
        <v>3</v>
      </c>
      <c r="L39" s="34">
        <f t="shared" si="34"/>
        <v>3</v>
      </c>
      <c r="M39" s="34">
        <f t="shared" si="34"/>
        <v>2</v>
      </c>
      <c r="N39" s="34">
        <f t="shared" si="34"/>
        <v>3</v>
      </c>
      <c r="O39" s="34">
        <f t="shared" si="34"/>
        <v>3</v>
      </c>
      <c r="P39" s="34">
        <f t="shared" si="34"/>
        <v>2</v>
      </c>
      <c r="Q39" s="34">
        <f t="shared" si="34"/>
        <v>0</v>
      </c>
      <c r="R39" s="34">
        <f t="shared" si="34"/>
        <v>3</v>
      </c>
      <c r="S39" s="34">
        <f t="shared" si="34"/>
        <v>3</v>
      </c>
      <c r="T39" s="34">
        <f t="shared" si="34"/>
        <v>3</v>
      </c>
      <c r="U39" s="34">
        <f t="shared" si="34"/>
        <v>2</v>
      </c>
      <c r="V39" s="34">
        <f t="shared" si="34"/>
        <v>3</v>
      </c>
      <c r="W39" s="34">
        <f t="shared" si="34"/>
        <v>3</v>
      </c>
      <c r="X39" s="34">
        <f t="shared" si="34"/>
        <v>0</v>
      </c>
      <c r="Y39" s="34">
        <f t="shared" si="34"/>
        <v>3</v>
      </c>
      <c r="Z39" s="34">
        <f t="shared" si="34"/>
        <v>3</v>
      </c>
      <c r="AA39" s="34">
        <f t="shared" si="34"/>
        <v>3</v>
      </c>
      <c r="AB39" s="34">
        <f t="shared" si="34"/>
        <v>2</v>
      </c>
      <c r="AC39" s="34">
        <f t="shared" si="34"/>
        <v>3</v>
      </c>
      <c r="AD39" s="34">
        <f t="shared" si="34"/>
        <v>3</v>
      </c>
      <c r="AE39" s="34">
        <f t="shared" si="34"/>
        <v>0</v>
      </c>
      <c r="AF39" s="34">
        <f t="shared" si="34"/>
        <v>3</v>
      </c>
      <c r="AG39" s="34">
        <f t="shared" si="34"/>
        <v>3</v>
      </c>
      <c r="AH39" s="34">
        <f t="shared" si="34"/>
        <v>3</v>
      </c>
      <c r="AI39" s="41">
        <f t="shared" si="27"/>
        <v>80</v>
      </c>
      <c r="AJ39" s="34">
        <f>SUM(AJ31:AJ38)</f>
        <v>12</v>
      </c>
      <c r="AK39" s="34">
        <f t="shared" ref="AK39:AL39" si="35">SUM(AK31:AK38)</f>
        <v>5</v>
      </c>
      <c r="AL39" s="34">
        <f t="shared" si="35"/>
        <v>92</v>
      </c>
      <c r="AM39" s="398">
        <f>AM31+AM33+AM35+AM37</f>
        <v>27612.903225806447</v>
      </c>
      <c r="AN39" s="398">
        <f>SUM(AN31:AN38)</f>
        <v>41806.451612903227</v>
      </c>
      <c r="AO39" s="501">
        <f>AM39+AM40</f>
        <v>30330.645161290318</v>
      </c>
      <c r="AP39" s="501">
        <f>SUM(AP31:AP38)</f>
        <v>30000</v>
      </c>
    </row>
    <row r="40" spans="1:42">
      <c r="A40" s="35"/>
      <c r="B40" s="478" t="s">
        <v>31</v>
      </c>
      <c r="C40" s="478"/>
      <c r="D40" s="35">
        <f t="shared" ref="D40" si="36">D32+D34+D36+D38</f>
        <v>0</v>
      </c>
      <c r="E40" s="35">
        <f t="shared" ref="E40:AH40" si="37">E32+E34+E36+E38</f>
        <v>0</v>
      </c>
      <c r="F40" s="35">
        <f t="shared" si="37"/>
        <v>0</v>
      </c>
      <c r="G40" s="35">
        <f t="shared" si="37"/>
        <v>0</v>
      </c>
      <c r="H40" s="35">
        <f t="shared" si="37"/>
        <v>0</v>
      </c>
      <c r="I40" s="35">
        <f t="shared" si="37"/>
        <v>0</v>
      </c>
      <c r="J40" s="35">
        <f t="shared" si="37"/>
        <v>0</v>
      </c>
      <c r="K40" s="35">
        <f t="shared" si="37"/>
        <v>0</v>
      </c>
      <c r="L40" s="35">
        <f t="shared" si="37"/>
        <v>0</v>
      </c>
      <c r="M40" s="35">
        <f t="shared" si="37"/>
        <v>0</v>
      </c>
      <c r="N40" s="35">
        <f t="shared" si="37"/>
        <v>4</v>
      </c>
      <c r="O40" s="35">
        <f t="shared" si="37"/>
        <v>6</v>
      </c>
      <c r="P40" s="35">
        <f t="shared" si="37"/>
        <v>4</v>
      </c>
      <c r="Q40" s="35">
        <f t="shared" si="37"/>
        <v>0</v>
      </c>
      <c r="R40" s="35">
        <f t="shared" si="37"/>
        <v>6</v>
      </c>
      <c r="S40" s="35">
        <f t="shared" si="37"/>
        <v>6</v>
      </c>
      <c r="T40" s="35">
        <f t="shared" si="37"/>
        <v>6</v>
      </c>
      <c r="U40" s="35">
        <f t="shared" si="37"/>
        <v>4</v>
      </c>
      <c r="V40" s="35">
        <f t="shared" si="37"/>
        <v>6</v>
      </c>
      <c r="W40" s="35">
        <f t="shared" si="37"/>
        <v>6</v>
      </c>
      <c r="X40" s="35">
        <f t="shared" si="37"/>
        <v>0</v>
      </c>
      <c r="Y40" s="35">
        <f t="shared" si="37"/>
        <v>0</v>
      </c>
      <c r="Z40" s="35">
        <f t="shared" si="37"/>
        <v>0</v>
      </c>
      <c r="AA40" s="35">
        <f t="shared" si="37"/>
        <v>0</v>
      </c>
      <c r="AB40" s="35">
        <f t="shared" si="37"/>
        <v>0</v>
      </c>
      <c r="AC40" s="35">
        <f t="shared" si="37"/>
        <v>6</v>
      </c>
      <c r="AD40" s="35">
        <f t="shared" si="37"/>
        <v>6</v>
      </c>
      <c r="AE40" s="35">
        <f t="shared" si="37"/>
        <v>0</v>
      </c>
      <c r="AF40" s="35">
        <f t="shared" si="37"/>
        <v>6</v>
      </c>
      <c r="AG40" s="35">
        <f t="shared" si="37"/>
        <v>6</v>
      </c>
      <c r="AH40" s="35">
        <f t="shared" si="37"/>
        <v>0</v>
      </c>
      <c r="AI40" s="35">
        <f t="shared" si="27"/>
        <v>72</v>
      </c>
      <c r="AJ40" s="42"/>
      <c r="AK40" s="42"/>
      <c r="AL40" s="42">
        <f t="shared" ref="AL40" si="38">H40+J40+K40+L40+M40+N40+O40+Q40+R40+S40+V40+X40+Y40+Z40+AA40+AB40+AC40+AE40+AG40+AH40+AI40+AJ40</f>
        <v>112</v>
      </c>
      <c r="AM40" s="43">
        <f>AM32+AM34+AM36+AM38</f>
        <v>2717.7419354838707</v>
      </c>
      <c r="AN40" s="43">
        <f>AN32+AN34+AN36+AN38</f>
        <v>5806.4516129032254</v>
      </c>
      <c r="AO40" s="502"/>
      <c r="AP40" s="502"/>
    </row>
  </sheetData>
  <mergeCells count="60">
    <mergeCell ref="AP37:AP38"/>
    <mergeCell ref="AP39:AP40"/>
    <mergeCell ref="B15:C16"/>
    <mergeCell ref="B2:C3"/>
    <mergeCell ref="B29:C30"/>
    <mergeCell ref="AP25:AP26"/>
    <mergeCell ref="AP29:AP30"/>
    <mergeCell ref="AP31:AP32"/>
    <mergeCell ref="AP33:AP34"/>
    <mergeCell ref="AP35:AP36"/>
    <mergeCell ref="AP15:AP16"/>
    <mergeCell ref="AP17:AP18"/>
    <mergeCell ref="AP19:AP20"/>
    <mergeCell ref="AP21:AP22"/>
    <mergeCell ref="AP23:AP24"/>
    <mergeCell ref="AO31:AO32"/>
    <mergeCell ref="AO33:AO34"/>
    <mergeCell ref="AO35:AO36"/>
    <mergeCell ref="AO37:AO38"/>
    <mergeCell ref="AO39:AO40"/>
    <mergeCell ref="AN2:AN3"/>
    <mergeCell ref="AN15:AN16"/>
    <mergeCell ref="AN29:AN30"/>
    <mergeCell ref="AO12:AO13"/>
    <mergeCell ref="AO15:AO16"/>
    <mergeCell ref="AO17:AO18"/>
    <mergeCell ref="AO19:AO20"/>
    <mergeCell ref="AO21:AO22"/>
    <mergeCell ref="AO23:AO24"/>
    <mergeCell ref="AO25:AO26"/>
    <mergeCell ref="AO29:AO30"/>
    <mergeCell ref="AL2:AL3"/>
    <mergeCell ref="AL15:AL16"/>
    <mergeCell ref="AL29:AL30"/>
    <mergeCell ref="AM2:AM3"/>
    <mergeCell ref="AM15:AM16"/>
    <mergeCell ref="AM29:AM30"/>
    <mergeCell ref="AJ2:AJ3"/>
    <mergeCell ref="AJ15:AJ16"/>
    <mergeCell ref="AJ29:AJ30"/>
    <mergeCell ref="AK2:AK3"/>
    <mergeCell ref="AK15:AK16"/>
    <mergeCell ref="AK29:AK30"/>
    <mergeCell ref="AI2:AI3"/>
    <mergeCell ref="AI15:AI16"/>
    <mergeCell ref="AI29:AI30"/>
    <mergeCell ref="B25:C25"/>
    <mergeCell ref="B26:C26"/>
    <mergeCell ref="D29:AF29"/>
    <mergeCell ref="AG29:AH29"/>
    <mergeCell ref="D2:AH2"/>
    <mergeCell ref="B12:C12"/>
    <mergeCell ref="B13:C13"/>
    <mergeCell ref="D15:AF15"/>
    <mergeCell ref="AG15:AH15"/>
    <mergeCell ref="B40:C40"/>
    <mergeCell ref="A2:A3"/>
    <mergeCell ref="A15:A16"/>
    <mergeCell ref="A29:A30"/>
    <mergeCell ref="B39:C3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R156"/>
  <sheetViews>
    <sheetView topLeftCell="A135" workbookViewId="0">
      <selection activeCell="AT137" sqref="AT137"/>
    </sheetView>
  </sheetViews>
  <sheetFormatPr defaultColWidth="9" defaultRowHeight="15"/>
  <cols>
    <col min="1" max="1" width="4" customWidth="1"/>
    <col min="2" max="2" width="7.85546875" customWidth="1"/>
    <col min="3" max="3" width="5.42578125" customWidth="1"/>
    <col min="4" max="34" width="2.5703125" customWidth="1"/>
    <col min="35" max="36" width="4.5703125" customWidth="1"/>
    <col min="37" max="38" width="5.42578125" customWidth="1"/>
    <col min="39" max="40" width="5.85546875" customWidth="1"/>
    <col min="41" max="41" width="8.85546875" customWidth="1"/>
    <col min="42" max="42" width="7.5703125" customWidth="1"/>
    <col min="43" max="43" width="8.140625" bestFit="1" customWidth="1"/>
  </cols>
  <sheetData>
    <row r="2" spans="1:42" s="16" customFormat="1" ht="23.25">
      <c r="A2" s="518" t="s">
        <v>0</v>
      </c>
      <c r="B2" s="519" t="s">
        <v>1</v>
      </c>
      <c r="C2" s="519"/>
      <c r="D2" s="520" t="s">
        <v>35</v>
      </c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  <c r="AF2" s="520"/>
      <c r="AG2" s="521">
        <v>30</v>
      </c>
      <c r="AH2" s="521"/>
      <c r="AI2" s="522" t="s">
        <v>3</v>
      </c>
      <c r="AJ2" s="522" t="s">
        <v>4</v>
      </c>
      <c r="AK2" s="522" t="s">
        <v>5</v>
      </c>
      <c r="AL2" s="522" t="s">
        <v>6</v>
      </c>
      <c r="AM2" s="522" t="s">
        <v>7</v>
      </c>
      <c r="AN2" s="522" t="s">
        <v>8</v>
      </c>
      <c r="AO2" s="522" t="s">
        <v>7</v>
      </c>
      <c r="AP2" s="522" t="s">
        <v>33</v>
      </c>
    </row>
    <row r="3" spans="1:42" s="16" customFormat="1" ht="14.25">
      <c r="A3" s="518"/>
      <c r="B3" s="519"/>
      <c r="C3" s="519"/>
      <c r="D3" s="17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  <c r="M3" s="17">
        <v>10</v>
      </c>
      <c r="N3" s="17">
        <v>11</v>
      </c>
      <c r="O3" s="17">
        <v>12</v>
      </c>
      <c r="P3" s="17">
        <v>13</v>
      </c>
      <c r="Q3" s="17">
        <v>14</v>
      </c>
      <c r="R3" s="17">
        <v>15</v>
      </c>
      <c r="S3" s="17">
        <v>16</v>
      </c>
      <c r="T3" s="17">
        <v>17</v>
      </c>
      <c r="U3" s="17">
        <v>18</v>
      </c>
      <c r="V3" s="17">
        <v>19</v>
      </c>
      <c r="W3" s="17">
        <v>20</v>
      </c>
      <c r="X3" s="17">
        <v>21</v>
      </c>
      <c r="Y3" s="17">
        <v>22</v>
      </c>
      <c r="Z3" s="17">
        <v>23</v>
      </c>
      <c r="AA3" s="17">
        <v>24</v>
      </c>
      <c r="AB3" s="17">
        <v>25</v>
      </c>
      <c r="AC3" s="17">
        <v>26</v>
      </c>
      <c r="AD3" s="17">
        <v>27</v>
      </c>
      <c r="AE3" s="17">
        <v>28</v>
      </c>
      <c r="AF3" s="17">
        <v>29</v>
      </c>
      <c r="AG3" s="17">
        <v>30</v>
      </c>
      <c r="AH3" s="17">
        <v>31</v>
      </c>
      <c r="AI3" s="522"/>
      <c r="AJ3" s="522"/>
      <c r="AK3" s="522"/>
      <c r="AL3" s="522"/>
      <c r="AM3" s="522"/>
      <c r="AN3" s="522"/>
      <c r="AO3" s="522"/>
      <c r="AP3" s="522"/>
    </row>
    <row r="4" spans="1:42" s="16" customFormat="1" ht="18" customHeight="1">
      <c r="A4" s="18">
        <v>1</v>
      </c>
      <c r="B4" s="19" t="s">
        <v>9</v>
      </c>
      <c r="C4" s="20">
        <f>B5/AG2</f>
        <v>366.66666666666669</v>
      </c>
      <c r="D4" s="21">
        <v>1</v>
      </c>
      <c r="E4" s="21">
        <v>1</v>
      </c>
      <c r="F4" s="21">
        <v>1</v>
      </c>
      <c r="G4" s="22">
        <v>0</v>
      </c>
      <c r="H4" s="23">
        <v>0</v>
      </c>
      <c r="I4" s="22">
        <v>0</v>
      </c>
      <c r="J4" s="21">
        <v>1</v>
      </c>
      <c r="K4" s="21">
        <v>1</v>
      </c>
      <c r="L4" s="21">
        <v>1</v>
      </c>
      <c r="M4" s="21">
        <v>1</v>
      </c>
      <c r="N4" s="22">
        <v>0</v>
      </c>
      <c r="O4" s="21">
        <v>1</v>
      </c>
      <c r="P4" s="21">
        <v>1</v>
      </c>
      <c r="Q4" s="22">
        <v>0</v>
      </c>
      <c r="R4" s="21">
        <v>1</v>
      </c>
      <c r="S4" s="21">
        <v>1</v>
      </c>
      <c r="T4" s="21">
        <v>1</v>
      </c>
      <c r="U4" s="22">
        <v>0</v>
      </c>
      <c r="V4" s="21">
        <v>1</v>
      </c>
      <c r="W4" s="21">
        <v>1</v>
      </c>
      <c r="X4" s="21">
        <v>1</v>
      </c>
      <c r="Y4" s="23">
        <v>0</v>
      </c>
      <c r="Z4" s="21">
        <v>1</v>
      </c>
      <c r="AA4" s="21">
        <v>1</v>
      </c>
      <c r="AB4" s="22">
        <v>0</v>
      </c>
      <c r="AC4" s="21">
        <v>1</v>
      </c>
      <c r="AD4" s="21">
        <v>1</v>
      </c>
      <c r="AE4" s="21">
        <v>1</v>
      </c>
      <c r="AF4" s="21">
        <v>1</v>
      </c>
      <c r="AG4" s="21">
        <v>1</v>
      </c>
      <c r="AH4" s="23">
        <v>0</v>
      </c>
      <c r="AI4" s="21">
        <f t="shared" ref="AI4:AI11" si="0">SUM(D4:AH4)</f>
        <v>22</v>
      </c>
      <c r="AJ4" s="28">
        <v>6</v>
      </c>
      <c r="AK4" s="21">
        <v>2</v>
      </c>
      <c r="AL4" s="21">
        <f>AI4+AJ4</f>
        <v>28</v>
      </c>
      <c r="AM4" s="21">
        <f>AL4*C4</f>
        <v>10266.666666666668</v>
      </c>
      <c r="AN4" s="21">
        <f>C4*AG2</f>
        <v>11000</v>
      </c>
      <c r="AO4" s="506">
        <f>AM4+AM5</f>
        <v>11458.333333333334</v>
      </c>
      <c r="AP4" s="505">
        <v>12000</v>
      </c>
    </row>
    <row r="5" spans="1:42" s="16" customFormat="1" ht="18" customHeight="1">
      <c r="A5" s="21"/>
      <c r="B5" s="24">
        <v>11000</v>
      </c>
      <c r="C5" s="20">
        <f>C4/8*1</f>
        <v>45.833333333333336</v>
      </c>
      <c r="D5" s="21">
        <v>2</v>
      </c>
      <c r="E5" s="21">
        <v>2</v>
      </c>
      <c r="F5" s="21">
        <v>2</v>
      </c>
      <c r="G5" s="22">
        <v>0</v>
      </c>
      <c r="H5" s="21">
        <v>0</v>
      </c>
      <c r="I5" s="22">
        <v>0</v>
      </c>
      <c r="J5" s="21">
        <v>2</v>
      </c>
      <c r="K5" s="21">
        <v>2</v>
      </c>
      <c r="L5" s="21">
        <v>2</v>
      </c>
      <c r="M5" s="21">
        <v>0</v>
      </c>
      <c r="N5" s="22">
        <v>0</v>
      </c>
      <c r="O5" s="21">
        <v>2</v>
      </c>
      <c r="P5" s="21">
        <v>2</v>
      </c>
      <c r="Q5" s="22">
        <v>0</v>
      </c>
      <c r="R5" s="21">
        <v>0</v>
      </c>
      <c r="S5" s="21">
        <v>0</v>
      </c>
      <c r="T5" s="21">
        <v>0</v>
      </c>
      <c r="U5" s="22">
        <v>0</v>
      </c>
      <c r="V5" s="21">
        <v>0</v>
      </c>
      <c r="W5" s="21">
        <v>0</v>
      </c>
      <c r="X5" s="21">
        <v>2</v>
      </c>
      <c r="Y5" s="21">
        <v>0</v>
      </c>
      <c r="Z5" s="21">
        <v>2</v>
      </c>
      <c r="AA5" s="21">
        <v>0</v>
      </c>
      <c r="AB5" s="22">
        <v>0</v>
      </c>
      <c r="AC5" s="21">
        <v>0</v>
      </c>
      <c r="AD5" s="21">
        <v>2</v>
      </c>
      <c r="AE5" s="21">
        <v>2</v>
      </c>
      <c r="AF5" s="21">
        <v>2</v>
      </c>
      <c r="AG5" s="21">
        <v>0</v>
      </c>
      <c r="AH5" s="23">
        <v>0</v>
      </c>
      <c r="AI5" s="21">
        <f t="shared" si="0"/>
        <v>26</v>
      </c>
      <c r="AJ5" s="28">
        <v>0</v>
      </c>
      <c r="AK5" s="24"/>
      <c r="AL5" s="24"/>
      <c r="AM5" s="21">
        <f>AI5*C5</f>
        <v>1191.6666666666667</v>
      </c>
      <c r="AN5" s="20">
        <v>2000</v>
      </c>
      <c r="AO5" s="506"/>
      <c r="AP5" s="505"/>
    </row>
    <row r="6" spans="1:42" s="16" customFormat="1" ht="18" customHeight="1">
      <c r="A6" s="18">
        <v>2</v>
      </c>
      <c r="B6" s="19" t="s">
        <v>17</v>
      </c>
      <c r="C6" s="20">
        <f>B7/AG2</f>
        <v>300</v>
      </c>
      <c r="D6" s="21">
        <v>1</v>
      </c>
      <c r="E6" s="23">
        <v>0</v>
      </c>
      <c r="F6" s="23">
        <v>0</v>
      </c>
      <c r="G6" s="22">
        <v>0</v>
      </c>
      <c r="H6" s="21">
        <v>1</v>
      </c>
      <c r="I6" s="22">
        <v>0</v>
      </c>
      <c r="J6" s="21">
        <v>1</v>
      </c>
      <c r="K6" s="21">
        <v>1</v>
      </c>
      <c r="L6" s="21">
        <v>1</v>
      </c>
      <c r="M6" s="21">
        <v>1</v>
      </c>
      <c r="N6" s="22">
        <v>0</v>
      </c>
      <c r="O6" s="21">
        <v>1</v>
      </c>
      <c r="P6" s="21">
        <v>1</v>
      </c>
      <c r="Q6" s="22">
        <v>0</v>
      </c>
      <c r="R6" s="21">
        <v>1</v>
      </c>
      <c r="S6" s="21">
        <v>1</v>
      </c>
      <c r="T6" s="21">
        <v>1</v>
      </c>
      <c r="U6" s="22">
        <v>0</v>
      </c>
      <c r="V6" s="23">
        <v>0</v>
      </c>
      <c r="W6" s="21">
        <v>1</v>
      </c>
      <c r="X6" s="21">
        <v>1</v>
      </c>
      <c r="Y6" s="21">
        <v>1</v>
      </c>
      <c r="Z6" s="21">
        <v>1</v>
      </c>
      <c r="AA6" s="21">
        <v>1</v>
      </c>
      <c r="AB6" s="22">
        <v>0</v>
      </c>
      <c r="AC6" s="21">
        <v>1</v>
      </c>
      <c r="AD6" s="27">
        <v>0.5</v>
      </c>
      <c r="AE6" s="21">
        <v>1</v>
      </c>
      <c r="AF6" s="21">
        <v>1</v>
      </c>
      <c r="AG6" s="21">
        <v>1</v>
      </c>
      <c r="AH6" s="23">
        <v>0</v>
      </c>
      <c r="AI6" s="21">
        <f t="shared" si="0"/>
        <v>20.5</v>
      </c>
      <c r="AJ6" s="28">
        <v>6</v>
      </c>
      <c r="AK6" s="21">
        <v>3.5</v>
      </c>
      <c r="AL6" s="21">
        <f>AI6+AJ6</f>
        <v>26.5</v>
      </c>
      <c r="AM6" s="21">
        <f t="shared" ref="AM6" si="1">AL6*C6</f>
        <v>7950</v>
      </c>
      <c r="AN6" s="21">
        <f>C6*AG2</f>
        <v>9000</v>
      </c>
      <c r="AO6" s="506">
        <f>AM6+AM7</f>
        <v>8700</v>
      </c>
      <c r="AP6" s="505">
        <v>9000</v>
      </c>
    </row>
    <row r="7" spans="1:42" s="16" customFormat="1" ht="18" customHeight="1">
      <c r="A7" s="21"/>
      <c r="B7" s="24">
        <v>9000</v>
      </c>
      <c r="C7" s="20">
        <f>C6/8*1</f>
        <v>37.5</v>
      </c>
      <c r="D7" s="21">
        <v>2</v>
      </c>
      <c r="E7" s="21">
        <v>0</v>
      </c>
      <c r="F7" s="21">
        <v>0</v>
      </c>
      <c r="G7" s="22">
        <v>0</v>
      </c>
      <c r="H7" s="21">
        <v>0</v>
      </c>
      <c r="I7" s="22">
        <v>0</v>
      </c>
      <c r="J7" s="21">
        <v>2</v>
      </c>
      <c r="K7" s="21">
        <v>2</v>
      </c>
      <c r="L7" s="21">
        <v>2</v>
      </c>
      <c r="M7" s="21">
        <v>0</v>
      </c>
      <c r="N7" s="22">
        <v>0</v>
      </c>
      <c r="O7" s="21">
        <v>2</v>
      </c>
      <c r="P7" s="21">
        <v>0</v>
      </c>
      <c r="Q7" s="22">
        <v>0</v>
      </c>
      <c r="R7" s="21">
        <v>0</v>
      </c>
      <c r="S7" s="21">
        <v>0</v>
      </c>
      <c r="T7" s="21">
        <v>0</v>
      </c>
      <c r="U7" s="22">
        <v>0</v>
      </c>
      <c r="V7" s="21">
        <v>0</v>
      </c>
      <c r="W7" s="21">
        <v>0</v>
      </c>
      <c r="X7" s="21">
        <v>2</v>
      </c>
      <c r="Y7" s="21">
        <v>2</v>
      </c>
      <c r="Z7" s="21">
        <v>2</v>
      </c>
      <c r="AA7" s="21">
        <v>0</v>
      </c>
      <c r="AB7" s="22">
        <v>0</v>
      </c>
      <c r="AC7" s="21">
        <v>0</v>
      </c>
      <c r="AD7" s="21">
        <v>0</v>
      </c>
      <c r="AE7" s="21">
        <v>2</v>
      </c>
      <c r="AF7" s="21">
        <v>2</v>
      </c>
      <c r="AG7" s="21">
        <v>0</v>
      </c>
      <c r="AH7" s="23">
        <v>0</v>
      </c>
      <c r="AI7" s="21">
        <f t="shared" si="0"/>
        <v>20</v>
      </c>
      <c r="AJ7" s="28">
        <v>0</v>
      </c>
      <c r="AK7" s="24"/>
      <c r="AL7" s="24"/>
      <c r="AM7" s="21">
        <f>C7*AI7</f>
        <v>750</v>
      </c>
      <c r="AN7" s="20">
        <v>2000</v>
      </c>
      <c r="AO7" s="506"/>
      <c r="AP7" s="505"/>
    </row>
    <row r="8" spans="1:42" s="16" customFormat="1" ht="18" customHeight="1">
      <c r="A8" s="18">
        <v>3</v>
      </c>
      <c r="B8" s="19" t="s">
        <v>27</v>
      </c>
      <c r="C8" s="20">
        <f>B9/AG2</f>
        <v>266.66666666666669</v>
      </c>
      <c r="D8" s="21">
        <v>1</v>
      </c>
      <c r="E8" s="21">
        <v>1</v>
      </c>
      <c r="F8" s="21">
        <v>1</v>
      </c>
      <c r="G8" s="22">
        <v>0</v>
      </c>
      <c r="H8" s="21">
        <v>1</v>
      </c>
      <c r="I8" s="22">
        <v>0</v>
      </c>
      <c r="J8" s="21">
        <v>1</v>
      </c>
      <c r="K8" s="21">
        <v>1</v>
      </c>
      <c r="L8" s="21">
        <v>1</v>
      </c>
      <c r="M8" s="21">
        <v>1</v>
      </c>
      <c r="N8" s="22">
        <v>0</v>
      </c>
      <c r="O8" s="21">
        <v>1</v>
      </c>
      <c r="P8" s="23">
        <v>0</v>
      </c>
      <c r="Q8" s="22">
        <v>0</v>
      </c>
      <c r="R8" s="23">
        <v>0</v>
      </c>
      <c r="S8" s="23">
        <v>0</v>
      </c>
      <c r="T8" s="23">
        <v>0</v>
      </c>
      <c r="U8" s="22">
        <v>0</v>
      </c>
      <c r="V8" s="23">
        <v>0</v>
      </c>
      <c r="W8" s="23">
        <v>0</v>
      </c>
      <c r="X8" s="23">
        <v>0</v>
      </c>
      <c r="Y8" s="23">
        <v>0</v>
      </c>
      <c r="Z8" s="21">
        <v>1</v>
      </c>
      <c r="AA8" s="23">
        <v>0</v>
      </c>
      <c r="AB8" s="22">
        <v>0</v>
      </c>
      <c r="AC8" s="21">
        <v>1</v>
      </c>
      <c r="AD8" s="21">
        <v>1</v>
      </c>
      <c r="AE8" s="21">
        <v>1</v>
      </c>
      <c r="AF8" s="21">
        <v>1</v>
      </c>
      <c r="AG8" s="21">
        <v>1</v>
      </c>
      <c r="AH8" s="23">
        <v>0</v>
      </c>
      <c r="AI8" s="21">
        <f t="shared" si="0"/>
        <v>15</v>
      </c>
      <c r="AJ8" s="28">
        <v>4</v>
      </c>
      <c r="AK8" s="21">
        <v>11</v>
      </c>
      <c r="AL8" s="21">
        <f>AI8+AJ8</f>
        <v>19</v>
      </c>
      <c r="AM8" s="21">
        <f>AL8*C8</f>
        <v>5066.666666666667</v>
      </c>
      <c r="AN8" s="21">
        <f>C8*AG2</f>
        <v>8000.0000000000009</v>
      </c>
      <c r="AO8" s="506">
        <f>AM8+AM9</f>
        <v>5733.3333333333339</v>
      </c>
      <c r="AP8" s="505">
        <v>6000</v>
      </c>
    </row>
    <row r="9" spans="1:42" s="16" customFormat="1" ht="18" customHeight="1">
      <c r="A9" s="21"/>
      <c r="B9" s="24">
        <v>8000</v>
      </c>
      <c r="C9" s="20">
        <f>C8/8*1</f>
        <v>33.333333333333336</v>
      </c>
      <c r="D9" s="21">
        <v>2</v>
      </c>
      <c r="E9" s="21">
        <v>2</v>
      </c>
      <c r="F9" s="21">
        <v>2</v>
      </c>
      <c r="G9" s="22">
        <v>0</v>
      </c>
      <c r="H9" s="21">
        <v>0</v>
      </c>
      <c r="I9" s="22">
        <v>0</v>
      </c>
      <c r="J9" s="21">
        <v>2</v>
      </c>
      <c r="K9" s="21">
        <v>2</v>
      </c>
      <c r="L9" s="21">
        <v>2</v>
      </c>
      <c r="M9" s="21">
        <v>0</v>
      </c>
      <c r="N9" s="22">
        <v>0</v>
      </c>
      <c r="O9" s="21">
        <v>2</v>
      </c>
      <c r="P9" s="21">
        <v>0</v>
      </c>
      <c r="Q9" s="22">
        <v>0</v>
      </c>
      <c r="R9" s="21">
        <v>0</v>
      </c>
      <c r="S9" s="21">
        <v>0</v>
      </c>
      <c r="T9" s="21">
        <v>0</v>
      </c>
      <c r="U9" s="22">
        <v>0</v>
      </c>
      <c r="V9" s="21">
        <v>0</v>
      </c>
      <c r="W9" s="21">
        <v>0</v>
      </c>
      <c r="X9" s="21">
        <v>0</v>
      </c>
      <c r="Y9" s="21">
        <v>0</v>
      </c>
      <c r="Z9" s="21">
        <v>2</v>
      </c>
      <c r="AA9" s="21">
        <v>0</v>
      </c>
      <c r="AB9" s="22">
        <v>0</v>
      </c>
      <c r="AC9" s="21">
        <v>0</v>
      </c>
      <c r="AD9" s="21">
        <v>2</v>
      </c>
      <c r="AE9" s="21">
        <v>2</v>
      </c>
      <c r="AF9" s="21">
        <v>0</v>
      </c>
      <c r="AG9" s="21">
        <v>0</v>
      </c>
      <c r="AH9" s="23">
        <v>0</v>
      </c>
      <c r="AI9" s="21">
        <f t="shared" si="0"/>
        <v>20</v>
      </c>
      <c r="AJ9" s="28">
        <v>0</v>
      </c>
      <c r="AK9" s="21"/>
      <c r="AL9" s="21"/>
      <c r="AM9" s="21">
        <f>C9*AI9</f>
        <v>666.66666666666674</v>
      </c>
      <c r="AN9" s="20">
        <v>2000</v>
      </c>
      <c r="AO9" s="506"/>
      <c r="AP9" s="505"/>
    </row>
    <row r="10" spans="1:42" s="16" customFormat="1" ht="18" customHeight="1">
      <c r="A10" s="18">
        <v>3</v>
      </c>
      <c r="B10" s="19" t="s">
        <v>36</v>
      </c>
      <c r="C10" s="20">
        <f>B11/AG2</f>
        <v>266.66666666666669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1</v>
      </c>
      <c r="S10" s="21">
        <v>1</v>
      </c>
      <c r="T10" s="21">
        <v>1</v>
      </c>
      <c r="U10" s="22">
        <v>0</v>
      </c>
      <c r="V10" s="21">
        <v>1</v>
      </c>
      <c r="W10" s="21">
        <v>1</v>
      </c>
      <c r="X10" s="21">
        <v>1</v>
      </c>
      <c r="Y10" s="21">
        <v>1</v>
      </c>
      <c r="Z10" s="21">
        <v>1</v>
      </c>
      <c r="AA10" s="21">
        <v>1</v>
      </c>
      <c r="AB10" s="22">
        <v>0</v>
      </c>
      <c r="AC10" s="21">
        <v>1</v>
      </c>
      <c r="AD10" s="21">
        <v>1</v>
      </c>
      <c r="AE10" s="21">
        <v>1</v>
      </c>
      <c r="AF10" s="21">
        <v>1</v>
      </c>
      <c r="AG10" s="21">
        <v>1</v>
      </c>
      <c r="AH10" s="23">
        <v>0</v>
      </c>
      <c r="AI10" s="21">
        <f t="shared" si="0"/>
        <v>14</v>
      </c>
      <c r="AJ10" s="28">
        <v>2</v>
      </c>
      <c r="AK10" s="21">
        <v>0</v>
      </c>
      <c r="AL10" s="21">
        <f>AI10+AJ10</f>
        <v>16</v>
      </c>
      <c r="AM10" s="21">
        <f>AL10*C10</f>
        <v>4266.666666666667</v>
      </c>
      <c r="AN10" s="21">
        <f>C10*AG2</f>
        <v>8000.0000000000009</v>
      </c>
      <c r="AO10" s="506">
        <f>AM10+AM11</f>
        <v>4600</v>
      </c>
      <c r="AP10" s="505">
        <v>5000</v>
      </c>
    </row>
    <row r="11" spans="1:42" s="16" customFormat="1" ht="18" customHeight="1">
      <c r="A11" s="21"/>
      <c r="B11" s="24">
        <v>8000</v>
      </c>
      <c r="C11" s="20">
        <f>C10/8*1</f>
        <v>33.333333333333336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2">
        <v>0</v>
      </c>
      <c r="V11" s="21">
        <v>0</v>
      </c>
      <c r="W11" s="21">
        <v>0</v>
      </c>
      <c r="X11" s="21">
        <v>2</v>
      </c>
      <c r="Y11" s="21">
        <v>2</v>
      </c>
      <c r="Z11" s="21">
        <v>2</v>
      </c>
      <c r="AA11" s="21">
        <v>0</v>
      </c>
      <c r="AB11" s="22">
        <v>0</v>
      </c>
      <c r="AC11" s="21">
        <v>0</v>
      </c>
      <c r="AD11" s="21">
        <v>2</v>
      </c>
      <c r="AE11" s="21">
        <v>2</v>
      </c>
      <c r="AF11" s="21">
        <v>0</v>
      </c>
      <c r="AG11" s="21">
        <v>0</v>
      </c>
      <c r="AH11" s="23">
        <v>0</v>
      </c>
      <c r="AI11" s="21">
        <f t="shared" si="0"/>
        <v>10</v>
      </c>
      <c r="AJ11" s="28">
        <v>0</v>
      </c>
      <c r="AK11" s="21"/>
      <c r="AL11" s="21"/>
      <c r="AM11" s="21">
        <f>C11*AI11</f>
        <v>333.33333333333337</v>
      </c>
      <c r="AN11" s="20">
        <v>2000</v>
      </c>
      <c r="AO11" s="506"/>
      <c r="AP11" s="505"/>
    </row>
    <row r="12" spans="1:42" s="16" customFormat="1" ht="16.5" customHeight="1">
      <c r="A12" s="25"/>
      <c r="B12" s="513" t="s">
        <v>30</v>
      </c>
      <c r="C12" s="513"/>
      <c r="D12" s="25">
        <f>D4+D6+D8+D10</f>
        <v>3</v>
      </c>
      <c r="E12" s="25">
        <f t="shared" ref="E12:AN12" si="2">E4+E6+E8+E10</f>
        <v>2</v>
      </c>
      <c r="F12" s="25">
        <f t="shared" si="2"/>
        <v>2</v>
      </c>
      <c r="G12" s="25">
        <f t="shared" si="2"/>
        <v>0</v>
      </c>
      <c r="H12" s="25">
        <f t="shared" si="2"/>
        <v>2</v>
      </c>
      <c r="I12" s="25">
        <f t="shared" si="2"/>
        <v>0</v>
      </c>
      <c r="J12" s="25">
        <f t="shared" si="2"/>
        <v>3</v>
      </c>
      <c r="K12" s="25">
        <f t="shared" si="2"/>
        <v>3</v>
      </c>
      <c r="L12" s="25">
        <f t="shared" si="2"/>
        <v>3</v>
      </c>
      <c r="M12" s="25">
        <f t="shared" si="2"/>
        <v>3</v>
      </c>
      <c r="N12" s="25">
        <f t="shared" si="2"/>
        <v>0</v>
      </c>
      <c r="O12" s="25">
        <f t="shared" si="2"/>
        <v>3</v>
      </c>
      <c r="P12" s="25">
        <f t="shared" si="2"/>
        <v>2</v>
      </c>
      <c r="Q12" s="25">
        <f t="shared" si="2"/>
        <v>0</v>
      </c>
      <c r="R12" s="25">
        <f t="shared" si="2"/>
        <v>3</v>
      </c>
      <c r="S12" s="25">
        <f t="shared" si="2"/>
        <v>3</v>
      </c>
      <c r="T12" s="25">
        <f t="shared" si="2"/>
        <v>3</v>
      </c>
      <c r="U12" s="25">
        <f t="shared" si="2"/>
        <v>0</v>
      </c>
      <c r="V12" s="25">
        <f t="shared" si="2"/>
        <v>2</v>
      </c>
      <c r="W12" s="25">
        <f t="shared" si="2"/>
        <v>3</v>
      </c>
      <c r="X12" s="25">
        <f t="shared" si="2"/>
        <v>3</v>
      </c>
      <c r="Y12" s="25">
        <f t="shared" si="2"/>
        <v>2</v>
      </c>
      <c r="Z12" s="25">
        <f t="shared" si="2"/>
        <v>4</v>
      </c>
      <c r="AA12" s="25">
        <f t="shared" si="2"/>
        <v>3</v>
      </c>
      <c r="AB12" s="25">
        <f t="shared" si="2"/>
        <v>0</v>
      </c>
      <c r="AC12" s="25">
        <f t="shared" si="2"/>
        <v>4</v>
      </c>
      <c r="AD12" s="25">
        <f t="shared" si="2"/>
        <v>3.5</v>
      </c>
      <c r="AE12" s="25">
        <f t="shared" si="2"/>
        <v>4</v>
      </c>
      <c r="AF12" s="25">
        <f t="shared" si="2"/>
        <v>4</v>
      </c>
      <c r="AG12" s="25">
        <f t="shared" si="2"/>
        <v>4</v>
      </c>
      <c r="AH12" s="25">
        <f t="shared" si="2"/>
        <v>0</v>
      </c>
      <c r="AI12" s="25">
        <f t="shared" si="2"/>
        <v>71.5</v>
      </c>
      <c r="AJ12" s="25">
        <f t="shared" si="2"/>
        <v>18</v>
      </c>
      <c r="AK12" s="25">
        <f t="shared" si="2"/>
        <v>16.5</v>
      </c>
      <c r="AL12" s="25">
        <f t="shared" si="2"/>
        <v>89.5</v>
      </c>
      <c r="AM12" s="25">
        <f t="shared" si="2"/>
        <v>27550.000000000004</v>
      </c>
      <c r="AN12" s="25">
        <f t="shared" si="2"/>
        <v>36000</v>
      </c>
      <c r="AO12" s="523">
        <f>AM12+AM13</f>
        <v>30491.666666666672</v>
      </c>
      <c r="AP12" s="525">
        <f>SUM(AP4:AP11)</f>
        <v>32000</v>
      </c>
    </row>
    <row r="13" spans="1:42" s="16" customFormat="1" ht="16.5" customHeight="1">
      <c r="A13" s="26"/>
      <c r="B13" s="517" t="s">
        <v>31</v>
      </c>
      <c r="C13" s="517"/>
      <c r="D13" s="26">
        <f>D5+D7+D9+D11</f>
        <v>6</v>
      </c>
      <c r="E13" s="26">
        <f>E5+E7+E9+E11</f>
        <v>4</v>
      </c>
      <c r="F13" s="26">
        <f t="shared" ref="F13:AN13" si="3">F5+F7+F9+F11</f>
        <v>4</v>
      </c>
      <c r="G13" s="26">
        <f t="shared" si="3"/>
        <v>0</v>
      </c>
      <c r="H13" s="26">
        <f t="shared" si="3"/>
        <v>0</v>
      </c>
      <c r="I13" s="26">
        <f t="shared" si="3"/>
        <v>0</v>
      </c>
      <c r="J13" s="26">
        <f t="shared" si="3"/>
        <v>6</v>
      </c>
      <c r="K13" s="26">
        <f t="shared" si="3"/>
        <v>6</v>
      </c>
      <c r="L13" s="26">
        <f t="shared" si="3"/>
        <v>6</v>
      </c>
      <c r="M13" s="26">
        <f t="shared" si="3"/>
        <v>0</v>
      </c>
      <c r="N13" s="26">
        <f t="shared" si="3"/>
        <v>0</v>
      </c>
      <c r="O13" s="26">
        <f t="shared" si="3"/>
        <v>6</v>
      </c>
      <c r="P13" s="26">
        <f t="shared" si="3"/>
        <v>2</v>
      </c>
      <c r="Q13" s="26">
        <f t="shared" si="3"/>
        <v>0</v>
      </c>
      <c r="R13" s="26">
        <f t="shared" si="3"/>
        <v>0</v>
      </c>
      <c r="S13" s="26">
        <f t="shared" si="3"/>
        <v>0</v>
      </c>
      <c r="T13" s="26">
        <f t="shared" si="3"/>
        <v>0</v>
      </c>
      <c r="U13" s="26">
        <f t="shared" si="3"/>
        <v>0</v>
      </c>
      <c r="V13" s="26">
        <f t="shared" si="3"/>
        <v>0</v>
      </c>
      <c r="W13" s="26">
        <f t="shared" si="3"/>
        <v>0</v>
      </c>
      <c r="X13" s="26">
        <f t="shared" si="3"/>
        <v>6</v>
      </c>
      <c r="Y13" s="26">
        <f t="shared" si="3"/>
        <v>4</v>
      </c>
      <c r="Z13" s="26">
        <f t="shared" si="3"/>
        <v>8</v>
      </c>
      <c r="AA13" s="26">
        <f t="shared" si="3"/>
        <v>0</v>
      </c>
      <c r="AB13" s="26">
        <f t="shared" si="3"/>
        <v>0</v>
      </c>
      <c r="AC13" s="26">
        <f t="shared" si="3"/>
        <v>0</v>
      </c>
      <c r="AD13" s="26">
        <f t="shared" si="3"/>
        <v>6</v>
      </c>
      <c r="AE13" s="26">
        <f t="shared" si="3"/>
        <v>8</v>
      </c>
      <c r="AF13" s="26">
        <f t="shared" si="3"/>
        <v>4</v>
      </c>
      <c r="AG13" s="26">
        <f t="shared" si="3"/>
        <v>0</v>
      </c>
      <c r="AH13" s="26">
        <f t="shared" si="3"/>
        <v>0</v>
      </c>
      <c r="AI13" s="26">
        <f t="shared" si="3"/>
        <v>76</v>
      </c>
      <c r="AJ13" s="26">
        <f t="shared" si="3"/>
        <v>0</v>
      </c>
      <c r="AK13" s="26">
        <f t="shared" si="3"/>
        <v>0</v>
      </c>
      <c r="AL13" s="26">
        <f t="shared" si="3"/>
        <v>0</v>
      </c>
      <c r="AM13" s="26">
        <f t="shared" si="3"/>
        <v>2941.666666666667</v>
      </c>
      <c r="AN13" s="26">
        <f t="shared" si="3"/>
        <v>8000</v>
      </c>
      <c r="AO13" s="524"/>
      <c r="AP13" s="526"/>
    </row>
    <row r="16" spans="1:42" ht="23.25">
      <c r="A16" s="518" t="s">
        <v>0</v>
      </c>
      <c r="B16" s="519" t="s">
        <v>1</v>
      </c>
      <c r="C16" s="519"/>
      <c r="D16" s="520" t="s">
        <v>37</v>
      </c>
      <c r="E16" s="520"/>
      <c r="F16" s="520"/>
      <c r="G16" s="520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1">
        <v>31</v>
      </c>
      <c r="AH16" s="521"/>
      <c r="AI16" s="522" t="s">
        <v>3</v>
      </c>
      <c r="AJ16" s="522" t="s">
        <v>4</v>
      </c>
      <c r="AK16" s="522" t="s">
        <v>5</v>
      </c>
      <c r="AL16" s="522" t="s">
        <v>6</v>
      </c>
      <c r="AM16" s="522" t="s">
        <v>7</v>
      </c>
      <c r="AN16" s="522" t="s">
        <v>8</v>
      </c>
      <c r="AO16" s="522" t="s">
        <v>7</v>
      </c>
      <c r="AP16" s="522" t="s">
        <v>33</v>
      </c>
    </row>
    <row r="17" spans="1:42">
      <c r="A17" s="518"/>
      <c r="B17" s="519"/>
      <c r="C17" s="519"/>
      <c r="D17" s="17">
        <v>1</v>
      </c>
      <c r="E17" s="17">
        <v>2</v>
      </c>
      <c r="F17" s="17">
        <v>3</v>
      </c>
      <c r="G17" s="17">
        <v>4</v>
      </c>
      <c r="H17" s="17">
        <v>5</v>
      </c>
      <c r="I17" s="17">
        <v>6</v>
      </c>
      <c r="J17" s="17">
        <v>7</v>
      </c>
      <c r="K17" s="17">
        <v>8</v>
      </c>
      <c r="L17" s="17">
        <v>9</v>
      </c>
      <c r="M17" s="17">
        <v>10</v>
      </c>
      <c r="N17" s="17">
        <v>11</v>
      </c>
      <c r="O17" s="17">
        <v>12</v>
      </c>
      <c r="P17" s="17">
        <v>13</v>
      </c>
      <c r="Q17" s="17">
        <v>14</v>
      </c>
      <c r="R17" s="17">
        <v>15</v>
      </c>
      <c r="S17" s="17">
        <v>16</v>
      </c>
      <c r="T17" s="17">
        <v>17</v>
      </c>
      <c r="U17" s="17">
        <v>18</v>
      </c>
      <c r="V17" s="17">
        <v>19</v>
      </c>
      <c r="W17" s="17">
        <v>20</v>
      </c>
      <c r="X17" s="17">
        <v>21</v>
      </c>
      <c r="Y17" s="17">
        <v>22</v>
      </c>
      <c r="Z17" s="17">
        <v>23</v>
      </c>
      <c r="AA17" s="17">
        <v>24</v>
      </c>
      <c r="AB17" s="17">
        <v>25</v>
      </c>
      <c r="AC17" s="17">
        <v>26</v>
      </c>
      <c r="AD17" s="17">
        <v>27</v>
      </c>
      <c r="AE17" s="17">
        <v>28</v>
      </c>
      <c r="AF17" s="17">
        <v>29</v>
      </c>
      <c r="AG17" s="17">
        <v>30</v>
      </c>
      <c r="AH17" s="17">
        <v>31</v>
      </c>
      <c r="AI17" s="522"/>
      <c r="AJ17" s="522"/>
      <c r="AK17" s="522"/>
      <c r="AL17" s="522"/>
      <c r="AM17" s="522"/>
      <c r="AN17" s="522"/>
      <c r="AO17" s="522"/>
      <c r="AP17" s="522"/>
    </row>
    <row r="18" spans="1:42">
      <c r="A18" s="18">
        <v>1</v>
      </c>
      <c r="B18" s="19" t="s">
        <v>9</v>
      </c>
      <c r="C18" s="20">
        <f>B19/AG16</f>
        <v>354.83870967741933</v>
      </c>
      <c r="D18" s="22">
        <v>0</v>
      </c>
      <c r="E18" s="22">
        <v>0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1</v>
      </c>
      <c r="L18" s="22">
        <v>0</v>
      </c>
      <c r="M18" s="21">
        <v>1</v>
      </c>
      <c r="N18" s="21">
        <v>1</v>
      </c>
      <c r="O18" s="21">
        <v>1</v>
      </c>
      <c r="P18" s="21">
        <v>1</v>
      </c>
      <c r="Q18" s="23">
        <v>0</v>
      </c>
      <c r="R18" s="21">
        <v>1</v>
      </c>
      <c r="S18" s="22">
        <v>0</v>
      </c>
      <c r="T18" s="21">
        <v>1</v>
      </c>
      <c r="U18" s="21">
        <v>1</v>
      </c>
      <c r="V18" s="21">
        <v>1</v>
      </c>
      <c r="W18" s="21">
        <v>1</v>
      </c>
      <c r="X18" s="21">
        <v>1</v>
      </c>
      <c r="Y18" s="21">
        <v>1</v>
      </c>
      <c r="Z18" s="22"/>
      <c r="AA18" s="21">
        <v>1</v>
      </c>
      <c r="AB18" s="21">
        <v>1</v>
      </c>
      <c r="AC18" s="21">
        <v>1</v>
      </c>
      <c r="AD18" s="21">
        <v>1</v>
      </c>
      <c r="AE18" s="21">
        <v>1</v>
      </c>
      <c r="AF18" s="23">
        <v>0</v>
      </c>
      <c r="AG18" s="22"/>
      <c r="AH18" s="21">
        <v>1</v>
      </c>
      <c r="AI18" s="21">
        <f t="shared" ref="AI18:AI25" si="4">SUM(D18:AH18)</f>
        <v>23</v>
      </c>
      <c r="AJ18" s="28">
        <v>6</v>
      </c>
      <c r="AK18" s="21">
        <v>0</v>
      </c>
      <c r="AL18" s="21">
        <f>AI18+AJ18</f>
        <v>29</v>
      </c>
      <c r="AM18" s="21">
        <f>AL18*C18</f>
        <v>10290.322580645161</v>
      </c>
      <c r="AN18" s="21">
        <f>C18*AG16</f>
        <v>11000</v>
      </c>
      <c r="AO18" s="506">
        <f>AM18+AM19</f>
        <v>10290.322580645161</v>
      </c>
      <c r="AP18" s="505">
        <v>11000</v>
      </c>
    </row>
    <row r="19" spans="1:42">
      <c r="A19" s="21"/>
      <c r="B19" s="24">
        <v>11000</v>
      </c>
      <c r="C19" s="20">
        <f>C18/8*1</f>
        <v>44.354838709677416</v>
      </c>
      <c r="D19" s="22">
        <v>0</v>
      </c>
      <c r="E19" s="22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2"/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2"/>
      <c r="AH19" s="21">
        <v>0</v>
      </c>
      <c r="AI19" s="21">
        <f t="shared" si="4"/>
        <v>0</v>
      </c>
      <c r="AJ19" s="28">
        <v>0</v>
      </c>
      <c r="AK19" s="24"/>
      <c r="AL19" s="24"/>
      <c r="AM19" s="21">
        <f>AI19*C19</f>
        <v>0</v>
      </c>
      <c r="AN19" s="20">
        <v>2000</v>
      </c>
      <c r="AO19" s="506"/>
      <c r="AP19" s="505"/>
    </row>
    <row r="20" spans="1:42">
      <c r="A20" s="18">
        <v>2</v>
      </c>
      <c r="B20" s="19" t="s">
        <v>17</v>
      </c>
      <c r="C20" s="20">
        <f>B21/AG16</f>
        <v>290.32258064516128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1">
        <v>1</v>
      </c>
      <c r="N20" s="21">
        <v>1</v>
      </c>
      <c r="O20" s="21">
        <v>1</v>
      </c>
      <c r="P20" s="23">
        <v>0</v>
      </c>
      <c r="Q20" s="21">
        <v>1</v>
      </c>
      <c r="R20" s="21">
        <v>1</v>
      </c>
      <c r="S20" s="22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2"/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2"/>
      <c r="AH20" s="23">
        <v>0</v>
      </c>
      <c r="AI20" s="21">
        <f t="shared" si="4"/>
        <v>5</v>
      </c>
      <c r="AJ20" s="28">
        <v>2</v>
      </c>
      <c r="AK20" s="21">
        <v>0</v>
      </c>
      <c r="AL20" s="21">
        <f>AI20+AJ20</f>
        <v>7</v>
      </c>
      <c r="AM20" s="21">
        <f t="shared" ref="AM20" si="5">AL20*C20</f>
        <v>2032.258064516129</v>
      </c>
      <c r="AN20" s="21">
        <f>C20*AG16</f>
        <v>9000</v>
      </c>
      <c r="AO20" s="506">
        <f>AM20+AM21</f>
        <v>2032.258064516129</v>
      </c>
      <c r="AP20" s="505">
        <v>2300</v>
      </c>
    </row>
    <row r="21" spans="1:42">
      <c r="A21" s="21"/>
      <c r="B21" s="24">
        <v>9000</v>
      </c>
      <c r="C21" s="20">
        <f>C20/8*1</f>
        <v>36.29032258064516</v>
      </c>
      <c r="D21" s="22">
        <v>0</v>
      </c>
      <c r="E21" s="22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2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2"/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2"/>
      <c r="AH21" s="21">
        <v>0</v>
      </c>
      <c r="AI21" s="21">
        <f t="shared" si="4"/>
        <v>0</v>
      </c>
      <c r="AJ21" s="28">
        <v>0</v>
      </c>
      <c r="AK21" s="24"/>
      <c r="AL21" s="24"/>
      <c r="AM21" s="21">
        <f>C21*AI21</f>
        <v>0</v>
      </c>
      <c r="AN21" s="20">
        <v>2000</v>
      </c>
      <c r="AO21" s="506"/>
      <c r="AP21" s="505"/>
    </row>
    <row r="22" spans="1:42">
      <c r="A22" s="18">
        <v>3</v>
      </c>
      <c r="B22" s="19" t="s">
        <v>27</v>
      </c>
      <c r="C22" s="20">
        <f>B23/AG16</f>
        <v>258.06451612903226</v>
      </c>
      <c r="D22" s="22">
        <v>0</v>
      </c>
      <c r="E22" s="22">
        <v>0</v>
      </c>
      <c r="F22" s="21">
        <v>1</v>
      </c>
      <c r="G22" s="21">
        <v>1</v>
      </c>
      <c r="H22" s="21">
        <v>1</v>
      </c>
      <c r="I22" s="21">
        <v>1</v>
      </c>
      <c r="J22" s="21">
        <v>1</v>
      </c>
      <c r="K22" s="21">
        <v>1</v>
      </c>
      <c r="L22" s="22">
        <v>0</v>
      </c>
      <c r="M22" s="21">
        <v>1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2"/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2"/>
      <c r="AH22" s="23">
        <v>0</v>
      </c>
      <c r="AI22" s="21">
        <f t="shared" si="4"/>
        <v>7</v>
      </c>
      <c r="AJ22" s="28">
        <v>3</v>
      </c>
      <c r="AK22" s="21">
        <v>0</v>
      </c>
      <c r="AL22" s="21">
        <f>AI22+AJ22</f>
        <v>10</v>
      </c>
      <c r="AM22" s="21">
        <f>AL22*C22</f>
        <v>2580.6451612903224</v>
      </c>
      <c r="AN22" s="21">
        <f>C22*AG16</f>
        <v>8000</v>
      </c>
      <c r="AO22" s="506">
        <f>AM22+AM23</f>
        <v>2580.6451612903224</v>
      </c>
      <c r="AP22" s="505">
        <v>2700</v>
      </c>
    </row>
    <row r="23" spans="1:42">
      <c r="A23" s="21"/>
      <c r="B23" s="24">
        <v>8000</v>
      </c>
      <c r="C23" s="20">
        <f>C22/8*1</f>
        <v>32.258064516129032</v>
      </c>
      <c r="D23" s="22">
        <v>0</v>
      </c>
      <c r="E23" s="22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2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2"/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2"/>
      <c r="AH23" s="21">
        <v>0</v>
      </c>
      <c r="AI23" s="21">
        <f t="shared" si="4"/>
        <v>0</v>
      </c>
      <c r="AJ23" s="28">
        <v>0</v>
      </c>
      <c r="AK23" s="21"/>
      <c r="AL23" s="21"/>
      <c r="AM23" s="21">
        <f>C23*AI23</f>
        <v>0</v>
      </c>
      <c r="AN23" s="20">
        <v>2000</v>
      </c>
      <c r="AO23" s="506"/>
      <c r="AP23" s="505"/>
    </row>
    <row r="24" spans="1:42">
      <c r="A24" s="18">
        <v>4</v>
      </c>
      <c r="B24" s="19" t="s">
        <v>36</v>
      </c>
      <c r="C24" s="20">
        <f>B25/AG16</f>
        <v>258.06451612903226</v>
      </c>
      <c r="D24" s="22">
        <v>0</v>
      </c>
      <c r="E24" s="22">
        <v>0</v>
      </c>
      <c r="F24" s="21">
        <v>1</v>
      </c>
      <c r="G24" s="21">
        <v>1</v>
      </c>
      <c r="H24" s="23">
        <v>0</v>
      </c>
      <c r="I24" s="21">
        <v>1</v>
      </c>
      <c r="J24" s="21">
        <v>1</v>
      </c>
      <c r="K24" s="21">
        <v>1</v>
      </c>
      <c r="L24" s="22">
        <v>0</v>
      </c>
      <c r="M24" s="21">
        <v>1</v>
      </c>
      <c r="N24" s="21">
        <v>1</v>
      </c>
      <c r="O24" s="21">
        <v>1</v>
      </c>
      <c r="P24" s="21">
        <v>1</v>
      </c>
      <c r="Q24" s="21">
        <v>1</v>
      </c>
      <c r="R24" s="21">
        <v>1</v>
      </c>
      <c r="S24" s="22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2"/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2"/>
      <c r="AH24" s="23">
        <v>0</v>
      </c>
      <c r="AI24" s="21">
        <f t="shared" si="4"/>
        <v>11</v>
      </c>
      <c r="AJ24" s="28">
        <v>4</v>
      </c>
      <c r="AK24" s="21">
        <v>0</v>
      </c>
      <c r="AL24" s="21">
        <f>AI24+AJ24</f>
        <v>15</v>
      </c>
      <c r="AM24" s="21">
        <f>AL24*C24</f>
        <v>3870.9677419354839</v>
      </c>
      <c r="AN24" s="21">
        <f>C24*AG16</f>
        <v>8000</v>
      </c>
      <c r="AO24" s="506">
        <f>AM24+AM25</f>
        <v>3870.9677419354839</v>
      </c>
      <c r="AP24" s="505">
        <v>4000</v>
      </c>
    </row>
    <row r="25" spans="1:42">
      <c r="A25" s="21"/>
      <c r="B25" s="24">
        <v>8000</v>
      </c>
      <c r="C25" s="20">
        <f>C24/8*1</f>
        <v>32.258064516129032</v>
      </c>
      <c r="D25" s="22">
        <v>0</v>
      </c>
      <c r="E25" s="22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2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2"/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2"/>
      <c r="AH25" s="21">
        <v>0</v>
      </c>
      <c r="AI25" s="21">
        <f t="shared" si="4"/>
        <v>0</v>
      </c>
      <c r="AJ25" s="28">
        <v>0</v>
      </c>
      <c r="AK25" s="21"/>
      <c r="AL25" s="21"/>
      <c r="AM25" s="21">
        <f>C25*AI25</f>
        <v>0</v>
      </c>
      <c r="AN25" s="20">
        <v>2000</v>
      </c>
      <c r="AO25" s="506"/>
      <c r="AP25" s="505"/>
    </row>
    <row r="26" spans="1:42">
      <c r="A26" s="25"/>
      <c r="B26" s="513" t="s">
        <v>30</v>
      </c>
      <c r="C26" s="513"/>
      <c r="D26" s="25">
        <f>D18+D20+D22+D24</f>
        <v>0</v>
      </c>
      <c r="E26" s="25">
        <f t="shared" ref="E26:AN26" si="6">E18+E20+E22+E24</f>
        <v>0</v>
      </c>
      <c r="F26" s="25">
        <f t="shared" si="6"/>
        <v>3</v>
      </c>
      <c r="G26" s="25">
        <f t="shared" si="6"/>
        <v>3</v>
      </c>
      <c r="H26" s="25">
        <f t="shared" si="6"/>
        <v>2</v>
      </c>
      <c r="I26" s="25">
        <f t="shared" si="6"/>
        <v>3</v>
      </c>
      <c r="J26" s="25">
        <f t="shared" si="6"/>
        <v>3</v>
      </c>
      <c r="K26" s="25">
        <f t="shared" si="6"/>
        <v>3</v>
      </c>
      <c r="L26" s="25">
        <f t="shared" si="6"/>
        <v>0</v>
      </c>
      <c r="M26" s="25">
        <f t="shared" si="6"/>
        <v>4</v>
      </c>
      <c r="N26" s="25">
        <f t="shared" si="6"/>
        <v>3</v>
      </c>
      <c r="O26" s="25">
        <f t="shared" si="6"/>
        <v>3</v>
      </c>
      <c r="P26" s="25">
        <f t="shared" si="6"/>
        <v>2</v>
      </c>
      <c r="Q26" s="25">
        <f t="shared" si="6"/>
        <v>2</v>
      </c>
      <c r="R26" s="25">
        <f t="shared" si="6"/>
        <v>3</v>
      </c>
      <c r="S26" s="25">
        <f t="shared" si="6"/>
        <v>0</v>
      </c>
      <c r="T26" s="25">
        <f t="shared" si="6"/>
        <v>1</v>
      </c>
      <c r="U26" s="25">
        <f t="shared" si="6"/>
        <v>1</v>
      </c>
      <c r="V26" s="25">
        <f t="shared" si="6"/>
        <v>1</v>
      </c>
      <c r="W26" s="25">
        <f t="shared" si="6"/>
        <v>1</v>
      </c>
      <c r="X26" s="25">
        <f t="shared" si="6"/>
        <v>1</v>
      </c>
      <c r="Y26" s="25">
        <f t="shared" si="6"/>
        <v>1</v>
      </c>
      <c r="Z26" s="25">
        <f t="shared" si="6"/>
        <v>0</v>
      </c>
      <c r="AA26" s="25">
        <f t="shared" si="6"/>
        <v>1</v>
      </c>
      <c r="AB26" s="25">
        <f t="shared" si="6"/>
        <v>1</v>
      </c>
      <c r="AC26" s="25">
        <f t="shared" si="6"/>
        <v>1</v>
      </c>
      <c r="AD26" s="25">
        <f t="shared" si="6"/>
        <v>1</v>
      </c>
      <c r="AE26" s="25">
        <f t="shared" si="6"/>
        <v>1</v>
      </c>
      <c r="AF26" s="25">
        <f t="shared" si="6"/>
        <v>0</v>
      </c>
      <c r="AG26" s="25">
        <f t="shared" si="6"/>
        <v>0</v>
      </c>
      <c r="AH26" s="25">
        <f t="shared" si="6"/>
        <v>1</v>
      </c>
      <c r="AI26" s="25">
        <f t="shared" si="6"/>
        <v>46</v>
      </c>
      <c r="AJ26" s="25">
        <f t="shared" si="6"/>
        <v>15</v>
      </c>
      <c r="AK26" s="25">
        <f t="shared" si="6"/>
        <v>0</v>
      </c>
      <c r="AL26" s="25">
        <f t="shared" si="6"/>
        <v>61</v>
      </c>
      <c r="AM26" s="25">
        <f t="shared" si="6"/>
        <v>18774.193548387095</v>
      </c>
      <c r="AN26" s="25">
        <f t="shared" si="6"/>
        <v>36000</v>
      </c>
      <c r="AO26" s="523">
        <f>AM26+AM27</f>
        <v>18774.193548387095</v>
      </c>
      <c r="AP26" s="525">
        <f>SUM(AP18:AP25)</f>
        <v>20000</v>
      </c>
    </row>
    <row r="27" spans="1:42">
      <c r="A27" s="26"/>
      <c r="B27" s="517" t="s">
        <v>31</v>
      </c>
      <c r="C27" s="517"/>
      <c r="D27" s="26">
        <f>D19+D21+D23+D25</f>
        <v>0</v>
      </c>
      <c r="E27" s="26">
        <f>E19+E21+E23+E25</f>
        <v>0</v>
      </c>
      <c r="F27" s="26">
        <f t="shared" ref="F27:AN27" si="7">F19+F21+F23+F25</f>
        <v>0</v>
      </c>
      <c r="G27" s="26">
        <f t="shared" si="7"/>
        <v>0</v>
      </c>
      <c r="H27" s="26">
        <f t="shared" si="7"/>
        <v>0</v>
      </c>
      <c r="I27" s="26">
        <f t="shared" si="7"/>
        <v>0</v>
      </c>
      <c r="J27" s="26">
        <f t="shared" si="7"/>
        <v>0</v>
      </c>
      <c r="K27" s="26">
        <f t="shared" si="7"/>
        <v>0</v>
      </c>
      <c r="L27" s="26">
        <f t="shared" si="7"/>
        <v>0</v>
      </c>
      <c r="M27" s="26">
        <f t="shared" si="7"/>
        <v>0</v>
      </c>
      <c r="N27" s="26">
        <f t="shared" si="7"/>
        <v>0</v>
      </c>
      <c r="O27" s="26">
        <f t="shared" si="7"/>
        <v>0</v>
      </c>
      <c r="P27" s="26">
        <f t="shared" si="7"/>
        <v>0</v>
      </c>
      <c r="Q27" s="26">
        <f t="shared" si="7"/>
        <v>0</v>
      </c>
      <c r="R27" s="26">
        <f t="shared" si="7"/>
        <v>0</v>
      </c>
      <c r="S27" s="26">
        <f t="shared" si="7"/>
        <v>0</v>
      </c>
      <c r="T27" s="26">
        <f t="shared" si="7"/>
        <v>0</v>
      </c>
      <c r="U27" s="26">
        <f t="shared" si="7"/>
        <v>0</v>
      </c>
      <c r="V27" s="26">
        <f t="shared" si="7"/>
        <v>0</v>
      </c>
      <c r="W27" s="26">
        <f t="shared" si="7"/>
        <v>0</v>
      </c>
      <c r="X27" s="26">
        <f t="shared" si="7"/>
        <v>0</v>
      </c>
      <c r="Y27" s="26">
        <f t="shared" si="7"/>
        <v>0</v>
      </c>
      <c r="Z27" s="26">
        <f t="shared" si="7"/>
        <v>0</v>
      </c>
      <c r="AA27" s="26">
        <f t="shared" si="7"/>
        <v>0</v>
      </c>
      <c r="AB27" s="26">
        <f t="shared" si="7"/>
        <v>0</v>
      </c>
      <c r="AC27" s="26">
        <f t="shared" si="7"/>
        <v>0</v>
      </c>
      <c r="AD27" s="26">
        <f t="shared" si="7"/>
        <v>0</v>
      </c>
      <c r="AE27" s="26">
        <f t="shared" si="7"/>
        <v>0</v>
      </c>
      <c r="AF27" s="26">
        <f t="shared" si="7"/>
        <v>0</v>
      </c>
      <c r="AG27" s="26">
        <f t="shared" si="7"/>
        <v>0</v>
      </c>
      <c r="AH27" s="26">
        <f t="shared" si="7"/>
        <v>0</v>
      </c>
      <c r="AI27" s="26">
        <f t="shared" si="7"/>
        <v>0</v>
      </c>
      <c r="AJ27" s="26">
        <f t="shared" si="7"/>
        <v>0</v>
      </c>
      <c r="AK27" s="26">
        <f t="shared" si="7"/>
        <v>0</v>
      </c>
      <c r="AL27" s="26">
        <f t="shared" si="7"/>
        <v>0</v>
      </c>
      <c r="AM27" s="26">
        <f t="shared" si="7"/>
        <v>0</v>
      </c>
      <c r="AN27" s="26">
        <f t="shared" si="7"/>
        <v>8000</v>
      </c>
      <c r="AO27" s="524"/>
      <c r="AP27" s="526"/>
    </row>
    <row r="30" spans="1:42" ht="23.25">
      <c r="A30" s="518" t="s">
        <v>0</v>
      </c>
      <c r="B30" s="519" t="s">
        <v>1</v>
      </c>
      <c r="C30" s="519"/>
      <c r="D30" s="520" t="s">
        <v>38</v>
      </c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1">
        <v>30</v>
      </c>
      <c r="AH30" s="521"/>
      <c r="AI30" s="522" t="s">
        <v>3</v>
      </c>
      <c r="AJ30" s="522" t="s">
        <v>4</v>
      </c>
      <c r="AK30" s="522" t="s">
        <v>5</v>
      </c>
      <c r="AL30" s="522" t="s">
        <v>6</v>
      </c>
      <c r="AM30" s="522" t="s">
        <v>7</v>
      </c>
      <c r="AN30" s="522" t="s">
        <v>8</v>
      </c>
      <c r="AO30" s="522" t="s">
        <v>7</v>
      </c>
      <c r="AP30" s="522" t="s">
        <v>33</v>
      </c>
    </row>
    <row r="31" spans="1:42">
      <c r="A31" s="518"/>
      <c r="B31" s="519"/>
      <c r="C31" s="519"/>
      <c r="D31" s="17">
        <v>1</v>
      </c>
      <c r="E31" s="17">
        <v>2</v>
      </c>
      <c r="F31" s="17">
        <v>3</v>
      </c>
      <c r="G31" s="17">
        <v>4</v>
      </c>
      <c r="H31" s="17">
        <v>5</v>
      </c>
      <c r="I31" s="17">
        <v>6</v>
      </c>
      <c r="J31" s="17">
        <v>7</v>
      </c>
      <c r="K31" s="17">
        <v>8</v>
      </c>
      <c r="L31" s="17">
        <v>9</v>
      </c>
      <c r="M31" s="17">
        <v>10</v>
      </c>
      <c r="N31" s="17">
        <v>11</v>
      </c>
      <c r="O31" s="17">
        <v>12</v>
      </c>
      <c r="P31" s="17">
        <v>13</v>
      </c>
      <c r="Q31" s="17">
        <v>14</v>
      </c>
      <c r="R31" s="17">
        <v>15</v>
      </c>
      <c r="S31" s="17">
        <v>16</v>
      </c>
      <c r="T31" s="17">
        <v>17</v>
      </c>
      <c r="U31" s="17">
        <v>18</v>
      </c>
      <c r="V31" s="17">
        <v>19</v>
      </c>
      <c r="W31" s="17">
        <v>20</v>
      </c>
      <c r="X31" s="17">
        <v>21</v>
      </c>
      <c r="Y31" s="17">
        <v>22</v>
      </c>
      <c r="Z31" s="17">
        <v>23</v>
      </c>
      <c r="AA31" s="17">
        <v>24</v>
      </c>
      <c r="AB31" s="17">
        <v>25</v>
      </c>
      <c r="AC31" s="17">
        <v>26</v>
      </c>
      <c r="AD31" s="17">
        <v>27</v>
      </c>
      <c r="AE31" s="17">
        <v>28</v>
      </c>
      <c r="AF31" s="17">
        <v>29</v>
      </c>
      <c r="AG31" s="17">
        <v>30</v>
      </c>
      <c r="AH31" s="17">
        <v>31</v>
      </c>
      <c r="AI31" s="522"/>
      <c r="AJ31" s="522"/>
      <c r="AK31" s="522"/>
      <c r="AL31" s="522"/>
      <c r="AM31" s="522"/>
      <c r="AN31" s="522"/>
      <c r="AO31" s="522"/>
      <c r="AP31" s="522"/>
    </row>
    <row r="32" spans="1:42">
      <c r="A32" s="18">
        <v>1</v>
      </c>
      <c r="B32" s="19" t="s">
        <v>9</v>
      </c>
      <c r="C32" s="20">
        <f>B33/AG30</f>
        <v>366.66666666666669</v>
      </c>
      <c r="D32" s="21">
        <v>1</v>
      </c>
      <c r="E32" s="21">
        <v>1</v>
      </c>
      <c r="F32" s="21">
        <v>1</v>
      </c>
      <c r="G32" s="21">
        <v>1</v>
      </c>
      <c r="H32" s="21">
        <v>1</v>
      </c>
      <c r="I32" s="22">
        <v>0</v>
      </c>
      <c r="J32" s="21">
        <v>1</v>
      </c>
      <c r="K32" s="21">
        <v>1</v>
      </c>
      <c r="L32" s="21">
        <v>1</v>
      </c>
      <c r="M32" s="21">
        <v>1</v>
      </c>
      <c r="N32" s="23">
        <v>0</v>
      </c>
      <c r="O32" s="23">
        <v>0</v>
      </c>
      <c r="P32" s="22">
        <v>0</v>
      </c>
      <c r="Q32" s="21">
        <v>1</v>
      </c>
      <c r="R32" s="21">
        <v>1</v>
      </c>
      <c r="S32" s="21">
        <v>1</v>
      </c>
      <c r="T32" s="21">
        <v>1</v>
      </c>
      <c r="U32" s="21">
        <v>1</v>
      </c>
      <c r="V32" s="21">
        <v>1</v>
      </c>
      <c r="W32" s="22">
        <v>0</v>
      </c>
      <c r="X32" s="21">
        <v>1</v>
      </c>
      <c r="Y32" s="21">
        <v>1</v>
      </c>
      <c r="Z32" s="21">
        <v>1</v>
      </c>
      <c r="AA32" s="27">
        <v>0.5</v>
      </c>
      <c r="AB32" s="21">
        <v>1</v>
      </c>
      <c r="AC32" s="21">
        <v>1</v>
      </c>
      <c r="AD32" s="22">
        <v>0</v>
      </c>
      <c r="AE32" s="21">
        <v>1</v>
      </c>
      <c r="AF32" s="27">
        <v>0.5</v>
      </c>
      <c r="AG32" s="21">
        <v>1</v>
      </c>
      <c r="AH32" s="29"/>
      <c r="AI32" s="21">
        <f>SUM(D32:AH32)</f>
        <v>23</v>
      </c>
      <c r="AJ32" s="28">
        <v>4</v>
      </c>
      <c r="AK32" s="21">
        <v>0</v>
      </c>
      <c r="AL32" s="21">
        <f>AI32+AJ32</f>
        <v>27</v>
      </c>
      <c r="AM32" s="21">
        <f>AL32*C32</f>
        <v>9900</v>
      </c>
      <c r="AN32" s="21">
        <f>C32*AG30</f>
        <v>11000</v>
      </c>
      <c r="AO32" s="506">
        <f>AM32+AM33</f>
        <v>9900</v>
      </c>
      <c r="AP32" s="505">
        <v>11000</v>
      </c>
    </row>
    <row r="33" spans="1:44">
      <c r="A33" s="21"/>
      <c r="B33" s="24">
        <v>11000</v>
      </c>
      <c r="C33" s="20">
        <f>C32/8*1</f>
        <v>45.833333333333336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2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2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2">
        <v>0</v>
      </c>
      <c r="AE33" s="21">
        <v>0</v>
      </c>
      <c r="AF33" s="21">
        <v>0</v>
      </c>
      <c r="AG33" s="21">
        <v>0</v>
      </c>
      <c r="AH33" s="29"/>
      <c r="AI33" s="21">
        <f t="shared" ref="AI33:AI39" si="8">SUM(D33:AH33)</f>
        <v>0</v>
      </c>
      <c r="AJ33" s="28"/>
      <c r="AK33" s="24"/>
      <c r="AL33" s="24"/>
      <c r="AM33" s="21">
        <f>AI33*C33</f>
        <v>0</v>
      </c>
      <c r="AN33" s="20">
        <v>2000</v>
      </c>
      <c r="AO33" s="506"/>
      <c r="AP33" s="505"/>
    </row>
    <row r="34" spans="1:44">
      <c r="A34" s="18">
        <v>2</v>
      </c>
      <c r="B34" s="19" t="s">
        <v>17</v>
      </c>
      <c r="C34" s="20">
        <f>B35/AG30</f>
        <v>300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2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2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2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2">
        <v>0</v>
      </c>
      <c r="AE34" s="23">
        <v>0</v>
      </c>
      <c r="AF34" s="23">
        <v>0</v>
      </c>
      <c r="AG34" s="23">
        <v>0</v>
      </c>
      <c r="AH34" s="29"/>
      <c r="AI34" s="21">
        <f t="shared" si="8"/>
        <v>0</v>
      </c>
      <c r="AJ34" s="28">
        <v>0</v>
      </c>
      <c r="AK34" s="21">
        <v>0</v>
      </c>
      <c r="AL34" s="21">
        <f>AI34+AJ34</f>
        <v>0</v>
      </c>
      <c r="AM34" s="21">
        <f t="shared" ref="AM34" si="9">AL34*C34</f>
        <v>0</v>
      </c>
      <c r="AN34" s="21">
        <f>C34*AG30</f>
        <v>9000</v>
      </c>
      <c r="AO34" s="506">
        <f>AM34+AM35</f>
        <v>0</v>
      </c>
      <c r="AP34" s="505">
        <v>0</v>
      </c>
    </row>
    <row r="35" spans="1:44">
      <c r="A35" s="21"/>
      <c r="B35" s="24">
        <v>9000</v>
      </c>
      <c r="C35" s="20">
        <f>C34/8*1</f>
        <v>37.5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2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2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2">
        <v>0</v>
      </c>
      <c r="AE35" s="21">
        <v>0</v>
      </c>
      <c r="AF35" s="21">
        <v>0</v>
      </c>
      <c r="AG35" s="21">
        <v>0</v>
      </c>
      <c r="AH35" s="29"/>
      <c r="AI35" s="21">
        <f t="shared" si="8"/>
        <v>0</v>
      </c>
      <c r="AJ35" s="28"/>
      <c r="AK35" s="24"/>
      <c r="AL35" s="24"/>
      <c r="AM35" s="21">
        <f>C35*AI35</f>
        <v>0</v>
      </c>
      <c r="AN35" s="20">
        <v>2000</v>
      </c>
      <c r="AO35" s="506"/>
      <c r="AP35" s="505"/>
    </row>
    <row r="36" spans="1:44">
      <c r="A36" s="18">
        <v>3</v>
      </c>
      <c r="B36" s="19" t="s">
        <v>27</v>
      </c>
      <c r="C36" s="20">
        <f>B37/AG30</f>
        <v>266.66666666666669</v>
      </c>
      <c r="D36" s="23">
        <v>0</v>
      </c>
      <c r="E36" s="21">
        <v>1</v>
      </c>
      <c r="F36" s="21">
        <v>1</v>
      </c>
      <c r="G36" s="21">
        <v>1</v>
      </c>
      <c r="H36" s="21">
        <v>1</v>
      </c>
      <c r="I36" s="22">
        <v>0</v>
      </c>
      <c r="J36" s="21">
        <v>1</v>
      </c>
      <c r="K36" s="21">
        <v>1</v>
      </c>
      <c r="L36" s="21">
        <v>1</v>
      </c>
      <c r="M36" s="21">
        <v>1</v>
      </c>
      <c r="N36" s="23">
        <v>0</v>
      </c>
      <c r="O36" s="23">
        <v>0</v>
      </c>
      <c r="P36" s="22">
        <v>0</v>
      </c>
      <c r="Q36" s="21">
        <v>1</v>
      </c>
      <c r="R36" s="21">
        <v>1</v>
      </c>
      <c r="S36" s="21">
        <v>1</v>
      </c>
      <c r="T36" s="21">
        <v>1</v>
      </c>
      <c r="U36" s="21">
        <v>1</v>
      </c>
      <c r="V36" s="21">
        <v>1</v>
      </c>
      <c r="W36" s="22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2">
        <v>0</v>
      </c>
      <c r="AE36" s="23">
        <v>0</v>
      </c>
      <c r="AF36" s="21">
        <v>1</v>
      </c>
      <c r="AG36" s="21">
        <v>1</v>
      </c>
      <c r="AH36" s="29"/>
      <c r="AI36" s="21">
        <f t="shared" si="8"/>
        <v>16</v>
      </c>
      <c r="AJ36" s="28">
        <v>2</v>
      </c>
      <c r="AK36" s="21">
        <v>0</v>
      </c>
      <c r="AL36" s="21">
        <f>AI36+AJ36</f>
        <v>18</v>
      </c>
      <c r="AM36" s="21">
        <f>AL36*C36</f>
        <v>4800</v>
      </c>
      <c r="AN36" s="21">
        <f>C36*AG30</f>
        <v>8000.0000000000009</v>
      </c>
      <c r="AO36" s="506">
        <f>AM36+AM37</f>
        <v>4800</v>
      </c>
      <c r="AP36" s="505">
        <v>5000</v>
      </c>
    </row>
    <row r="37" spans="1:44">
      <c r="A37" s="21"/>
      <c r="B37" s="24">
        <v>8000</v>
      </c>
      <c r="C37" s="20">
        <f>C36/8*1</f>
        <v>33.333333333333336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2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2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2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2">
        <v>0</v>
      </c>
      <c r="AE37" s="21">
        <v>0</v>
      </c>
      <c r="AF37" s="21">
        <v>0</v>
      </c>
      <c r="AG37" s="21">
        <v>0</v>
      </c>
      <c r="AH37" s="29"/>
      <c r="AI37" s="21">
        <f t="shared" si="8"/>
        <v>0</v>
      </c>
      <c r="AJ37" s="28"/>
      <c r="AK37" s="21"/>
      <c r="AL37" s="21"/>
      <c r="AM37" s="21">
        <f>C37*AI37</f>
        <v>0</v>
      </c>
      <c r="AN37" s="20">
        <v>2000</v>
      </c>
      <c r="AO37" s="506"/>
      <c r="AP37" s="505"/>
    </row>
    <row r="38" spans="1:44">
      <c r="A38" s="18">
        <v>4</v>
      </c>
      <c r="B38" s="19" t="s">
        <v>36</v>
      </c>
      <c r="C38" s="20">
        <f>B39/AG30</f>
        <v>266.66666666666669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2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2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2">
        <v>0</v>
      </c>
      <c r="X38" s="23">
        <v>0</v>
      </c>
      <c r="Y38" s="23">
        <v>0</v>
      </c>
      <c r="Z38" s="23">
        <v>0</v>
      </c>
      <c r="AA38" s="21">
        <v>1</v>
      </c>
      <c r="AB38" s="23">
        <v>0</v>
      </c>
      <c r="AC38" s="23">
        <v>0</v>
      </c>
      <c r="AD38" s="22">
        <v>0</v>
      </c>
      <c r="AE38" s="23">
        <v>0</v>
      </c>
      <c r="AF38" s="21">
        <v>1</v>
      </c>
      <c r="AG38" s="21">
        <v>1</v>
      </c>
      <c r="AH38" s="29"/>
      <c r="AI38" s="21">
        <f t="shared" si="8"/>
        <v>3</v>
      </c>
      <c r="AJ38" s="28">
        <v>0</v>
      </c>
      <c r="AK38" s="21">
        <v>0</v>
      </c>
      <c r="AL38" s="21">
        <f>AI38+AJ38</f>
        <v>3</v>
      </c>
      <c r="AM38" s="21">
        <f>AL38*C38</f>
        <v>800</v>
      </c>
      <c r="AN38" s="21">
        <f>C38*AG30</f>
        <v>8000.0000000000009</v>
      </c>
      <c r="AO38" s="506">
        <f>AM38+AM39</f>
        <v>800</v>
      </c>
      <c r="AP38" s="505">
        <v>1000</v>
      </c>
    </row>
    <row r="39" spans="1:44">
      <c r="A39" s="21"/>
      <c r="B39" s="24">
        <v>8000</v>
      </c>
      <c r="C39" s="20">
        <f>C38/8*1</f>
        <v>33.333333333333336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2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2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2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2">
        <v>0</v>
      </c>
      <c r="AE39" s="21">
        <v>0</v>
      </c>
      <c r="AF39" s="21">
        <v>0</v>
      </c>
      <c r="AG39" s="21">
        <v>0</v>
      </c>
      <c r="AH39" s="29"/>
      <c r="AI39" s="21">
        <f t="shared" si="8"/>
        <v>0</v>
      </c>
      <c r="AJ39" s="28"/>
      <c r="AK39" s="21"/>
      <c r="AL39" s="21"/>
      <c r="AM39" s="21">
        <f>C39*AI39</f>
        <v>0</v>
      </c>
      <c r="AN39" s="20">
        <v>2000</v>
      </c>
      <c r="AO39" s="506"/>
      <c r="AP39" s="505"/>
    </row>
    <row r="40" spans="1:44">
      <c r="A40" s="25"/>
      <c r="B40" s="513" t="s">
        <v>30</v>
      </c>
      <c r="C40" s="513"/>
      <c r="D40" s="25">
        <f>D32+D34+D36+D38</f>
        <v>1</v>
      </c>
      <c r="E40" s="25">
        <f t="shared" ref="E40:H40" si="10">E32+E34+E36+E38</f>
        <v>2</v>
      </c>
      <c r="F40" s="25">
        <f t="shared" si="10"/>
        <v>2</v>
      </c>
      <c r="G40" s="25">
        <f t="shared" si="10"/>
        <v>2</v>
      </c>
      <c r="H40" s="25">
        <f t="shared" si="10"/>
        <v>2</v>
      </c>
      <c r="I40" s="25">
        <f t="shared" ref="I40:K40" si="11">I32+I34+I36+I38</f>
        <v>0</v>
      </c>
      <c r="J40" s="25">
        <f t="shared" si="11"/>
        <v>2</v>
      </c>
      <c r="K40" s="25">
        <f t="shared" si="11"/>
        <v>2</v>
      </c>
      <c r="L40" s="25">
        <f t="shared" ref="L40:AN40" si="12">L32+L34+L36+L38</f>
        <v>2</v>
      </c>
      <c r="M40" s="25">
        <f t="shared" si="12"/>
        <v>2</v>
      </c>
      <c r="N40" s="25">
        <f t="shared" si="12"/>
        <v>0</v>
      </c>
      <c r="O40" s="25">
        <f t="shared" si="12"/>
        <v>0</v>
      </c>
      <c r="P40" s="25">
        <f t="shared" si="12"/>
        <v>0</v>
      </c>
      <c r="Q40" s="25">
        <f t="shared" si="12"/>
        <v>2</v>
      </c>
      <c r="R40" s="25">
        <f t="shared" si="12"/>
        <v>2</v>
      </c>
      <c r="S40" s="25">
        <f t="shared" si="12"/>
        <v>2</v>
      </c>
      <c r="T40" s="25">
        <f t="shared" si="12"/>
        <v>2</v>
      </c>
      <c r="U40" s="25">
        <f t="shared" si="12"/>
        <v>2</v>
      </c>
      <c r="V40" s="25">
        <f t="shared" si="12"/>
        <v>2</v>
      </c>
      <c r="W40" s="25">
        <f t="shared" si="12"/>
        <v>0</v>
      </c>
      <c r="X40" s="25">
        <f t="shared" si="12"/>
        <v>1</v>
      </c>
      <c r="Y40" s="25">
        <f t="shared" si="12"/>
        <v>1</v>
      </c>
      <c r="Z40" s="25">
        <f t="shared" si="12"/>
        <v>1</v>
      </c>
      <c r="AA40" s="25">
        <f t="shared" si="12"/>
        <v>1.5</v>
      </c>
      <c r="AB40" s="25">
        <f t="shared" si="12"/>
        <v>1</v>
      </c>
      <c r="AC40" s="25">
        <f t="shared" si="12"/>
        <v>1</v>
      </c>
      <c r="AD40" s="25">
        <f t="shared" si="12"/>
        <v>0</v>
      </c>
      <c r="AE40" s="25">
        <f t="shared" si="12"/>
        <v>1</v>
      </c>
      <c r="AF40" s="25">
        <f t="shared" si="12"/>
        <v>2.5</v>
      </c>
      <c r="AG40" s="25">
        <f t="shared" si="12"/>
        <v>3</v>
      </c>
      <c r="AH40" s="25">
        <f t="shared" si="12"/>
        <v>0</v>
      </c>
      <c r="AI40" s="25">
        <f t="shared" si="12"/>
        <v>42</v>
      </c>
      <c r="AJ40" s="25">
        <f t="shared" si="12"/>
        <v>6</v>
      </c>
      <c r="AK40" s="25">
        <f t="shared" si="12"/>
        <v>0</v>
      </c>
      <c r="AL40" s="25">
        <f t="shared" si="12"/>
        <v>48</v>
      </c>
      <c r="AM40" s="25">
        <f t="shared" si="12"/>
        <v>15500</v>
      </c>
      <c r="AN40" s="25">
        <f t="shared" si="12"/>
        <v>36000</v>
      </c>
      <c r="AO40" s="523">
        <f>AM40+AM41</f>
        <v>15500</v>
      </c>
      <c r="AP40" s="525">
        <f>SUM(AP32:AP39)</f>
        <v>17000</v>
      </c>
    </row>
    <row r="41" spans="1:44">
      <c r="A41" s="26"/>
      <c r="B41" s="517" t="s">
        <v>31</v>
      </c>
      <c r="C41" s="517"/>
      <c r="D41" s="26">
        <f>D33+D35+D37+D39</f>
        <v>0</v>
      </c>
      <c r="E41" s="26">
        <f>E33+E35+E37+E39</f>
        <v>0</v>
      </c>
      <c r="F41" s="26">
        <f t="shared" ref="F41:AN41" si="13">F33+F35+F37+F39</f>
        <v>0</v>
      </c>
      <c r="G41" s="26">
        <f t="shared" si="13"/>
        <v>0</v>
      </c>
      <c r="H41" s="26">
        <f t="shared" si="13"/>
        <v>0</v>
      </c>
      <c r="I41" s="26">
        <f t="shared" si="13"/>
        <v>0</v>
      </c>
      <c r="J41" s="26">
        <f t="shared" si="13"/>
        <v>0</v>
      </c>
      <c r="K41" s="26">
        <f t="shared" si="13"/>
        <v>0</v>
      </c>
      <c r="L41" s="26">
        <f t="shared" si="13"/>
        <v>0</v>
      </c>
      <c r="M41" s="26">
        <f t="shared" si="13"/>
        <v>0</v>
      </c>
      <c r="N41" s="26">
        <f t="shared" si="13"/>
        <v>0</v>
      </c>
      <c r="O41" s="26">
        <f t="shared" si="13"/>
        <v>0</v>
      </c>
      <c r="P41" s="26">
        <f t="shared" si="13"/>
        <v>0</v>
      </c>
      <c r="Q41" s="26">
        <f t="shared" si="13"/>
        <v>0</v>
      </c>
      <c r="R41" s="26">
        <f t="shared" si="13"/>
        <v>0</v>
      </c>
      <c r="S41" s="26">
        <f t="shared" si="13"/>
        <v>0</v>
      </c>
      <c r="T41" s="26">
        <f t="shared" si="13"/>
        <v>0</v>
      </c>
      <c r="U41" s="26">
        <f t="shared" si="13"/>
        <v>0</v>
      </c>
      <c r="V41" s="26">
        <f t="shared" si="13"/>
        <v>0</v>
      </c>
      <c r="W41" s="26">
        <f t="shared" si="13"/>
        <v>0</v>
      </c>
      <c r="X41" s="26">
        <f t="shared" si="13"/>
        <v>0</v>
      </c>
      <c r="Y41" s="26">
        <f t="shared" si="13"/>
        <v>0</v>
      </c>
      <c r="Z41" s="26">
        <f t="shared" si="13"/>
        <v>0</v>
      </c>
      <c r="AA41" s="26">
        <f t="shared" si="13"/>
        <v>0</v>
      </c>
      <c r="AB41" s="26">
        <f t="shared" si="13"/>
        <v>0</v>
      </c>
      <c r="AC41" s="26">
        <f t="shared" si="13"/>
        <v>0</v>
      </c>
      <c r="AD41" s="26">
        <f t="shared" si="13"/>
        <v>0</v>
      </c>
      <c r="AE41" s="26">
        <f t="shared" si="13"/>
        <v>0</v>
      </c>
      <c r="AF41" s="26">
        <f t="shared" si="13"/>
        <v>0</v>
      </c>
      <c r="AG41" s="26">
        <f t="shared" si="13"/>
        <v>0</v>
      </c>
      <c r="AH41" s="26">
        <f t="shared" si="13"/>
        <v>0</v>
      </c>
      <c r="AI41" s="26">
        <f t="shared" si="13"/>
        <v>0</v>
      </c>
      <c r="AJ41" s="26">
        <f t="shared" si="13"/>
        <v>0</v>
      </c>
      <c r="AK41" s="26">
        <f t="shared" si="13"/>
        <v>0</v>
      </c>
      <c r="AL41" s="26">
        <f t="shared" si="13"/>
        <v>0</v>
      </c>
      <c r="AM41" s="26">
        <f t="shared" si="13"/>
        <v>0</v>
      </c>
      <c r="AN41" s="26">
        <f t="shared" si="13"/>
        <v>8000</v>
      </c>
      <c r="AO41" s="524"/>
      <c r="AP41" s="526"/>
    </row>
    <row r="44" spans="1:44" ht="23.25">
      <c r="A44" s="518" t="s">
        <v>0</v>
      </c>
      <c r="B44" s="519" t="s">
        <v>1</v>
      </c>
      <c r="C44" s="519"/>
      <c r="D44" s="520" t="s">
        <v>48</v>
      </c>
      <c r="E44" s="520"/>
      <c r="F44" s="520"/>
      <c r="G44" s="520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1">
        <v>31</v>
      </c>
      <c r="AH44" s="521"/>
      <c r="AI44" s="522" t="s">
        <v>3</v>
      </c>
      <c r="AJ44" s="522" t="s">
        <v>4</v>
      </c>
      <c r="AK44" s="522" t="s">
        <v>5</v>
      </c>
      <c r="AL44" s="522" t="s">
        <v>6</v>
      </c>
      <c r="AM44" s="522" t="s">
        <v>7</v>
      </c>
      <c r="AN44" s="522" t="s">
        <v>8</v>
      </c>
      <c r="AO44" s="522" t="s">
        <v>7</v>
      </c>
      <c r="AP44" s="522" t="s">
        <v>33</v>
      </c>
    </row>
    <row r="45" spans="1:44">
      <c r="A45" s="518"/>
      <c r="B45" s="519"/>
      <c r="C45" s="519"/>
      <c r="D45" s="46">
        <v>1</v>
      </c>
      <c r="E45" s="46">
        <v>2</v>
      </c>
      <c r="F45" s="46">
        <v>3</v>
      </c>
      <c r="G45" s="46">
        <v>4</v>
      </c>
      <c r="H45" s="46">
        <v>5</v>
      </c>
      <c r="I45" s="46">
        <v>6</v>
      </c>
      <c r="J45" s="46">
        <v>7</v>
      </c>
      <c r="K45" s="46">
        <v>8</v>
      </c>
      <c r="L45" s="46">
        <v>9</v>
      </c>
      <c r="M45" s="46">
        <v>10</v>
      </c>
      <c r="N45" s="46">
        <v>11</v>
      </c>
      <c r="O45" s="46">
        <v>12</v>
      </c>
      <c r="P45" s="46">
        <v>13</v>
      </c>
      <c r="Q45" s="46">
        <v>14</v>
      </c>
      <c r="R45" s="46">
        <v>15</v>
      </c>
      <c r="S45" s="46">
        <v>16</v>
      </c>
      <c r="T45" s="46">
        <v>17</v>
      </c>
      <c r="U45" s="46">
        <v>18</v>
      </c>
      <c r="V45" s="46">
        <v>19</v>
      </c>
      <c r="W45" s="46">
        <v>20</v>
      </c>
      <c r="X45" s="46">
        <v>21</v>
      </c>
      <c r="Y45" s="46">
        <v>22</v>
      </c>
      <c r="Z45" s="46">
        <v>23</v>
      </c>
      <c r="AA45" s="46">
        <v>24</v>
      </c>
      <c r="AB45" s="46">
        <v>25</v>
      </c>
      <c r="AC45" s="46">
        <v>26</v>
      </c>
      <c r="AD45" s="46">
        <v>27</v>
      </c>
      <c r="AE45" s="46">
        <v>28</v>
      </c>
      <c r="AF45" s="46">
        <v>29</v>
      </c>
      <c r="AG45" s="46">
        <v>30</v>
      </c>
      <c r="AH45" s="46">
        <v>31</v>
      </c>
      <c r="AI45" s="522"/>
      <c r="AJ45" s="522"/>
      <c r="AK45" s="522"/>
      <c r="AL45" s="522"/>
      <c r="AM45" s="522"/>
      <c r="AN45" s="522"/>
      <c r="AO45" s="522"/>
      <c r="AP45" s="522"/>
      <c r="AR45" t="s">
        <v>51</v>
      </c>
    </row>
    <row r="46" spans="1:44" ht="15.75" customHeight="1">
      <c r="A46" s="18">
        <v>1</v>
      </c>
      <c r="B46" s="19" t="s">
        <v>9</v>
      </c>
      <c r="C46" s="20">
        <f>B47/AG44</f>
        <v>354.83870967741933</v>
      </c>
      <c r="D46" s="21">
        <v>1</v>
      </c>
      <c r="E46" s="21">
        <v>1</v>
      </c>
      <c r="F46" s="21">
        <v>1</v>
      </c>
      <c r="G46" s="22">
        <v>0</v>
      </c>
      <c r="H46" s="21">
        <v>1</v>
      </c>
      <c r="I46" s="21">
        <v>1</v>
      </c>
      <c r="J46" s="21">
        <v>1</v>
      </c>
      <c r="K46" s="21">
        <v>1</v>
      </c>
      <c r="L46" s="21">
        <v>1</v>
      </c>
      <c r="M46" s="21">
        <v>1</v>
      </c>
      <c r="N46" s="22">
        <v>0</v>
      </c>
      <c r="O46" s="21">
        <v>1</v>
      </c>
      <c r="P46" s="21">
        <v>1</v>
      </c>
      <c r="Q46" s="21">
        <v>1</v>
      </c>
      <c r="R46" s="21">
        <v>1</v>
      </c>
      <c r="S46" s="21">
        <v>1</v>
      </c>
      <c r="T46" s="21">
        <v>1</v>
      </c>
      <c r="U46" s="22">
        <v>0</v>
      </c>
      <c r="V46" s="21">
        <v>1</v>
      </c>
      <c r="W46" s="21">
        <v>1</v>
      </c>
      <c r="X46" s="21">
        <v>1</v>
      </c>
      <c r="Y46" s="21">
        <v>1</v>
      </c>
      <c r="Z46" s="27">
        <v>0.5</v>
      </c>
      <c r="AA46" s="21">
        <v>1</v>
      </c>
      <c r="AB46" s="22">
        <v>0</v>
      </c>
      <c r="AC46" s="21">
        <v>1</v>
      </c>
      <c r="AD46" s="27">
        <v>0.5</v>
      </c>
      <c r="AE46" s="21">
        <v>1</v>
      </c>
      <c r="AF46" s="21">
        <v>1</v>
      </c>
      <c r="AG46" s="21">
        <v>1</v>
      </c>
      <c r="AH46" s="21">
        <v>1</v>
      </c>
      <c r="AI46" s="21">
        <f>SUM(D46:AH46)</f>
        <v>26</v>
      </c>
      <c r="AJ46" s="28">
        <v>4</v>
      </c>
      <c r="AK46" s="21">
        <v>0</v>
      </c>
      <c r="AL46" s="21">
        <f>AI46+AJ46</f>
        <v>30</v>
      </c>
      <c r="AM46" s="21">
        <f>AL46*C46</f>
        <v>10645.16129032258</v>
      </c>
      <c r="AN46" s="21">
        <f>C46*AG44</f>
        <v>11000</v>
      </c>
      <c r="AO46" s="506">
        <f>AM46+AM47</f>
        <v>10645.16129032258</v>
      </c>
      <c r="AP46" s="505">
        <v>11000</v>
      </c>
    </row>
    <row r="47" spans="1:44" ht="15.75" customHeight="1">
      <c r="A47" s="21"/>
      <c r="B47" s="24">
        <v>11000</v>
      </c>
      <c r="C47" s="20">
        <f>C46/8*1</f>
        <v>44.354838709677416</v>
      </c>
      <c r="D47" s="21"/>
      <c r="E47" s="21"/>
      <c r="F47" s="21"/>
      <c r="G47" s="22">
        <v>0</v>
      </c>
      <c r="H47" s="21"/>
      <c r="I47" s="21"/>
      <c r="J47" s="21"/>
      <c r="K47" s="21"/>
      <c r="L47" s="21"/>
      <c r="M47" s="21"/>
      <c r="N47" s="22">
        <v>0</v>
      </c>
      <c r="O47" s="21"/>
      <c r="P47" s="21"/>
      <c r="Q47" s="21"/>
      <c r="R47" s="21"/>
      <c r="S47" s="21"/>
      <c r="T47" s="21"/>
      <c r="U47" s="22">
        <v>0</v>
      </c>
      <c r="V47" s="21"/>
      <c r="W47" s="21"/>
      <c r="X47" s="21"/>
      <c r="Y47" s="21"/>
      <c r="Z47" s="21"/>
      <c r="AA47" s="21"/>
      <c r="AB47" s="22">
        <v>0</v>
      </c>
      <c r="AC47" s="21"/>
      <c r="AD47" s="21"/>
      <c r="AE47" s="21"/>
      <c r="AF47" s="21"/>
      <c r="AG47" s="21"/>
      <c r="AH47" s="21"/>
      <c r="AI47" s="21">
        <f t="shared" ref="AI47:AI53" si="14">SUM(D47:AH47)</f>
        <v>0</v>
      </c>
      <c r="AJ47" s="28"/>
      <c r="AK47" s="24"/>
      <c r="AL47" s="24"/>
      <c r="AM47" s="21">
        <f>AI47*C47</f>
        <v>0</v>
      </c>
      <c r="AN47" s="20">
        <v>2000</v>
      </c>
      <c r="AO47" s="506"/>
      <c r="AP47" s="505"/>
    </row>
    <row r="48" spans="1:44" ht="15.75" customHeight="1">
      <c r="A48" s="18">
        <v>2</v>
      </c>
      <c r="B48" s="19" t="s">
        <v>17</v>
      </c>
      <c r="C48" s="20">
        <f>B49/AG44</f>
        <v>290.32258064516128</v>
      </c>
      <c r="D48" s="23">
        <v>0</v>
      </c>
      <c r="E48" s="23">
        <v>0</v>
      </c>
      <c r="F48" s="23">
        <v>0</v>
      </c>
      <c r="G48" s="22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2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2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2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1">
        <f t="shared" si="14"/>
        <v>0</v>
      </c>
      <c r="AJ48" s="28">
        <v>0</v>
      </c>
      <c r="AK48" s="21">
        <v>0</v>
      </c>
      <c r="AL48" s="21">
        <f>AI48+AJ48</f>
        <v>0</v>
      </c>
      <c r="AM48" s="21">
        <f t="shared" ref="AM48" si="15">AL48*C48</f>
        <v>0</v>
      </c>
      <c r="AN48" s="21">
        <v>0</v>
      </c>
      <c r="AO48" s="506">
        <f>AM48+AM49</f>
        <v>0</v>
      </c>
      <c r="AP48" s="505">
        <v>0</v>
      </c>
    </row>
    <row r="49" spans="1:44" ht="15.75" customHeight="1">
      <c r="A49" s="21"/>
      <c r="B49" s="24">
        <v>9000</v>
      </c>
      <c r="C49" s="20">
        <f>C48/8*1</f>
        <v>36.29032258064516</v>
      </c>
      <c r="D49" s="21"/>
      <c r="E49" s="21"/>
      <c r="F49" s="21"/>
      <c r="G49" s="22">
        <v>0</v>
      </c>
      <c r="H49" s="21"/>
      <c r="I49" s="21"/>
      <c r="J49" s="21"/>
      <c r="K49" s="21"/>
      <c r="L49" s="21"/>
      <c r="M49" s="21"/>
      <c r="N49" s="22">
        <v>0</v>
      </c>
      <c r="O49" s="21"/>
      <c r="P49" s="21"/>
      <c r="Q49" s="21"/>
      <c r="R49" s="21"/>
      <c r="S49" s="21"/>
      <c r="T49" s="21"/>
      <c r="U49" s="22">
        <v>0</v>
      </c>
      <c r="V49" s="21"/>
      <c r="W49" s="21"/>
      <c r="X49" s="21"/>
      <c r="Y49" s="21"/>
      <c r="Z49" s="21"/>
      <c r="AA49" s="21"/>
      <c r="AB49" s="22">
        <v>0</v>
      </c>
      <c r="AC49" s="21"/>
      <c r="AD49" s="21"/>
      <c r="AE49" s="21"/>
      <c r="AF49" s="21"/>
      <c r="AG49" s="21"/>
      <c r="AH49" s="21"/>
      <c r="AI49" s="21">
        <f t="shared" si="14"/>
        <v>0</v>
      </c>
      <c r="AJ49" s="28"/>
      <c r="AK49" s="24"/>
      <c r="AL49" s="24"/>
      <c r="AM49" s="21">
        <f>C49*AI49</f>
        <v>0</v>
      </c>
      <c r="AN49" s="20">
        <v>2000</v>
      </c>
      <c r="AO49" s="506"/>
      <c r="AP49" s="505"/>
    </row>
    <row r="50" spans="1:44" ht="15.75" customHeight="1">
      <c r="A50" s="18">
        <v>3</v>
      </c>
      <c r="B50" s="19" t="s">
        <v>27</v>
      </c>
      <c r="C50" s="20">
        <f>B51/AG44</f>
        <v>258.06451612903226</v>
      </c>
      <c r="D50" s="21">
        <v>1</v>
      </c>
      <c r="E50" s="21">
        <v>1</v>
      </c>
      <c r="F50" s="21">
        <v>1</v>
      </c>
      <c r="G50" s="22">
        <v>0</v>
      </c>
      <c r="H50" s="21">
        <v>1</v>
      </c>
      <c r="I50" s="23">
        <v>0</v>
      </c>
      <c r="J50" s="23">
        <v>0</v>
      </c>
      <c r="K50" s="21">
        <v>1</v>
      </c>
      <c r="L50" s="21">
        <v>1</v>
      </c>
      <c r="M50" s="21">
        <v>1</v>
      </c>
      <c r="N50" s="22">
        <v>0</v>
      </c>
      <c r="O50" s="23">
        <v>0</v>
      </c>
      <c r="P50" s="21">
        <v>1</v>
      </c>
      <c r="Q50" s="21">
        <v>1</v>
      </c>
      <c r="R50" s="21">
        <v>1</v>
      </c>
      <c r="S50" s="21">
        <v>1</v>
      </c>
      <c r="T50" s="21">
        <v>1</v>
      </c>
      <c r="U50" s="22">
        <v>0</v>
      </c>
      <c r="V50" s="21">
        <v>1</v>
      </c>
      <c r="W50" s="21">
        <v>1</v>
      </c>
      <c r="X50" s="21">
        <v>1</v>
      </c>
      <c r="Y50" s="21">
        <v>1</v>
      </c>
      <c r="Z50" s="21">
        <v>1</v>
      </c>
      <c r="AA50" s="21">
        <v>1</v>
      </c>
      <c r="AB50" s="22">
        <v>0</v>
      </c>
      <c r="AC50" s="21">
        <v>1</v>
      </c>
      <c r="AD50" s="21">
        <v>1</v>
      </c>
      <c r="AE50" s="21">
        <v>1</v>
      </c>
      <c r="AF50" s="21">
        <v>1</v>
      </c>
      <c r="AG50" s="21">
        <v>1</v>
      </c>
      <c r="AH50" s="21">
        <v>1</v>
      </c>
      <c r="AI50" s="21">
        <f t="shared" si="14"/>
        <v>24</v>
      </c>
      <c r="AJ50" s="28">
        <v>4</v>
      </c>
      <c r="AK50" s="21">
        <v>0</v>
      </c>
      <c r="AL50" s="21">
        <f>AI50+AJ50</f>
        <v>28</v>
      </c>
      <c r="AM50" s="21">
        <f>AL50*C50</f>
        <v>7225.8064516129034</v>
      </c>
      <c r="AN50" s="21">
        <f>C50*AG44</f>
        <v>8000</v>
      </c>
      <c r="AO50" s="506">
        <f>AM50+AM51</f>
        <v>7225.8064516129034</v>
      </c>
      <c r="AP50" s="505">
        <v>6500</v>
      </c>
      <c r="AR50">
        <v>1000</v>
      </c>
    </row>
    <row r="51" spans="1:44" ht="15.75" customHeight="1">
      <c r="A51" s="21"/>
      <c r="B51" s="24">
        <v>8000</v>
      </c>
      <c r="C51" s="20">
        <f>C50/8*1</f>
        <v>32.258064516129032</v>
      </c>
      <c r="D51" s="21"/>
      <c r="E51" s="21"/>
      <c r="F51" s="21"/>
      <c r="G51" s="22">
        <v>0</v>
      </c>
      <c r="H51" s="21"/>
      <c r="I51" s="21"/>
      <c r="J51" s="21"/>
      <c r="K51" s="21"/>
      <c r="L51" s="21"/>
      <c r="M51" s="21"/>
      <c r="N51" s="22">
        <v>0</v>
      </c>
      <c r="O51" s="21"/>
      <c r="P51" s="21"/>
      <c r="Q51" s="21"/>
      <c r="R51" s="21"/>
      <c r="S51" s="21"/>
      <c r="T51" s="21"/>
      <c r="U51" s="22">
        <v>0</v>
      </c>
      <c r="V51" s="21"/>
      <c r="W51" s="21"/>
      <c r="X51" s="21"/>
      <c r="Y51" s="21"/>
      <c r="Z51" s="21"/>
      <c r="AA51" s="21"/>
      <c r="AB51" s="22">
        <v>0</v>
      </c>
      <c r="AC51" s="21"/>
      <c r="AD51" s="21"/>
      <c r="AE51" s="21"/>
      <c r="AF51" s="21"/>
      <c r="AG51" s="21"/>
      <c r="AH51" s="21"/>
      <c r="AI51" s="21">
        <f t="shared" si="14"/>
        <v>0</v>
      </c>
      <c r="AJ51" s="28"/>
      <c r="AK51" s="21"/>
      <c r="AL51" s="21"/>
      <c r="AM51" s="21">
        <f>C51*AI51</f>
        <v>0</v>
      </c>
      <c r="AN51" s="20">
        <v>2000</v>
      </c>
      <c r="AO51" s="506"/>
      <c r="AP51" s="505"/>
    </row>
    <row r="52" spans="1:44" ht="15.75" customHeight="1">
      <c r="A52" s="18">
        <v>4</v>
      </c>
      <c r="B52" s="19" t="s">
        <v>36</v>
      </c>
      <c r="C52" s="20">
        <f>B53/AG44</f>
        <v>258.06451612903226</v>
      </c>
      <c r="D52" s="21">
        <v>1</v>
      </c>
      <c r="E52" s="21">
        <v>1</v>
      </c>
      <c r="F52" s="21">
        <v>1</v>
      </c>
      <c r="G52" s="22">
        <v>0</v>
      </c>
      <c r="H52" s="21">
        <v>1</v>
      </c>
      <c r="I52" s="23">
        <v>0</v>
      </c>
      <c r="J52" s="23">
        <v>0</v>
      </c>
      <c r="K52" s="21">
        <v>1</v>
      </c>
      <c r="L52" s="21">
        <v>1</v>
      </c>
      <c r="M52" s="21">
        <v>1</v>
      </c>
      <c r="N52" s="22">
        <v>0</v>
      </c>
      <c r="O52" s="21">
        <v>1</v>
      </c>
      <c r="P52" s="21">
        <v>1</v>
      </c>
      <c r="Q52" s="21">
        <v>1</v>
      </c>
      <c r="R52" s="21">
        <v>1</v>
      </c>
      <c r="S52" s="21">
        <v>1</v>
      </c>
      <c r="T52" s="23">
        <v>0</v>
      </c>
      <c r="U52" s="22">
        <v>0</v>
      </c>
      <c r="V52" s="21">
        <v>1</v>
      </c>
      <c r="W52" s="21">
        <v>1</v>
      </c>
      <c r="X52" s="21">
        <v>1</v>
      </c>
      <c r="Y52" s="21">
        <v>1</v>
      </c>
      <c r="Z52" s="23">
        <v>0</v>
      </c>
      <c r="AA52" s="23">
        <v>0</v>
      </c>
      <c r="AB52" s="22">
        <v>0</v>
      </c>
      <c r="AC52" s="23">
        <v>0</v>
      </c>
      <c r="AD52" s="23">
        <v>0</v>
      </c>
      <c r="AE52" s="21">
        <v>1</v>
      </c>
      <c r="AF52" s="21">
        <v>1</v>
      </c>
      <c r="AG52" s="23">
        <v>0</v>
      </c>
      <c r="AH52" s="23">
        <v>0</v>
      </c>
      <c r="AI52" s="21">
        <f t="shared" si="14"/>
        <v>18</v>
      </c>
      <c r="AJ52" s="28">
        <v>3</v>
      </c>
      <c r="AK52" s="21">
        <v>0</v>
      </c>
      <c r="AL52" s="21">
        <f>AI52+AJ52</f>
        <v>21</v>
      </c>
      <c r="AM52" s="21">
        <f>AL52*C52</f>
        <v>5419.3548387096771</v>
      </c>
      <c r="AN52" s="21">
        <f>C52*AG44</f>
        <v>8000</v>
      </c>
      <c r="AO52" s="506">
        <f>AM52+AM53</f>
        <v>5419.3548387096771</v>
      </c>
      <c r="AP52" s="505">
        <v>5000</v>
      </c>
      <c r="AR52">
        <v>1000</v>
      </c>
    </row>
    <row r="53" spans="1:44" ht="15.75" customHeight="1">
      <c r="A53" s="21"/>
      <c r="B53" s="24">
        <v>8000</v>
      </c>
      <c r="C53" s="20">
        <f>C52/8*1</f>
        <v>32.258064516129032</v>
      </c>
      <c r="D53" s="21"/>
      <c r="E53" s="21"/>
      <c r="F53" s="21"/>
      <c r="G53" s="22">
        <v>0</v>
      </c>
      <c r="H53" s="21"/>
      <c r="I53" s="21"/>
      <c r="J53" s="21"/>
      <c r="K53" s="21"/>
      <c r="L53" s="21"/>
      <c r="M53" s="21"/>
      <c r="N53" s="22">
        <v>0</v>
      </c>
      <c r="O53" s="21"/>
      <c r="P53" s="21"/>
      <c r="Q53" s="21"/>
      <c r="R53" s="21"/>
      <c r="S53" s="21"/>
      <c r="T53" s="21"/>
      <c r="U53" s="22">
        <v>0</v>
      </c>
      <c r="V53" s="21"/>
      <c r="W53" s="21"/>
      <c r="X53" s="21"/>
      <c r="Y53" s="21"/>
      <c r="Z53" s="21"/>
      <c r="AA53" s="21"/>
      <c r="AB53" s="22">
        <v>0</v>
      </c>
      <c r="AC53" s="21"/>
      <c r="AD53" s="21"/>
      <c r="AE53" s="21"/>
      <c r="AF53" s="21"/>
      <c r="AG53" s="21"/>
      <c r="AH53" s="21"/>
      <c r="AI53" s="21">
        <f t="shared" si="14"/>
        <v>0</v>
      </c>
      <c r="AJ53" s="28"/>
      <c r="AK53" s="21"/>
      <c r="AL53" s="21"/>
      <c r="AM53" s="21">
        <f>C53*AI53</f>
        <v>0</v>
      </c>
      <c r="AN53" s="20">
        <v>2000</v>
      </c>
      <c r="AO53" s="506"/>
      <c r="AP53" s="505"/>
    </row>
    <row r="54" spans="1:44" ht="15.75" customHeight="1">
      <c r="A54" s="18">
        <v>5</v>
      </c>
      <c r="B54" s="19" t="s">
        <v>23</v>
      </c>
      <c r="C54" s="20">
        <f>B55/AG44</f>
        <v>258.06451612903226</v>
      </c>
      <c r="D54" s="23">
        <v>0</v>
      </c>
      <c r="E54" s="23">
        <v>0</v>
      </c>
      <c r="F54" s="23">
        <v>0</v>
      </c>
      <c r="G54" s="22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2">
        <v>0</v>
      </c>
      <c r="O54" s="23">
        <v>0</v>
      </c>
      <c r="P54" s="23">
        <v>0</v>
      </c>
      <c r="Q54" s="21">
        <v>1</v>
      </c>
      <c r="R54" s="21">
        <v>1</v>
      </c>
      <c r="S54" s="21">
        <v>1</v>
      </c>
      <c r="T54" s="21">
        <v>1</v>
      </c>
      <c r="U54" s="22">
        <v>0</v>
      </c>
      <c r="V54" s="21">
        <v>1</v>
      </c>
      <c r="W54" s="21">
        <v>1</v>
      </c>
      <c r="X54" s="21">
        <v>1</v>
      </c>
      <c r="Y54" s="21">
        <v>1</v>
      </c>
      <c r="Z54" s="21">
        <v>1</v>
      </c>
      <c r="AA54" s="21">
        <v>1</v>
      </c>
      <c r="AB54" s="22">
        <v>0</v>
      </c>
      <c r="AC54" s="21">
        <v>1</v>
      </c>
      <c r="AD54" s="21">
        <v>1</v>
      </c>
      <c r="AE54" s="21">
        <v>1</v>
      </c>
      <c r="AF54" s="21">
        <v>1</v>
      </c>
      <c r="AG54" s="21">
        <v>1</v>
      </c>
      <c r="AH54" s="21">
        <v>1</v>
      </c>
      <c r="AI54" s="21">
        <f t="shared" ref="AI54:AI55" si="16">SUM(D54:AH54)</f>
        <v>16</v>
      </c>
      <c r="AJ54" s="28">
        <v>2</v>
      </c>
      <c r="AK54" s="21">
        <v>0</v>
      </c>
      <c r="AL54" s="21">
        <f>AI54+AJ54</f>
        <v>18</v>
      </c>
      <c r="AM54" s="21">
        <f>AL54*C54</f>
        <v>4645.1612903225805</v>
      </c>
      <c r="AN54" s="21">
        <v>8000</v>
      </c>
      <c r="AO54" s="506">
        <f>AM54+AM55</f>
        <v>4645.1612903225805</v>
      </c>
      <c r="AP54" s="505">
        <v>4650</v>
      </c>
    </row>
    <row r="55" spans="1:44" ht="15.75" customHeight="1">
      <c r="A55" s="21"/>
      <c r="B55" s="24">
        <v>8000</v>
      </c>
      <c r="C55" s="20">
        <f>C54/8*1</f>
        <v>32.258064516129032</v>
      </c>
      <c r="D55" s="21"/>
      <c r="E55" s="21"/>
      <c r="F55" s="21"/>
      <c r="G55" s="22">
        <v>0</v>
      </c>
      <c r="H55" s="21"/>
      <c r="I55" s="21"/>
      <c r="J55" s="21"/>
      <c r="K55" s="21"/>
      <c r="L55" s="21"/>
      <c r="M55" s="21"/>
      <c r="N55" s="22">
        <v>0</v>
      </c>
      <c r="O55" s="21"/>
      <c r="P55" s="21"/>
      <c r="Q55" s="21"/>
      <c r="R55" s="21"/>
      <c r="S55" s="21"/>
      <c r="T55" s="21"/>
      <c r="U55" s="22">
        <v>0</v>
      </c>
      <c r="V55" s="21"/>
      <c r="W55" s="21"/>
      <c r="X55" s="21"/>
      <c r="Y55" s="21"/>
      <c r="Z55" s="21"/>
      <c r="AA55" s="21"/>
      <c r="AB55" s="22">
        <v>0</v>
      </c>
      <c r="AC55" s="21"/>
      <c r="AD55" s="21"/>
      <c r="AE55" s="21"/>
      <c r="AF55" s="21"/>
      <c r="AG55" s="21"/>
      <c r="AH55" s="21"/>
      <c r="AI55" s="21">
        <f t="shared" si="16"/>
        <v>0</v>
      </c>
      <c r="AJ55" s="28"/>
      <c r="AK55" s="21"/>
      <c r="AL55" s="21"/>
      <c r="AM55" s="21">
        <f>C55*AI55</f>
        <v>0</v>
      </c>
      <c r="AN55" s="20">
        <v>2000</v>
      </c>
      <c r="AO55" s="506"/>
      <c r="AP55" s="505"/>
    </row>
    <row r="56" spans="1:44">
      <c r="A56" s="47"/>
      <c r="B56" s="513" t="s">
        <v>30</v>
      </c>
      <c r="C56" s="513"/>
      <c r="D56" s="47">
        <f>D46+D48+D50+D52</f>
        <v>3</v>
      </c>
      <c r="E56" s="47">
        <f t="shared" ref="E56:AL56" si="17">E46+E48+E50+E52</f>
        <v>3</v>
      </c>
      <c r="F56" s="47">
        <f t="shared" si="17"/>
        <v>3</v>
      </c>
      <c r="G56" s="47">
        <f t="shared" si="17"/>
        <v>0</v>
      </c>
      <c r="H56" s="47">
        <f t="shared" si="17"/>
        <v>3</v>
      </c>
      <c r="I56" s="47">
        <f t="shared" si="17"/>
        <v>1</v>
      </c>
      <c r="J56" s="47">
        <f t="shared" si="17"/>
        <v>1</v>
      </c>
      <c r="K56" s="47">
        <f t="shared" si="17"/>
        <v>3</v>
      </c>
      <c r="L56" s="47">
        <f t="shared" si="17"/>
        <v>3</v>
      </c>
      <c r="M56" s="47">
        <f t="shared" si="17"/>
        <v>3</v>
      </c>
      <c r="N56" s="47">
        <f t="shared" si="17"/>
        <v>0</v>
      </c>
      <c r="O56" s="47">
        <f t="shared" si="17"/>
        <v>2</v>
      </c>
      <c r="P56" s="47">
        <f t="shared" si="17"/>
        <v>3</v>
      </c>
      <c r="Q56" s="47">
        <f t="shared" si="17"/>
        <v>3</v>
      </c>
      <c r="R56" s="47">
        <f t="shared" si="17"/>
        <v>3</v>
      </c>
      <c r="S56" s="47">
        <f t="shared" si="17"/>
        <v>3</v>
      </c>
      <c r="T56" s="47">
        <f t="shared" si="17"/>
        <v>2</v>
      </c>
      <c r="U56" s="47">
        <f t="shared" si="17"/>
        <v>0</v>
      </c>
      <c r="V56" s="47">
        <f t="shared" si="17"/>
        <v>3</v>
      </c>
      <c r="W56" s="47">
        <f t="shared" si="17"/>
        <v>3</v>
      </c>
      <c r="X56" s="47">
        <f t="shared" si="17"/>
        <v>3</v>
      </c>
      <c r="Y56" s="47">
        <f t="shared" si="17"/>
        <v>3</v>
      </c>
      <c r="Z56" s="47">
        <f t="shared" si="17"/>
        <v>1.5</v>
      </c>
      <c r="AA56" s="47">
        <f t="shared" si="17"/>
        <v>2</v>
      </c>
      <c r="AB56" s="47">
        <f t="shared" si="17"/>
        <v>0</v>
      </c>
      <c r="AC56" s="47">
        <f t="shared" si="17"/>
        <v>2</v>
      </c>
      <c r="AD56" s="47">
        <f t="shared" si="17"/>
        <v>1.5</v>
      </c>
      <c r="AE56" s="47">
        <f t="shared" si="17"/>
        <v>3</v>
      </c>
      <c r="AF56" s="47">
        <f t="shared" si="17"/>
        <v>3</v>
      </c>
      <c r="AG56" s="47">
        <f t="shared" si="17"/>
        <v>2</v>
      </c>
      <c r="AH56" s="47">
        <f t="shared" si="17"/>
        <v>2</v>
      </c>
      <c r="AI56" s="47">
        <f t="shared" si="17"/>
        <v>68</v>
      </c>
      <c r="AJ56" s="47">
        <f t="shared" si="17"/>
        <v>11</v>
      </c>
      <c r="AK56" s="47">
        <f t="shared" si="17"/>
        <v>0</v>
      </c>
      <c r="AL56" s="47">
        <f t="shared" si="17"/>
        <v>79</v>
      </c>
      <c r="AM56" s="47">
        <f>AM46+AM48+AM50+AM52+AM54</f>
        <v>27935.483870967742</v>
      </c>
      <c r="AN56" s="47">
        <f>AN46+AN48+AN50+AN52+AN54</f>
        <v>35000</v>
      </c>
      <c r="AO56" s="523">
        <f>AM56+AM57</f>
        <v>27935.483870967742</v>
      </c>
      <c r="AP56" s="525">
        <f>SUM(AP46:AP55)</f>
        <v>27150</v>
      </c>
    </row>
    <row r="57" spans="1:44">
      <c r="A57" s="45"/>
      <c r="B57" s="517" t="s">
        <v>31</v>
      </c>
      <c r="C57" s="517"/>
      <c r="D57" s="45">
        <f>D47+D49+D51+D53</f>
        <v>0</v>
      </c>
      <c r="E57" s="45">
        <f>E47+E49+E51+E53</f>
        <v>0</v>
      </c>
      <c r="F57" s="45">
        <f t="shared" ref="F57:AN57" si="18">F47+F49+F51+F53</f>
        <v>0</v>
      </c>
      <c r="G57" s="45">
        <f t="shared" si="18"/>
        <v>0</v>
      </c>
      <c r="H57" s="45">
        <f t="shared" si="18"/>
        <v>0</v>
      </c>
      <c r="I57" s="45">
        <f t="shared" si="18"/>
        <v>0</v>
      </c>
      <c r="J57" s="45">
        <f t="shared" si="18"/>
        <v>0</v>
      </c>
      <c r="K57" s="45">
        <f t="shared" si="18"/>
        <v>0</v>
      </c>
      <c r="L57" s="45">
        <f t="shared" si="18"/>
        <v>0</v>
      </c>
      <c r="M57" s="45">
        <f t="shared" si="18"/>
        <v>0</v>
      </c>
      <c r="N57" s="45">
        <f t="shared" si="18"/>
        <v>0</v>
      </c>
      <c r="O57" s="45">
        <f t="shared" si="18"/>
        <v>0</v>
      </c>
      <c r="P57" s="45">
        <f t="shared" si="18"/>
        <v>0</v>
      </c>
      <c r="Q57" s="45">
        <f t="shared" si="18"/>
        <v>0</v>
      </c>
      <c r="R57" s="45">
        <f t="shared" si="18"/>
        <v>0</v>
      </c>
      <c r="S57" s="45">
        <f t="shared" si="18"/>
        <v>0</v>
      </c>
      <c r="T57" s="45">
        <f t="shared" si="18"/>
        <v>0</v>
      </c>
      <c r="U57" s="45">
        <f t="shared" si="18"/>
        <v>0</v>
      </c>
      <c r="V57" s="45">
        <f t="shared" si="18"/>
        <v>0</v>
      </c>
      <c r="W57" s="45">
        <f t="shared" si="18"/>
        <v>0</v>
      </c>
      <c r="X57" s="45">
        <f t="shared" si="18"/>
        <v>0</v>
      </c>
      <c r="Y57" s="45">
        <f t="shared" si="18"/>
        <v>0</v>
      </c>
      <c r="Z57" s="45">
        <f t="shared" si="18"/>
        <v>0</v>
      </c>
      <c r="AA57" s="45">
        <f t="shared" si="18"/>
        <v>0</v>
      </c>
      <c r="AB57" s="45">
        <f t="shared" si="18"/>
        <v>0</v>
      </c>
      <c r="AC57" s="45">
        <f t="shared" si="18"/>
        <v>0</v>
      </c>
      <c r="AD57" s="45">
        <f t="shared" si="18"/>
        <v>0</v>
      </c>
      <c r="AE57" s="45">
        <f t="shared" si="18"/>
        <v>0</v>
      </c>
      <c r="AF57" s="45">
        <f t="shared" si="18"/>
        <v>0</v>
      </c>
      <c r="AG57" s="45">
        <f t="shared" si="18"/>
        <v>0</v>
      </c>
      <c r="AH57" s="45">
        <f t="shared" si="18"/>
        <v>0</v>
      </c>
      <c r="AI57" s="45">
        <f t="shared" si="18"/>
        <v>0</v>
      </c>
      <c r="AJ57" s="45">
        <f t="shared" si="18"/>
        <v>0</v>
      </c>
      <c r="AK57" s="45">
        <f t="shared" si="18"/>
        <v>0</v>
      </c>
      <c r="AL57" s="45">
        <f t="shared" si="18"/>
        <v>0</v>
      </c>
      <c r="AM57" s="45">
        <f t="shared" si="18"/>
        <v>0</v>
      </c>
      <c r="AN57" s="45">
        <f t="shared" si="18"/>
        <v>8000</v>
      </c>
      <c r="AO57" s="524"/>
      <c r="AP57" s="526"/>
    </row>
    <row r="58" spans="1:44">
      <c r="AF58" s="48" t="s">
        <v>49</v>
      </c>
      <c r="AG58" s="48"/>
      <c r="AH58" s="49">
        <f>AI56*2*5</f>
        <v>680</v>
      </c>
      <c r="AI58" s="509" t="s">
        <v>50</v>
      </c>
      <c r="AJ58" s="510"/>
      <c r="AK58" s="50">
        <v>720</v>
      </c>
    </row>
    <row r="61" spans="1:44" ht="23.25">
      <c r="A61" s="518" t="s">
        <v>0</v>
      </c>
      <c r="B61" s="519" t="s">
        <v>1</v>
      </c>
      <c r="C61" s="519"/>
      <c r="D61" s="520" t="s">
        <v>52</v>
      </c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0"/>
      <c r="AB61" s="520"/>
      <c r="AC61" s="520"/>
      <c r="AD61" s="520"/>
      <c r="AE61" s="520"/>
      <c r="AF61" s="520"/>
      <c r="AG61" s="521">
        <v>31</v>
      </c>
      <c r="AH61" s="521"/>
      <c r="AI61" s="522" t="s">
        <v>3</v>
      </c>
      <c r="AJ61" s="522" t="s">
        <v>4</v>
      </c>
      <c r="AK61" s="522" t="s">
        <v>5</v>
      </c>
      <c r="AL61" s="522" t="s">
        <v>6</v>
      </c>
      <c r="AM61" s="522" t="s">
        <v>7</v>
      </c>
      <c r="AN61" s="522" t="s">
        <v>8</v>
      </c>
      <c r="AO61" s="522" t="s">
        <v>7</v>
      </c>
      <c r="AP61" s="522" t="s">
        <v>33</v>
      </c>
    </row>
    <row r="62" spans="1:44">
      <c r="A62" s="518"/>
      <c r="B62" s="519"/>
      <c r="C62" s="519"/>
      <c r="D62" s="53">
        <v>1</v>
      </c>
      <c r="E62" s="53">
        <v>2</v>
      </c>
      <c r="F62" s="53">
        <v>3</v>
      </c>
      <c r="G62" s="53">
        <v>4</v>
      </c>
      <c r="H62" s="53">
        <v>5</v>
      </c>
      <c r="I62" s="53">
        <v>6</v>
      </c>
      <c r="J62" s="53">
        <v>7</v>
      </c>
      <c r="K62" s="53">
        <v>8</v>
      </c>
      <c r="L62" s="53">
        <v>9</v>
      </c>
      <c r="M62" s="53">
        <v>10</v>
      </c>
      <c r="N62" s="53">
        <v>11</v>
      </c>
      <c r="O62" s="53">
        <v>12</v>
      </c>
      <c r="P62" s="53">
        <v>13</v>
      </c>
      <c r="Q62" s="53">
        <v>14</v>
      </c>
      <c r="R62" s="53">
        <v>15</v>
      </c>
      <c r="S62" s="53">
        <v>16</v>
      </c>
      <c r="T62" s="53">
        <v>17</v>
      </c>
      <c r="U62" s="53">
        <v>18</v>
      </c>
      <c r="V62" s="53">
        <v>19</v>
      </c>
      <c r="W62" s="53">
        <v>20</v>
      </c>
      <c r="X62" s="53">
        <v>21</v>
      </c>
      <c r="Y62" s="53">
        <v>22</v>
      </c>
      <c r="Z62" s="53">
        <v>23</v>
      </c>
      <c r="AA62" s="53">
        <v>24</v>
      </c>
      <c r="AB62" s="53">
        <v>25</v>
      </c>
      <c r="AC62" s="53">
        <v>26</v>
      </c>
      <c r="AD62" s="53">
        <v>27</v>
      </c>
      <c r="AE62" s="53">
        <v>28</v>
      </c>
      <c r="AF62" s="53">
        <v>29</v>
      </c>
      <c r="AG62" s="53">
        <v>30</v>
      </c>
      <c r="AH62" s="53">
        <v>31</v>
      </c>
      <c r="AI62" s="522"/>
      <c r="AJ62" s="522"/>
      <c r="AK62" s="522"/>
      <c r="AL62" s="522"/>
      <c r="AM62" s="522"/>
      <c r="AN62" s="522"/>
      <c r="AO62" s="522"/>
      <c r="AP62" s="522"/>
    </row>
    <row r="63" spans="1:44">
      <c r="A63" s="18">
        <v>1</v>
      </c>
      <c r="B63" s="19" t="s">
        <v>9</v>
      </c>
      <c r="C63" s="20">
        <f>B64/AG61</f>
        <v>354.83870967741933</v>
      </c>
      <c r="D63" s="22">
        <v>0</v>
      </c>
      <c r="E63" s="21">
        <v>1</v>
      </c>
      <c r="F63" s="21">
        <v>1</v>
      </c>
      <c r="G63" s="23">
        <v>0</v>
      </c>
      <c r="H63" s="21">
        <v>1</v>
      </c>
      <c r="I63" s="21">
        <v>1</v>
      </c>
      <c r="J63" s="21">
        <v>1</v>
      </c>
      <c r="K63" s="22">
        <v>0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1</v>
      </c>
      <c r="R63" s="22">
        <v>0</v>
      </c>
      <c r="S63" s="21">
        <v>1</v>
      </c>
      <c r="T63" s="21">
        <v>1</v>
      </c>
      <c r="U63" s="23">
        <v>0</v>
      </c>
      <c r="V63" s="21">
        <v>1</v>
      </c>
      <c r="W63" s="21">
        <v>1</v>
      </c>
      <c r="X63" s="21">
        <v>1</v>
      </c>
      <c r="Y63" s="22">
        <v>0</v>
      </c>
      <c r="Z63" s="21">
        <v>1</v>
      </c>
      <c r="AA63" s="21">
        <v>1</v>
      </c>
      <c r="AB63" s="21">
        <v>1</v>
      </c>
      <c r="AC63" s="21">
        <v>1</v>
      </c>
      <c r="AD63" s="21">
        <v>1</v>
      </c>
      <c r="AE63" s="21">
        <v>1</v>
      </c>
      <c r="AF63" s="22">
        <v>0</v>
      </c>
      <c r="AG63" s="21">
        <v>1</v>
      </c>
      <c r="AH63" s="21">
        <v>1</v>
      </c>
      <c r="AI63" s="21">
        <f>SUM(D63:AH63)</f>
        <v>24</v>
      </c>
      <c r="AJ63" s="28">
        <v>5</v>
      </c>
      <c r="AK63" s="21">
        <v>2</v>
      </c>
      <c r="AL63" s="21">
        <f>AI63+AJ63</f>
        <v>29</v>
      </c>
      <c r="AM63" s="21">
        <f>AL63*C63</f>
        <v>10290.322580645161</v>
      </c>
      <c r="AN63" s="21">
        <f>C63*AG61</f>
        <v>11000</v>
      </c>
      <c r="AO63" s="506">
        <f>AM63+AM64</f>
        <v>11000</v>
      </c>
      <c r="AP63" s="505">
        <v>12000</v>
      </c>
    </row>
    <row r="64" spans="1:44">
      <c r="A64" s="21"/>
      <c r="B64" s="24">
        <v>11000</v>
      </c>
      <c r="C64" s="20">
        <f>C63/8*1</f>
        <v>44.354838709677416</v>
      </c>
      <c r="D64" s="22">
        <v>0</v>
      </c>
      <c r="E64" s="21"/>
      <c r="F64" s="21"/>
      <c r="G64" s="21"/>
      <c r="H64" s="21"/>
      <c r="I64" s="21"/>
      <c r="J64" s="21"/>
      <c r="K64" s="22">
        <v>0</v>
      </c>
      <c r="L64" s="21"/>
      <c r="M64" s="21"/>
      <c r="N64" s="21"/>
      <c r="O64" s="21"/>
      <c r="P64" s="21">
        <v>2</v>
      </c>
      <c r="Q64" s="21">
        <v>2</v>
      </c>
      <c r="R64" s="22">
        <v>0</v>
      </c>
      <c r="S64" s="21">
        <v>0</v>
      </c>
      <c r="T64" s="21">
        <v>2</v>
      </c>
      <c r="U64" s="21">
        <v>0</v>
      </c>
      <c r="V64" s="21">
        <v>2</v>
      </c>
      <c r="W64" s="21">
        <v>2</v>
      </c>
      <c r="X64" s="21">
        <v>0</v>
      </c>
      <c r="Y64" s="22">
        <v>0</v>
      </c>
      <c r="Z64" s="21">
        <v>2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2">
        <v>0</v>
      </c>
      <c r="AG64" s="21">
        <v>2</v>
      </c>
      <c r="AH64" s="21">
        <v>2</v>
      </c>
      <c r="AI64" s="21">
        <f t="shared" ref="AI64:AI68" si="19">SUM(D64:AH64)</f>
        <v>16</v>
      </c>
      <c r="AJ64" s="28"/>
      <c r="AK64" s="24"/>
      <c r="AL64" s="24"/>
      <c r="AM64" s="21">
        <f>AI64*C64</f>
        <v>709.67741935483866</v>
      </c>
      <c r="AN64" s="20">
        <v>2000</v>
      </c>
      <c r="AO64" s="506"/>
      <c r="AP64" s="505"/>
    </row>
    <row r="65" spans="1:42">
      <c r="A65" s="18">
        <v>2</v>
      </c>
      <c r="B65" s="19" t="s">
        <v>27</v>
      </c>
      <c r="C65" s="20">
        <f>B66/AG61</f>
        <v>258.06451612903226</v>
      </c>
      <c r="D65" s="22">
        <v>0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2">
        <v>0</v>
      </c>
      <c r="L65" s="21">
        <v>1</v>
      </c>
      <c r="M65" s="21">
        <v>1</v>
      </c>
      <c r="N65" s="23">
        <v>0</v>
      </c>
      <c r="O65" s="21">
        <v>1</v>
      </c>
      <c r="P65" s="21">
        <v>1</v>
      </c>
      <c r="Q65" s="21">
        <v>1</v>
      </c>
      <c r="R65" s="22">
        <v>0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2">
        <v>0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2">
        <v>0</v>
      </c>
      <c r="AG65" s="21">
        <v>1</v>
      </c>
      <c r="AH65" s="21">
        <v>1</v>
      </c>
      <c r="AI65" s="21">
        <f t="shared" si="19"/>
        <v>25</v>
      </c>
      <c r="AJ65" s="28">
        <v>5</v>
      </c>
      <c r="AK65" s="21">
        <v>1</v>
      </c>
      <c r="AL65" s="21">
        <f>AI65+AJ65</f>
        <v>30</v>
      </c>
      <c r="AM65" s="21">
        <f>AL65*C65</f>
        <v>7741.9354838709678</v>
      </c>
      <c r="AN65" s="21">
        <f>C65*AG61</f>
        <v>8000</v>
      </c>
      <c r="AO65" s="506">
        <f>AM65+AM66</f>
        <v>8193.5483870967746</v>
      </c>
      <c r="AP65" s="505">
        <v>8500</v>
      </c>
    </row>
    <row r="66" spans="1:42">
      <c r="A66" s="21"/>
      <c r="B66" s="24">
        <v>8000</v>
      </c>
      <c r="C66" s="20">
        <f>C65/8*1</f>
        <v>32.258064516129032</v>
      </c>
      <c r="D66" s="22">
        <v>0</v>
      </c>
      <c r="E66" s="21"/>
      <c r="F66" s="21"/>
      <c r="G66" s="21"/>
      <c r="H66" s="21"/>
      <c r="I66" s="21"/>
      <c r="J66" s="21"/>
      <c r="K66" s="22">
        <v>0</v>
      </c>
      <c r="L66" s="21"/>
      <c r="M66" s="21"/>
      <c r="N66" s="21"/>
      <c r="O66" s="21"/>
      <c r="P66" s="21">
        <v>2</v>
      </c>
      <c r="Q66" s="21">
        <v>2</v>
      </c>
      <c r="R66" s="22">
        <v>0</v>
      </c>
      <c r="S66" s="21">
        <v>0</v>
      </c>
      <c r="T66" s="21">
        <v>2</v>
      </c>
      <c r="U66" s="21">
        <v>2</v>
      </c>
      <c r="V66" s="21">
        <v>2</v>
      </c>
      <c r="W66" s="21">
        <v>2</v>
      </c>
      <c r="X66" s="21">
        <v>0</v>
      </c>
      <c r="Y66" s="22">
        <v>0</v>
      </c>
      <c r="Z66" s="21">
        <v>2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2">
        <v>0</v>
      </c>
      <c r="AG66" s="21">
        <v>0</v>
      </c>
      <c r="AH66" s="21">
        <v>0</v>
      </c>
      <c r="AI66" s="21">
        <f t="shared" si="19"/>
        <v>14</v>
      </c>
      <c r="AJ66" s="28"/>
      <c r="AK66" s="21"/>
      <c r="AL66" s="21"/>
      <c r="AM66" s="21">
        <f>C66*AI66</f>
        <v>451.61290322580646</v>
      </c>
      <c r="AN66" s="20">
        <v>2000</v>
      </c>
      <c r="AO66" s="506"/>
      <c r="AP66" s="505"/>
    </row>
    <row r="67" spans="1:42">
      <c r="A67" s="18">
        <v>3</v>
      </c>
      <c r="B67" s="19" t="s">
        <v>36</v>
      </c>
      <c r="C67" s="20">
        <f>B68/AG61</f>
        <v>258.06451612903226</v>
      </c>
      <c r="D67" s="23">
        <v>0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2">
        <v>0</v>
      </c>
      <c r="L67" s="21">
        <v>1</v>
      </c>
      <c r="M67" s="21">
        <v>1</v>
      </c>
      <c r="N67" s="21">
        <v>1</v>
      </c>
      <c r="O67" s="23">
        <v>0</v>
      </c>
      <c r="P67" s="21">
        <v>1</v>
      </c>
      <c r="Q67" s="23">
        <v>0</v>
      </c>
      <c r="R67" s="23">
        <v>0</v>
      </c>
      <c r="S67" s="23">
        <v>0</v>
      </c>
      <c r="T67" s="23">
        <v>0</v>
      </c>
      <c r="U67" s="21">
        <v>1</v>
      </c>
      <c r="V67" s="21">
        <v>1</v>
      </c>
      <c r="W67" s="23">
        <v>0</v>
      </c>
      <c r="X67" s="21">
        <v>1</v>
      </c>
      <c r="Y67" s="23">
        <v>0</v>
      </c>
      <c r="Z67" s="21">
        <v>1</v>
      </c>
      <c r="AA67" s="21">
        <v>1</v>
      </c>
      <c r="AB67" s="21">
        <v>1</v>
      </c>
      <c r="AC67" s="21">
        <v>1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1">
        <f t="shared" si="19"/>
        <v>17</v>
      </c>
      <c r="AJ67" s="28">
        <v>1</v>
      </c>
      <c r="AK67" s="21">
        <v>0</v>
      </c>
      <c r="AL67" s="21">
        <f>AI67+AJ67</f>
        <v>18</v>
      </c>
      <c r="AM67" s="21">
        <f>AL67*C67</f>
        <v>4645.1612903225805</v>
      </c>
      <c r="AN67" s="21">
        <f>C67*AG61</f>
        <v>8000</v>
      </c>
      <c r="AO67" s="506">
        <f>AM67+AM68</f>
        <v>4967.7419354838712</v>
      </c>
      <c r="AP67" s="505">
        <v>5000</v>
      </c>
    </row>
    <row r="68" spans="1:42">
      <c r="A68" s="21"/>
      <c r="B68" s="24">
        <v>8000</v>
      </c>
      <c r="C68" s="20">
        <f>C67/8*1</f>
        <v>32.258064516129032</v>
      </c>
      <c r="D68" s="22">
        <v>0</v>
      </c>
      <c r="E68" s="21"/>
      <c r="F68" s="21"/>
      <c r="G68" s="21"/>
      <c r="H68" s="21"/>
      <c r="I68" s="21"/>
      <c r="J68" s="21"/>
      <c r="K68" s="22">
        <v>0</v>
      </c>
      <c r="L68" s="21"/>
      <c r="M68" s="21"/>
      <c r="N68" s="21"/>
      <c r="O68" s="21"/>
      <c r="P68" s="21">
        <v>2</v>
      </c>
      <c r="Q68" s="21">
        <v>2</v>
      </c>
      <c r="R68" s="22">
        <v>0</v>
      </c>
      <c r="S68" s="21">
        <v>0</v>
      </c>
      <c r="T68" s="21">
        <v>0</v>
      </c>
      <c r="U68" s="21">
        <v>2</v>
      </c>
      <c r="V68" s="21">
        <v>2</v>
      </c>
      <c r="W68" s="21">
        <v>0</v>
      </c>
      <c r="X68" s="21">
        <v>0</v>
      </c>
      <c r="Y68" s="22">
        <v>0</v>
      </c>
      <c r="Z68" s="21">
        <v>2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2">
        <v>0</v>
      </c>
      <c r="AG68" s="21">
        <v>0</v>
      </c>
      <c r="AH68" s="21">
        <v>0</v>
      </c>
      <c r="AI68" s="21">
        <f t="shared" si="19"/>
        <v>10</v>
      </c>
      <c r="AJ68" s="28"/>
      <c r="AK68" s="21"/>
      <c r="AL68" s="21"/>
      <c r="AM68" s="21">
        <f>C68*AI68</f>
        <v>322.58064516129031</v>
      </c>
      <c r="AN68" s="20">
        <v>2000</v>
      </c>
      <c r="AO68" s="506"/>
      <c r="AP68" s="505"/>
    </row>
    <row r="69" spans="1:42">
      <c r="A69" s="18">
        <v>4</v>
      </c>
      <c r="B69" s="19" t="s">
        <v>23</v>
      </c>
      <c r="C69" s="20">
        <f>B70/AG61</f>
        <v>258.06451612903226</v>
      </c>
      <c r="D69" s="22">
        <v>0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2">
        <v>0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2">
        <v>0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2">
        <v>0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2">
        <v>0</v>
      </c>
      <c r="AG69" s="21">
        <v>1</v>
      </c>
      <c r="AH69" s="21">
        <v>1</v>
      </c>
      <c r="AI69" s="21">
        <f t="shared" ref="AI69:AI70" si="20">SUM(D69:AH69)</f>
        <v>26</v>
      </c>
      <c r="AJ69" s="28">
        <v>5</v>
      </c>
      <c r="AK69" s="21">
        <v>0</v>
      </c>
      <c r="AL69" s="21">
        <f>AI69+AJ69</f>
        <v>31</v>
      </c>
      <c r="AM69" s="21">
        <f>AL69*C69</f>
        <v>8000</v>
      </c>
      <c r="AN69" s="21">
        <v>8000</v>
      </c>
      <c r="AO69" s="506">
        <f>AM69+AM70</f>
        <v>8645.1612903225814</v>
      </c>
      <c r="AP69" s="505">
        <v>8750</v>
      </c>
    </row>
    <row r="70" spans="1:42">
      <c r="A70" s="21"/>
      <c r="B70" s="24">
        <v>8000</v>
      </c>
      <c r="C70" s="20">
        <f>C69/8*1</f>
        <v>32.258064516129032</v>
      </c>
      <c r="D70" s="22">
        <v>0</v>
      </c>
      <c r="E70" s="21"/>
      <c r="F70" s="21"/>
      <c r="G70" s="21"/>
      <c r="H70" s="21"/>
      <c r="I70" s="21"/>
      <c r="J70" s="21"/>
      <c r="K70" s="22">
        <v>0</v>
      </c>
      <c r="L70" s="21"/>
      <c r="M70" s="21"/>
      <c r="N70" s="21"/>
      <c r="O70" s="21"/>
      <c r="P70" s="21">
        <v>2</v>
      </c>
      <c r="Q70" s="21">
        <v>2</v>
      </c>
      <c r="R70" s="22">
        <v>0</v>
      </c>
      <c r="S70" s="21">
        <v>0</v>
      </c>
      <c r="T70" s="21">
        <v>2</v>
      </c>
      <c r="U70" s="21">
        <v>2</v>
      </c>
      <c r="V70" s="21">
        <v>0</v>
      </c>
      <c r="W70" s="21">
        <v>2</v>
      </c>
      <c r="X70" s="21">
        <v>0</v>
      </c>
      <c r="Y70" s="22">
        <v>0</v>
      </c>
      <c r="Z70" s="21">
        <v>2</v>
      </c>
      <c r="AA70" s="21">
        <v>0</v>
      </c>
      <c r="AB70" s="21">
        <v>2</v>
      </c>
      <c r="AC70" s="21">
        <v>0</v>
      </c>
      <c r="AD70" s="21">
        <v>2</v>
      </c>
      <c r="AE70" s="21">
        <v>0</v>
      </c>
      <c r="AF70" s="22">
        <v>0</v>
      </c>
      <c r="AG70" s="21">
        <v>2</v>
      </c>
      <c r="AH70" s="21">
        <v>2</v>
      </c>
      <c r="AI70" s="21">
        <f t="shared" si="20"/>
        <v>20</v>
      </c>
      <c r="AJ70" s="28"/>
      <c r="AK70" s="21"/>
      <c r="AL70" s="21"/>
      <c r="AM70" s="21">
        <f>C70*AI70</f>
        <v>645.16129032258061</v>
      </c>
      <c r="AN70" s="20">
        <v>2000</v>
      </c>
      <c r="AO70" s="506"/>
      <c r="AP70" s="505"/>
    </row>
    <row r="71" spans="1:42">
      <c r="A71" s="18">
        <v>5</v>
      </c>
      <c r="B71" s="19" t="s">
        <v>53</v>
      </c>
      <c r="C71" s="20">
        <f>B72/AG61</f>
        <v>225.80645161290323</v>
      </c>
      <c r="D71" s="22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2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2">
        <v>0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>
        <v>0</v>
      </c>
      <c r="Z71" s="21">
        <v>1</v>
      </c>
      <c r="AA71" s="21">
        <v>1</v>
      </c>
      <c r="AB71" s="21">
        <v>1</v>
      </c>
      <c r="AC71" s="23">
        <v>0</v>
      </c>
      <c r="AD71" s="21">
        <v>1</v>
      </c>
      <c r="AE71" s="21">
        <v>1</v>
      </c>
      <c r="AF71" s="22">
        <v>0</v>
      </c>
      <c r="AG71" s="21">
        <v>1</v>
      </c>
      <c r="AH71" s="21">
        <v>1</v>
      </c>
      <c r="AI71" s="21">
        <f>SUM(D71:AH71)</f>
        <v>13</v>
      </c>
      <c r="AJ71" s="28">
        <v>2</v>
      </c>
      <c r="AK71" s="21">
        <v>1</v>
      </c>
      <c r="AL71" s="21">
        <f>AI71+AJ71</f>
        <v>15</v>
      </c>
      <c r="AM71" s="21">
        <f t="shared" ref="AM71" si="21">AL71*C71</f>
        <v>3387.0967741935483</v>
      </c>
      <c r="AN71" s="21">
        <v>0</v>
      </c>
      <c r="AO71" s="506">
        <f>AM71+AM72</f>
        <v>3387.0967741935483</v>
      </c>
      <c r="AP71" s="505">
        <v>3500</v>
      </c>
    </row>
    <row r="72" spans="1:42">
      <c r="A72" s="21"/>
      <c r="B72" s="24">
        <v>7000</v>
      </c>
      <c r="C72" s="20">
        <f>C71/8*1</f>
        <v>28.225806451612904</v>
      </c>
      <c r="D72" s="22">
        <v>0</v>
      </c>
      <c r="E72" s="21"/>
      <c r="F72" s="21"/>
      <c r="G72" s="21"/>
      <c r="H72" s="21"/>
      <c r="I72" s="21"/>
      <c r="J72" s="21"/>
      <c r="K72" s="22">
        <v>0</v>
      </c>
      <c r="L72" s="21"/>
      <c r="M72" s="21"/>
      <c r="N72" s="21"/>
      <c r="O72" s="21"/>
      <c r="P72" s="21">
        <v>0</v>
      </c>
      <c r="Q72" s="21">
        <v>0</v>
      </c>
      <c r="R72" s="22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2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2">
        <v>0</v>
      </c>
      <c r="AG72" s="21">
        <v>0</v>
      </c>
      <c r="AH72" s="21">
        <v>0</v>
      </c>
      <c r="AI72" s="21">
        <f>SUM(D72:AH72)</f>
        <v>0</v>
      </c>
      <c r="AJ72" s="28"/>
      <c r="AK72" s="24"/>
      <c r="AL72" s="24"/>
      <c r="AM72" s="21">
        <f>C72*AI72</f>
        <v>0</v>
      </c>
      <c r="AN72" s="20">
        <v>2000</v>
      </c>
      <c r="AO72" s="506"/>
      <c r="AP72" s="505"/>
    </row>
    <row r="73" spans="1:42">
      <c r="A73" s="51"/>
      <c r="B73" s="513" t="s">
        <v>30</v>
      </c>
      <c r="C73" s="513"/>
      <c r="D73" s="51">
        <f t="shared" ref="D73:AL73" si="22">D63+D71+D65+D67</f>
        <v>0</v>
      </c>
      <c r="E73" s="51">
        <f t="shared" si="22"/>
        <v>3</v>
      </c>
      <c r="F73" s="51">
        <f t="shared" si="22"/>
        <v>3</v>
      </c>
      <c r="G73" s="51">
        <f t="shared" si="22"/>
        <v>2</v>
      </c>
      <c r="H73" s="51">
        <f t="shared" si="22"/>
        <v>3</v>
      </c>
      <c r="I73" s="51">
        <f t="shared" si="22"/>
        <v>3</v>
      </c>
      <c r="J73" s="51">
        <f t="shared" si="22"/>
        <v>3</v>
      </c>
      <c r="K73" s="51">
        <f t="shared" si="22"/>
        <v>0</v>
      </c>
      <c r="L73" s="51">
        <f t="shared" si="22"/>
        <v>3</v>
      </c>
      <c r="M73" s="51">
        <f t="shared" si="22"/>
        <v>3</v>
      </c>
      <c r="N73" s="51">
        <f t="shared" si="22"/>
        <v>2</v>
      </c>
      <c r="O73" s="51">
        <f t="shared" si="22"/>
        <v>2</v>
      </c>
      <c r="P73" s="51">
        <f t="shared" si="22"/>
        <v>3</v>
      </c>
      <c r="Q73" s="51">
        <f t="shared" si="22"/>
        <v>2</v>
      </c>
      <c r="R73" s="51">
        <f t="shared" si="22"/>
        <v>0</v>
      </c>
      <c r="S73" s="51">
        <f t="shared" si="22"/>
        <v>3</v>
      </c>
      <c r="T73" s="51">
        <f t="shared" si="22"/>
        <v>3</v>
      </c>
      <c r="U73" s="51">
        <f t="shared" si="22"/>
        <v>3</v>
      </c>
      <c r="V73" s="51">
        <f t="shared" si="22"/>
        <v>4</v>
      </c>
      <c r="W73" s="51">
        <f t="shared" si="22"/>
        <v>3</v>
      </c>
      <c r="X73" s="51">
        <f t="shared" si="22"/>
        <v>4</v>
      </c>
      <c r="Y73" s="51">
        <f t="shared" si="22"/>
        <v>0</v>
      </c>
      <c r="Z73" s="51">
        <f t="shared" si="22"/>
        <v>4</v>
      </c>
      <c r="AA73" s="51">
        <f t="shared" si="22"/>
        <v>4</v>
      </c>
      <c r="AB73" s="51">
        <f t="shared" si="22"/>
        <v>4</v>
      </c>
      <c r="AC73" s="51">
        <f t="shared" si="22"/>
        <v>3</v>
      </c>
      <c r="AD73" s="51">
        <f t="shared" si="22"/>
        <v>3</v>
      </c>
      <c r="AE73" s="51">
        <f t="shared" si="22"/>
        <v>3</v>
      </c>
      <c r="AF73" s="51">
        <f t="shared" si="22"/>
        <v>0</v>
      </c>
      <c r="AG73" s="51">
        <f t="shared" si="22"/>
        <v>3</v>
      </c>
      <c r="AH73" s="51">
        <f t="shared" si="22"/>
        <v>3</v>
      </c>
      <c r="AI73" s="51">
        <f t="shared" si="22"/>
        <v>79</v>
      </c>
      <c r="AJ73" s="51">
        <f t="shared" si="22"/>
        <v>13</v>
      </c>
      <c r="AK73" s="51">
        <f t="shared" si="22"/>
        <v>4</v>
      </c>
      <c r="AL73" s="51">
        <f t="shared" si="22"/>
        <v>92</v>
      </c>
      <c r="AM73" s="51">
        <f>AM63+AM71+AM65+AM67+AM69</f>
        <v>34064.516129032258</v>
      </c>
      <c r="AN73" s="51">
        <f>AN63+AN71+AN65+AN67+AN69</f>
        <v>35000</v>
      </c>
      <c r="AO73" s="523">
        <f>AM73+AM74</f>
        <v>35548.38709677419</v>
      </c>
      <c r="AP73" s="525">
        <f>SUM(AP63:AP72)</f>
        <v>37750</v>
      </c>
    </row>
    <row r="74" spans="1:42">
      <c r="A74" s="52"/>
      <c r="B74" s="517" t="s">
        <v>31</v>
      </c>
      <c r="C74" s="517"/>
      <c r="D74" s="52">
        <f t="shared" ref="D74:AL74" si="23">D64+D72+D66+D68</f>
        <v>0</v>
      </c>
      <c r="E74" s="52">
        <f t="shared" si="23"/>
        <v>0</v>
      </c>
      <c r="F74" s="52">
        <f t="shared" si="23"/>
        <v>0</v>
      </c>
      <c r="G74" s="52">
        <f t="shared" si="23"/>
        <v>0</v>
      </c>
      <c r="H74" s="52">
        <f t="shared" si="23"/>
        <v>0</v>
      </c>
      <c r="I74" s="52">
        <f t="shared" si="23"/>
        <v>0</v>
      </c>
      <c r="J74" s="52">
        <f t="shared" si="23"/>
        <v>0</v>
      </c>
      <c r="K74" s="52">
        <f t="shared" si="23"/>
        <v>0</v>
      </c>
      <c r="L74" s="52">
        <f t="shared" si="23"/>
        <v>0</v>
      </c>
      <c r="M74" s="52">
        <f t="shared" si="23"/>
        <v>0</v>
      </c>
      <c r="N74" s="52">
        <f t="shared" si="23"/>
        <v>0</v>
      </c>
      <c r="O74" s="52">
        <f t="shared" si="23"/>
        <v>0</v>
      </c>
      <c r="P74" s="52">
        <f t="shared" si="23"/>
        <v>6</v>
      </c>
      <c r="Q74" s="52">
        <f t="shared" si="23"/>
        <v>6</v>
      </c>
      <c r="R74" s="52">
        <f t="shared" si="23"/>
        <v>0</v>
      </c>
      <c r="S74" s="52">
        <f t="shared" si="23"/>
        <v>0</v>
      </c>
      <c r="T74" s="52">
        <f t="shared" si="23"/>
        <v>4</v>
      </c>
      <c r="U74" s="52">
        <f t="shared" si="23"/>
        <v>4</v>
      </c>
      <c r="V74" s="52">
        <f t="shared" si="23"/>
        <v>6</v>
      </c>
      <c r="W74" s="52">
        <f t="shared" si="23"/>
        <v>4</v>
      </c>
      <c r="X74" s="52">
        <f t="shared" si="23"/>
        <v>0</v>
      </c>
      <c r="Y74" s="52">
        <f t="shared" si="23"/>
        <v>0</v>
      </c>
      <c r="Z74" s="52">
        <f t="shared" si="23"/>
        <v>6</v>
      </c>
      <c r="AA74" s="52">
        <f t="shared" si="23"/>
        <v>0</v>
      </c>
      <c r="AB74" s="52">
        <f t="shared" si="23"/>
        <v>0</v>
      </c>
      <c r="AC74" s="52">
        <f t="shared" si="23"/>
        <v>0</v>
      </c>
      <c r="AD74" s="52">
        <f t="shared" si="23"/>
        <v>0</v>
      </c>
      <c r="AE74" s="52">
        <f t="shared" si="23"/>
        <v>0</v>
      </c>
      <c r="AF74" s="52">
        <f t="shared" si="23"/>
        <v>0</v>
      </c>
      <c r="AG74" s="52">
        <f t="shared" si="23"/>
        <v>2</v>
      </c>
      <c r="AH74" s="52">
        <f t="shared" si="23"/>
        <v>2</v>
      </c>
      <c r="AI74" s="52">
        <f t="shared" si="23"/>
        <v>40</v>
      </c>
      <c r="AJ74" s="52">
        <f t="shared" si="23"/>
        <v>0</v>
      </c>
      <c r="AK74" s="52">
        <f t="shared" si="23"/>
        <v>0</v>
      </c>
      <c r="AL74" s="52">
        <f t="shared" si="23"/>
        <v>0</v>
      </c>
      <c r="AM74" s="52">
        <f>AM64+AM72+AM66+AM68</f>
        <v>1483.8709677419354</v>
      </c>
      <c r="AN74" s="52">
        <f>AN64+AN72+AN66+AN68</f>
        <v>8000</v>
      </c>
      <c r="AO74" s="524"/>
      <c r="AP74" s="526"/>
    </row>
    <row r="75" spans="1:42">
      <c r="AF75" s="48" t="s">
        <v>49</v>
      </c>
      <c r="AG75" s="48"/>
      <c r="AH75" s="49">
        <f>(AI63+AI65+AI67+AI69)*2*5</f>
        <v>920</v>
      </c>
      <c r="AI75" s="509" t="s">
        <v>50</v>
      </c>
      <c r="AJ75" s="510"/>
      <c r="AK75" s="50">
        <v>875</v>
      </c>
    </row>
    <row r="77" spans="1:42">
      <c r="AC77" t="s">
        <v>54</v>
      </c>
    </row>
    <row r="78" spans="1:42" ht="23.25">
      <c r="A78" s="518" t="s">
        <v>0</v>
      </c>
      <c r="B78" s="519" t="s">
        <v>1</v>
      </c>
      <c r="C78" s="519"/>
      <c r="D78" s="520" t="s">
        <v>55</v>
      </c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0"/>
      <c r="AB78" s="520"/>
      <c r="AC78" s="520"/>
      <c r="AD78" s="520"/>
      <c r="AE78" s="520"/>
      <c r="AF78" s="520"/>
      <c r="AG78" s="521">
        <v>30</v>
      </c>
      <c r="AH78" s="521"/>
      <c r="AI78" s="522" t="s">
        <v>3</v>
      </c>
      <c r="AJ78" s="522" t="s">
        <v>4</v>
      </c>
      <c r="AK78" s="522" t="s">
        <v>5</v>
      </c>
      <c r="AL78" s="522" t="s">
        <v>6</v>
      </c>
      <c r="AM78" s="522" t="s">
        <v>7</v>
      </c>
      <c r="AN78" s="522" t="s">
        <v>8</v>
      </c>
      <c r="AO78" s="522" t="s">
        <v>7</v>
      </c>
      <c r="AP78" s="522" t="s">
        <v>33</v>
      </c>
    </row>
    <row r="79" spans="1:42">
      <c r="A79" s="518"/>
      <c r="B79" s="519"/>
      <c r="C79" s="519"/>
      <c r="D79" s="56">
        <v>1</v>
      </c>
      <c r="E79" s="56">
        <v>2</v>
      </c>
      <c r="F79" s="56">
        <v>3</v>
      </c>
      <c r="G79" s="56">
        <v>4</v>
      </c>
      <c r="H79" s="56">
        <v>5</v>
      </c>
      <c r="I79" s="56">
        <v>6</v>
      </c>
      <c r="J79" s="56">
        <v>7</v>
      </c>
      <c r="K79" s="56">
        <v>8</v>
      </c>
      <c r="L79" s="56">
        <v>9</v>
      </c>
      <c r="M79" s="56">
        <v>10</v>
      </c>
      <c r="N79" s="56">
        <v>11</v>
      </c>
      <c r="O79" s="56">
        <v>12</v>
      </c>
      <c r="P79" s="56">
        <v>13</v>
      </c>
      <c r="Q79" s="56">
        <v>14</v>
      </c>
      <c r="R79" s="56">
        <v>15</v>
      </c>
      <c r="S79" s="56">
        <v>16</v>
      </c>
      <c r="T79" s="56">
        <v>17</v>
      </c>
      <c r="U79" s="56">
        <v>18</v>
      </c>
      <c r="V79" s="56">
        <v>19</v>
      </c>
      <c r="W79" s="56">
        <v>20</v>
      </c>
      <c r="X79" s="56">
        <v>21</v>
      </c>
      <c r="Y79" s="56">
        <v>22</v>
      </c>
      <c r="Z79" s="56">
        <v>23</v>
      </c>
      <c r="AA79" s="56">
        <v>24</v>
      </c>
      <c r="AB79" s="56">
        <v>25</v>
      </c>
      <c r="AC79" s="56">
        <v>26</v>
      </c>
      <c r="AD79" s="56">
        <v>27</v>
      </c>
      <c r="AE79" s="56">
        <v>28</v>
      </c>
      <c r="AF79" s="56">
        <v>29</v>
      </c>
      <c r="AG79" s="56">
        <v>30</v>
      </c>
      <c r="AH79" s="56">
        <v>31</v>
      </c>
      <c r="AI79" s="522"/>
      <c r="AJ79" s="522"/>
      <c r="AK79" s="522"/>
      <c r="AL79" s="522"/>
      <c r="AM79" s="522"/>
      <c r="AN79" s="522"/>
      <c r="AO79" s="522"/>
      <c r="AP79" s="522"/>
    </row>
    <row r="80" spans="1:42">
      <c r="A80" s="18">
        <v>1</v>
      </c>
      <c r="B80" s="19" t="s">
        <v>9</v>
      </c>
      <c r="C80" s="20">
        <f>B81/AG78</f>
        <v>366.66666666666669</v>
      </c>
      <c r="D80" s="21">
        <v>1</v>
      </c>
      <c r="E80" s="21">
        <v>1</v>
      </c>
      <c r="F80" s="21">
        <v>1</v>
      </c>
      <c r="G80" s="21">
        <v>1</v>
      </c>
      <c r="H80" s="22">
        <v>0</v>
      </c>
      <c r="I80" s="21">
        <v>1</v>
      </c>
      <c r="J80" s="21">
        <v>1</v>
      </c>
      <c r="K80" s="21">
        <v>1</v>
      </c>
      <c r="L80" s="21">
        <v>1</v>
      </c>
      <c r="M80" s="37">
        <v>0</v>
      </c>
      <c r="N80" s="21">
        <v>1</v>
      </c>
      <c r="O80" s="22">
        <v>0</v>
      </c>
      <c r="P80" s="21">
        <v>1</v>
      </c>
      <c r="Q80" s="21">
        <v>1</v>
      </c>
      <c r="R80" s="21">
        <v>1</v>
      </c>
      <c r="S80" s="23">
        <v>0</v>
      </c>
      <c r="T80" s="21">
        <v>1</v>
      </c>
      <c r="U80" s="21">
        <v>1</v>
      </c>
      <c r="V80" s="22">
        <v>0</v>
      </c>
      <c r="W80" s="21">
        <v>1</v>
      </c>
      <c r="X80" s="21">
        <v>1</v>
      </c>
      <c r="Y80" s="21">
        <v>1</v>
      </c>
      <c r="Z80" s="21">
        <v>1</v>
      </c>
      <c r="AA80" s="21">
        <v>1</v>
      </c>
      <c r="AB80" s="21">
        <v>1</v>
      </c>
      <c r="AC80" s="22">
        <v>0</v>
      </c>
      <c r="AD80" s="21">
        <v>1</v>
      </c>
      <c r="AE80" s="21">
        <v>1</v>
      </c>
      <c r="AF80" s="21">
        <v>1</v>
      </c>
      <c r="AG80" s="21">
        <v>1</v>
      </c>
      <c r="AH80" s="29"/>
      <c r="AI80" s="21">
        <f>SUM(D80:AH80)</f>
        <v>24</v>
      </c>
      <c r="AJ80" s="28">
        <v>5</v>
      </c>
      <c r="AK80" s="21"/>
      <c r="AL80" s="21">
        <f>AI80+AJ80</f>
        <v>29</v>
      </c>
      <c r="AM80" s="21">
        <f>AL80*C80</f>
        <v>10633.333333333334</v>
      </c>
      <c r="AN80" s="21">
        <f>C80*AG78</f>
        <v>11000</v>
      </c>
      <c r="AO80" s="506">
        <f>AM80+AM81</f>
        <v>10633.333333333334</v>
      </c>
      <c r="AP80" s="505">
        <v>11000</v>
      </c>
    </row>
    <row r="81" spans="1:42">
      <c r="A81" s="21"/>
      <c r="B81" s="24">
        <v>11000</v>
      </c>
      <c r="C81" s="20">
        <f>C80/8*1</f>
        <v>45.833333333333336</v>
      </c>
      <c r="D81" s="21"/>
      <c r="E81" s="21"/>
      <c r="F81" s="21"/>
      <c r="G81" s="21"/>
      <c r="H81" s="22">
        <v>0</v>
      </c>
      <c r="I81" s="21"/>
      <c r="J81" s="21"/>
      <c r="K81" s="21"/>
      <c r="L81" s="21"/>
      <c r="M81" s="37"/>
      <c r="N81" s="21"/>
      <c r="O81" s="22">
        <v>0</v>
      </c>
      <c r="P81" s="21"/>
      <c r="Q81" s="21"/>
      <c r="R81" s="21"/>
      <c r="S81" s="21"/>
      <c r="T81" s="21"/>
      <c r="U81" s="21"/>
      <c r="V81" s="22">
        <v>0</v>
      </c>
      <c r="W81" s="21"/>
      <c r="X81" s="21"/>
      <c r="Y81" s="21"/>
      <c r="Z81" s="21"/>
      <c r="AA81" s="21"/>
      <c r="AB81" s="21"/>
      <c r="AC81" s="22">
        <v>0</v>
      </c>
      <c r="AD81" s="21"/>
      <c r="AE81" s="21"/>
      <c r="AF81" s="21"/>
      <c r="AG81" s="21"/>
      <c r="AH81" s="29"/>
      <c r="AI81" s="21">
        <f t="shared" ref="AI81:AI85" si="24">SUM(D81:AH81)</f>
        <v>0</v>
      </c>
      <c r="AJ81" s="28"/>
      <c r="AK81" s="24"/>
      <c r="AL81" s="24"/>
      <c r="AM81" s="21">
        <f>AI81*C81</f>
        <v>0</v>
      </c>
      <c r="AN81" s="20">
        <v>2000</v>
      </c>
      <c r="AO81" s="506"/>
      <c r="AP81" s="505"/>
    </row>
    <row r="82" spans="1:42">
      <c r="A82" s="18">
        <v>2</v>
      </c>
      <c r="B82" s="19" t="s">
        <v>27</v>
      </c>
      <c r="C82" s="20">
        <f>B83/AG78</f>
        <v>266.66666666666669</v>
      </c>
      <c r="D82" s="21">
        <v>1</v>
      </c>
      <c r="E82" s="21">
        <v>1</v>
      </c>
      <c r="F82" s="21">
        <v>1</v>
      </c>
      <c r="G82" s="21">
        <v>1</v>
      </c>
      <c r="H82" s="22">
        <v>0</v>
      </c>
      <c r="I82" s="21">
        <v>1</v>
      </c>
      <c r="J82" s="21">
        <v>1</v>
      </c>
      <c r="K82" s="21">
        <v>1</v>
      </c>
      <c r="L82" s="21">
        <v>1</v>
      </c>
      <c r="M82" s="37">
        <v>0</v>
      </c>
      <c r="N82" s="23">
        <v>0</v>
      </c>
      <c r="O82" s="22">
        <v>0</v>
      </c>
      <c r="P82" s="21">
        <v>1</v>
      </c>
      <c r="Q82" s="21">
        <v>1</v>
      </c>
      <c r="R82" s="21">
        <v>1</v>
      </c>
      <c r="S82" s="23">
        <v>0</v>
      </c>
      <c r="T82" s="21">
        <v>1</v>
      </c>
      <c r="U82" s="21">
        <v>1</v>
      </c>
      <c r="V82" s="22">
        <v>0</v>
      </c>
      <c r="W82" s="21">
        <v>1</v>
      </c>
      <c r="X82" s="21">
        <v>1</v>
      </c>
      <c r="Y82" s="21">
        <v>1</v>
      </c>
      <c r="Z82" s="21">
        <v>1</v>
      </c>
      <c r="AA82" s="21">
        <v>1</v>
      </c>
      <c r="AB82" s="21">
        <v>1</v>
      </c>
      <c r="AC82" s="22">
        <v>0</v>
      </c>
      <c r="AD82" s="21">
        <v>1</v>
      </c>
      <c r="AE82" s="21">
        <v>1</v>
      </c>
      <c r="AF82" s="21">
        <v>1</v>
      </c>
      <c r="AG82" s="21">
        <v>1</v>
      </c>
      <c r="AH82" s="29"/>
      <c r="AI82" s="21">
        <f t="shared" si="24"/>
        <v>23</v>
      </c>
      <c r="AJ82" s="28">
        <v>5</v>
      </c>
      <c r="AK82" s="21"/>
      <c r="AL82" s="21">
        <f>AI82+AJ82</f>
        <v>28</v>
      </c>
      <c r="AM82" s="21">
        <f>AL82*C82</f>
        <v>7466.666666666667</v>
      </c>
      <c r="AN82" s="21">
        <f>C82*AG78</f>
        <v>8000.0000000000009</v>
      </c>
      <c r="AO82" s="506">
        <f>AM82+AM83</f>
        <v>7466.666666666667</v>
      </c>
      <c r="AP82" s="505">
        <v>8000</v>
      </c>
    </row>
    <row r="83" spans="1:42">
      <c r="A83" s="21"/>
      <c r="B83" s="24">
        <v>8000</v>
      </c>
      <c r="C83" s="20">
        <f>C82/8*1</f>
        <v>33.333333333333336</v>
      </c>
      <c r="D83" s="21"/>
      <c r="E83" s="21"/>
      <c r="F83" s="21"/>
      <c r="G83" s="21"/>
      <c r="H83" s="22">
        <v>0</v>
      </c>
      <c r="I83" s="21"/>
      <c r="J83" s="21"/>
      <c r="K83" s="21"/>
      <c r="L83" s="21"/>
      <c r="M83" s="37"/>
      <c r="N83" s="21"/>
      <c r="O83" s="22">
        <v>0</v>
      </c>
      <c r="P83" s="21"/>
      <c r="Q83" s="21"/>
      <c r="R83" s="21"/>
      <c r="S83" s="21"/>
      <c r="T83" s="21"/>
      <c r="U83" s="21"/>
      <c r="V83" s="22">
        <v>0</v>
      </c>
      <c r="W83" s="21"/>
      <c r="X83" s="21"/>
      <c r="Y83" s="21"/>
      <c r="Z83" s="21"/>
      <c r="AA83" s="21"/>
      <c r="AB83" s="21"/>
      <c r="AC83" s="22">
        <v>0</v>
      </c>
      <c r="AD83" s="21"/>
      <c r="AE83" s="21"/>
      <c r="AF83" s="21"/>
      <c r="AG83" s="21"/>
      <c r="AH83" s="29"/>
      <c r="AI83" s="21">
        <f t="shared" si="24"/>
        <v>0</v>
      </c>
      <c r="AJ83" s="28"/>
      <c r="AK83" s="21"/>
      <c r="AL83" s="21"/>
      <c r="AM83" s="21">
        <f>C83*AI83</f>
        <v>0</v>
      </c>
      <c r="AN83" s="20">
        <v>2000</v>
      </c>
      <c r="AO83" s="506"/>
      <c r="AP83" s="505"/>
    </row>
    <row r="84" spans="1:42">
      <c r="A84" s="18">
        <v>3</v>
      </c>
      <c r="B84" s="19" t="s">
        <v>36</v>
      </c>
      <c r="C84" s="20">
        <f>B85/AG78</f>
        <v>266.66666666666669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9"/>
      <c r="AI84" s="21">
        <f t="shared" si="24"/>
        <v>0</v>
      </c>
      <c r="AJ84" s="28">
        <v>0</v>
      </c>
      <c r="AK84" s="21"/>
      <c r="AL84" s="21">
        <f>AI84+AJ84</f>
        <v>0</v>
      </c>
      <c r="AM84" s="21">
        <f>AL84*C84</f>
        <v>0</v>
      </c>
      <c r="AN84" s="21">
        <f>C84*AG78</f>
        <v>8000.0000000000009</v>
      </c>
      <c r="AO84" s="506">
        <f>AM84+AM85</f>
        <v>0</v>
      </c>
      <c r="AP84" s="505">
        <v>0</v>
      </c>
    </row>
    <row r="85" spans="1:42">
      <c r="A85" s="21"/>
      <c r="B85" s="24">
        <v>8000</v>
      </c>
      <c r="C85" s="20">
        <f>C84/8*1</f>
        <v>33.333333333333336</v>
      </c>
      <c r="D85" s="21"/>
      <c r="E85" s="21"/>
      <c r="F85" s="21"/>
      <c r="G85" s="21"/>
      <c r="H85" s="22">
        <v>0</v>
      </c>
      <c r="I85" s="21"/>
      <c r="J85" s="21"/>
      <c r="K85" s="21"/>
      <c r="L85" s="21"/>
      <c r="M85" s="37"/>
      <c r="N85" s="21"/>
      <c r="O85" s="22">
        <v>0</v>
      </c>
      <c r="P85" s="21"/>
      <c r="Q85" s="21"/>
      <c r="R85" s="21"/>
      <c r="S85" s="21"/>
      <c r="T85" s="21"/>
      <c r="U85" s="21"/>
      <c r="V85" s="22">
        <v>0</v>
      </c>
      <c r="W85" s="21"/>
      <c r="X85" s="21"/>
      <c r="Y85" s="21"/>
      <c r="Z85" s="21"/>
      <c r="AA85" s="21"/>
      <c r="AB85" s="21"/>
      <c r="AC85" s="22">
        <v>0</v>
      </c>
      <c r="AD85" s="21"/>
      <c r="AE85" s="21"/>
      <c r="AF85" s="21"/>
      <c r="AG85" s="21"/>
      <c r="AH85" s="29"/>
      <c r="AI85" s="21">
        <f t="shared" si="24"/>
        <v>0</v>
      </c>
      <c r="AJ85" s="28"/>
      <c r="AK85" s="21"/>
      <c r="AL85" s="21"/>
      <c r="AM85" s="21">
        <f>C85*AI85</f>
        <v>0</v>
      </c>
      <c r="AN85" s="20">
        <v>2000</v>
      </c>
      <c r="AO85" s="506"/>
      <c r="AP85" s="505"/>
    </row>
    <row r="86" spans="1:42">
      <c r="A86" s="18">
        <v>4</v>
      </c>
      <c r="B86" s="19" t="s">
        <v>23</v>
      </c>
      <c r="C86" s="20">
        <f>B87/AG78</f>
        <v>266.66666666666669</v>
      </c>
      <c r="D86" s="21">
        <v>1</v>
      </c>
      <c r="E86" s="21">
        <v>1</v>
      </c>
      <c r="F86" s="21">
        <v>1</v>
      </c>
      <c r="G86" s="21">
        <v>1</v>
      </c>
      <c r="H86" s="22">
        <v>0</v>
      </c>
      <c r="I86" s="21">
        <v>1</v>
      </c>
      <c r="J86" s="21">
        <v>1</v>
      </c>
      <c r="K86" s="21">
        <v>1</v>
      </c>
      <c r="L86" s="21">
        <v>1</v>
      </c>
      <c r="M86" s="37">
        <v>0</v>
      </c>
      <c r="N86" s="21">
        <v>1</v>
      </c>
      <c r="O86" s="22">
        <v>0</v>
      </c>
      <c r="P86" s="21">
        <v>1</v>
      </c>
      <c r="Q86" s="21">
        <v>1</v>
      </c>
      <c r="R86" s="23">
        <v>0</v>
      </c>
      <c r="S86" s="23">
        <v>0</v>
      </c>
      <c r="T86" s="21">
        <v>1</v>
      </c>
      <c r="U86" s="21">
        <v>1</v>
      </c>
      <c r="V86" s="22">
        <v>0</v>
      </c>
      <c r="W86" s="21">
        <v>1</v>
      </c>
      <c r="X86" s="21">
        <v>1</v>
      </c>
      <c r="Y86" s="21">
        <v>1</v>
      </c>
      <c r="Z86" s="21">
        <v>1</v>
      </c>
      <c r="AA86" s="21">
        <v>1</v>
      </c>
      <c r="AB86" s="21">
        <v>1</v>
      </c>
      <c r="AC86" s="22">
        <v>0</v>
      </c>
      <c r="AD86" s="21">
        <v>1</v>
      </c>
      <c r="AE86" s="21">
        <v>1</v>
      </c>
      <c r="AF86" s="21">
        <v>1</v>
      </c>
      <c r="AG86" s="21">
        <v>1</v>
      </c>
      <c r="AH86" s="29"/>
      <c r="AI86" s="21">
        <f t="shared" ref="AI86:AI87" si="25">SUM(D86:AH86)</f>
        <v>23</v>
      </c>
      <c r="AJ86" s="28">
        <v>5</v>
      </c>
      <c r="AK86" s="21">
        <v>2</v>
      </c>
      <c r="AL86" s="21">
        <f>AI86+AJ86</f>
        <v>28</v>
      </c>
      <c r="AM86" s="21">
        <f>AL86*C86</f>
        <v>7466.666666666667</v>
      </c>
      <c r="AN86" s="21">
        <v>8000</v>
      </c>
      <c r="AO86" s="506">
        <f>AM86+AM87</f>
        <v>7466.666666666667</v>
      </c>
      <c r="AP86" s="505">
        <v>7500</v>
      </c>
    </row>
    <row r="87" spans="1:42">
      <c r="A87" s="21"/>
      <c r="B87" s="24">
        <v>8000</v>
      </c>
      <c r="C87" s="20">
        <f>C86/8*1</f>
        <v>33.333333333333336</v>
      </c>
      <c r="D87" s="21"/>
      <c r="E87" s="21"/>
      <c r="F87" s="21"/>
      <c r="G87" s="21"/>
      <c r="H87" s="22">
        <v>0</v>
      </c>
      <c r="I87" s="21"/>
      <c r="J87" s="21"/>
      <c r="K87" s="21"/>
      <c r="L87" s="21"/>
      <c r="M87" s="37"/>
      <c r="N87" s="21"/>
      <c r="O87" s="22">
        <v>0</v>
      </c>
      <c r="P87" s="21"/>
      <c r="Q87" s="21"/>
      <c r="R87" s="21"/>
      <c r="S87" s="21"/>
      <c r="T87" s="21"/>
      <c r="U87" s="21"/>
      <c r="V87" s="22">
        <v>0</v>
      </c>
      <c r="W87" s="21"/>
      <c r="X87" s="21"/>
      <c r="Y87" s="21"/>
      <c r="Z87" s="21"/>
      <c r="AA87" s="21"/>
      <c r="AB87" s="21"/>
      <c r="AC87" s="22">
        <v>0</v>
      </c>
      <c r="AD87" s="21"/>
      <c r="AE87" s="21"/>
      <c r="AF87" s="21"/>
      <c r="AG87" s="21"/>
      <c r="AH87" s="29"/>
      <c r="AI87" s="21">
        <f t="shared" si="25"/>
        <v>0</v>
      </c>
      <c r="AJ87" s="28"/>
      <c r="AK87" s="21"/>
      <c r="AL87" s="21"/>
      <c r="AM87" s="21">
        <f>C87*AI87</f>
        <v>0</v>
      </c>
      <c r="AN87" s="20">
        <v>2000</v>
      </c>
      <c r="AO87" s="506"/>
      <c r="AP87" s="505"/>
    </row>
    <row r="88" spans="1:42">
      <c r="A88" s="18">
        <v>5</v>
      </c>
      <c r="B88" s="19" t="s">
        <v>53</v>
      </c>
      <c r="C88" s="20">
        <f>B89/AG78</f>
        <v>233.33333333333334</v>
      </c>
      <c r="D88" s="21">
        <v>1</v>
      </c>
      <c r="E88" s="21">
        <v>1</v>
      </c>
      <c r="F88" s="21">
        <v>1</v>
      </c>
      <c r="G88" s="21">
        <v>1</v>
      </c>
      <c r="H88" s="22">
        <v>0</v>
      </c>
      <c r="I88" s="21">
        <v>1</v>
      </c>
      <c r="J88" s="21">
        <v>1</v>
      </c>
      <c r="K88" s="21">
        <v>1</v>
      </c>
      <c r="L88" s="21">
        <v>1</v>
      </c>
      <c r="M88" s="37">
        <v>0</v>
      </c>
      <c r="N88" s="23">
        <v>0</v>
      </c>
      <c r="O88" s="22">
        <v>0</v>
      </c>
      <c r="P88" s="21">
        <v>1</v>
      </c>
      <c r="Q88" s="23">
        <v>0</v>
      </c>
      <c r="R88" s="21">
        <v>1</v>
      </c>
      <c r="S88" s="23">
        <v>0</v>
      </c>
      <c r="T88" s="23">
        <v>0</v>
      </c>
      <c r="U88" s="21">
        <v>1</v>
      </c>
      <c r="V88" s="22">
        <v>0</v>
      </c>
      <c r="W88" s="21">
        <v>1</v>
      </c>
      <c r="X88" s="21">
        <v>1</v>
      </c>
      <c r="Y88" s="21">
        <v>1</v>
      </c>
      <c r="Z88" s="21">
        <v>1</v>
      </c>
      <c r="AA88" s="21">
        <v>1</v>
      </c>
      <c r="AB88" s="21">
        <v>1</v>
      </c>
      <c r="AC88" s="22">
        <v>0</v>
      </c>
      <c r="AD88" s="21">
        <v>1</v>
      </c>
      <c r="AE88" s="21">
        <v>1</v>
      </c>
      <c r="AF88" s="21">
        <v>1</v>
      </c>
      <c r="AG88" s="21">
        <v>1</v>
      </c>
      <c r="AH88" s="29"/>
      <c r="AI88" s="21">
        <f>SUM(D88:AH88)</f>
        <v>21</v>
      </c>
      <c r="AJ88" s="28">
        <v>4</v>
      </c>
      <c r="AK88" s="21"/>
      <c r="AL88" s="21">
        <f>AI88+AJ88</f>
        <v>25</v>
      </c>
      <c r="AM88" s="21">
        <f t="shared" ref="AM88" si="26">AL88*C88</f>
        <v>5833.3333333333339</v>
      </c>
      <c r="AN88" s="21">
        <v>7000</v>
      </c>
      <c r="AO88" s="506">
        <f>AM88+AM89</f>
        <v>5833.3333333333339</v>
      </c>
      <c r="AP88" s="505">
        <v>6000</v>
      </c>
    </row>
    <row r="89" spans="1:42">
      <c r="A89" s="21"/>
      <c r="B89" s="24">
        <v>7000</v>
      </c>
      <c r="C89" s="20">
        <f>C88/8*1</f>
        <v>29.166666666666668</v>
      </c>
      <c r="D89" s="21"/>
      <c r="E89" s="21"/>
      <c r="F89" s="21"/>
      <c r="G89" s="21"/>
      <c r="H89" s="22">
        <v>0</v>
      </c>
      <c r="I89" s="21"/>
      <c r="J89" s="21"/>
      <c r="K89" s="21"/>
      <c r="L89" s="21"/>
      <c r="M89" s="37"/>
      <c r="N89" s="21"/>
      <c r="O89" s="22">
        <v>0</v>
      </c>
      <c r="P89" s="21"/>
      <c r="Q89" s="21"/>
      <c r="R89" s="21"/>
      <c r="S89" s="21"/>
      <c r="T89" s="21"/>
      <c r="U89" s="21"/>
      <c r="V89" s="22">
        <v>0</v>
      </c>
      <c r="W89" s="21"/>
      <c r="X89" s="21"/>
      <c r="Y89" s="21"/>
      <c r="Z89" s="21"/>
      <c r="AA89" s="21"/>
      <c r="AB89" s="21"/>
      <c r="AC89" s="22">
        <v>0</v>
      </c>
      <c r="AD89" s="21"/>
      <c r="AE89" s="21"/>
      <c r="AF89" s="21"/>
      <c r="AG89" s="21"/>
      <c r="AH89" s="29"/>
      <c r="AI89" s="21">
        <f>SUM(D89:AH89)</f>
        <v>0</v>
      </c>
      <c r="AJ89" s="28"/>
      <c r="AK89" s="24"/>
      <c r="AL89" s="24"/>
      <c r="AM89" s="21">
        <f>C89*AI89</f>
        <v>0</v>
      </c>
      <c r="AN89" s="20">
        <v>2000</v>
      </c>
      <c r="AO89" s="506"/>
      <c r="AP89" s="505"/>
    </row>
    <row r="90" spans="1:42">
      <c r="A90" s="54"/>
      <c r="B90" s="513" t="s">
        <v>30</v>
      </c>
      <c r="C90" s="513"/>
      <c r="D90" s="54">
        <f t="shared" ref="D90:AL90" si="27">D80+D88+D82+D84</f>
        <v>3</v>
      </c>
      <c r="E90" s="54">
        <f t="shared" si="27"/>
        <v>3</v>
      </c>
      <c r="F90" s="54">
        <f t="shared" si="27"/>
        <v>3</v>
      </c>
      <c r="G90" s="54">
        <f t="shared" si="27"/>
        <v>3</v>
      </c>
      <c r="H90" s="54">
        <f t="shared" si="27"/>
        <v>0</v>
      </c>
      <c r="I90" s="54">
        <f t="shared" si="27"/>
        <v>3</v>
      </c>
      <c r="J90" s="54">
        <f t="shared" si="27"/>
        <v>3</v>
      </c>
      <c r="K90" s="54">
        <f t="shared" si="27"/>
        <v>3</v>
      </c>
      <c r="L90" s="54">
        <f t="shared" si="27"/>
        <v>3</v>
      </c>
      <c r="M90" s="54">
        <f t="shared" si="27"/>
        <v>0</v>
      </c>
      <c r="N90" s="54">
        <f t="shared" si="27"/>
        <v>1</v>
      </c>
      <c r="O90" s="54">
        <f t="shared" si="27"/>
        <v>0</v>
      </c>
      <c r="P90" s="54">
        <f t="shared" si="27"/>
        <v>3</v>
      </c>
      <c r="Q90" s="54">
        <f t="shared" si="27"/>
        <v>2</v>
      </c>
      <c r="R90" s="54">
        <f t="shared" si="27"/>
        <v>3</v>
      </c>
      <c r="S90" s="54">
        <f t="shared" si="27"/>
        <v>0</v>
      </c>
      <c r="T90" s="54">
        <f t="shared" si="27"/>
        <v>2</v>
      </c>
      <c r="U90" s="54">
        <f t="shared" si="27"/>
        <v>3</v>
      </c>
      <c r="V90" s="54">
        <f t="shared" si="27"/>
        <v>0</v>
      </c>
      <c r="W90" s="54">
        <f t="shared" si="27"/>
        <v>3</v>
      </c>
      <c r="X90" s="54">
        <f t="shared" si="27"/>
        <v>3</v>
      </c>
      <c r="Y90" s="54">
        <f t="shared" si="27"/>
        <v>3</v>
      </c>
      <c r="Z90" s="54">
        <f t="shared" si="27"/>
        <v>3</v>
      </c>
      <c r="AA90" s="54">
        <f t="shared" si="27"/>
        <v>3</v>
      </c>
      <c r="AB90" s="54">
        <f t="shared" si="27"/>
        <v>3</v>
      </c>
      <c r="AC90" s="54">
        <f t="shared" si="27"/>
        <v>0</v>
      </c>
      <c r="AD90" s="54">
        <f t="shared" si="27"/>
        <v>3</v>
      </c>
      <c r="AE90" s="54">
        <f t="shared" si="27"/>
        <v>3</v>
      </c>
      <c r="AF90" s="54">
        <f t="shared" si="27"/>
        <v>3</v>
      </c>
      <c r="AG90" s="54">
        <f t="shared" si="27"/>
        <v>3</v>
      </c>
      <c r="AH90" s="54">
        <f t="shared" si="27"/>
        <v>0</v>
      </c>
      <c r="AI90" s="54">
        <f t="shared" si="27"/>
        <v>68</v>
      </c>
      <c r="AJ90" s="54">
        <f t="shared" si="27"/>
        <v>14</v>
      </c>
      <c r="AK90" s="54">
        <f t="shared" si="27"/>
        <v>0</v>
      </c>
      <c r="AL90" s="54">
        <f t="shared" si="27"/>
        <v>82</v>
      </c>
      <c r="AM90" s="54">
        <f>AM80+AM88+AM82+AM84+AM86</f>
        <v>31400.000000000004</v>
      </c>
      <c r="AN90" s="54">
        <f>AN80+AN88+AN82+AN84+AN86</f>
        <v>42000</v>
      </c>
      <c r="AO90" s="523">
        <f>AM90+AM91</f>
        <v>31400.000000000004</v>
      </c>
      <c r="AP90" s="525">
        <f>SUM(AP80:AP89)</f>
        <v>32500</v>
      </c>
    </row>
    <row r="91" spans="1:42">
      <c r="A91" s="55"/>
      <c r="B91" s="517" t="s">
        <v>31</v>
      </c>
      <c r="C91" s="517"/>
      <c r="D91" s="55">
        <f t="shared" ref="D91:AL91" si="28">D81+D89+D83+D85</f>
        <v>0</v>
      </c>
      <c r="E91" s="55">
        <f t="shared" si="28"/>
        <v>0</v>
      </c>
      <c r="F91" s="55">
        <f t="shared" si="28"/>
        <v>0</v>
      </c>
      <c r="G91" s="55">
        <f t="shared" si="28"/>
        <v>0</v>
      </c>
      <c r="H91" s="55">
        <f t="shared" si="28"/>
        <v>0</v>
      </c>
      <c r="I91" s="55">
        <f t="shared" si="28"/>
        <v>0</v>
      </c>
      <c r="J91" s="55">
        <f t="shared" si="28"/>
        <v>0</v>
      </c>
      <c r="K91" s="55">
        <f t="shared" si="28"/>
        <v>0</v>
      </c>
      <c r="L91" s="55">
        <f t="shared" si="28"/>
        <v>0</v>
      </c>
      <c r="M91" s="55">
        <f t="shared" si="28"/>
        <v>0</v>
      </c>
      <c r="N91" s="55">
        <f t="shared" si="28"/>
        <v>0</v>
      </c>
      <c r="O91" s="55">
        <f t="shared" si="28"/>
        <v>0</v>
      </c>
      <c r="P91" s="55">
        <f t="shared" si="28"/>
        <v>0</v>
      </c>
      <c r="Q91" s="55">
        <f t="shared" si="28"/>
        <v>0</v>
      </c>
      <c r="R91" s="55">
        <f t="shared" si="28"/>
        <v>0</v>
      </c>
      <c r="S91" s="55">
        <f t="shared" si="28"/>
        <v>0</v>
      </c>
      <c r="T91" s="55">
        <f t="shared" si="28"/>
        <v>0</v>
      </c>
      <c r="U91" s="55">
        <f t="shared" si="28"/>
        <v>0</v>
      </c>
      <c r="V91" s="55">
        <f t="shared" si="28"/>
        <v>0</v>
      </c>
      <c r="W91" s="55">
        <f t="shared" si="28"/>
        <v>0</v>
      </c>
      <c r="X91" s="55">
        <f t="shared" si="28"/>
        <v>0</v>
      </c>
      <c r="Y91" s="55">
        <f t="shared" si="28"/>
        <v>0</v>
      </c>
      <c r="Z91" s="55">
        <f t="shared" si="28"/>
        <v>0</v>
      </c>
      <c r="AA91" s="55">
        <f t="shared" si="28"/>
        <v>0</v>
      </c>
      <c r="AB91" s="55">
        <f t="shared" si="28"/>
        <v>0</v>
      </c>
      <c r="AC91" s="55">
        <f t="shared" si="28"/>
        <v>0</v>
      </c>
      <c r="AD91" s="55">
        <f t="shared" si="28"/>
        <v>0</v>
      </c>
      <c r="AE91" s="55">
        <f t="shared" si="28"/>
        <v>0</v>
      </c>
      <c r="AF91" s="55">
        <f t="shared" si="28"/>
        <v>0</v>
      </c>
      <c r="AG91" s="55">
        <f t="shared" si="28"/>
        <v>0</v>
      </c>
      <c r="AH91" s="55">
        <f t="shared" si="28"/>
        <v>0</v>
      </c>
      <c r="AI91" s="55">
        <f t="shared" si="28"/>
        <v>0</v>
      </c>
      <c r="AJ91" s="55">
        <f t="shared" si="28"/>
        <v>0</v>
      </c>
      <c r="AK91" s="55">
        <f t="shared" si="28"/>
        <v>0</v>
      </c>
      <c r="AL91" s="55">
        <f t="shared" si="28"/>
        <v>0</v>
      </c>
      <c r="AM91" s="55">
        <f>AM81+AM89+AM83+AM85</f>
        <v>0</v>
      </c>
      <c r="AN91" s="55">
        <f>AN81+AN89+AN83+AN85</f>
        <v>8000</v>
      </c>
      <c r="AO91" s="524"/>
      <c r="AP91" s="526"/>
    </row>
    <row r="92" spans="1:42">
      <c r="AF92" s="48" t="s">
        <v>49</v>
      </c>
      <c r="AG92" s="48"/>
      <c r="AH92" s="49">
        <f>(AI80+AI82+AI84+AI86)*2*5</f>
        <v>700</v>
      </c>
      <c r="AI92" s="509" t="s">
        <v>50</v>
      </c>
      <c r="AJ92" s="510"/>
      <c r="AK92" s="50">
        <v>735</v>
      </c>
    </row>
    <row r="94" spans="1:42" ht="23.25">
      <c r="A94" s="518" t="s">
        <v>0</v>
      </c>
      <c r="B94" s="519" t="s">
        <v>1</v>
      </c>
      <c r="C94" s="519"/>
      <c r="D94" s="520" t="s">
        <v>56</v>
      </c>
      <c r="E94" s="520"/>
      <c r="F94" s="520"/>
      <c r="G94" s="520"/>
      <c r="H94" s="520"/>
      <c r="I94" s="520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  <c r="AA94" s="520"/>
      <c r="AB94" s="520"/>
      <c r="AC94" s="520"/>
      <c r="AD94" s="520"/>
      <c r="AE94" s="520"/>
      <c r="AF94" s="520"/>
      <c r="AG94" s="521">
        <v>31</v>
      </c>
      <c r="AH94" s="521"/>
      <c r="AI94" s="522" t="s">
        <v>3</v>
      </c>
      <c r="AJ94" s="522" t="s">
        <v>4</v>
      </c>
      <c r="AK94" s="522" t="s">
        <v>5</v>
      </c>
      <c r="AL94" s="522" t="s">
        <v>6</v>
      </c>
      <c r="AM94" s="522" t="s">
        <v>7</v>
      </c>
      <c r="AN94" s="522" t="s">
        <v>8</v>
      </c>
      <c r="AO94" s="522" t="s">
        <v>7</v>
      </c>
      <c r="AP94" s="522" t="s">
        <v>33</v>
      </c>
    </row>
    <row r="95" spans="1:42">
      <c r="A95" s="518"/>
      <c r="B95" s="519"/>
      <c r="C95" s="519"/>
      <c r="D95" s="59">
        <v>1</v>
      </c>
      <c r="E95" s="59">
        <v>2</v>
      </c>
      <c r="F95" s="59">
        <v>3</v>
      </c>
      <c r="G95" s="59">
        <v>4</v>
      </c>
      <c r="H95" s="59">
        <v>5</v>
      </c>
      <c r="I95" s="59">
        <v>6</v>
      </c>
      <c r="J95" s="59">
        <v>7</v>
      </c>
      <c r="K95" s="59">
        <v>8</v>
      </c>
      <c r="L95" s="59">
        <v>9</v>
      </c>
      <c r="M95" s="59">
        <v>10</v>
      </c>
      <c r="N95" s="59">
        <v>11</v>
      </c>
      <c r="O95" s="59">
        <v>12</v>
      </c>
      <c r="P95" s="59">
        <v>13</v>
      </c>
      <c r="Q95" s="59">
        <v>14</v>
      </c>
      <c r="R95" s="59">
        <v>15</v>
      </c>
      <c r="S95" s="59">
        <v>16</v>
      </c>
      <c r="T95" s="59">
        <v>17</v>
      </c>
      <c r="U95" s="59">
        <v>18</v>
      </c>
      <c r="V95" s="59">
        <v>19</v>
      </c>
      <c r="W95" s="59">
        <v>20</v>
      </c>
      <c r="X95" s="59">
        <v>21</v>
      </c>
      <c r="Y95" s="59">
        <v>22</v>
      </c>
      <c r="Z95" s="59">
        <v>23</v>
      </c>
      <c r="AA95" s="59">
        <v>24</v>
      </c>
      <c r="AB95" s="59">
        <v>25</v>
      </c>
      <c r="AC95" s="59">
        <v>26</v>
      </c>
      <c r="AD95" s="59">
        <v>27</v>
      </c>
      <c r="AE95" s="59">
        <v>28</v>
      </c>
      <c r="AF95" s="59">
        <v>29</v>
      </c>
      <c r="AG95" s="59">
        <v>30</v>
      </c>
      <c r="AH95" s="59">
        <v>31</v>
      </c>
      <c r="AI95" s="522"/>
      <c r="AJ95" s="522"/>
      <c r="AK95" s="522"/>
      <c r="AL95" s="522"/>
      <c r="AM95" s="522"/>
      <c r="AN95" s="522"/>
      <c r="AO95" s="522"/>
      <c r="AP95" s="522"/>
    </row>
    <row r="96" spans="1:42">
      <c r="A96" s="18">
        <v>1</v>
      </c>
      <c r="B96" s="19" t="s">
        <v>9</v>
      </c>
      <c r="C96" s="20">
        <f>B97/AG94</f>
        <v>354.83870967741933</v>
      </c>
      <c r="D96" s="21">
        <v>1</v>
      </c>
      <c r="E96" s="37">
        <v>0</v>
      </c>
      <c r="F96" s="22">
        <v>0</v>
      </c>
      <c r="G96" s="21">
        <v>1</v>
      </c>
      <c r="H96" s="21">
        <v>1</v>
      </c>
      <c r="I96" s="21">
        <v>1</v>
      </c>
      <c r="J96" s="21">
        <v>1</v>
      </c>
      <c r="K96" s="23">
        <v>0</v>
      </c>
      <c r="L96" s="21">
        <v>1</v>
      </c>
      <c r="M96" s="22">
        <v>0</v>
      </c>
      <c r="N96" s="21">
        <v>1</v>
      </c>
      <c r="O96" s="21">
        <v>1</v>
      </c>
      <c r="P96" s="21">
        <v>1</v>
      </c>
      <c r="Q96" s="21">
        <v>1</v>
      </c>
      <c r="R96" s="37">
        <v>0</v>
      </c>
      <c r="S96" s="37">
        <v>0</v>
      </c>
      <c r="T96" s="22">
        <v>0</v>
      </c>
      <c r="U96" s="21">
        <v>1</v>
      </c>
      <c r="V96" s="21">
        <v>1</v>
      </c>
      <c r="W96" s="21">
        <v>1</v>
      </c>
      <c r="X96" s="21">
        <v>1</v>
      </c>
      <c r="Y96" s="21">
        <v>1</v>
      </c>
      <c r="Z96" s="21">
        <v>1</v>
      </c>
      <c r="AA96" s="22">
        <v>0</v>
      </c>
      <c r="AB96" s="21">
        <v>1</v>
      </c>
      <c r="AC96" s="21">
        <v>1</v>
      </c>
      <c r="AD96" s="21">
        <v>1</v>
      </c>
      <c r="AE96" s="21">
        <v>1</v>
      </c>
      <c r="AF96" s="21">
        <v>1</v>
      </c>
      <c r="AG96" s="21">
        <v>1</v>
      </c>
      <c r="AH96" s="22">
        <v>0</v>
      </c>
      <c r="AI96" s="21">
        <f>SUM(D96:AH96)</f>
        <v>22</v>
      </c>
      <c r="AJ96" s="28">
        <v>8</v>
      </c>
      <c r="AK96" s="21">
        <v>1</v>
      </c>
      <c r="AL96" s="21">
        <f>AI96+AJ96</f>
        <v>30</v>
      </c>
      <c r="AM96" s="21">
        <f>AL96*C96</f>
        <v>10645.16129032258</v>
      </c>
      <c r="AN96" s="21">
        <f>C96*AG94</f>
        <v>11000</v>
      </c>
      <c r="AO96" s="506">
        <f>AM96+AM97</f>
        <v>10645.16129032258</v>
      </c>
      <c r="AP96" s="505">
        <v>11000</v>
      </c>
    </row>
    <row r="97" spans="1:42">
      <c r="A97" s="21"/>
      <c r="B97" s="24">
        <v>11000</v>
      </c>
      <c r="C97" s="20">
        <f>C96/8*1</f>
        <v>44.354838709677416</v>
      </c>
      <c r="D97" s="21">
        <v>0</v>
      </c>
      <c r="E97" s="37">
        <v>0</v>
      </c>
      <c r="F97" s="22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2">
        <v>0</v>
      </c>
      <c r="N97" s="21">
        <v>0</v>
      </c>
      <c r="O97" s="21">
        <v>0</v>
      </c>
      <c r="P97" s="21">
        <v>0</v>
      </c>
      <c r="Q97" s="21">
        <v>0</v>
      </c>
      <c r="R97" s="37">
        <v>0</v>
      </c>
      <c r="S97" s="37">
        <v>0</v>
      </c>
      <c r="T97" s="22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2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2">
        <v>0</v>
      </c>
      <c r="AI97" s="21">
        <f t="shared" ref="AI97:AI103" si="29">SUM(D97:AH97)</f>
        <v>0</v>
      </c>
      <c r="AJ97" s="28"/>
      <c r="AK97" s="24"/>
      <c r="AL97" s="24"/>
      <c r="AM97" s="21">
        <f>AI97*C97</f>
        <v>0</v>
      </c>
      <c r="AN97" s="20">
        <v>0</v>
      </c>
      <c r="AO97" s="506"/>
      <c r="AP97" s="505"/>
    </row>
    <row r="98" spans="1:42">
      <c r="A98" s="18">
        <v>2</v>
      </c>
      <c r="B98" s="19" t="s">
        <v>27</v>
      </c>
      <c r="C98" s="20">
        <f>B99/AG94</f>
        <v>258.06451612903226</v>
      </c>
      <c r="D98" s="21">
        <v>1</v>
      </c>
      <c r="E98" s="37">
        <v>0</v>
      </c>
      <c r="F98" s="22">
        <v>0</v>
      </c>
      <c r="G98" s="23">
        <v>0</v>
      </c>
      <c r="H98" s="21">
        <v>1</v>
      </c>
      <c r="I98" s="21">
        <v>1</v>
      </c>
      <c r="J98" s="21">
        <v>1</v>
      </c>
      <c r="K98" s="21">
        <v>1</v>
      </c>
      <c r="L98" s="21">
        <v>1</v>
      </c>
      <c r="M98" s="22">
        <v>0</v>
      </c>
      <c r="N98" s="21">
        <v>1</v>
      </c>
      <c r="O98" s="21">
        <v>1</v>
      </c>
      <c r="P98" s="21">
        <v>1</v>
      </c>
      <c r="Q98" s="21">
        <v>1</v>
      </c>
      <c r="R98" s="37">
        <v>0</v>
      </c>
      <c r="S98" s="37">
        <v>0</v>
      </c>
      <c r="T98" s="22">
        <v>0</v>
      </c>
      <c r="U98" s="23">
        <v>0</v>
      </c>
      <c r="V98" s="21">
        <v>1</v>
      </c>
      <c r="W98" s="21">
        <v>1</v>
      </c>
      <c r="X98" s="21">
        <v>1</v>
      </c>
      <c r="Y98" s="21">
        <v>1</v>
      </c>
      <c r="Z98" s="21">
        <v>1</v>
      </c>
      <c r="AA98" s="22">
        <v>0</v>
      </c>
      <c r="AB98" s="21">
        <v>1</v>
      </c>
      <c r="AC98" s="21">
        <v>1</v>
      </c>
      <c r="AD98" s="21">
        <v>1</v>
      </c>
      <c r="AE98" s="21">
        <v>1</v>
      </c>
      <c r="AF98" s="21">
        <v>1</v>
      </c>
      <c r="AG98" s="21">
        <v>1</v>
      </c>
      <c r="AH98" s="22">
        <v>0</v>
      </c>
      <c r="AI98" s="21">
        <f t="shared" si="29"/>
        <v>21</v>
      </c>
      <c r="AJ98" s="28">
        <v>8</v>
      </c>
      <c r="AK98" s="21"/>
      <c r="AL98" s="21">
        <f>AI98+AJ98</f>
        <v>29</v>
      </c>
      <c r="AM98" s="21">
        <f>AL98*C98</f>
        <v>7483.8709677419356</v>
      </c>
      <c r="AN98" s="21">
        <f>C98*AG94</f>
        <v>8000</v>
      </c>
      <c r="AO98" s="506">
        <f>AM98+AM99</f>
        <v>7483.8709677419356</v>
      </c>
      <c r="AP98" s="505">
        <v>7500</v>
      </c>
    </row>
    <row r="99" spans="1:42">
      <c r="A99" s="21"/>
      <c r="B99" s="24">
        <v>8000</v>
      </c>
      <c r="C99" s="20">
        <f>C98/8*1</f>
        <v>32.258064516129032</v>
      </c>
      <c r="D99" s="21">
        <v>0</v>
      </c>
      <c r="E99" s="37">
        <v>0</v>
      </c>
      <c r="F99" s="22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2">
        <v>0</v>
      </c>
      <c r="N99" s="21">
        <v>0</v>
      </c>
      <c r="O99" s="21">
        <v>0</v>
      </c>
      <c r="P99" s="21">
        <v>0</v>
      </c>
      <c r="Q99" s="21">
        <v>0</v>
      </c>
      <c r="R99" s="37">
        <v>0</v>
      </c>
      <c r="S99" s="37">
        <v>0</v>
      </c>
      <c r="T99" s="22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2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2">
        <v>0</v>
      </c>
      <c r="AI99" s="21">
        <f t="shared" si="29"/>
        <v>0</v>
      </c>
      <c r="AJ99" s="28"/>
      <c r="AK99" s="21"/>
      <c r="AL99" s="21"/>
      <c r="AM99" s="21">
        <f>C99*AI99</f>
        <v>0</v>
      </c>
      <c r="AN99" s="20">
        <v>0</v>
      </c>
      <c r="AO99" s="506"/>
      <c r="AP99" s="505"/>
    </row>
    <row r="100" spans="1:42">
      <c r="A100" s="18">
        <v>3</v>
      </c>
      <c r="B100" s="19" t="s">
        <v>36</v>
      </c>
      <c r="C100" s="20">
        <f>B101/AG94</f>
        <v>258.06451612903226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1">
        <f t="shared" si="29"/>
        <v>0</v>
      </c>
      <c r="AJ100" s="28">
        <v>0</v>
      </c>
      <c r="AK100" s="21"/>
      <c r="AL100" s="21">
        <f>AI100+AJ100</f>
        <v>0</v>
      </c>
      <c r="AM100" s="21">
        <f>AL100*C100</f>
        <v>0</v>
      </c>
      <c r="AN100" s="21">
        <f>C100*AG94</f>
        <v>8000</v>
      </c>
      <c r="AO100" s="506">
        <f>AM100+AM101</f>
        <v>0</v>
      </c>
      <c r="AP100" s="505">
        <v>0</v>
      </c>
    </row>
    <row r="101" spans="1:42">
      <c r="A101" s="21"/>
      <c r="B101" s="24">
        <v>8000</v>
      </c>
      <c r="C101" s="20">
        <f>C100/8*1</f>
        <v>32.258064516129032</v>
      </c>
      <c r="D101" s="21">
        <v>0</v>
      </c>
      <c r="E101" s="37">
        <v>0</v>
      </c>
      <c r="F101" s="22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2">
        <v>0</v>
      </c>
      <c r="N101" s="21">
        <v>0</v>
      </c>
      <c r="O101" s="21">
        <v>0</v>
      </c>
      <c r="P101" s="21">
        <v>0</v>
      </c>
      <c r="Q101" s="21">
        <v>0</v>
      </c>
      <c r="R101" s="37">
        <v>0</v>
      </c>
      <c r="S101" s="37">
        <v>0</v>
      </c>
      <c r="T101" s="22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2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2">
        <v>0</v>
      </c>
      <c r="AI101" s="21">
        <f t="shared" si="29"/>
        <v>0</v>
      </c>
      <c r="AJ101" s="28"/>
      <c r="AK101" s="21"/>
      <c r="AL101" s="21"/>
      <c r="AM101" s="21">
        <f>C101*AI101</f>
        <v>0</v>
      </c>
      <c r="AN101" s="20">
        <v>0</v>
      </c>
      <c r="AO101" s="506"/>
      <c r="AP101" s="505"/>
    </row>
    <row r="102" spans="1:42">
      <c r="A102" s="18">
        <v>4</v>
      </c>
      <c r="B102" s="19" t="s">
        <v>23</v>
      </c>
      <c r="C102" s="20">
        <f>B103/AG94</f>
        <v>258.06451612903226</v>
      </c>
      <c r="D102" s="21">
        <v>1</v>
      </c>
      <c r="E102" s="37">
        <v>0</v>
      </c>
      <c r="F102" s="22">
        <v>0</v>
      </c>
      <c r="G102" s="21">
        <v>1</v>
      </c>
      <c r="H102" s="21">
        <v>1</v>
      </c>
      <c r="I102" s="21">
        <v>1</v>
      </c>
      <c r="J102" s="21">
        <v>1</v>
      </c>
      <c r="K102" s="21">
        <v>1</v>
      </c>
      <c r="L102" s="21">
        <v>1</v>
      </c>
      <c r="M102" s="22">
        <v>0</v>
      </c>
      <c r="N102" s="21">
        <v>1</v>
      </c>
      <c r="O102" s="21">
        <v>1</v>
      </c>
      <c r="P102" s="21">
        <v>1</v>
      </c>
      <c r="Q102" s="21">
        <v>1</v>
      </c>
      <c r="R102" s="37">
        <v>0</v>
      </c>
      <c r="S102" s="37">
        <v>0</v>
      </c>
      <c r="T102" s="22">
        <v>0</v>
      </c>
      <c r="U102" s="21">
        <v>1</v>
      </c>
      <c r="V102" s="21">
        <v>1</v>
      </c>
      <c r="W102" s="21">
        <v>1</v>
      </c>
      <c r="X102" s="21">
        <v>1</v>
      </c>
      <c r="Y102" s="21">
        <v>1</v>
      </c>
      <c r="Z102" s="21">
        <v>1</v>
      </c>
      <c r="AA102" s="22">
        <v>0</v>
      </c>
      <c r="AB102" s="21">
        <v>1</v>
      </c>
      <c r="AC102" s="21">
        <v>1</v>
      </c>
      <c r="AD102" s="21">
        <v>1</v>
      </c>
      <c r="AE102" s="21">
        <v>1</v>
      </c>
      <c r="AF102" s="21">
        <v>1</v>
      </c>
      <c r="AG102" s="21">
        <v>1</v>
      </c>
      <c r="AH102" s="22">
        <v>0</v>
      </c>
      <c r="AI102" s="21">
        <f t="shared" si="29"/>
        <v>23</v>
      </c>
      <c r="AJ102" s="28">
        <v>8</v>
      </c>
      <c r="AK102" s="21">
        <v>2</v>
      </c>
      <c r="AL102" s="21">
        <f>AI102+AJ102</f>
        <v>31</v>
      </c>
      <c r="AM102" s="21">
        <f>AL102*C102</f>
        <v>8000</v>
      </c>
      <c r="AN102" s="21">
        <v>8000</v>
      </c>
      <c r="AO102" s="506">
        <f>AM102+AM103</f>
        <v>8000</v>
      </c>
      <c r="AP102" s="505">
        <v>8000</v>
      </c>
    </row>
    <row r="103" spans="1:42">
      <c r="A103" s="21"/>
      <c r="B103" s="24">
        <v>8000</v>
      </c>
      <c r="C103" s="20">
        <f>C102/8*1</f>
        <v>32.258064516129032</v>
      </c>
      <c r="D103" s="21">
        <v>0</v>
      </c>
      <c r="E103" s="37">
        <v>0</v>
      </c>
      <c r="F103" s="22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2">
        <v>0</v>
      </c>
      <c r="N103" s="21">
        <v>0</v>
      </c>
      <c r="O103" s="21">
        <v>0</v>
      </c>
      <c r="P103" s="21">
        <v>0</v>
      </c>
      <c r="Q103" s="21">
        <v>0</v>
      </c>
      <c r="R103" s="37">
        <v>0</v>
      </c>
      <c r="S103" s="37">
        <v>0</v>
      </c>
      <c r="T103" s="22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2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2">
        <v>0</v>
      </c>
      <c r="AI103" s="21">
        <f t="shared" si="29"/>
        <v>0</v>
      </c>
      <c r="AJ103" s="28"/>
      <c r="AK103" s="21"/>
      <c r="AL103" s="21"/>
      <c r="AM103" s="21">
        <f>C103*AI103</f>
        <v>0</v>
      </c>
      <c r="AN103" s="20">
        <v>0</v>
      </c>
      <c r="AO103" s="506"/>
      <c r="AP103" s="505"/>
    </row>
    <row r="104" spans="1:42">
      <c r="A104" s="18">
        <v>5</v>
      </c>
      <c r="B104" s="19" t="s">
        <v>53</v>
      </c>
      <c r="C104" s="20">
        <f>B105/AG94</f>
        <v>225.80645161290323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1">
        <f>SUM(D104:AH104)</f>
        <v>0</v>
      </c>
      <c r="AJ104" s="28">
        <v>0</v>
      </c>
      <c r="AK104" s="21"/>
      <c r="AL104" s="21">
        <f>AI104+AJ104</f>
        <v>0</v>
      </c>
      <c r="AM104" s="21">
        <f t="shared" ref="AM104" si="30">AL104*C104</f>
        <v>0</v>
      </c>
      <c r="AN104" s="21">
        <v>7000</v>
      </c>
      <c r="AO104" s="506">
        <f>AM104+AM105</f>
        <v>0</v>
      </c>
      <c r="AP104" s="505">
        <v>0</v>
      </c>
    </row>
    <row r="105" spans="1:42">
      <c r="A105" s="21"/>
      <c r="B105" s="24">
        <v>7000</v>
      </c>
      <c r="C105" s="20">
        <f>C104/8*1</f>
        <v>28.225806451612904</v>
      </c>
      <c r="D105" s="21">
        <v>0</v>
      </c>
      <c r="E105" s="37">
        <v>0</v>
      </c>
      <c r="F105" s="22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2">
        <v>0</v>
      </c>
      <c r="N105" s="21">
        <v>0</v>
      </c>
      <c r="O105" s="21">
        <v>0</v>
      </c>
      <c r="P105" s="21">
        <v>0</v>
      </c>
      <c r="Q105" s="21">
        <v>0</v>
      </c>
      <c r="R105" s="37">
        <v>0</v>
      </c>
      <c r="S105" s="37">
        <v>0</v>
      </c>
      <c r="T105" s="22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2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2">
        <v>0</v>
      </c>
      <c r="AI105" s="21">
        <f>SUM(D105:AH105)</f>
        <v>0</v>
      </c>
      <c r="AJ105" s="28"/>
      <c r="AK105" s="24"/>
      <c r="AL105" s="24"/>
      <c r="AM105" s="21">
        <f>C105*AI105</f>
        <v>0</v>
      </c>
      <c r="AN105" s="20">
        <v>0</v>
      </c>
      <c r="AO105" s="506"/>
      <c r="AP105" s="505"/>
    </row>
    <row r="106" spans="1:42">
      <c r="A106" s="57"/>
      <c r="B106" s="513" t="s">
        <v>30</v>
      </c>
      <c r="C106" s="513"/>
      <c r="D106" s="57">
        <f t="shared" ref="D106:AL106" si="31">D96+D104+D98+D100</f>
        <v>2</v>
      </c>
      <c r="E106" s="57">
        <f t="shared" si="31"/>
        <v>0</v>
      </c>
      <c r="F106" s="57">
        <f t="shared" si="31"/>
        <v>0</v>
      </c>
      <c r="G106" s="57">
        <f t="shared" si="31"/>
        <v>1</v>
      </c>
      <c r="H106" s="57">
        <f t="shared" si="31"/>
        <v>2</v>
      </c>
      <c r="I106" s="57">
        <f t="shared" si="31"/>
        <v>2</v>
      </c>
      <c r="J106" s="57">
        <f t="shared" si="31"/>
        <v>2</v>
      </c>
      <c r="K106" s="57">
        <f t="shared" si="31"/>
        <v>1</v>
      </c>
      <c r="L106" s="57">
        <f t="shared" si="31"/>
        <v>2</v>
      </c>
      <c r="M106" s="57">
        <f t="shared" si="31"/>
        <v>0</v>
      </c>
      <c r="N106" s="57">
        <f t="shared" si="31"/>
        <v>2</v>
      </c>
      <c r="O106" s="57">
        <f t="shared" si="31"/>
        <v>2</v>
      </c>
      <c r="P106" s="57">
        <f t="shared" si="31"/>
        <v>2</v>
      </c>
      <c r="Q106" s="57">
        <f t="shared" si="31"/>
        <v>2</v>
      </c>
      <c r="R106" s="57">
        <f t="shared" si="31"/>
        <v>0</v>
      </c>
      <c r="S106" s="57">
        <f t="shared" si="31"/>
        <v>0</v>
      </c>
      <c r="T106" s="57">
        <f t="shared" si="31"/>
        <v>0</v>
      </c>
      <c r="U106" s="57">
        <f t="shared" si="31"/>
        <v>1</v>
      </c>
      <c r="V106" s="57">
        <f t="shared" si="31"/>
        <v>2</v>
      </c>
      <c r="W106" s="57">
        <f t="shared" si="31"/>
        <v>2</v>
      </c>
      <c r="X106" s="57">
        <f t="shared" si="31"/>
        <v>2</v>
      </c>
      <c r="Y106" s="57">
        <f t="shared" si="31"/>
        <v>2</v>
      </c>
      <c r="Z106" s="57">
        <f t="shared" si="31"/>
        <v>2</v>
      </c>
      <c r="AA106" s="57">
        <f t="shared" si="31"/>
        <v>0</v>
      </c>
      <c r="AB106" s="57">
        <f t="shared" si="31"/>
        <v>2</v>
      </c>
      <c r="AC106" s="57">
        <f t="shared" si="31"/>
        <v>2</v>
      </c>
      <c r="AD106" s="57">
        <f t="shared" si="31"/>
        <v>2</v>
      </c>
      <c r="AE106" s="57">
        <f t="shared" si="31"/>
        <v>2</v>
      </c>
      <c r="AF106" s="57">
        <f t="shared" si="31"/>
        <v>2</v>
      </c>
      <c r="AG106" s="57">
        <f t="shared" si="31"/>
        <v>2</v>
      </c>
      <c r="AH106" s="57">
        <f t="shared" si="31"/>
        <v>0</v>
      </c>
      <c r="AI106" s="57">
        <f t="shared" si="31"/>
        <v>43</v>
      </c>
      <c r="AJ106" s="57">
        <f t="shared" si="31"/>
        <v>16</v>
      </c>
      <c r="AK106" s="57">
        <f t="shared" si="31"/>
        <v>1</v>
      </c>
      <c r="AL106" s="57">
        <f t="shared" si="31"/>
        <v>59</v>
      </c>
      <c r="AM106" s="57">
        <f>AM96+AM104+AM98+AM100+AM102</f>
        <v>26129.032258064515</v>
      </c>
      <c r="AN106" s="57">
        <f>AN96+AN104+AN98+AN100+AN102</f>
        <v>42000</v>
      </c>
      <c r="AO106" s="523">
        <f>AM106+AM107</f>
        <v>26129.032258064515</v>
      </c>
      <c r="AP106" s="525">
        <f>SUM(AP96:AP105)</f>
        <v>26500</v>
      </c>
    </row>
    <row r="107" spans="1:42">
      <c r="A107" s="58"/>
      <c r="B107" s="517" t="s">
        <v>31</v>
      </c>
      <c r="C107" s="517"/>
      <c r="D107" s="58">
        <f t="shared" ref="D107:AL107" si="32">D97+D105+D99+D101</f>
        <v>0</v>
      </c>
      <c r="E107" s="58">
        <f t="shared" si="32"/>
        <v>0</v>
      </c>
      <c r="F107" s="58">
        <f t="shared" si="32"/>
        <v>0</v>
      </c>
      <c r="G107" s="58">
        <f t="shared" si="32"/>
        <v>0</v>
      </c>
      <c r="H107" s="58">
        <f t="shared" si="32"/>
        <v>0</v>
      </c>
      <c r="I107" s="58">
        <f t="shared" si="32"/>
        <v>0</v>
      </c>
      <c r="J107" s="58">
        <f t="shared" si="32"/>
        <v>0</v>
      </c>
      <c r="K107" s="58">
        <f t="shared" si="32"/>
        <v>0</v>
      </c>
      <c r="L107" s="58">
        <f t="shared" si="32"/>
        <v>0</v>
      </c>
      <c r="M107" s="58">
        <f t="shared" si="32"/>
        <v>0</v>
      </c>
      <c r="N107" s="58">
        <f t="shared" si="32"/>
        <v>0</v>
      </c>
      <c r="O107" s="58">
        <f t="shared" si="32"/>
        <v>0</v>
      </c>
      <c r="P107" s="58">
        <f t="shared" si="32"/>
        <v>0</v>
      </c>
      <c r="Q107" s="58">
        <f t="shared" si="32"/>
        <v>0</v>
      </c>
      <c r="R107" s="58">
        <f t="shared" si="32"/>
        <v>0</v>
      </c>
      <c r="S107" s="58">
        <f t="shared" si="32"/>
        <v>0</v>
      </c>
      <c r="T107" s="58">
        <f t="shared" si="32"/>
        <v>0</v>
      </c>
      <c r="U107" s="58">
        <f t="shared" si="32"/>
        <v>0</v>
      </c>
      <c r="V107" s="58">
        <f t="shared" si="32"/>
        <v>0</v>
      </c>
      <c r="W107" s="58">
        <f t="shared" si="32"/>
        <v>0</v>
      </c>
      <c r="X107" s="58">
        <f t="shared" si="32"/>
        <v>0</v>
      </c>
      <c r="Y107" s="58">
        <f t="shared" si="32"/>
        <v>0</v>
      </c>
      <c r="Z107" s="58">
        <f t="shared" si="32"/>
        <v>0</v>
      </c>
      <c r="AA107" s="58">
        <f t="shared" si="32"/>
        <v>0</v>
      </c>
      <c r="AB107" s="58">
        <f t="shared" si="32"/>
        <v>0</v>
      </c>
      <c r="AC107" s="58">
        <f t="shared" si="32"/>
        <v>0</v>
      </c>
      <c r="AD107" s="58">
        <f t="shared" si="32"/>
        <v>0</v>
      </c>
      <c r="AE107" s="58">
        <f t="shared" si="32"/>
        <v>0</v>
      </c>
      <c r="AF107" s="58">
        <f t="shared" si="32"/>
        <v>0</v>
      </c>
      <c r="AG107" s="58">
        <f t="shared" si="32"/>
        <v>0</v>
      </c>
      <c r="AH107" s="58">
        <f t="shared" si="32"/>
        <v>0</v>
      </c>
      <c r="AI107" s="58">
        <f t="shared" si="32"/>
        <v>0</v>
      </c>
      <c r="AJ107" s="58">
        <f t="shared" si="32"/>
        <v>0</v>
      </c>
      <c r="AK107" s="58">
        <f t="shared" si="32"/>
        <v>0</v>
      </c>
      <c r="AL107" s="58">
        <f t="shared" si="32"/>
        <v>0</v>
      </c>
      <c r="AM107" s="58">
        <f>AM97+AM105+AM99+AM101</f>
        <v>0</v>
      </c>
      <c r="AN107" s="58">
        <f>AN97+AN105+AN99+AN101</f>
        <v>0</v>
      </c>
      <c r="AO107" s="524"/>
      <c r="AP107" s="526"/>
    </row>
    <row r="108" spans="1:42">
      <c r="AF108" s="48" t="s">
        <v>49</v>
      </c>
      <c r="AG108" s="48"/>
      <c r="AH108" s="49">
        <f>(AI96+AI98+AI100+AI102)*2*5</f>
        <v>660</v>
      </c>
      <c r="AI108" s="509" t="s">
        <v>50</v>
      </c>
      <c r="AJ108" s="510"/>
      <c r="AK108" s="50"/>
    </row>
    <row r="112" spans="1:42" ht="23.25">
      <c r="A112" s="518" t="s">
        <v>0</v>
      </c>
      <c r="B112" s="519" t="s">
        <v>1</v>
      </c>
      <c r="C112" s="519"/>
      <c r="D112" s="520" t="s">
        <v>57</v>
      </c>
      <c r="E112" s="520"/>
      <c r="F112" s="520"/>
      <c r="G112" s="520"/>
      <c r="H112" s="520"/>
      <c r="I112" s="520"/>
      <c r="J112" s="520"/>
      <c r="K112" s="520"/>
      <c r="L112" s="520"/>
      <c r="M112" s="520"/>
      <c r="N112" s="520"/>
      <c r="O112" s="520"/>
      <c r="P112" s="520"/>
      <c r="Q112" s="520"/>
      <c r="R112" s="520"/>
      <c r="S112" s="520"/>
      <c r="T112" s="520"/>
      <c r="U112" s="520"/>
      <c r="V112" s="520"/>
      <c r="W112" s="520"/>
      <c r="X112" s="520"/>
      <c r="Y112" s="520"/>
      <c r="Z112" s="520"/>
      <c r="AA112" s="520"/>
      <c r="AB112" s="520"/>
      <c r="AC112" s="520"/>
      <c r="AD112" s="520"/>
      <c r="AE112" s="520"/>
      <c r="AF112" s="520"/>
      <c r="AG112" s="521">
        <v>30</v>
      </c>
      <c r="AH112" s="521"/>
      <c r="AI112" s="522" t="s">
        <v>3</v>
      </c>
      <c r="AJ112" s="522" t="s">
        <v>4</v>
      </c>
      <c r="AK112" s="522" t="s">
        <v>5</v>
      </c>
      <c r="AL112" s="522" t="s">
        <v>6</v>
      </c>
      <c r="AM112" s="522" t="s">
        <v>7</v>
      </c>
      <c r="AN112" s="522" t="s">
        <v>8</v>
      </c>
      <c r="AO112" s="522" t="s">
        <v>7</v>
      </c>
      <c r="AP112" s="522" t="s">
        <v>33</v>
      </c>
    </row>
    <row r="113" spans="1:44">
      <c r="A113" s="518"/>
      <c r="B113" s="519"/>
      <c r="C113" s="519"/>
      <c r="D113" s="62">
        <v>1</v>
      </c>
      <c r="E113" s="62">
        <v>2</v>
      </c>
      <c r="F113" s="62">
        <v>3</v>
      </c>
      <c r="G113" s="62">
        <v>4</v>
      </c>
      <c r="H113" s="62">
        <v>5</v>
      </c>
      <c r="I113" s="62">
        <v>6</v>
      </c>
      <c r="J113" s="62">
        <v>7</v>
      </c>
      <c r="K113" s="62">
        <v>8</v>
      </c>
      <c r="L113" s="62">
        <v>9</v>
      </c>
      <c r="M113" s="62">
        <v>10</v>
      </c>
      <c r="N113" s="62">
        <v>11</v>
      </c>
      <c r="O113" s="62">
        <v>12</v>
      </c>
      <c r="P113" s="62">
        <v>13</v>
      </c>
      <c r="Q113" s="62">
        <v>14</v>
      </c>
      <c r="R113" s="62">
        <v>15</v>
      </c>
      <c r="S113" s="62">
        <v>16</v>
      </c>
      <c r="T113" s="62">
        <v>17</v>
      </c>
      <c r="U113" s="62">
        <v>18</v>
      </c>
      <c r="V113" s="62">
        <v>19</v>
      </c>
      <c r="W113" s="62">
        <v>20</v>
      </c>
      <c r="X113" s="62">
        <v>21</v>
      </c>
      <c r="Y113" s="62">
        <v>22</v>
      </c>
      <c r="Z113" s="62">
        <v>23</v>
      </c>
      <c r="AA113" s="62">
        <v>24</v>
      </c>
      <c r="AB113" s="62">
        <v>25</v>
      </c>
      <c r="AC113" s="62">
        <v>26</v>
      </c>
      <c r="AD113" s="62">
        <v>27</v>
      </c>
      <c r="AE113" s="62">
        <v>28</v>
      </c>
      <c r="AF113" s="62">
        <v>29</v>
      </c>
      <c r="AG113" s="62">
        <v>30</v>
      </c>
      <c r="AH113" s="62">
        <v>31</v>
      </c>
      <c r="AI113" s="522"/>
      <c r="AJ113" s="522"/>
      <c r="AK113" s="522"/>
      <c r="AL113" s="522"/>
      <c r="AM113" s="522"/>
      <c r="AN113" s="522"/>
      <c r="AO113" s="522"/>
      <c r="AP113" s="522"/>
    </row>
    <row r="114" spans="1:44">
      <c r="A114" s="18">
        <v>1</v>
      </c>
      <c r="B114" s="19" t="s">
        <v>9</v>
      </c>
      <c r="C114" s="20">
        <f>B115/AG112</f>
        <v>366.66666666666669</v>
      </c>
      <c r="D114" s="21">
        <v>1</v>
      </c>
      <c r="E114" s="21">
        <v>1</v>
      </c>
      <c r="F114" s="21">
        <v>1</v>
      </c>
      <c r="G114" s="37">
        <v>0</v>
      </c>
      <c r="H114" s="37">
        <v>0</v>
      </c>
      <c r="I114" s="21">
        <v>1</v>
      </c>
      <c r="J114" s="22">
        <v>0</v>
      </c>
      <c r="K114" s="21">
        <v>1</v>
      </c>
      <c r="L114" s="21">
        <v>1</v>
      </c>
      <c r="M114" s="21">
        <v>1</v>
      </c>
      <c r="N114" s="21">
        <v>1</v>
      </c>
      <c r="O114" s="21">
        <v>1</v>
      </c>
      <c r="P114" s="21">
        <v>1</v>
      </c>
      <c r="Q114" s="22">
        <v>0</v>
      </c>
      <c r="R114" s="21">
        <v>1</v>
      </c>
      <c r="S114" s="21">
        <v>1</v>
      </c>
      <c r="T114" s="21">
        <v>1</v>
      </c>
      <c r="U114" s="21">
        <v>1</v>
      </c>
      <c r="V114" s="21">
        <v>1</v>
      </c>
      <c r="W114" s="21">
        <v>0</v>
      </c>
      <c r="X114" s="22">
        <v>1</v>
      </c>
      <c r="Y114" s="21">
        <v>1</v>
      </c>
      <c r="Z114" s="21">
        <v>1</v>
      </c>
      <c r="AA114" s="21">
        <v>1</v>
      </c>
      <c r="AB114" s="21">
        <v>1</v>
      </c>
      <c r="AC114" s="21">
        <v>1</v>
      </c>
      <c r="AD114" s="21">
        <v>1</v>
      </c>
      <c r="AE114" s="22">
        <v>0</v>
      </c>
      <c r="AF114" s="21">
        <v>1</v>
      </c>
      <c r="AG114" s="21">
        <v>1</v>
      </c>
      <c r="AH114" s="65"/>
      <c r="AI114" s="21">
        <f>SUM(D114:AH114)</f>
        <v>24</v>
      </c>
      <c r="AJ114" s="28">
        <v>6</v>
      </c>
      <c r="AK114" s="21">
        <v>0</v>
      </c>
      <c r="AL114" s="21">
        <f>AI114+AJ114</f>
        <v>30</v>
      </c>
      <c r="AM114" s="21">
        <f>AL114*C114</f>
        <v>11000</v>
      </c>
      <c r="AN114" s="21">
        <f>C114*AG112</f>
        <v>11000</v>
      </c>
      <c r="AO114" s="506">
        <f>AM114+AM115</f>
        <v>11550</v>
      </c>
      <c r="AP114" s="505">
        <v>12000</v>
      </c>
    </row>
    <row r="115" spans="1:44">
      <c r="A115" s="21"/>
      <c r="B115" s="24">
        <v>11000</v>
      </c>
      <c r="C115" s="20">
        <f>C114/8*1</f>
        <v>45.833333333333336</v>
      </c>
      <c r="D115" s="21">
        <v>0</v>
      </c>
      <c r="E115" s="21">
        <v>0</v>
      </c>
      <c r="F115" s="21">
        <v>0</v>
      </c>
      <c r="G115" s="37">
        <v>0</v>
      </c>
      <c r="H115" s="37">
        <v>0</v>
      </c>
      <c r="I115" s="21">
        <v>0</v>
      </c>
      <c r="J115" s="22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2">
        <v>0</v>
      </c>
      <c r="R115" s="21">
        <v>0</v>
      </c>
      <c r="S115" s="21">
        <v>0</v>
      </c>
      <c r="T115" s="21">
        <v>0</v>
      </c>
      <c r="U115" s="21">
        <v>2</v>
      </c>
      <c r="V115" s="21">
        <v>2</v>
      </c>
      <c r="W115" s="21">
        <v>0</v>
      </c>
      <c r="X115" s="22">
        <v>0</v>
      </c>
      <c r="Y115" s="21">
        <v>0</v>
      </c>
      <c r="Z115" s="21">
        <v>2</v>
      </c>
      <c r="AA115" s="21">
        <v>0</v>
      </c>
      <c r="AB115" s="21">
        <v>0</v>
      </c>
      <c r="AC115" s="21">
        <v>2</v>
      </c>
      <c r="AD115" s="21">
        <v>2</v>
      </c>
      <c r="AE115" s="22">
        <v>0</v>
      </c>
      <c r="AF115" s="21">
        <v>2</v>
      </c>
      <c r="AG115" s="21">
        <v>0</v>
      </c>
      <c r="AH115" s="65"/>
      <c r="AI115" s="21">
        <f t="shared" ref="AI115:AI119" si="33">SUM(D115:AH115)</f>
        <v>12</v>
      </c>
      <c r="AJ115" s="28"/>
      <c r="AK115" s="24"/>
      <c r="AL115" s="24"/>
      <c r="AM115" s="21">
        <f>AI115*C115</f>
        <v>550</v>
      </c>
      <c r="AN115" s="20">
        <v>0</v>
      </c>
      <c r="AO115" s="506"/>
      <c r="AP115" s="505"/>
    </row>
    <row r="116" spans="1:44">
      <c r="A116" s="18">
        <v>2</v>
      </c>
      <c r="B116" s="19" t="s">
        <v>27</v>
      </c>
      <c r="C116" s="20">
        <f>B117/AG112</f>
        <v>266.66666666666669</v>
      </c>
      <c r="D116" s="21">
        <v>1</v>
      </c>
      <c r="E116" s="21">
        <v>1</v>
      </c>
      <c r="F116" s="21">
        <v>1</v>
      </c>
      <c r="G116" s="37">
        <v>0</v>
      </c>
      <c r="H116" s="37">
        <v>0</v>
      </c>
      <c r="I116" s="21">
        <v>1</v>
      </c>
      <c r="J116" s="22">
        <v>0</v>
      </c>
      <c r="K116" s="21">
        <v>1</v>
      </c>
      <c r="L116" s="21">
        <v>1</v>
      </c>
      <c r="M116" s="21">
        <v>1</v>
      </c>
      <c r="N116" s="21">
        <v>1</v>
      </c>
      <c r="O116" s="21">
        <v>1</v>
      </c>
      <c r="P116" s="21">
        <v>1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1">
        <v>1</v>
      </c>
      <c r="AB116" s="21">
        <v>1</v>
      </c>
      <c r="AC116" s="21">
        <v>1</v>
      </c>
      <c r="AD116" s="21">
        <v>1</v>
      </c>
      <c r="AE116" s="22">
        <v>0</v>
      </c>
      <c r="AF116" s="21">
        <v>1</v>
      </c>
      <c r="AG116" s="21">
        <v>1</v>
      </c>
      <c r="AH116" s="65"/>
      <c r="AI116" s="21">
        <f t="shared" si="33"/>
        <v>16</v>
      </c>
      <c r="AJ116" s="28">
        <v>4</v>
      </c>
      <c r="AK116" s="21">
        <v>10</v>
      </c>
      <c r="AL116" s="21">
        <f>AI116+AJ116</f>
        <v>20</v>
      </c>
      <c r="AM116" s="21">
        <f>AL116*C116</f>
        <v>5333.3333333333339</v>
      </c>
      <c r="AN116" s="21">
        <f>C116*AG112</f>
        <v>8000.0000000000009</v>
      </c>
      <c r="AO116" s="506">
        <f>AM116+AM117</f>
        <v>5800.0000000000009</v>
      </c>
      <c r="AP116" s="505">
        <v>6000</v>
      </c>
    </row>
    <row r="117" spans="1:44">
      <c r="A117" s="21"/>
      <c r="B117" s="24">
        <v>8000</v>
      </c>
      <c r="C117" s="20">
        <f>C116/8*1</f>
        <v>33.333333333333336</v>
      </c>
      <c r="D117" s="21">
        <v>0</v>
      </c>
      <c r="E117" s="21">
        <v>0</v>
      </c>
      <c r="F117" s="21">
        <v>0</v>
      </c>
      <c r="G117" s="37">
        <v>0</v>
      </c>
      <c r="H117" s="37">
        <v>0</v>
      </c>
      <c r="I117" s="21">
        <v>0</v>
      </c>
      <c r="J117" s="22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2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2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2</v>
      </c>
      <c r="AD117" s="21">
        <v>2</v>
      </c>
      <c r="AE117" s="22">
        <v>8</v>
      </c>
      <c r="AF117" s="21">
        <v>2</v>
      </c>
      <c r="AG117" s="21">
        <v>0</v>
      </c>
      <c r="AH117" s="65"/>
      <c r="AI117" s="21">
        <f t="shared" si="33"/>
        <v>14</v>
      </c>
      <c r="AJ117" s="28"/>
      <c r="AK117" s="21"/>
      <c r="AL117" s="21"/>
      <c r="AM117" s="21">
        <f>C117*AI117</f>
        <v>466.66666666666669</v>
      </c>
      <c r="AN117" s="20">
        <v>0</v>
      </c>
      <c r="AO117" s="506"/>
      <c r="AP117" s="505"/>
    </row>
    <row r="118" spans="1:44">
      <c r="A118" s="18">
        <v>3</v>
      </c>
      <c r="B118" s="19" t="s">
        <v>23</v>
      </c>
      <c r="C118" s="20">
        <f>B119/AG112</f>
        <v>266.66666666666669</v>
      </c>
      <c r="D118" s="21">
        <v>1</v>
      </c>
      <c r="E118" s="21">
        <v>1</v>
      </c>
      <c r="F118" s="21">
        <v>1</v>
      </c>
      <c r="G118" s="37">
        <v>0</v>
      </c>
      <c r="H118" s="37">
        <v>0</v>
      </c>
      <c r="I118" s="21">
        <v>1</v>
      </c>
      <c r="J118" s="22">
        <v>0</v>
      </c>
      <c r="K118" s="21">
        <v>1</v>
      </c>
      <c r="L118" s="21">
        <v>1</v>
      </c>
      <c r="M118" s="21">
        <v>1</v>
      </c>
      <c r="N118" s="21">
        <v>1</v>
      </c>
      <c r="O118" s="21">
        <v>1</v>
      </c>
      <c r="P118" s="21">
        <v>1</v>
      </c>
      <c r="Q118" s="22">
        <v>0</v>
      </c>
      <c r="R118" s="21">
        <v>1</v>
      </c>
      <c r="S118" s="21">
        <v>1</v>
      </c>
      <c r="T118" s="21">
        <v>1</v>
      </c>
      <c r="U118" s="21">
        <v>1</v>
      </c>
      <c r="V118" s="21">
        <v>1</v>
      </c>
      <c r="W118" s="21">
        <v>1</v>
      </c>
      <c r="X118" s="22">
        <v>0</v>
      </c>
      <c r="Y118" s="21">
        <v>1</v>
      </c>
      <c r="Z118" s="21">
        <v>1</v>
      </c>
      <c r="AA118" s="21">
        <v>1</v>
      </c>
      <c r="AB118" s="21">
        <v>1</v>
      </c>
      <c r="AC118" s="21">
        <v>1</v>
      </c>
      <c r="AD118" s="21">
        <v>1</v>
      </c>
      <c r="AE118" s="22">
        <v>0</v>
      </c>
      <c r="AF118" s="21">
        <v>1</v>
      </c>
      <c r="AG118" s="21">
        <v>1</v>
      </c>
      <c r="AH118" s="65"/>
      <c r="AI118" s="21">
        <f t="shared" si="33"/>
        <v>24</v>
      </c>
      <c r="AJ118" s="28">
        <v>6</v>
      </c>
      <c r="AK118" s="21">
        <v>2</v>
      </c>
      <c r="AL118" s="21">
        <f>AI118+AJ118</f>
        <v>30</v>
      </c>
      <c r="AM118" s="21">
        <f>AL118*C118</f>
        <v>8000.0000000000009</v>
      </c>
      <c r="AN118" s="21">
        <v>8000</v>
      </c>
      <c r="AO118" s="506">
        <f>AM118+AM119</f>
        <v>9000.0000000000018</v>
      </c>
      <c r="AP118" s="505">
        <v>9500</v>
      </c>
    </row>
    <row r="119" spans="1:44">
      <c r="A119" s="21"/>
      <c r="B119" s="24">
        <v>8000</v>
      </c>
      <c r="C119" s="20">
        <f>C118/8*1</f>
        <v>33.333333333333336</v>
      </c>
      <c r="D119" s="21">
        <v>0</v>
      </c>
      <c r="E119" s="21">
        <v>0</v>
      </c>
      <c r="F119" s="21">
        <v>0</v>
      </c>
      <c r="G119" s="37">
        <v>0</v>
      </c>
      <c r="H119" s="37">
        <v>0</v>
      </c>
      <c r="I119" s="21">
        <v>0</v>
      </c>
      <c r="J119" s="22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2">
        <v>0</v>
      </c>
      <c r="R119" s="21">
        <v>0</v>
      </c>
      <c r="S119" s="21">
        <v>0</v>
      </c>
      <c r="T119" s="21">
        <v>0</v>
      </c>
      <c r="U119" s="21">
        <v>2</v>
      </c>
      <c r="V119" s="21">
        <v>2</v>
      </c>
      <c r="W119" s="21">
        <v>2</v>
      </c>
      <c r="X119" s="22">
        <v>8</v>
      </c>
      <c r="Y119" s="21">
        <v>0</v>
      </c>
      <c r="Z119" s="21">
        <v>2</v>
      </c>
      <c r="AA119" s="21">
        <v>0</v>
      </c>
      <c r="AB119" s="21">
        <v>0</v>
      </c>
      <c r="AC119" s="21">
        <v>2</v>
      </c>
      <c r="AD119" s="21">
        <v>2</v>
      </c>
      <c r="AE119" s="22">
        <v>8</v>
      </c>
      <c r="AF119" s="21">
        <v>2</v>
      </c>
      <c r="AG119" s="21">
        <v>0</v>
      </c>
      <c r="AH119" s="65"/>
      <c r="AI119" s="21">
        <f t="shared" si="33"/>
        <v>30</v>
      </c>
      <c r="AJ119" s="28"/>
      <c r="AK119" s="21"/>
      <c r="AL119" s="21"/>
      <c r="AM119" s="21">
        <f>C119*AI119</f>
        <v>1000.0000000000001</v>
      </c>
      <c r="AN119" s="20">
        <v>0</v>
      </c>
      <c r="AO119" s="506"/>
      <c r="AP119" s="505"/>
    </row>
    <row r="120" spans="1:44">
      <c r="A120" s="60"/>
      <c r="B120" s="513" t="s">
        <v>30</v>
      </c>
      <c r="C120" s="513"/>
      <c r="D120" s="60">
        <f>D114+D116+D118</f>
        <v>3</v>
      </c>
      <c r="E120" s="63">
        <f t="shared" ref="E120:AG120" si="34">E114+E116+E118</f>
        <v>3</v>
      </c>
      <c r="F120" s="63">
        <f t="shared" si="34"/>
        <v>3</v>
      </c>
      <c r="G120" s="63">
        <f t="shared" si="34"/>
        <v>0</v>
      </c>
      <c r="H120" s="63">
        <f t="shared" si="34"/>
        <v>0</v>
      </c>
      <c r="I120" s="63">
        <f t="shared" si="34"/>
        <v>3</v>
      </c>
      <c r="J120" s="63">
        <f t="shared" si="34"/>
        <v>0</v>
      </c>
      <c r="K120" s="63">
        <f t="shared" si="34"/>
        <v>3</v>
      </c>
      <c r="L120" s="63">
        <f t="shared" si="34"/>
        <v>3</v>
      </c>
      <c r="M120" s="63">
        <f t="shared" si="34"/>
        <v>3</v>
      </c>
      <c r="N120" s="63">
        <f t="shared" si="34"/>
        <v>3</v>
      </c>
      <c r="O120" s="63">
        <f t="shared" si="34"/>
        <v>3</v>
      </c>
      <c r="P120" s="63">
        <f t="shared" si="34"/>
        <v>3</v>
      </c>
      <c r="Q120" s="63">
        <f t="shared" si="34"/>
        <v>0</v>
      </c>
      <c r="R120" s="63">
        <f t="shared" si="34"/>
        <v>2</v>
      </c>
      <c r="S120" s="63">
        <f t="shared" si="34"/>
        <v>2</v>
      </c>
      <c r="T120" s="63">
        <f t="shared" si="34"/>
        <v>2</v>
      </c>
      <c r="U120" s="63">
        <f t="shared" si="34"/>
        <v>2</v>
      </c>
      <c r="V120" s="63">
        <f t="shared" si="34"/>
        <v>2</v>
      </c>
      <c r="W120" s="63">
        <f t="shared" si="34"/>
        <v>1</v>
      </c>
      <c r="X120" s="63">
        <f t="shared" si="34"/>
        <v>1</v>
      </c>
      <c r="Y120" s="63">
        <f t="shared" si="34"/>
        <v>2</v>
      </c>
      <c r="Z120" s="63">
        <f t="shared" si="34"/>
        <v>2</v>
      </c>
      <c r="AA120" s="63">
        <f t="shared" si="34"/>
        <v>3</v>
      </c>
      <c r="AB120" s="63">
        <f t="shared" si="34"/>
        <v>3</v>
      </c>
      <c r="AC120" s="63">
        <f t="shared" si="34"/>
        <v>3</v>
      </c>
      <c r="AD120" s="63">
        <f t="shared" si="34"/>
        <v>3</v>
      </c>
      <c r="AE120" s="63">
        <f t="shared" si="34"/>
        <v>0</v>
      </c>
      <c r="AF120" s="63">
        <f t="shared" si="34"/>
        <v>3</v>
      </c>
      <c r="AG120" s="63">
        <f t="shared" si="34"/>
        <v>3</v>
      </c>
      <c r="AH120" s="60">
        <f t="shared" ref="AH120:AN120" si="35">AH114+AH116+AH118</f>
        <v>0</v>
      </c>
      <c r="AI120" s="60">
        <f t="shared" si="35"/>
        <v>64</v>
      </c>
      <c r="AJ120" s="60">
        <f t="shared" si="35"/>
        <v>16</v>
      </c>
      <c r="AK120" s="60">
        <f t="shared" si="35"/>
        <v>12</v>
      </c>
      <c r="AL120" s="60">
        <f t="shared" si="35"/>
        <v>80</v>
      </c>
      <c r="AM120" s="60">
        <f t="shared" si="35"/>
        <v>24333.333333333336</v>
      </c>
      <c r="AN120" s="60">
        <f t="shared" si="35"/>
        <v>27000</v>
      </c>
      <c r="AO120" s="523">
        <f>AM120+AM121</f>
        <v>26350.000000000004</v>
      </c>
      <c r="AP120" s="525">
        <f>SUM(AP114:AP119)</f>
        <v>27500</v>
      </c>
    </row>
    <row r="121" spans="1:44">
      <c r="A121" s="61"/>
      <c r="B121" s="517" t="s">
        <v>31</v>
      </c>
      <c r="C121" s="517"/>
      <c r="D121" s="61">
        <f>D115+D117+D119</f>
        <v>0</v>
      </c>
      <c r="E121" s="64">
        <f t="shared" ref="E121:AE121" si="36">E115+E117+E119</f>
        <v>0</v>
      </c>
      <c r="F121" s="64">
        <f t="shared" si="36"/>
        <v>0</v>
      </c>
      <c r="G121" s="64">
        <f t="shared" si="36"/>
        <v>0</v>
      </c>
      <c r="H121" s="64">
        <f t="shared" si="36"/>
        <v>0</v>
      </c>
      <c r="I121" s="64">
        <f t="shared" si="36"/>
        <v>0</v>
      </c>
      <c r="J121" s="64">
        <f t="shared" si="36"/>
        <v>0</v>
      </c>
      <c r="K121" s="64">
        <f t="shared" si="36"/>
        <v>0</v>
      </c>
      <c r="L121" s="64">
        <f t="shared" si="36"/>
        <v>0</v>
      </c>
      <c r="M121" s="64">
        <f t="shared" si="36"/>
        <v>0</v>
      </c>
      <c r="N121" s="64">
        <f t="shared" si="36"/>
        <v>0</v>
      </c>
      <c r="O121" s="64">
        <f t="shared" si="36"/>
        <v>0</v>
      </c>
      <c r="P121" s="64">
        <f t="shared" si="36"/>
        <v>0</v>
      </c>
      <c r="Q121" s="64">
        <f t="shared" si="36"/>
        <v>0</v>
      </c>
      <c r="R121" s="64">
        <f t="shared" si="36"/>
        <v>0</v>
      </c>
      <c r="S121" s="64">
        <f t="shared" si="36"/>
        <v>0</v>
      </c>
      <c r="T121" s="64">
        <f t="shared" si="36"/>
        <v>0</v>
      </c>
      <c r="U121" s="64">
        <f t="shared" si="36"/>
        <v>4</v>
      </c>
      <c r="V121" s="64">
        <f t="shared" si="36"/>
        <v>4</v>
      </c>
      <c r="W121" s="64">
        <f t="shared" si="36"/>
        <v>2</v>
      </c>
      <c r="X121" s="64">
        <f t="shared" si="36"/>
        <v>8</v>
      </c>
      <c r="Y121" s="64">
        <f t="shared" si="36"/>
        <v>0</v>
      </c>
      <c r="Z121" s="64">
        <f t="shared" si="36"/>
        <v>4</v>
      </c>
      <c r="AA121" s="64">
        <f t="shared" si="36"/>
        <v>0</v>
      </c>
      <c r="AB121" s="64">
        <f t="shared" si="36"/>
        <v>0</v>
      </c>
      <c r="AC121" s="64">
        <f t="shared" si="36"/>
        <v>6</v>
      </c>
      <c r="AD121" s="64">
        <f t="shared" si="36"/>
        <v>6</v>
      </c>
      <c r="AE121" s="64">
        <f t="shared" si="36"/>
        <v>16</v>
      </c>
      <c r="AF121" s="61">
        <f t="shared" ref="AF121:AN121" si="37">AF115+AF117+AF119</f>
        <v>6</v>
      </c>
      <c r="AG121" s="61">
        <f t="shared" si="37"/>
        <v>0</v>
      </c>
      <c r="AH121" s="61">
        <f t="shared" si="37"/>
        <v>0</v>
      </c>
      <c r="AI121" s="61">
        <f t="shared" si="37"/>
        <v>56</v>
      </c>
      <c r="AJ121" s="61">
        <f t="shared" si="37"/>
        <v>0</v>
      </c>
      <c r="AK121" s="61">
        <f t="shared" si="37"/>
        <v>0</v>
      </c>
      <c r="AL121" s="61">
        <f t="shared" si="37"/>
        <v>0</v>
      </c>
      <c r="AM121" s="61">
        <f t="shared" si="37"/>
        <v>2016.666666666667</v>
      </c>
      <c r="AN121" s="61">
        <f t="shared" si="37"/>
        <v>0</v>
      </c>
      <c r="AO121" s="524"/>
      <c r="AP121" s="526"/>
    </row>
    <row r="122" spans="1:44">
      <c r="AF122" s="48" t="s">
        <v>49</v>
      </c>
      <c r="AG122" s="48"/>
      <c r="AH122" s="49">
        <f>(AI114+AI116+AI118)*2*5</f>
        <v>640</v>
      </c>
      <c r="AI122" s="509" t="s">
        <v>50</v>
      </c>
      <c r="AJ122" s="510"/>
      <c r="AK122" s="50"/>
    </row>
    <row r="125" spans="1:44" ht="23.25">
      <c r="A125" s="518" t="s">
        <v>0</v>
      </c>
      <c r="B125" s="519" t="s">
        <v>1</v>
      </c>
      <c r="C125" s="519"/>
      <c r="D125" s="520" t="s">
        <v>58</v>
      </c>
      <c r="E125" s="520"/>
      <c r="F125" s="520"/>
      <c r="G125" s="520"/>
      <c r="H125" s="520"/>
      <c r="I125" s="520"/>
      <c r="J125" s="520"/>
      <c r="K125" s="520"/>
      <c r="L125" s="520"/>
      <c r="M125" s="520"/>
      <c r="N125" s="520"/>
      <c r="O125" s="520"/>
      <c r="P125" s="520"/>
      <c r="Q125" s="520"/>
      <c r="R125" s="520"/>
      <c r="S125" s="520"/>
      <c r="T125" s="520"/>
      <c r="U125" s="520"/>
      <c r="V125" s="520"/>
      <c r="W125" s="520"/>
      <c r="X125" s="520"/>
      <c r="Y125" s="520"/>
      <c r="Z125" s="520"/>
      <c r="AA125" s="520"/>
      <c r="AB125" s="520"/>
      <c r="AC125" s="520"/>
      <c r="AD125" s="520"/>
      <c r="AE125" s="520"/>
      <c r="AF125" s="520"/>
      <c r="AG125" s="521">
        <v>31</v>
      </c>
      <c r="AH125" s="521"/>
      <c r="AI125" s="522" t="s">
        <v>3</v>
      </c>
      <c r="AJ125" s="522" t="s">
        <v>4</v>
      </c>
      <c r="AK125" s="522" t="s">
        <v>5</v>
      </c>
      <c r="AL125" s="522" t="s">
        <v>6</v>
      </c>
      <c r="AM125" s="522" t="s">
        <v>7</v>
      </c>
      <c r="AN125" s="522" t="s">
        <v>8</v>
      </c>
      <c r="AO125" s="522" t="s">
        <v>7</v>
      </c>
      <c r="AP125" s="522" t="s">
        <v>33</v>
      </c>
    </row>
    <row r="126" spans="1:44">
      <c r="A126" s="518"/>
      <c r="B126" s="519"/>
      <c r="C126" s="519"/>
      <c r="D126" s="68">
        <v>1</v>
      </c>
      <c r="E126" s="68">
        <v>2</v>
      </c>
      <c r="F126" s="68">
        <v>3</v>
      </c>
      <c r="G126" s="68">
        <v>4</v>
      </c>
      <c r="H126" s="68">
        <v>5</v>
      </c>
      <c r="I126" s="68">
        <v>6</v>
      </c>
      <c r="J126" s="68">
        <v>7</v>
      </c>
      <c r="K126" s="68">
        <v>8</v>
      </c>
      <c r="L126" s="68">
        <v>9</v>
      </c>
      <c r="M126" s="68">
        <v>10</v>
      </c>
      <c r="N126" s="68">
        <v>11</v>
      </c>
      <c r="O126" s="68">
        <v>12</v>
      </c>
      <c r="P126" s="68">
        <v>13</v>
      </c>
      <c r="Q126" s="68">
        <v>14</v>
      </c>
      <c r="R126" s="68">
        <v>15</v>
      </c>
      <c r="S126" s="68">
        <v>16</v>
      </c>
      <c r="T126" s="68">
        <v>17</v>
      </c>
      <c r="U126" s="68">
        <v>18</v>
      </c>
      <c r="V126" s="68">
        <v>19</v>
      </c>
      <c r="W126" s="68">
        <v>20</v>
      </c>
      <c r="X126" s="68">
        <v>21</v>
      </c>
      <c r="Y126" s="68">
        <v>22</v>
      </c>
      <c r="Z126" s="68">
        <v>23</v>
      </c>
      <c r="AA126" s="68">
        <v>24</v>
      </c>
      <c r="AB126" s="68">
        <v>25</v>
      </c>
      <c r="AC126" s="68">
        <v>26</v>
      </c>
      <c r="AD126" s="68">
        <v>27</v>
      </c>
      <c r="AE126" s="68">
        <v>28</v>
      </c>
      <c r="AF126" s="68">
        <v>29</v>
      </c>
      <c r="AG126" s="68">
        <v>30</v>
      </c>
      <c r="AH126" s="68">
        <v>31</v>
      </c>
      <c r="AI126" s="522"/>
      <c r="AJ126" s="522"/>
      <c r="AK126" s="522"/>
      <c r="AL126" s="522"/>
      <c r="AM126" s="522"/>
      <c r="AN126" s="522"/>
      <c r="AO126" s="522"/>
      <c r="AP126" s="522"/>
    </row>
    <row r="127" spans="1:44" ht="15.75" customHeight="1">
      <c r="A127" s="18">
        <v>1</v>
      </c>
      <c r="B127" s="19" t="s">
        <v>9</v>
      </c>
      <c r="C127" s="20">
        <f>B128/AG125</f>
        <v>387.09677419354841</v>
      </c>
      <c r="D127" s="21">
        <v>1</v>
      </c>
      <c r="E127" s="21">
        <v>1</v>
      </c>
      <c r="F127" s="21">
        <v>1</v>
      </c>
      <c r="G127" s="21">
        <v>1</v>
      </c>
      <c r="H127" s="22">
        <v>0</v>
      </c>
      <c r="I127" s="21">
        <v>1</v>
      </c>
      <c r="J127" s="21">
        <v>1</v>
      </c>
      <c r="K127" s="21">
        <v>1</v>
      </c>
      <c r="L127" s="21">
        <v>1</v>
      </c>
      <c r="M127" s="21">
        <v>1</v>
      </c>
      <c r="N127" s="21">
        <v>1</v>
      </c>
      <c r="O127" s="22">
        <v>0</v>
      </c>
      <c r="P127" s="21">
        <v>1</v>
      </c>
      <c r="Q127" s="21">
        <v>1</v>
      </c>
      <c r="R127" s="21">
        <v>1</v>
      </c>
      <c r="S127" s="21">
        <v>1</v>
      </c>
      <c r="T127" s="21">
        <v>1</v>
      </c>
      <c r="U127" s="23">
        <v>0</v>
      </c>
      <c r="V127" s="22">
        <v>0</v>
      </c>
      <c r="W127" s="21">
        <v>1</v>
      </c>
      <c r="X127" s="21">
        <v>1</v>
      </c>
      <c r="Y127" s="21">
        <v>1</v>
      </c>
      <c r="Z127" s="21">
        <v>1</v>
      </c>
      <c r="AA127" s="21">
        <v>1</v>
      </c>
      <c r="AB127" s="27">
        <v>1</v>
      </c>
      <c r="AC127" s="22">
        <v>0</v>
      </c>
      <c r="AD127" s="21">
        <v>1</v>
      </c>
      <c r="AE127" s="21">
        <v>1</v>
      </c>
      <c r="AF127" s="21">
        <v>1</v>
      </c>
      <c r="AG127" s="21">
        <v>1</v>
      </c>
      <c r="AH127" s="21">
        <v>1</v>
      </c>
      <c r="AI127" s="21">
        <f>SUM(D127:AH127)</f>
        <v>26</v>
      </c>
      <c r="AJ127" s="28">
        <v>4</v>
      </c>
      <c r="AK127" s="21">
        <v>1</v>
      </c>
      <c r="AL127" s="21">
        <f>AI127+AJ127</f>
        <v>30</v>
      </c>
      <c r="AM127" s="21">
        <f>AL127*C127</f>
        <v>11612.903225806453</v>
      </c>
      <c r="AN127" s="21">
        <f>C127*AG125</f>
        <v>12000</v>
      </c>
      <c r="AO127" s="528">
        <f>AM127+AM128</f>
        <v>11903.225806451614</v>
      </c>
      <c r="AP127" s="529">
        <v>12000</v>
      </c>
      <c r="AR127" s="73" t="s">
        <v>54</v>
      </c>
    </row>
    <row r="128" spans="1:44" ht="15.75" customHeight="1">
      <c r="A128" s="21"/>
      <c r="B128" s="24">
        <v>12000</v>
      </c>
      <c r="C128" s="20">
        <f>C127/8*1</f>
        <v>48.387096774193552</v>
      </c>
      <c r="D128" s="21"/>
      <c r="E128" s="21"/>
      <c r="F128" s="21"/>
      <c r="G128" s="21"/>
      <c r="H128" s="22">
        <v>0</v>
      </c>
      <c r="I128" s="21"/>
      <c r="J128" s="21"/>
      <c r="K128" s="21"/>
      <c r="L128" s="21"/>
      <c r="M128" s="21">
        <v>2</v>
      </c>
      <c r="N128" s="21"/>
      <c r="O128" s="22">
        <v>0</v>
      </c>
      <c r="P128" s="21"/>
      <c r="Q128" s="21"/>
      <c r="R128" s="21"/>
      <c r="S128" s="21"/>
      <c r="T128" s="21">
        <v>2</v>
      </c>
      <c r="U128" s="21"/>
      <c r="V128" s="22">
        <v>0</v>
      </c>
      <c r="W128" s="21"/>
      <c r="X128" s="21"/>
      <c r="Y128" s="21">
        <v>2</v>
      </c>
      <c r="Z128" s="21"/>
      <c r="AA128" s="21"/>
      <c r="AB128" s="21"/>
      <c r="AC128" s="22">
        <v>0</v>
      </c>
      <c r="AD128" s="21"/>
      <c r="AE128" s="21"/>
      <c r="AF128" s="21"/>
      <c r="AG128" s="21"/>
      <c r="AH128" s="21"/>
      <c r="AI128" s="21">
        <f t="shared" ref="AI128:AI140" si="38">SUM(D128:AH128)</f>
        <v>6</v>
      </c>
      <c r="AJ128" s="28"/>
      <c r="AK128" s="24"/>
      <c r="AL128" s="24"/>
      <c r="AM128" s="21">
        <f>AI128*C128</f>
        <v>290.32258064516134</v>
      </c>
      <c r="AN128" s="20">
        <v>0</v>
      </c>
      <c r="AO128" s="528"/>
      <c r="AP128" s="529"/>
    </row>
    <row r="129" spans="1:44" ht="15.75" customHeight="1">
      <c r="A129" s="18">
        <v>2</v>
      </c>
      <c r="B129" s="19" t="s">
        <v>27</v>
      </c>
      <c r="C129" s="20">
        <f>B130/AG125</f>
        <v>290.32258064516128</v>
      </c>
      <c r="D129" s="21">
        <v>1</v>
      </c>
      <c r="E129" s="21">
        <v>1</v>
      </c>
      <c r="F129" s="21">
        <v>1</v>
      </c>
      <c r="G129" s="21">
        <v>1</v>
      </c>
      <c r="H129" s="22">
        <v>0</v>
      </c>
      <c r="I129" s="21">
        <v>1</v>
      </c>
      <c r="J129" s="21">
        <v>1</v>
      </c>
      <c r="K129" s="21">
        <v>1</v>
      </c>
      <c r="L129" s="21">
        <v>1</v>
      </c>
      <c r="M129" s="21">
        <v>1</v>
      </c>
      <c r="N129" s="21">
        <v>1</v>
      </c>
      <c r="O129" s="22">
        <v>0</v>
      </c>
      <c r="P129" s="21">
        <v>1</v>
      </c>
      <c r="Q129" s="21">
        <v>1</v>
      </c>
      <c r="R129" s="21">
        <v>1</v>
      </c>
      <c r="S129" s="21">
        <v>1</v>
      </c>
      <c r="T129" s="21">
        <v>1</v>
      </c>
      <c r="U129" s="23">
        <v>0</v>
      </c>
      <c r="V129" s="22">
        <v>0</v>
      </c>
      <c r="W129" s="21">
        <v>1</v>
      </c>
      <c r="X129" s="21">
        <v>1</v>
      </c>
      <c r="Y129" s="21">
        <v>1</v>
      </c>
      <c r="Z129" s="21">
        <v>1</v>
      </c>
      <c r="AA129" s="21">
        <v>1</v>
      </c>
      <c r="AB129" s="27">
        <v>1</v>
      </c>
      <c r="AC129" s="22">
        <v>0</v>
      </c>
      <c r="AD129" s="21">
        <v>1</v>
      </c>
      <c r="AE129" s="21">
        <v>1</v>
      </c>
      <c r="AF129" s="21">
        <v>1</v>
      </c>
      <c r="AG129" s="21">
        <v>1</v>
      </c>
      <c r="AH129" s="21">
        <v>1</v>
      </c>
      <c r="AI129" s="21">
        <f t="shared" si="38"/>
        <v>26</v>
      </c>
      <c r="AJ129" s="28">
        <v>4</v>
      </c>
      <c r="AK129" s="21">
        <v>1</v>
      </c>
      <c r="AL129" s="21">
        <f>AI129+AJ129</f>
        <v>30</v>
      </c>
      <c r="AM129" s="21">
        <f>AL129*C129</f>
        <v>8709.677419354839</v>
      </c>
      <c r="AN129" s="21">
        <f>C129*AG125</f>
        <v>9000</v>
      </c>
      <c r="AO129" s="506">
        <f>AM129+AM130</f>
        <v>8927.4193548387102</v>
      </c>
      <c r="AP129" s="512">
        <v>8000</v>
      </c>
      <c r="AQ129" s="527">
        <v>1000</v>
      </c>
    </row>
    <row r="130" spans="1:44" ht="15.75" customHeight="1">
      <c r="A130" s="21"/>
      <c r="B130" s="24">
        <v>9000</v>
      </c>
      <c r="C130" s="20">
        <f>C129/8*1</f>
        <v>36.29032258064516</v>
      </c>
      <c r="D130" s="21"/>
      <c r="E130" s="21"/>
      <c r="F130" s="21"/>
      <c r="G130" s="21"/>
      <c r="H130" s="22">
        <v>0</v>
      </c>
      <c r="I130" s="21"/>
      <c r="J130" s="21"/>
      <c r="K130" s="21"/>
      <c r="L130" s="21">
        <v>2</v>
      </c>
      <c r="M130" s="21">
        <v>2</v>
      </c>
      <c r="N130" s="21"/>
      <c r="O130" s="22">
        <v>0</v>
      </c>
      <c r="P130" s="21"/>
      <c r="Q130" s="21"/>
      <c r="R130" s="21"/>
      <c r="S130" s="21"/>
      <c r="T130" s="21"/>
      <c r="U130" s="21"/>
      <c r="V130" s="22">
        <v>0</v>
      </c>
      <c r="W130" s="21"/>
      <c r="X130" s="21"/>
      <c r="Y130" s="21">
        <v>2</v>
      </c>
      <c r="Z130" s="21"/>
      <c r="AA130" s="21"/>
      <c r="AB130" s="21"/>
      <c r="AC130" s="22">
        <v>0</v>
      </c>
      <c r="AD130" s="21"/>
      <c r="AE130" s="21"/>
      <c r="AF130" s="21"/>
      <c r="AG130" s="21"/>
      <c r="AH130" s="21"/>
      <c r="AI130" s="21">
        <f t="shared" si="38"/>
        <v>6</v>
      </c>
      <c r="AJ130" s="28"/>
      <c r="AK130" s="21"/>
      <c r="AL130" s="21"/>
      <c r="AM130" s="21">
        <f>C130*AI130</f>
        <v>217.74193548387098</v>
      </c>
      <c r="AN130" s="20">
        <v>0</v>
      </c>
      <c r="AO130" s="506"/>
      <c r="AP130" s="512"/>
      <c r="AQ130" s="527"/>
    </row>
    <row r="131" spans="1:44" ht="15.75" customHeight="1">
      <c r="A131" s="21">
        <v>3</v>
      </c>
      <c r="B131" s="24" t="s">
        <v>59</v>
      </c>
      <c r="C131" s="20">
        <f>B132/AG125</f>
        <v>290.32258064516128</v>
      </c>
      <c r="D131" s="23">
        <v>0</v>
      </c>
      <c r="E131" s="27">
        <v>0.5</v>
      </c>
      <c r="F131" s="21">
        <v>1</v>
      </c>
      <c r="G131" s="21">
        <v>1</v>
      </c>
      <c r="H131" s="23">
        <v>0</v>
      </c>
      <c r="I131" s="21">
        <v>1</v>
      </c>
      <c r="J131" s="21">
        <v>1</v>
      </c>
      <c r="K131" s="23">
        <v>0</v>
      </c>
      <c r="L131" s="21">
        <v>1</v>
      </c>
      <c r="M131" s="21">
        <v>1</v>
      </c>
      <c r="N131" s="23">
        <v>0</v>
      </c>
      <c r="O131" s="23">
        <v>0</v>
      </c>
      <c r="P131" s="21">
        <v>1</v>
      </c>
      <c r="Q131" s="21">
        <v>1</v>
      </c>
      <c r="R131" s="21">
        <v>1</v>
      </c>
      <c r="S131" s="21">
        <v>1</v>
      </c>
      <c r="T131" s="23">
        <v>0</v>
      </c>
      <c r="U131" s="23">
        <v>0</v>
      </c>
      <c r="V131" s="23">
        <v>0</v>
      </c>
      <c r="W131" s="23">
        <v>0</v>
      </c>
      <c r="X131" s="23">
        <v>0</v>
      </c>
      <c r="Y131" s="23">
        <v>0</v>
      </c>
      <c r="Z131" s="72">
        <v>1</v>
      </c>
      <c r="AA131" s="72">
        <v>1</v>
      </c>
      <c r="AB131" s="72">
        <v>1</v>
      </c>
      <c r="AC131" s="23">
        <v>0</v>
      </c>
      <c r="AD131" s="72">
        <v>1</v>
      </c>
      <c r="AE131" s="72">
        <v>1</v>
      </c>
      <c r="AF131" s="72">
        <v>1</v>
      </c>
      <c r="AG131" s="23">
        <v>0</v>
      </c>
      <c r="AH131" s="23">
        <v>0</v>
      </c>
      <c r="AI131" s="21">
        <f t="shared" si="38"/>
        <v>16.5</v>
      </c>
      <c r="AJ131" s="28">
        <v>0</v>
      </c>
      <c r="AK131" s="21">
        <v>10.5</v>
      </c>
      <c r="AL131" s="21">
        <f>AI131+AJ131</f>
        <v>16.5</v>
      </c>
      <c r="AM131" s="21">
        <f>AL131*C131</f>
        <v>4790.322580645161</v>
      </c>
      <c r="AN131" s="21">
        <f>C131*AG125</f>
        <v>9000</v>
      </c>
      <c r="AO131" s="506">
        <f>AM131+AM132</f>
        <v>4935.4838709677415</v>
      </c>
      <c r="AP131" s="512">
        <v>4800</v>
      </c>
    </row>
    <row r="132" spans="1:44" ht="15.75" customHeight="1">
      <c r="A132" s="21"/>
      <c r="B132" s="24">
        <v>9000</v>
      </c>
      <c r="C132" s="20">
        <f>C131/8*1</f>
        <v>36.29032258064516</v>
      </c>
      <c r="D132" s="21"/>
      <c r="E132" s="21"/>
      <c r="F132" s="21"/>
      <c r="G132" s="21"/>
      <c r="H132" s="22">
        <v>0</v>
      </c>
      <c r="I132" s="21"/>
      <c r="J132" s="21"/>
      <c r="K132" s="21"/>
      <c r="L132" s="21">
        <v>2</v>
      </c>
      <c r="M132" s="21">
        <v>2</v>
      </c>
      <c r="N132" s="21"/>
      <c r="O132" s="22">
        <v>0</v>
      </c>
      <c r="P132" s="21"/>
      <c r="Q132" s="21"/>
      <c r="R132" s="21"/>
      <c r="S132" s="21"/>
      <c r="T132" s="21"/>
      <c r="U132" s="21"/>
      <c r="V132" s="22">
        <v>0</v>
      </c>
      <c r="W132" s="21"/>
      <c r="X132" s="21"/>
      <c r="Y132" s="21"/>
      <c r="Z132" s="21"/>
      <c r="AA132" s="21"/>
      <c r="AB132" s="21"/>
      <c r="AC132" s="22">
        <v>0</v>
      </c>
      <c r="AD132" s="21"/>
      <c r="AE132" s="21"/>
      <c r="AF132" s="21"/>
      <c r="AG132" s="21"/>
      <c r="AH132" s="21"/>
      <c r="AI132" s="21">
        <f t="shared" si="38"/>
        <v>4</v>
      </c>
      <c r="AJ132" s="28"/>
      <c r="AK132" s="21"/>
      <c r="AL132" s="21"/>
      <c r="AM132" s="21">
        <f>C132*AI132</f>
        <v>145.16129032258064</v>
      </c>
      <c r="AN132" s="20">
        <v>0</v>
      </c>
      <c r="AO132" s="506"/>
      <c r="AP132" s="512"/>
    </row>
    <row r="133" spans="1:44" ht="15.75" customHeight="1">
      <c r="A133" s="21">
        <v>4</v>
      </c>
      <c r="B133" s="24" t="s">
        <v>60</v>
      </c>
      <c r="C133" s="20">
        <f>B134/AG125</f>
        <v>193.54838709677421</v>
      </c>
      <c r="D133" s="23">
        <v>0</v>
      </c>
      <c r="E133" s="21">
        <v>1</v>
      </c>
      <c r="F133" s="21">
        <v>1</v>
      </c>
      <c r="G133" s="21">
        <v>1</v>
      </c>
      <c r="H133" s="22">
        <v>0</v>
      </c>
      <c r="I133" s="21">
        <v>1</v>
      </c>
      <c r="J133" s="21">
        <v>1</v>
      </c>
      <c r="K133" s="23">
        <v>0</v>
      </c>
      <c r="L133" s="21">
        <v>1</v>
      </c>
      <c r="M133" s="21">
        <v>1</v>
      </c>
      <c r="N133" s="21">
        <v>1</v>
      </c>
      <c r="O133" s="22">
        <v>0</v>
      </c>
      <c r="P133" s="21">
        <v>1</v>
      </c>
      <c r="Q133" s="21">
        <v>1</v>
      </c>
      <c r="R133" s="23">
        <v>0</v>
      </c>
      <c r="S133" s="21">
        <v>1</v>
      </c>
      <c r="T133" s="21">
        <v>1</v>
      </c>
      <c r="U133" s="23">
        <v>0</v>
      </c>
      <c r="V133" s="23">
        <v>0</v>
      </c>
      <c r="W133" s="21">
        <v>1</v>
      </c>
      <c r="X133" s="23">
        <v>0</v>
      </c>
      <c r="Y133" s="21">
        <v>1</v>
      </c>
      <c r="Z133" s="21">
        <v>1</v>
      </c>
      <c r="AA133" s="21">
        <v>1</v>
      </c>
      <c r="AB133" s="21">
        <v>1</v>
      </c>
      <c r="AC133" s="22">
        <v>0</v>
      </c>
      <c r="AD133" s="21">
        <v>1</v>
      </c>
      <c r="AE133" s="23">
        <v>0</v>
      </c>
      <c r="AF133" s="21">
        <v>1</v>
      </c>
      <c r="AG133" s="21">
        <v>1</v>
      </c>
      <c r="AH133" s="23">
        <v>0</v>
      </c>
      <c r="AI133" s="21">
        <f t="shared" si="38"/>
        <v>20</v>
      </c>
      <c r="AJ133" s="28">
        <v>3</v>
      </c>
      <c r="AK133" s="21">
        <v>8</v>
      </c>
      <c r="AL133" s="21">
        <f>AI133+AJ133</f>
        <v>23</v>
      </c>
      <c r="AM133" s="21">
        <f t="shared" ref="AM133" si="39">AL133*C133</f>
        <v>4451.6129032258068</v>
      </c>
      <c r="AN133" s="21">
        <f>C133*AG125</f>
        <v>6000</v>
      </c>
      <c r="AO133" s="506">
        <f>AM133+AM134</f>
        <v>4645.1612903225814</v>
      </c>
      <c r="AP133" s="512">
        <v>4700</v>
      </c>
    </row>
    <row r="134" spans="1:44" ht="15.75" customHeight="1">
      <c r="A134" s="21"/>
      <c r="B134" s="24">
        <v>6000</v>
      </c>
      <c r="C134" s="20">
        <f>C133/8*1</f>
        <v>24.193548387096776</v>
      </c>
      <c r="D134" s="21"/>
      <c r="E134" s="21"/>
      <c r="F134" s="21"/>
      <c r="G134" s="21"/>
      <c r="H134" s="22">
        <v>0</v>
      </c>
      <c r="I134" s="21"/>
      <c r="J134" s="21"/>
      <c r="K134" s="21"/>
      <c r="L134" s="21">
        <v>2</v>
      </c>
      <c r="M134" s="21">
        <v>2</v>
      </c>
      <c r="N134" s="21"/>
      <c r="O134" s="22">
        <v>0</v>
      </c>
      <c r="P134" s="21"/>
      <c r="Q134" s="21"/>
      <c r="R134" s="21"/>
      <c r="S134" s="21"/>
      <c r="T134" s="21">
        <v>2</v>
      </c>
      <c r="U134" s="21"/>
      <c r="V134" s="22">
        <v>0</v>
      </c>
      <c r="W134" s="21"/>
      <c r="X134" s="21"/>
      <c r="Y134" s="21">
        <v>2</v>
      </c>
      <c r="Z134" s="21"/>
      <c r="AA134" s="21"/>
      <c r="AB134" s="21"/>
      <c r="AC134" s="22">
        <v>0</v>
      </c>
      <c r="AD134" s="21"/>
      <c r="AE134" s="21"/>
      <c r="AF134" s="21"/>
      <c r="AG134" s="21"/>
      <c r="AH134" s="21"/>
      <c r="AI134" s="21">
        <f t="shared" si="38"/>
        <v>8</v>
      </c>
      <c r="AJ134" s="28"/>
      <c r="AK134" s="21"/>
      <c r="AL134" s="21"/>
      <c r="AM134" s="21">
        <f t="shared" ref="AM134" si="40">C134*AI134</f>
        <v>193.54838709677421</v>
      </c>
      <c r="AN134" s="20">
        <v>0</v>
      </c>
      <c r="AO134" s="506"/>
      <c r="AP134" s="512"/>
    </row>
    <row r="135" spans="1:44" ht="15.75" customHeight="1">
      <c r="A135" s="21">
        <v>5</v>
      </c>
      <c r="B135" s="24" t="s">
        <v>61</v>
      </c>
      <c r="C135" s="20">
        <f>B136/AG125</f>
        <v>258.06451612903226</v>
      </c>
      <c r="D135" s="23">
        <v>0</v>
      </c>
      <c r="E135" s="23">
        <v>0</v>
      </c>
      <c r="F135" s="23">
        <v>0</v>
      </c>
      <c r="G135" s="23">
        <v>0</v>
      </c>
      <c r="H135" s="22">
        <v>0</v>
      </c>
      <c r="I135" s="23">
        <v>0</v>
      </c>
      <c r="J135" s="23">
        <v>0</v>
      </c>
      <c r="K135" s="23">
        <v>0</v>
      </c>
      <c r="L135" s="21">
        <v>1</v>
      </c>
      <c r="M135" s="21">
        <v>1</v>
      </c>
      <c r="N135" s="21">
        <v>1</v>
      </c>
      <c r="O135" s="22">
        <v>0</v>
      </c>
      <c r="P135" s="21">
        <v>1</v>
      </c>
      <c r="Q135" s="21">
        <v>1</v>
      </c>
      <c r="R135" s="27">
        <v>0.5</v>
      </c>
      <c r="S135" s="23">
        <v>0</v>
      </c>
      <c r="T135" s="21">
        <v>1</v>
      </c>
      <c r="U135" s="23">
        <v>0</v>
      </c>
      <c r="V135" s="22">
        <v>0</v>
      </c>
      <c r="W135" s="21">
        <v>1</v>
      </c>
      <c r="X135" s="21">
        <v>1</v>
      </c>
      <c r="Y135" s="21">
        <v>1</v>
      </c>
      <c r="Z135" s="21">
        <v>1</v>
      </c>
      <c r="AA135" s="21">
        <v>1</v>
      </c>
      <c r="AB135" s="21">
        <v>1</v>
      </c>
      <c r="AC135" s="22">
        <v>0</v>
      </c>
      <c r="AD135" s="21">
        <v>1</v>
      </c>
      <c r="AE135" s="21">
        <v>1</v>
      </c>
      <c r="AF135" s="21">
        <v>1</v>
      </c>
      <c r="AG135" s="21">
        <v>1</v>
      </c>
      <c r="AH135" s="27">
        <v>0.5</v>
      </c>
      <c r="AI135" s="21">
        <f t="shared" si="38"/>
        <v>17</v>
      </c>
      <c r="AJ135" s="28">
        <v>2</v>
      </c>
      <c r="AK135" s="21">
        <v>11</v>
      </c>
      <c r="AL135" s="21">
        <f>AI135+AJ135</f>
        <v>19</v>
      </c>
      <c r="AM135" s="21">
        <f t="shared" ref="AM135" si="41">AL135*C135</f>
        <v>4903.2258064516127</v>
      </c>
      <c r="AN135" s="21">
        <f>C135*AG125</f>
        <v>8000</v>
      </c>
      <c r="AO135" s="506">
        <f>AM135+AM136</f>
        <v>4903.2258064516127</v>
      </c>
      <c r="AP135" s="511">
        <v>5000</v>
      </c>
      <c r="AR135" t="s">
        <v>54</v>
      </c>
    </row>
    <row r="136" spans="1:44" ht="15.75" customHeight="1">
      <c r="A136" s="21"/>
      <c r="B136" s="24">
        <v>8000</v>
      </c>
      <c r="C136" s="20">
        <f>C135/8*1</f>
        <v>32.258064516129032</v>
      </c>
      <c r="D136" s="21"/>
      <c r="E136" s="21"/>
      <c r="F136" s="21"/>
      <c r="G136" s="21"/>
      <c r="H136" s="22">
        <v>0</v>
      </c>
      <c r="I136" s="21"/>
      <c r="J136" s="21"/>
      <c r="K136" s="21"/>
      <c r="L136" s="21"/>
      <c r="M136" s="21"/>
      <c r="N136" s="21"/>
      <c r="O136" s="22">
        <v>0</v>
      </c>
      <c r="P136" s="21"/>
      <c r="Q136" s="21"/>
      <c r="R136" s="21"/>
      <c r="S136" s="21"/>
      <c r="T136" s="21"/>
      <c r="U136" s="21"/>
      <c r="V136" s="22">
        <v>0</v>
      </c>
      <c r="W136" s="21"/>
      <c r="X136" s="21"/>
      <c r="Y136" s="21"/>
      <c r="Z136" s="21"/>
      <c r="AA136" s="21"/>
      <c r="AB136" s="21"/>
      <c r="AC136" s="22">
        <v>0</v>
      </c>
      <c r="AD136" s="21"/>
      <c r="AE136" s="21"/>
      <c r="AF136" s="21"/>
      <c r="AG136" s="21"/>
      <c r="AH136" s="21"/>
      <c r="AI136" s="21">
        <f t="shared" si="38"/>
        <v>0</v>
      </c>
      <c r="AJ136" s="28"/>
      <c r="AK136" s="21"/>
      <c r="AL136" s="21"/>
      <c r="AM136" s="21">
        <f t="shared" ref="AM136" si="42">C136*AI136</f>
        <v>0</v>
      </c>
      <c r="AN136" s="20">
        <v>0</v>
      </c>
      <c r="AO136" s="506"/>
      <c r="AP136" s="511"/>
    </row>
    <row r="137" spans="1:44" ht="15.75" customHeight="1">
      <c r="A137" s="21">
        <v>6</v>
      </c>
      <c r="B137" s="24" t="s">
        <v>62</v>
      </c>
      <c r="C137" s="20">
        <f>B138/AG125</f>
        <v>258.06451612903226</v>
      </c>
      <c r="D137" s="23">
        <v>0</v>
      </c>
      <c r="E137" s="23">
        <v>0</v>
      </c>
      <c r="F137" s="23">
        <v>0</v>
      </c>
      <c r="G137" s="23">
        <v>0</v>
      </c>
      <c r="H137" s="22">
        <v>0</v>
      </c>
      <c r="I137" s="23">
        <v>0</v>
      </c>
      <c r="J137" s="23">
        <v>0</v>
      </c>
      <c r="K137" s="23">
        <v>0</v>
      </c>
      <c r="L137" s="21">
        <v>1</v>
      </c>
      <c r="M137" s="21">
        <v>1</v>
      </c>
      <c r="N137" s="21">
        <v>1</v>
      </c>
      <c r="O137" s="22">
        <v>0</v>
      </c>
      <c r="P137" s="21">
        <v>1</v>
      </c>
      <c r="Q137" s="21">
        <v>1</v>
      </c>
      <c r="R137" s="21">
        <v>1</v>
      </c>
      <c r="S137" s="21">
        <v>1</v>
      </c>
      <c r="T137" s="21">
        <v>1</v>
      </c>
      <c r="U137" s="23">
        <v>0</v>
      </c>
      <c r="V137" s="22">
        <v>0</v>
      </c>
      <c r="W137" s="21">
        <v>1</v>
      </c>
      <c r="X137" s="21">
        <v>1</v>
      </c>
      <c r="Y137" s="21">
        <v>1</v>
      </c>
      <c r="Z137" s="21">
        <v>1</v>
      </c>
      <c r="AA137" s="21">
        <v>1</v>
      </c>
      <c r="AB137" s="21">
        <v>1</v>
      </c>
      <c r="AC137" s="22">
        <v>0</v>
      </c>
      <c r="AD137" s="21">
        <v>1</v>
      </c>
      <c r="AE137" s="21">
        <v>1</v>
      </c>
      <c r="AF137" s="23">
        <v>0</v>
      </c>
      <c r="AG137" s="23">
        <v>0</v>
      </c>
      <c r="AH137" s="27">
        <v>0.5</v>
      </c>
      <c r="AI137" s="21">
        <f t="shared" si="38"/>
        <v>16.5</v>
      </c>
      <c r="AJ137" s="28">
        <v>2</v>
      </c>
      <c r="AK137" s="21">
        <v>12</v>
      </c>
      <c r="AL137" s="21">
        <f>AI137+AJ137</f>
        <v>18.5</v>
      </c>
      <c r="AM137" s="21">
        <f t="shared" ref="AM137" si="43">AL137*C137</f>
        <v>4774.1935483870966</v>
      </c>
      <c r="AN137" s="21">
        <f>C137*AG125</f>
        <v>8000</v>
      </c>
      <c r="AO137" s="506">
        <f>AM137+AM138</f>
        <v>4774.1935483870966</v>
      </c>
      <c r="AP137" s="511">
        <v>4800</v>
      </c>
    </row>
    <row r="138" spans="1:44" ht="15.75" customHeight="1">
      <c r="A138" s="21"/>
      <c r="B138" s="24">
        <v>8000</v>
      </c>
      <c r="C138" s="20">
        <f>C137/8*1</f>
        <v>32.258064516129032</v>
      </c>
      <c r="D138" s="21"/>
      <c r="E138" s="21"/>
      <c r="F138" s="21"/>
      <c r="G138" s="21"/>
      <c r="H138" s="22">
        <v>0</v>
      </c>
      <c r="I138" s="21"/>
      <c r="J138" s="21"/>
      <c r="K138" s="21"/>
      <c r="L138" s="21"/>
      <c r="M138" s="21"/>
      <c r="N138" s="21"/>
      <c r="O138" s="22">
        <v>0</v>
      </c>
      <c r="P138" s="21"/>
      <c r="Q138" s="21"/>
      <c r="R138" s="21"/>
      <c r="S138" s="21"/>
      <c r="T138" s="21"/>
      <c r="U138" s="21"/>
      <c r="V138" s="22">
        <v>0</v>
      </c>
      <c r="W138" s="21"/>
      <c r="X138" s="21"/>
      <c r="Y138" s="21"/>
      <c r="Z138" s="21"/>
      <c r="AA138" s="21"/>
      <c r="AB138" s="21"/>
      <c r="AC138" s="22">
        <v>0</v>
      </c>
      <c r="AD138" s="21"/>
      <c r="AE138" s="21"/>
      <c r="AF138" s="21"/>
      <c r="AG138" s="21"/>
      <c r="AH138" s="21"/>
      <c r="AI138" s="21">
        <f t="shared" si="38"/>
        <v>0</v>
      </c>
      <c r="AJ138" s="28"/>
      <c r="AK138" s="21"/>
      <c r="AL138" s="21"/>
      <c r="AM138" s="21">
        <f t="shared" ref="AM138" si="44">C138*AI138</f>
        <v>0</v>
      </c>
      <c r="AN138" s="20">
        <v>0</v>
      </c>
      <c r="AO138" s="506"/>
      <c r="AP138" s="511"/>
      <c r="AQ138" s="74" t="s">
        <v>54</v>
      </c>
    </row>
    <row r="139" spans="1:44" ht="15.75" customHeight="1">
      <c r="A139" s="18">
        <v>7</v>
      </c>
      <c r="B139" s="19" t="s">
        <v>63</v>
      </c>
      <c r="C139" s="20">
        <f>B140/AG125</f>
        <v>258.06451612903226</v>
      </c>
      <c r="D139" s="23">
        <v>0</v>
      </c>
      <c r="E139" s="23">
        <v>0</v>
      </c>
      <c r="F139" s="23">
        <v>0</v>
      </c>
      <c r="G139" s="23">
        <v>0</v>
      </c>
      <c r="H139" s="22">
        <v>0</v>
      </c>
      <c r="I139" s="23">
        <v>0</v>
      </c>
      <c r="J139" s="23">
        <v>0</v>
      </c>
      <c r="K139" s="23">
        <v>0</v>
      </c>
      <c r="L139" s="21">
        <v>1</v>
      </c>
      <c r="M139" s="21">
        <v>1</v>
      </c>
      <c r="N139" s="21">
        <v>1</v>
      </c>
      <c r="O139" s="22">
        <v>0</v>
      </c>
      <c r="P139" s="21">
        <v>1</v>
      </c>
      <c r="Q139" s="21">
        <v>1</v>
      </c>
      <c r="R139" s="21">
        <v>1</v>
      </c>
      <c r="S139" s="21">
        <v>1</v>
      </c>
      <c r="T139" s="21">
        <v>1</v>
      </c>
      <c r="U139" s="23">
        <v>0</v>
      </c>
      <c r="V139" s="22">
        <v>0</v>
      </c>
      <c r="W139" s="21">
        <v>1</v>
      </c>
      <c r="X139" s="21">
        <v>1</v>
      </c>
      <c r="Y139" s="21">
        <v>1</v>
      </c>
      <c r="Z139" s="21">
        <v>1</v>
      </c>
      <c r="AA139" s="21">
        <v>1</v>
      </c>
      <c r="AB139" s="21">
        <v>1</v>
      </c>
      <c r="AC139" s="22">
        <v>0</v>
      </c>
      <c r="AD139" s="21">
        <v>1</v>
      </c>
      <c r="AE139" s="21">
        <v>1</v>
      </c>
      <c r="AF139" s="21">
        <v>1</v>
      </c>
      <c r="AG139" s="21">
        <v>1</v>
      </c>
      <c r="AH139" s="27">
        <v>0.5</v>
      </c>
      <c r="AI139" s="21">
        <f t="shared" si="38"/>
        <v>18.5</v>
      </c>
      <c r="AJ139" s="28">
        <v>2</v>
      </c>
      <c r="AK139" s="21">
        <v>10</v>
      </c>
      <c r="AL139" s="21">
        <f>AI139+AJ139</f>
        <v>20.5</v>
      </c>
      <c r="AM139" s="21">
        <f>AL139*C139</f>
        <v>5290.322580645161</v>
      </c>
      <c r="AN139" s="21">
        <f>C139*AG125</f>
        <v>8000</v>
      </c>
      <c r="AO139" s="506">
        <f>AM139+AM140</f>
        <v>5290.322580645161</v>
      </c>
      <c r="AP139" s="511">
        <v>5300</v>
      </c>
    </row>
    <row r="140" spans="1:44" ht="15.75" customHeight="1">
      <c r="A140" s="21"/>
      <c r="B140" s="24">
        <v>8000</v>
      </c>
      <c r="C140" s="20">
        <f>C139/8*1</f>
        <v>32.258064516129032</v>
      </c>
      <c r="D140" s="21"/>
      <c r="E140" s="21"/>
      <c r="F140" s="21"/>
      <c r="G140" s="21"/>
      <c r="H140" s="22">
        <v>0</v>
      </c>
      <c r="I140" s="21"/>
      <c r="J140" s="21"/>
      <c r="K140" s="21"/>
      <c r="L140" s="21"/>
      <c r="M140" s="21"/>
      <c r="N140" s="21"/>
      <c r="O140" s="22">
        <v>0</v>
      </c>
      <c r="P140" s="21"/>
      <c r="Q140" s="21"/>
      <c r="R140" s="21"/>
      <c r="S140" s="21"/>
      <c r="T140" s="21"/>
      <c r="U140" s="21"/>
      <c r="V140" s="22">
        <v>0</v>
      </c>
      <c r="W140" s="21"/>
      <c r="X140" s="21"/>
      <c r="Y140" s="21"/>
      <c r="Z140" s="21"/>
      <c r="AA140" s="21"/>
      <c r="AB140" s="21"/>
      <c r="AC140" s="22">
        <v>0</v>
      </c>
      <c r="AD140" s="21"/>
      <c r="AE140" s="21"/>
      <c r="AF140" s="21"/>
      <c r="AG140" s="21"/>
      <c r="AH140" s="21"/>
      <c r="AI140" s="21">
        <f t="shared" si="38"/>
        <v>0</v>
      </c>
      <c r="AJ140" s="28"/>
      <c r="AK140" s="21"/>
      <c r="AL140" s="21"/>
      <c r="AM140" s="21">
        <f>C140*AI140</f>
        <v>0</v>
      </c>
      <c r="AN140" s="20">
        <v>0</v>
      </c>
      <c r="AO140" s="506"/>
      <c r="AP140" s="511"/>
    </row>
    <row r="141" spans="1:44">
      <c r="A141" s="66"/>
      <c r="B141" s="513" t="s">
        <v>30</v>
      </c>
      <c r="C141" s="513"/>
      <c r="D141" s="66">
        <f>D127+D129+D131+D133+D135+D137+D139</f>
        <v>2</v>
      </c>
      <c r="E141" s="69">
        <f t="shared" ref="E141:AN141" si="45">E127+E129+E131+E133+E135+E137+E139</f>
        <v>3.5</v>
      </c>
      <c r="F141" s="69">
        <f t="shared" si="45"/>
        <v>4</v>
      </c>
      <c r="G141" s="69">
        <f t="shared" si="45"/>
        <v>4</v>
      </c>
      <c r="H141" s="69">
        <f t="shared" si="45"/>
        <v>0</v>
      </c>
      <c r="I141" s="69">
        <f t="shared" si="45"/>
        <v>4</v>
      </c>
      <c r="J141" s="69">
        <f t="shared" si="45"/>
        <v>4</v>
      </c>
      <c r="K141" s="69">
        <f t="shared" si="45"/>
        <v>2</v>
      </c>
      <c r="L141" s="69">
        <f t="shared" si="45"/>
        <v>7</v>
      </c>
      <c r="M141" s="69">
        <f t="shared" si="45"/>
        <v>7</v>
      </c>
      <c r="N141" s="69">
        <f t="shared" si="45"/>
        <v>6</v>
      </c>
      <c r="O141" s="69">
        <f t="shared" si="45"/>
        <v>0</v>
      </c>
      <c r="P141" s="69">
        <f t="shared" si="45"/>
        <v>7</v>
      </c>
      <c r="Q141" s="69">
        <f t="shared" si="45"/>
        <v>7</v>
      </c>
      <c r="R141" s="69">
        <f t="shared" si="45"/>
        <v>5.5</v>
      </c>
      <c r="S141" s="69">
        <f t="shared" si="45"/>
        <v>6</v>
      </c>
      <c r="T141" s="69">
        <f t="shared" si="45"/>
        <v>6</v>
      </c>
      <c r="U141" s="69">
        <f t="shared" si="45"/>
        <v>0</v>
      </c>
      <c r="V141" s="69">
        <f t="shared" si="45"/>
        <v>0</v>
      </c>
      <c r="W141" s="69">
        <f t="shared" si="45"/>
        <v>6</v>
      </c>
      <c r="X141" s="69">
        <f t="shared" si="45"/>
        <v>5</v>
      </c>
      <c r="Y141" s="69">
        <f t="shared" si="45"/>
        <v>6</v>
      </c>
      <c r="Z141" s="69">
        <f t="shared" si="45"/>
        <v>7</v>
      </c>
      <c r="AA141" s="69">
        <f t="shared" si="45"/>
        <v>7</v>
      </c>
      <c r="AB141" s="69">
        <f t="shared" si="45"/>
        <v>7</v>
      </c>
      <c r="AC141" s="69">
        <f t="shared" si="45"/>
        <v>0</v>
      </c>
      <c r="AD141" s="69">
        <f t="shared" si="45"/>
        <v>7</v>
      </c>
      <c r="AE141" s="69">
        <f t="shared" si="45"/>
        <v>6</v>
      </c>
      <c r="AF141" s="69">
        <f t="shared" si="45"/>
        <v>6</v>
      </c>
      <c r="AG141" s="69">
        <f t="shared" si="45"/>
        <v>5</v>
      </c>
      <c r="AH141" s="69">
        <f t="shared" si="45"/>
        <v>3.5</v>
      </c>
      <c r="AI141" s="71">
        <f t="shared" si="45"/>
        <v>140.5</v>
      </c>
      <c r="AJ141" s="69">
        <f t="shared" si="45"/>
        <v>17</v>
      </c>
      <c r="AK141" s="69">
        <f t="shared" si="45"/>
        <v>53.5</v>
      </c>
      <c r="AL141" s="69">
        <f t="shared" si="45"/>
        <v>157.5</v>
      </c>
      <c r="AM141" s="69">
        <f t="shared" si="45"/>
        <v>44532.258064516129</v>
      </c>
      <c r="AN141" s="69">
        <f t="shared" si="45"/>
        <v>60000</v>
      </c>
      <c r="AO141" s="514">
        <f>AM141+AM142</f>
        <v>45379.032258064515</v>
      </c>
      <c r="AP141" s="516">
        <f>SUM(AP127:AP140)</f>
        <v>44600</v>
      </c>
    </row>
    <row r="142" spans="1:44">
      <c r="A142" s="67"/>
      <c r="B142" s="517" t="s">
        <v>31</v>
      </c>
      <c r="C142" s="517"/>
      <c r="D142" s="67">
        <f>D128+D130+D132+D134+D136+D138+D140</f>
        <v>0</v>
      </c>
      <c r="E142" s="70">
        <f t="shared" ref="E142:AN142" si="46">E128+E130+E132+E134+E136+E138+E140</f>
        <v>0</v>
      </c>
      <c r="F142" s="70">
        <f t="shared" si="46"/>
        <v>0</v>
      </c>
      <c r="G142" s="70">
        <f t="shared" si="46"/>
        <v>0</v>
      </c>
      <c r="H142" s="70">
        <f t="shared" si="46"/>
        <v>0</v>
      </c>
      <c r="I142" s="70">
        <f t="shared" si="46"/>
        <v>0</v>
      </c>
      <c r="J142" s="70">
        <f t="shared" si="46"/>
        <v>0</v>
      </c>
      <c r="K142" s="70">
        <f t="shared" si="46"/>
        <v>0</v>
      </c>
      <c r="L142" s="70">
        <f t="shared" si="46"/>
        <v>6</v>
      </c>
      <c r="M142" s="70">
        <f t="shared" si="46"/>
        <v>8</v>
      </c>
      <c r="N142" s="70">
        <f t="shared" si="46"/>
        <v>0</v>
      </c>
      <c r="O142" s="70">
        <f t="shared" si="46"/>
        <v>0</v>
      </c>
      <c r="P142" s="70">
        <f t="shared" si="46"/>
        <v>0</v>
      </c>
      <c r="Q142" s="70">
        <f t="shared" si="46"/>
        <v>0</v>
      </c>
      <c r="R142" s="70">
        <f t="shared" si="46"/>
        <v>0</v>
      </c>
      <c r="S142" s="70">
        <f t="shared" si="46"/>
        <v>0</v>
      </c>
      <c r="T142" s="70">
        <f t="shared" si="46"/>
        <v>4</v>
      </c>
      <c r="U142" s="70">
        <f t="shared" si="46"/>
        <v>0</v>
      </c>
      <c r="V142" s="70">
        <f t="shared" si="46"/>
        <v>0</v>
      </c>
      <c r="W142" s="70">
        <f t="shared" si="46"/>
        <v>0</v>
      </c>
      <c r="X142" s="70">
        <f t="shared" si="46"/>
        <v>0</v>
      </c>
      <c r="Y142" s="70">
        <f t="shared" si="46"/>
        <v>6</v>
      </c>
      <c r="Z142" s="70">
        <f t="shared" si="46"/>
        <v>0</v>
      </c>
      <c r="AA142" s="70">
        <f t="shared" si="46"/>
        <v>0</v>
      </c>
      <c r="AB142" s="70">
        <f t="shared" si="46"/>
        <v>0</v>
      </c>
      <c r="AC142" s="70">
        <f t="shared" si="46"/>
        <v>0</v>
      </c>
      <c r="AD142" s="70">
        <f t="shared" si="46"/>
        <v>0</v>
      </c>
      <c r="AE142" s="70">
        <f t="shared" si="46"/>
        <v>0</v>
      </c>
      <c r="AF142" s="70">
        <f t="shared" si="46"/>
        <v>0</v>
      </c>
      <c r="AG142" s="70">
        <f t="shared" si="46"/>
        <v>0</v>
      </c>
      <c r="AH142" s="70">
        <f t="shared" si="46"/>
        <v>0</v>
      </c>
      <c r="AI142" s="70">
        <f t="shared" si="46"/>
        <v>24</v>
      </c>
      <c r="AJ142" s="70">
        <f t="shared" si="46"/>
        <v>0</v>
      </c>
      <c r="AK142" s="70">
        <f t="shared" si="46"/>
        <v>0</v>
      </c>
      <c r="AL142" s="70">
        <f t="shared" si="46"/>
        <v>0</v>
      </c>
      <c r="AM142" s="70">
        <f t="shared" si="46"/>
        <v>846.77419354838707</v>
      </c>
      <c r="AN142" s="70">
        <f t="shared" si="46"/>
        <v>0</v>
      </c>
      <c r="AO142" s="515"/>
      <c r="AP142" s="515"/>
    </row>
    <row r="143" spans="1:44">
      <c r="AF143" s="48" t="s">
        <v>49</v>
      </c>
      <c r="AG143" s="48"/>
      <c r="AH143" s="49">
        <f>(AI127+AI129+AI131+AI133+AI135+AI137+AI139)*2*5</f>
        <v>1405</v>
      </c>
      <c r="AI143" s="509" t="s">
        <v>50</v>
      </c>
      <c r="AJ143" s="510"/>
      <c r="AK143" s="50"/>
    </row>
    <row r="149" spans="40:41" ht="16.5" customHeight="1">
      <c r="AN149">
        <v>11000</v>
      </c>
      <c r="AO149">
        <v>14000</v>
      </c>
    </row>
    <row r="150" spans="40:41" ht="16.5" customHeight="1">
      <c r="AN150">
        <v>8000</v>
      </c>
      <c r="AO150">
        <v>11000</v>
      </c>
    </row>
    <row r="151" spans="40:41" ht="16.5" customHeight="1">
      <c r="AN151">
        <v>9000</v>
      </c>
      <c r="AO151">
        <v>12000</v>
      </c>
    </row>
    <row r="152" spans="40:41" ht="16.5" customHeight="1">
      <c r="AN152">
        <v>6000</v>
      </c>
      <c r="AO152">
        <v>10000</v>
      </c>
    </row>
    <row r="153" spans="40:41" ht="16.5" customHeight="1">
      <c r="AN153">
        <v>8000</v>
      </c>
      <c r="AO153">
        <v>11000</v>
      </c>
    </row>
    <row r="154" spans="40:41" ht="16.5" customHeight="1">
      <c r="AN154">
        <v>8000</v>
      </c>
      <c r="AO154">
        <v>11000</v>
      </c>
    </row>
    <row r="155" spans="40:41" ht="16.5" customHeight="1">
      <c r="AN155">
        <v>8000</v>
      </c>
      <c r="AO155">
        <v>11000</v>
      </c>
    </row>
    <row r="156" spans="40:41" ht="16.5" customHeight="1">
      <c r="AN156">
        <f>SUM(AN149:AN155)</f>
        <v>58000</v>
      </c>
      <c r="AO156">
        <f>SUM(AO149:AO155)</f>
        <v>80000</v>
      </c>
    </row>
  </sheetData>
  <mergeCells count="235">
    <mergeCell ref="AQ129:AQ130"/>
    <mergeCell ref="AO118:AO119"/>
    <mergeCell ref="AP118:AP119"/>
    <mergeCell ref="B120:C120"/>
    <mergeCell ref="AO120:AO121"/>
    <mergeCell ref="AP120:AP121"/>
    <mergeCell ref="B121:C121"/>
    <mergeCell ref="AI122:AJ122"/>
    <mergeCell ref="AN112:AN113"/>
    <mergeCell ref="AO112:AO113"/>
    <mergeCell ref="AP112:AP113"/>
    <mergeCell ref="AO114:AO115"/>
    <mergeCell ref="AP114:AP115"/>
    <mergeCell ref="AO116:AO117"/>
    <mergeCell ref="AP116:AP117"/>
    <mergeCell ref="AN125:AN126"/>
    <mergeCell ref="AO125:AO126"/>
    <mergeCell ref="AP125:AP126"/>
    <mergeCell ref="AO127:AO128"/>
    <mergeCell ref="AP127:AP128"/>
    <mergeCell ref="AO129:AO130"/>
    <mergeCell ref="AP129:AP130"/>
    <mergeCell ref="A112:A113"/>
    <mergeCell ref="B112:C113"/>
    <mergeCell ref="D112:AF112"/>
    <mergeCell ref="AG112:AH112"/>
    <mergeCell ref="AI112:AI113"/>
    <mergeCell ref="AJ112:AJ113"/>
    <mergeCell ref="AK112:AK113"/>
    <mergeCell ref="AL112:AL113"/>
    <mergeCell ref="AM112:AM113"/>
    <mergeCell ref="B73:C73"/>
    <mergeCell ref="AO73:AO74"/>
    <mergeCell ref="AP73:AP74"/>
    <mergeCell ref="B74:C74"/>
    <mergeCell ref="AI75:AJ75"/>
    <mergeCell ref="AO65:AO66"/>
    <mergeCell ref="AP65:AP66"/>
    <mergeCell ref="AO67:AO68"/>
    <mergeCell ref="AP67:AP68"/>
    <mergeCell ref="AO69:AO70"/>
    <mergeCell ref="AP69:AP70"/>
    <mergeCell ref="AO61:AO62"/>
    <mergeCell ref="AP61:AP62"/>
    <mergeCell ref="AO63:AO64"/>
    <mergeCell ref="AP63:AP64"/>
    <mergeCell ref="AO71:AO72"/>
    <mergeCell ref="AP71:AP72"/>
    <mergeCell ref="AJ61:AJ62"/>
    <mergeCell ref="AK61:AK62"/>
    <mergeCell ref="AL61:AL62"/>
    <mergeCell ref="AM61:AM62"/>
    <mergeCell ref="AN61:AN62"/>
    <mergeCell ref="A61:A62"/>
    <mergeCell ref="B61:C62"/>
    <mergeCell ref="D61:AF61"/>
    <mergeCell ref="AG61:AH61"/>
    <mergeCell ref="AI61:AI62"/>
    <mergeCell ref="AN2:AN3"/>
    <mergeCell ref="AI58:AJ58"/>
    <mergeCell ref="AP36:AP37"/>
    <mergeCell ref="AP38:AP39"/>
    <mergeCell ref="AP40:AP41"/>
    <mergeCell ref="AP32:AP33"/>
    <mergeCell ref="AP34:AP35"/>
    <mergeCell ref="AO32:AO33"/>
    <mergeCell ref="AO34:AO35"/>
    <mergeCell ref="AO36:AO37"/>
    <mergeCell ref="AO38:AO39"/>
    <mergeCell ref="AO40:AO41"/>
    <mergeCell ref="AN16:AN17"/>
    <mergeCell ref="AN30:AN31"/>
    <mergeCell ref="AO24:AO25"/>
    <mergeCell ref="AO26:AO27"/>
    <mergeCell ref="AO10:AO11"/>
    <mergeCell ref="B2:C3"/>
    <mergeCell ref="B30:C31"/>
    <mergeCell ref="AP24:AP25"/>
    <mergeCell ref="AP26:AP27"/>
    <mergeCell ref="AP30:AP31"/>
    <mergeCell ref="AP12:AP13"/>
    <mergeCell ref="AP16:AP17"/>
    <mergeCell ref="AP18:AP19"/>
    <mergeCell ref="AP20:AP21"/>
    <mergeCell ref="AP22:AP23"/>
    <mergeCell ref="AP2:AP3"/>
    <mergeCell ref="AP4:AP5"/>
    <mergeCell ref="AP6:AP7"/>
    <mergeCell ref="AP8:AP9"/>
    <mergeCell ref="AP10:AP11"/>
    <mergeCell ref="AO30:AO31"/>
    <mergeCell ref="AL2:AL3"/>
    <mergeCell ref="AL16:AL17"/>
    <mergeCell ref="AL30:AL31"/>
    <mergeCell ref="AM2:AM3"/>
    <mergeCell ref="AM16:AM17"/>
    <mergeCell ref="AM30:AM31"/>
    <mergeCell ref="AO12:AO13"/>
    <mergeCell ref="AO16:AO17"/>
    <mergeCell ref="AO18:AO19"/>
    <mergeCell ref="AO20:AO21"/>
    <mergeCell ref="AO22:AO23"/>
    <mergeCell ref="AO2:AO3"/>
    <mergeCell ref="AO4:AO5"/>
    <mergeCell ref="AO6:AO7"/>
    <mergeCell ref="AO8:AO9"/>
    <mergeCell ref="AJ2:AJ3"/>
    <mergeCell ref="AJ16:AJ17"/>
    <mergeCell ref="AJ30:AJ31"/>
    <mergeCell ref="AK2:AK3"/>
    <mergeCell ref="AK16:AK17"/>
    <mergeCell ref="AK30:AK31"/>
    <mergeCell ref="AI2:AI3"/>
    <mergeCell ref="AI16:AI17"/>
    <mergeCell ref="AI30:AI31"/>
    <mergeCell ref="B41:C41"/>
    <mergeCell ref="A2:A3"/>
    <mergeCell ref="A16:A17"/>
    <mergeCell ref="A30:A31"/>
    <mergeCell ref="B40:C40"/>
    <mergeCell ref="A44:A45"/>
    <mergeCell ref="B44:C45"/>
    <mergeCell ref="D44:AF44"/>
    <mergeCell ref="AG44:AH44"/>
    <mergeCell ref="B26:C26"/>
    <mergeCell ref="B27:C27"/>
    <mergeCell ref="D30:AF30"/>
    <mergeCell ref="AG30:AH30"/>
    <mergeCell ref="D2:AF2"/>
    <mergeCell ref="AG2:AH2"/>
    <mergeCell ref="B12:C12"/>
    <mergeCell ref="B13:C13"/>
    <mergeCell ref="D16:AF16"/>
    <mergeCell ref="AG16:AH16"/>
    <mergeCell ref="B16:C17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O46:AO47"/>
    <mergeCell ref="AP46:AP47"/>
    <mergeCell ref="AO48:AO49"/>
    <mergeCell ref="AP48:AP49"/>
    <mergeCell ref="AO50:AO51"/>
    <mergeCell ref="AP50:AP51"/>
    <mergeCell ref="AO52:AO53"/>
    <mergeCell ref="AP52:AP53"/>
    <mergeCell ref="B56:C56"/>
    <mergeCell ref="AO56:AO57"/>
    <mergeCell ref="AP56:AP57"/>
    <mergeCell ref="B57:C57"/>
    <mergeCell ref="AO54:AO55"/>
    <mergeCell ref="AP54:AP55"/>
    <mergeCell ref="A78:A79"/>
    <mergeCell ref="B78:C79"/>
    <mergeCell ref="D78:AF78"/>
    <mergeCell ref="AG78:AH78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O80:AO81"/>
    <mergeCell ref="AP80:AP81"/>
    <mergeCell ref="AO82:AO83"/>
    <mergeCell ref="AP82:AP83"/>
    <mergeCell ref="AO84:AO85"/>
    <mergeCell ref="AP84:AP85"/>
    <mergeCell ref="AO86:AO87"/>
    <mergeCell ref="AP86:AP87"/>
    <mergeCell ref="AO88:AO89"/>
    <mergeCell ref="AP88:AP89"/>
    <mergeCell ref="B90:C90"/>
    <mergeCell ref="AO90:AO91"/>
    <mergeCell ref="AP90:AP91"/>
    <mergeCell ref="B91:C91"/>
    <mergeCell ref="AI92:AJ92"/>
    <mergeCell ref="A94:A95"/>
    <mergeCell ref="B94:C95"/>
    <mergeCell ref="D94:AF94"/>
    <mergeCell ref="AG94:AH94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O96:AO97"/>
    <mergeCell ref="AP96:AP97"/>
    <mergeCell ref="AO98:AO99"/>
    <mergeCell ref="AP98:AP99"/>
    <mergeCell ref="AO100:AO101"/>
    <mergeCell ref="AP100:AP101"/>
    <mergeCell ref="AO102:AO103"/>
    <mergeCell ref="AP102:AP103"/>
    <mergeCell ref="AO104:AO105"/>
    <mergeCell ref="AP104:AP105"/>
    <mergeCell ref="B106:C106"/>
    <mergeCell ref="AO106:AO107"/>
    <mergeCell ref="AP106:AP107"/>
    <mergeCell ref="B107:C107"/>
    <mergeCell ref="AI108:AJ108"/>
    <mergeCell ref="B141:C141"/>
    <mergeCell ref="AO141:AO142"/>
    <mergeCell ref="AP141:AP142"/>
    <mergeCell ref="B142:C142"/>
    <mergeCell ref="A125:A126"/>
    <mergeCell ref="B125:C126"/>
    <mergeCell ref="D125:AF125"/>
    <mergeCell ref="AG125:AH125"/>
    <mergeCell ref="AI125:AI126"/>
    <mergeCell ref="AJ125:AJ126"/>
    <mergeCell ref="AK125:AK126"/>
    <mergeCell ref="AL125:AL126"/>
    <mergeCell ref="AM125:AM126"/>
    <mergeCell ref="AI143:AJ143"/>
    <mergeCell ref="AO131:AO132"/>
    <mergeCell ref="AO133:AO134"/>
    <mergeCell ref="AO135:AO136"/>
    <mergeCell ref="AO137:AO138"/>
    <mergeCell ref="AO139:AO140"/>
    <mergeCell ref="AP139:AP140"/>
    <mergeCell ref="AP131:AP132"/>
    <mergeCell ref="AP133:AP134"/>
    <mergeCell ref="AP135:AP136"/>
    <mergeCell ref="AP137:AP138"/>
  </mergeCells>
  <printOptions horizontalCentered="1" verticalCentered="1"/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229"/>
  <sheetViews>
    <sheetView workbookViewId="0">
      <selection activeCell="AU199" sqref="AU199"/>
    </sheetView>
  </sheetViews>
  <sheetFormatPr defaultRowHeight="21"/>
  <cols>
    <col min="1" max="1" width="3.140625" customWidth="1"/>
    <col min="2" max="2" width="7.42578125" customWidth="1"/>
    <col min="3" max="3" width="3.85546875" customWidth="1"/>
    <col min="4" max="34" width="2.5703125" customWidth="1"/>
    <col min="35" max="35" width="4.140625" customWidth="1"/>
    <col min="36" max="36" width="3" customWidth="1"/>
    <col min="37" max="37" width="3.28515625" customWidth="1"/>
    <col min="38" max="38" width="4.140625" customWidth="1"/>
    <col min="39" max="39" width="5" customWidth="1"/>
    <col min="40" max="40" width="8.5703125" style="305" customWidth="1"/>
    <col min="41" max="41" width="8.5703125" style="306" customWidth="1"/>
    <col min="42" max="42" width="6.7109375" customWidth="1"/>
    <col min="43" max="43" width="5" customWidth="1"/>
    <col min="44" max="44" width="4.85546875" customWidth="1"/>
  </cols>
  <sheetData>
    <row r="1" spans="1:43" ht="21.75" thickBot="1"/>
    <row r="2" spans="1:43" ht="27" thickBot="1">
      <c r="A2" s="618" t="s">
        <v>0</v>
      </c>
      <c r="B2" s="620" t="s">
        <v>1</v>
      </c>
      <c r="C2" s="621"/>
      <c r="D2" s="624" t="s">
        <v>65</v>
      </c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5"/>
      <c r="AG2" s="626">
        <v>31</v>
      </c>
      <c r="AH2" s="627"/>
      <c r="AI2" s="628" t="s">
        <v>3</v>
      </c>
      <c r="AJ2" s="630" t="s">
        <v>4</v>
      </c>
      <c r="AK2" s="630" t="s">
        <v>5</v>
      </c>
      <c r="AL2" s="630" t="s">
        <v>6</v>
      </c>
      <c r="AM2" s="630" t="s">
        <v>7</v>
      </c>
      <c r="AN2" s="610" t="s">
        <v>8</v>
      </c>
      <c r="AO2" s="612" t="s">
        <v>7</v>
      </c>
      <c r="AP2" s="614" t="s">
        <v>33</v>
      </c>
    </row>
    <row r="3" spans="1:43" ht="15.75" thickBot="1">
      <c r="A3" s="619"/>
      <c r="B3" s="622"/>
      <c r="C3" s="623"/>
      <c r="D3" s="109">
        <v>1</v>
      </c>
      <c r="E3" s="82">
        <v>2</v>
      </c>
      <c r="F3" s="82">
        <v>3</v>
      </c>
      <c r="G3" s="82">
        <v>4</v>
      </c>
      <c r="H3" s="82">
        <v>5</v>
      </c>
      <c r="I3" s="82">
        <v>6</v>
      </c>
      <c r="J3" s="82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2">
        <v>13</v>
      </c>
      <c r="Q3" s="82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2">
        <v>20</v>
      </c>
      <c r="X3" s="82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2">
        <v>27</v>
      </c>
      <c r="AE3" s="82">
        <v>28</v>
      </c>
      <c r="AF3" s="82">
        <v>29</v>
      </c>
      <c r="AG3" s="82">
        <v>30</v>
      </c>
      <c r="AH3" s="103">
        <v>31</v>
      </c>
      <c r="AI3" s="629"/>
      <c r="AJ3" s="631"/>
      <c r="AK3" s="631"/>
      <c r="AL3" s="631"/>
      <c r="AM3" s="631"/>
      <c r="AN3" s="611"/>
      <c r="AO3" s="613"/>
      <c r="AP3" s="615"/>
    </row>
    <row r="4" spans="1:43" ht="16.5" customHeight="1">
      <c r="A4" s="97">
        <v>1</v>
      </c>
      <c r="B4" s="93" t="s">
        <v>9</v>
      </c>
      <c r="C4" s="115">
        <f>B5/AG2</f>
        <v>387.09677419354841</v>
      </c>
      <c r="D4" s="110">
        <v>0</v>
      </c>
      <c r="E4" s="80">
        <v>0</v>
      </c>
      <c r="F4" s="81">
        <v>1</v>
      </c>
      <c r="G4" s="81">
        <v>1</v>
      </c>
      <c r="H4" s="81">
        <v>1</v>
      </c>
      <c r="I4" s="81">
        <v>1</v>
      </c>
      <c r="J4" s="81">
        <v>1</v>
      </c>
      <c r="K4" s="81">
        <v>1</v>
      </c>
      <c r="L4" s="80">
        <v>0</v>
      </c>
      <c r="M4" s="81">
        <v>1</v>
      </c>
      <c r="N4" s="81">
        <v>1</v>
      </c>
      <c r="O4" s="81">
        <v>1</v>
      </c>
      <c r="P4" s="81">
        <v>1</v>
      </c>
      <c r="Q4" s="79">
        <v>0</v>
      </c>
      <c r="R4" s="79">
        <v>0</v>
      </c>
      <c r="S4" s="80">
        <v>0</v>
      </c>
      <c r="T4" s="81">
        <v>1</v>
      </c>
      <c r="U4" s="81">
        <v>1</v>
      </c>
      <c r="V4" s="81">
        <v>1</v>
      </c>
      <c r="W4" s="81">
        <v>1</v>
      </c>
      <c r="X4" s="81">
        <v>1</v>
      </c>
      <c r="Y4" s="81">
        <v>1</v>
      </c>
      <c r="Z4" s="80">
        <v>0</v>
      </c>
      <c r="AA4" s="81">
        <v>1</v>
      </c>
      <c r="AB4" s="81">
        <v>1</v>
      </c>
      <c r="AC4" s="79">
        <v>0</v>
      </c>
      <c r="AD4" s="81">
        <v>1</v>
      </c>
      <c r="AE4" s="81">
        <v>1</v>
      </c>
      <c r="AF4" s="81">
        <v>1</v>
      </c>
      <c r="AG4" s="80">
        <v>0</v>
      </c>
      <c r="AH4" s="81">
        <v>1</v>
      </c>
      <c r="AI4" s="108">
        <f>SUM(D4:AH4)</f>
        <v>22</v>
      </c>
      <c r="AJ4" s="119">
        <v>9</v>
      </c>
      <c r="AK4" s="81"/>
      <c r="AL4" s="81">
        <f>AI4+AJ4</f>
        <v>31</v>
      </c>
      <c r="AM4" s="81">
        <f>AL4*C4</f>
        <v>12000</v>
      </c>
      <c r="AN4" s="179">
        <f>C4*AG2</f>
        <v>12000</v>
      </c>
      <c r="AO4" s="616">
        <f>AM4+AM5</f>
        <v>12000</v>
      </c>
      <c r="AP4" s="638">
        <v>12000</v>
      </c>
    </row>
    <row r="5" spans="1:43" ht="16.5" customHeight="1">
      <c r="A5" s="98"/>
      <c r="B5" s="94">
        <v>12000</v>
      </c>
      <c r="C5" s="116">
        <f>C4/8*1.5</f>
        <v>72.580645161290334</v>
      </c>
      <c r="D5" s="111">
        <v>0</v>
      </c>
      <c r="E5" s="22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37">
        <v>0</v>
      </c>
      <c r="R5" s="37">
        <v>0</v>
      </c>
      <c r="S5" s="22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2">
        <v>0</v>
      </c>
      <c r="AA5" s="21">
        <v>0</v>
      </c>
      <c r="AB5" s="21">
        <v>0</v>
      </c>
      <c r="AC5" s="37">
        <v>0</v>
      </c>
      <c r="AD5" s="21">
        <v>0</v>
      </c>
      <c r="AE5" s="21">
        <v>0</v>
      </c>
      <c r="AF5" s="21">
        <v>0</v>
      </c>
      <c r="AG5" s="22">
        <v>0</v>
      </c>
      <c r="AH5" s="21">
        <v>0</v>
      </c>
      <c r="AI5" s="78">
        <f t="shared" ref="AI5:AI17" si="0">SUM(D5:AH5)</f>
        <v>0</v>
      </c>
      <c r="AJ5" s="120"/>
      <c r="AK5" s="24"/>
      <c r="AL5" s="24"/>
      <c r="AM5" s="21">
        <f>AI5*C5</f>
        <v>0</v>
      </c>
      <c r="AN5" s="20">
        <v>0</v>
      </c>
      <c r="AO5" s="505"/>
      <c r="AP5" s="635"/>
    </row>
    <row r="6" spans="1:43" ht="16.5" customHeight="1">
      <c r="A6" s="99">
        <v>2</v>
      </c>
      <c r="B6" s="95" t="s">
        <v>27</v>
      </c>
      <c r="C6" s="116">
        <f>B7/AG2</f>
        <v>290.32258064516128</v>
      </c>
      <c r="D6" s="111">
        <v>0</v>
      </c>
      <c r="E6" s="22">
        <v>0</v>
      </c>
      <c r="F6" s="21">
        <v>1</v>
      </c>
      <c r="G6" s="21">
        <v>1</v>
      </c>
      <c r="H6" s="21">
        <v>1</v>
      </c>
      <c r="I6" s="21">
        <v>1</v>
      </c>
      <c r="J6" s="21">
        <v>1</v>
      </c>
      <c r="K6" s="21">
        <v>1</v>
      </c>
      <c r="L6" s="22">
        <v>0</v>
      </c>
      <c r="M6" s="21">
        <v>1</v>
      </c>
      <c r="N6" s="21">
        <v>1</v>
      </c>
      <c r="O6" s="21">
        <v>1</v>
      </c>
      <c r="P6" s="23">
        <v>0</v>
      </c>
      <c r="Q6" s="37">
        <v>0</v>
      </c>
      <c r="R6" s="37">
        <v>0</v>
      </c>
      <c r="S6" s="22">
        <v>0</v>
      </c>
      <c r="T6" s="21">
        <v>1</v>
      </c>
      <c r="U6" s="21">
        <v>1</v>
      </c>
      <c r="V6" s="21">
        <v>1</v>
      </c>
      <c r="W6" s="21">
        <v>1</v>
      </c>
      <c r="X6" s="21">
        <v>1</v>
      </c>
      <c r="Y6" s="21">
        <v>1</v>
      </c>
      <c r="Z6" s="22">
        <v>0</v>
      </c>
      <c r="AA6" s="21">
        <v>1</v>
      </c>
      <c r="AB6" s="21">
        <v>1</v>
      </c>
      <c r="AC6" s="37">
        <v>0</v>
      </c>
      <c r="AD6" s="21">
        <v>1</v>
      </c>
      <c r="AE6" s="21">
        <v>1</v>
      </c>
      <c r="AF6" s="21">
        <v>1</v>
      </c>
      <c r="AG6" s="22">
        <v>0</v>
      </c>
      <c r="AH6" s="21">
        <v>1</v>
      </c>
      <c r="AI6" s="78">
        <f t="shared" si="0"/>
        <v>21</v>
      </c>
      <c r="AJ6" s="120">
        <v>9</v>
      </c>
      <c r="AK6" s="21">
        <v>1</v>
      </c>
      <c r="AL6" s="21">
        <f>AI6+AJ6</f>
        <v>30</v>
      </c>
      <c r="AM6" s="21">
        <f>AL6*C6</f>
        <v>8709.677419354839</v>
      </c>
      <c r="AN6" s="20">
        <f>C6*AG2</f>
        <v>9000</v>
      </c>
      <c r="AO6" s="505">
        <f>AM6+AM7</f>
        <v>8709.677419354839</v>
      </c>
      <c r="AP6" s="635">
        <v>8000</v>
      </c>
      <c r="AQ6" s="608">
        <v>1000</v>
      </c>
    </row>
    <row r="7" spans="1:43" ht="16.5" customHeight="1">
      <c r="A7" s="98"/>
      <c r="B7" s="94">
        <v>9000</v>
      </c>
      <c r="C7" s="116">
        <f>C6/8*1.5</f>
        <v>54.435483870967744</v>
      </c>
      <c r="D7" s="111">
        <v>0</v>
      </c>
      <c r="E7" s="22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37">
        <v>0</v>
      </c>
      <c r="R7" s="37">
        <v>0</v>
      </c>
      <c r="S7" s="22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2">
        <v>0</v>
      </c>
      <c r="AA7" s="21">
        <v>0</v>
      </c>
      <c r="AB7" s="21">
        <v>0</v>
      </c>
      <c r="AC7" s="37">
        <v>0</v>
      </c>
      <c r="AD7" s="21">
        <v>0</v>
      </c>
      <c r="AE7" s="21">
        <v>0</v>
      </c>
      <c r="AF7" s="21">
        <v>0</v>
      </c>
      <c r="AG7" s="22">
        <v>0</v>
      </c>
      <c r="AH7" s="21">
        <v>0</v>
      </c>
      <c r="AI7" s="78">
        <f t="shared" si="0"/>
        <v>0</v>
      </c>
      <c r="AJ7" s="120"/>
      <c r="AK7" s="21"/>
      <c r="AL7" s="21"/>
      <c r="AM7" s="21">
        <f>C7*AI7</f>
        <v>0</v>
      </c>
      <c r="AN7" s="20">
        <v>0</v>
      </c>
      <c r="AO7" s="505"/>
      <c r="AP7" s="635"/>
      <c r="AQ7" s="608"/>
    </row>
    <row r="8" spans="1:43" ht="16.5" customHeight="1">
      <c r="A8" s="98">
        <v>3</v>
      </c>
      <c r="B8" s="94" t="s">
        <v>67</v>
      </c>
      <c r="C8" s="116">
        <f>B9/AG2</f>
        <v>290.32258064516128</v>
      </c>
      <c r="D8" s="111">
        <v>0</v>
      </c>
      <c r="E8" s="22">
        <v>0</v>
      </c>
      <c r="F8" s="23">
        <v>0</v>
      </c>
      <c r="G8" s="21">
        <v>1</v>
      </c>
      <c r="H8" s="21">
        <v>1</v>
      </c>
      <c r="I8" s="21">
        <v>1</v>
      </c>
      <c r="J8" s="21">
        <v>1</v>
      </c>
      <c r="K8" s="21">
        <v>1</v>
      </c>
      <c r="L8" s="22">
        <v>0</v>
      </c>
      <c r="M8" s="21">
        <v>1</v>
      </c>
      <c r="N8" s="21">
        <v>1</v>
      </c>
      <c r="O8" s="21">
        <v>1</v>
      </c>
      <c r="P8" s="21">
        <v>1</v>
      </c>
      <c r="Q8" s="37">
        <v>0</v>
      </c>
      <c r="R8" s="37">
        <v>0</v>
      </c>
      <c r="S8" s="22">
        <v>0</v>
      </c>
      <c r="T8" s="21">
        <v>1</v>
      </c>
      <c r="U8" s="21">
        <v>1</v>
      </c>
      <c r="V8" s="21">
        <v>1</v>
      </c>
      <c r="W8" s="21">
        <v>1</v>
      </c>
      <c r="X8" s="21">
        <v>1</v>
      </c>
      <c r="Y8" s="21">
        <v>1</v>
      </c>
      <c r="Z8" s="22">
        <v>0</v>
      </c>
      <c r="AA8" s="21">
        <v>1</v>
      </c>
      <c r="AB8" s="21">
        <v>1</v>
      </c>
      <c r="AC8" s="37">
        <v>0</v>
      </c>
      <c r="AD8" s="21">
        <v>1</v>
      </c>
      <c r="AE8" s="21">
        <v>1</v>
      </c>
      <c r="AF8" s="21">
        <v>1</v>
      </c>
      <c r="AG8" s="22">
        <v>0</v>
      </c>
      <c r="AH8" s="21">
        <v>1</v>
      </c>
      <c r="AI8" s="78">
        <f t="shared" si="0"/>
        <v>21</v>
      </c>
      <c r="AJ8" s="120">
        <v>7</v>
      </c>
      <c r="AK8" s="21"/>
      <c r="AL8" s="21">
        <f>AI8+AJ8</f>
        <v>28</v>
      </c>
      <c r="AM8" s="21">
        <f>AL8*C8</f>
        <v>8129.0322580645161</v>
      </c>
      <c r="AN8" s="20">
        <f>C8*AG2</f>
        <v>9000</v>
      </c>
      <c r="AO8" s="505">
        <f>AM8+AM9</f>
        <v>8129.0322580645161</v>
      </c>
      <c r="AP8" s="635">
        <v>7600</v>
      </c>
      <c r="AQ8" s="608">
        <v>500</v>
      </c>
    </row>
    <row r="9" spans="1:43" ht="16.5" customHeight="1">
      <c r="A9" s="98"/>
      <c r="B9" s="94">
        <v>9000</v>
      </c>
      <c r="C9" s="116">
        <f>C8/8*1.5</f>
        <v>54.435483870967744</v>
      </c>
      <c r="D9" s="111">
        <v>0</v>
      </c>
      <c r="E9" s="22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37">
        <v>0</v>
      </c>
      <c r="R9" s="37">
        <v>0</v>
      </c>
      <c r="S9" s="22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2">
        <v>0</v>
      </c>
      <c r="AA9" s="21">
        <v>0</v>
      </c>
      <c r="AB9" s="21">
        <v>0</v>
      </c>
      <c r="AC9" s="37">
        <v>0</v>
      </c>
      <c r="AD9" s="21">
        <v>0</v>
      </c>
      <c r="AE9" s="21">
        <v>0</v>
      </c>
      <c r="AF9" s="21">
        <v>0</v>
      </c>
      <c r="AG9" s="22">
        <v>0</v>
      </c>
      <c r="AH9" s="21">
        <v>0</v>
      </c>
      <c r="AI9" s="78">
        <f t="shared" si="0"/>
        <v>0</v>
      </c>
      <c r="AJ9" s="120"/>
      <c r="AK9" s="21"/>
      <c r="AL9" s="21"/>
      <c r="AM9" s="21">
        <f>C9*AI9</f>
        <v>0</v>
      </c>
      <c r="AN9" s="20">
        <v>0</v>
      </c>
      <c r="AO9" s="505"/>
      <c r="AP9" s="635"/>
      <c r="AQ9" s="608"/>
    </row>
    <row r="10" spans="1:43" ht="16.5" customHeight="1">
      <c r="A10" s="98">
        <v>4</v>
      </c>
      <c r="B10" s="94" t="s">
        <v>64</v>
      </c>
      <c r="C10" s="116">
        <f>B11/AG2</f>
        <v>258.06451612903226</v>
      </c>
      <c r="D10" s="111">
        <v>0</v>
      </c>
      <c r="E10" s="22">
        <v>0</v>
      </c>
      <c r="F10" s="23">
        <v>0</v>
      </c>
      <c r="G10" s="23">
        <v>0</v>
      </c>
      <c r="H10" s="23">
        <v>0</v>
      </c>
      <c r="I10" s="21">
        <v>1</v>
      </c>
      <c r="J10" s="21">
        <v>1</v>
      </c>
      <c r="K10" s="21">
        <v>1</v>
      </c>
      <c r="L10" s="22">
        <v>0</v>
      </c>
      <c r="M10" s="21">
        <v>1</v>
      </c>
      <c r="N10" s="21">
        <v>1</v>
      </c>
      <c r="O10" s="21">
        <v>1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1">
        <v>1</v>
      </c>
      <c r="V10" s="21">
        <v>1</v>
      </c>
      <c r="W10" s="21">
        <v>1</v>
      </c>
      <c r="X10" s="21">
        <v>1</v>
      </c>
      <c r="Y10" s="21">
        <v>1</v>
      </c>
      <c r="Z10" s="22">
        <v>0</v>
      </c>
      <c r="AA10" s="21">
        <v>1</v>
      </c>
      <c r="AB10" s="21">
        <v>1</v>
      </c>
      <c r="AC10" s="37">
        <v>0</v>
      </c>
      <c r="AD10" s="21">
        <v>1</v>
      </c>
      <c r="AE10" s="23">
        <v>0</v>
      </c>
      <c r="AF10" s="21">
        <v>1</v>
      </c>
      <c r="AG10" s="22">
        <v>0</v>
      </c>
      <c r="AH10" s="21">
        <v>1</v>
      </c>
      <c r="AI10" s="78">
        <f t="shared" si="0"/>
        <v>16</v>
      </c>
      <c r="AJ10" s="120">
        <v>4</v>
      </c>
      <c r="AK10" s="21">
        <v>6</v>
      </c>
      <c r="AL10" s="21">
        <f>AI10+AJ10</f>
        <v>20</v>
      </c>
      <c r="AM10" s="21">
        <f t="shared" ref="AM10" si="1">AL10*C10</f>
        <v>5161.2903225806449</v>
      </c>
      <c r="AN10" s="20">
        <f>C10*AG2</f>
        <v>8000</v>
      </c>
      <c r="AO10" s="505">
        <f>AM10+AM11</f>
        <v>5161.2903225806449</v>
      </c>
      <c r="AP10" s="635">
        <v>4700</v>
      </c>
      <c r="AQ10" s="608">
        <v>100</v>
      </c>
    </row>
    <row r="11" spans="1:43" ht="16.5" customHeight="1">
      <c r="A11" s="98"/>
      <c r="B11" s="94">
        <v>8000</v>
      </c>
      <c r="C11" s="116">
        <f>C10/8*1</f>
        <v>32.258064516129032</v>
      </c>
      <c r="D11" s="111">
        <v>0</v>
      </c>
      <c r="E11" s="22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37">
        <v>0</v>
      </c>
      <c r="R11" s="37">
        <v>0</v>
      </c>
      <c r="S11" s="22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2">
        <v>0</v>
      </c>
      <c r="AA11" s="21">
        <v>0</v>
      </c>
      <c r="AB11" s="21">
        <v>0</v>
      </c>
      <c r="AC11" s="37">
        <v>0</v>
      </c>
      <c r="AD11" s="21">
        <v>0</v>
      </c>
      <c r="AE11" s="21">
        <v>0</v>
      </c>
      <c r="AF11" s="21">
        <v>0</v>
      </c>
      <c r="AG11" s="22">
        <v>0</v>
      </c>
      <c r="AH11" s="21">
        <v>0</v>
      </c>
      <c r="AI11" s="78">
        <f t="shared" si="0"/>
        <v>0</v>
      </c>
      <c r="AJ11" s="120"/>
      <c r="AK11" s="21"/>
      <c r="AL11" s="21"/>
      <c r="AM11" s="21">
        <f t="shared" ref="AM11" si="2">C11*AI11</f>
        <v>0</v>
      </c>
      <c r="AN11" s="20">
        <v>0</v>
      </c>
      <c r="AO11" s="505"/>
      <c r="AP11" s="635"/>
      <c r="AQ11" s="608"/>
    </row>
    <row r="12" spans="1:43" ht="16.5" customHeight="1">
      <c r="A12" s="98">
        <v>5</v>
      </c>
      <c r="B12" s="94" t="s">
        <v>68</v>
      </c>
      <c r="C12" s="116">
        <f>B13/AG2</f>
        <v>290.32258064516128</v>
      </c>
      <c r="D12" s="111">
        <v>0</v>
      </c>
      <c r="E12" s="22">
        <v>0</v>
      </c>
      <c r="F12" s="23">
        <v>0</v>
      </c>
      <c r="G12" s="118">
        <v>0</v>
      </c>
      <c r="H12" s="118">
        <v>0</v>
      </c>
      <c r="I12" s="23">
        <v>0</v>
      </c>
      <c r="J12" s="118">
        <v>0</v>
      </c>
      <c r="K12" s="118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1">
        <v>1</v>
      </c>
      <c r="U12" s="21">
        <v>1</v>
      </c>
      <c r="V12" s="21">
        <v>1</v>
      </c>
      <c r="W12" s="21">
        <v>1</v>
      </c>
      <c r="X12" s="21">
        <v>1</v>
      </c>
      <c r="Y12" s="21">
        <v>1</v>
      </c>
      <c r="Z12" s="22">
        <v>0</v>
      </c>
      <c r="AA12" s="21">
        <v>1</v>
      </c>
      <c r="AB12" s="21">
        <v>1</v>
      </c>
      <c r="AC12" s="37">
        <v>0</v>
      </c>
      <c r="AD12" s="21">
        <v>1</v>
      </c>
      <c r="AE12" s="21">
        <v>1</v>
      </c>
      <c r="AF12" s="21">
        <v>1</v>
      </c>
      <c r="AG12" s="22">
        <v>0</v>
      </c>
      <c r="AH12" s="21">
        <v>1</v>
      </c>
      <c r="AI12" s="78">
        <f t="shared" si="0"/>
        <v>12</v>
      </c>
      <c r="AJ12" s="120">
        <v>3</v>
      </c>
      <c r="AK12" s="21"/>
      <c r="AL12" s="21">
        <f>AI12+AJ12</f>
        <v>15</v>
      </c>
      <c r="AM12" s="21">
        <f t="shared" ref="AM12" si="3">AL12*C12</f>
        <v>4354.8387096774195</v>
      </c>
      <c r="AN12" s="20">
        <f>C12*AG2</f>
        <v>9000</v>
      </c>
      <c r="AO12" s="505">
        <f>AM12+AM13</f>
        <v>4354.8387096774195</v>
      </c>
      <c r="AP12" s="635">
        <v>4500</v>
      </c>
    </row>
    <row r="13" spans="1:43" ht="16.5" customHeight="1">
      <c r="A13" s="98"/>
      <c r="B13" s="94">
        <v>9000</v>
      </c>
      <c r="C13" s="116">
        <f>C12/8*1</f>
        <v>36.29032258064516</v>
      </c>
      <c r="D13" s="111">
        <v>0</v>
      </c>
      <c r="E13" s="22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/>
      <c r="O13" s="21"/>
      <c r="P13" s="21"/>
      <c r="Q13" s="37">
        <v>0</v>
      </c>
      <c r="R13" s="37">
        <v>0</v>
      </c>
      <c r="S13" s="22">
        <v>0</v>
      </c>
      <c r="T13" s="21"/>
      <c r="U13" s="21"/>
      <c r="V13" s="21"/>
      <c r="W13" s="21"/>
      <c r="X13" s="21"/>
      <c r="Y13" s="21"/>
      <c r="Z13" s="22">
        <v>0</v>
      </c>
      <c r="AA13" s="21"/>
      <c r="AB13" s="21"/>
      <c r="AC13" s="37">
        <v>0</v>
      </c>
      <c r="AD13" s="21"/>
      <c r="AE13" s="21"/>
      <c r="AF13" s="21"/>
      <c r="AG13" s="22">
        <v>0</v>
      </c>
      <c r="AH13" s="21"/>
      <c r="AI13" s="78">
        <f t="shared" si="0"/>
        <v>0</v>
      </c>
      <c r="AJ13" s="28"/>
      <c r="AK13" s="21"/>
      <c r="AL13" s="21"/>
      <c r="AM13" s="21">
        <f t="shared" ref="AM13" si="4">C13*AI13</f>
        <v>0</v>
      </c>
      <c r="AN13" s="20">
        <v>0</v>
      </c>
      <c r="AO13" s="505"/>
      <c r="AP13" s="635"/>
    </row>
    <row r="14" spans="1:43" ht="16.5" customHeight="1">
      <c r="A14" s="98"/>
      <c r="B14" s="94"/>
      <c r="C14" s="116">
        <f>B15/AG2</f>
        <v>0</v>
      </c>
      <c r="D14" s="111">
        <v>0</v>
      </c>
      <c r="E14" s="22">
        <v>0</v>
      </c>
      <c r="F14" s="21"/>
      <c r="G14" s="21"/>
      <c r="H14" s="21"/>
      <c r="I14" s="21"/>
      <c r="J14" s="21"/>
      <c r="K14" s="21"/>
      <c r="L14" s="22">
        <v>0</v>
      </c>
      <c r="M14" s="21"/>
      <c r="N14" s="21"/>
      <c r="O14" s="21"/>
      <c r="P14" s="21"/>
      <c r="Q14" s="37">
        <v>0</v>
      </c>
      <c r="R14" s="37">
        <v>0</v>
      </c>
      <c r="S14" s="22">
        <v>0</v>
      </c>
      <c r="T14" s="21"/>
      <c r="U14" s="21"/>
      <c r="V14" s="21"/>
      <c r="W14" s="21"/>
      <c r="X14" s="21"/>
      <c r="Y14" s="21"/>
      <c r="Z14" s="22">
        <v>0</v>
      </c>
      <c r="AA14" s="21"/>
      <c r="AB14" s="21"/>
      <c r="AC14" s="37">
        <v>0</v>
      </c>
      <c r="AD14" s="21"/>
      <c r="AE14" s="21"/>
      <c r="AF14" s="21"/>
      <c r="AG14" s="22">
        <v>0</v>
      </c>
      <c r="AH14" s="104"/>
      <c r="AI14" s="78">
        <f t="shared" si="0"/>
        <v>0</v>
      </c>
      <c r="AJ14" s="28"/>
      <c r="AK14" s="21"/>
      <c r="AL14" s="21">
        <f>AI14+AJ14</f>
        <v>0</v>
      </c>
      <c r="AM14" s="21">
        <f t="shared" ref="AM14" si="5">AL14*C14</f>
        <v>0</v>
      </c>
      <c r="AN14" s="20">
        <f>C14*AG2</f>
        <v>0</v>
      </c>
      <c r="AO14" s="505">
        <f>AM14+AM15</f>
        <v>0</v>
      </c>
      <c r="AP14" s="600">
        <v>0</v>
      </c>
    </row>
    <row r="15" spans="1:43" ht="16.5" customHeight="1">
      <c r="A15" s="98"/>
      <c r="B15" s="94"/>
      <c r="C15" s="116">
        <f>C14/8*1</f>
        <v>0</v>
      </c>
      <c r="D15" s="111">
        <v>0</v>
      </c>
      <c r="E15" s="22">
        <v>0</v>
      </c>
      <c r="F15" s="21"/>
      <c r="G15" s="21"/>
      <c r="H15" s="21"/>
      <c r="I15" s="21"/>
      <c r="J15" s="21"/>
      <c r="K15" s="21"/>
      <c r="L15" s="22">
        <v>0</v>
      </c>
      <c r="M15" s="21"/>
      <c r="N15" s="21"/>
      <c r="O15" s="21"/>
      <c r="P15" s="21"/>
      <c r="Q15" s="37">
        <v>0</v>
      </c>
      <c r="R15" s="37">
        <v>0</v>
      </c>
      <c r="S15" s="22">
        <v>0</v>
      </c>
      <c r="T15" s="21"/>
      <c r="U15" s="21"/>
      <c r="V15" s="21"/>
      <c r="W15" s="21"/>
      <c r="X15" s="21"/>
      <c r="Y15" s="21"/>
      <c r="Z15" s="22">
        <v>0</v>
      </c>
      <c r="AA15" s="21"/>
      <c r="AB15" s="21"/>
      <c r="AC15" s="37">
        <v>0</v>
      </c>
      <c r="AD15" s="21"/>
      <c r="AE15" s="21"/>
      <c r="AF15" s="21"/>
      <c r="AG15" s="22">
        <v>0</v>
      </c>
      <c r="AH15" s="104"/>
      <c r="AI15" s="78">
        <f t="shared" si="0"/>
        <v>0</v>
      </c>
      <c r="AJ15" s="28"/>
      <c r="AK15" s="21"/>
      <c r="AL15" s="21"/>
      <c r="AM15" s="21">
        <f t="shared" ref="AM15" si="6">C15*AI15</f>
        <v>0</v>
      </c>
      <c r="AN15" s="20">
        <v>0</v>
      </c>
      <c r="AO15" s="505"/>
      <c r="AP15" s="600"/>
    </row>
    <row r="16" spans="1:43" ht="16.5" customHeight="1">
      <c r="A16" s="99"/>
      <c r="B16" s="94" t="s">
        <v>66</v>
      </c>
      <c r="C16" s="116">
        <f>B17/AG2</f>
        <v>0</v>
      </c>
      <c r="D16" s="111">
        <v>0</v>
      </c>
      <c r="E16" s="22">
        <v>0</v>
      </c>
      <c r="F16" s="21"/>
      <c r="G16" s="21"/>
      <c r="H16" s="21"/>
      <c r="I16" s="21"/>
      <c r="J16" s="21"/>
      <c r="K16" s="21"/>
      <c r="L16" s="22">
        <v>0</v>
      </c>
      <c r="M16" s="21"/>
      <c r="N16" s="21"/>
      <c r="O16" s="21"/>
      <c r="P16" s="21"/>
      <c r="Q16" s="37">
        <v>0</v>
      </c>
      <c r="R16" s="37">
        <v>0</v>
      </c>
      <c r="S16" s="22">
        <v>0</v>
      </c>
      <c r="T16" s="21"/>
      <c r="U16" s="21"/>
      <c r="V16" s="21"/>
      <c r="W16" s="21"/>
      <c r="X16" s="21"/>
      <c r="Y16" s="21"/>
      <c r="Z16" s="22">
        <v>0</v>
      </c>
      <c r="AA16" s="21"/>
      <c r="AB16" s="21"/>
      <c r="AC16" s="37">
        <v>0</v>
      </c>
      <c r="AD16" s="21"/>
      <c r="AE16" s="21"/>
      <c r="AF16" s="21"/>
      <c r="AG16" s="22">
        <v>0</v>
      </c>
      <c r="AH16" s="104"/>
      <c r="AI16" s="78">
        <f t="shared" si="0"/>
        <v>0</v>
      </c>
      <c r="AJ16" s="28"/>
      <c r="AK16" s="21"/>
      <c r="AL16" s="21">
        <f>AI16+AJ16</f>
        <v>0</v>
      </c>
      <c r="AM16" s="21">
        <f>AL16*C16</f>
        <v>0</v>
      </c>
      <c r="AN16" s="20">
        <f>C16*AG2</f>
        <v>0</v>
      </c>
      <c r="AO16" s="505">
        <f>AM16+AM17</f>
        <v>0</v>
      </c>
      <c r="AP16" s="600">
        <v>0</v>
      </c>
    </row>
    <row r="17" spans="1:43" ht="16.5" customHeight="1" thickBot="1">
      <c r="A17" s="100"/>
      <c r="B17" s="96">
        <v>0</v>
      </c>
      <c r="C17" s="117">
        <f>C16/8*1</f>
        <v>0</v>
      </c>
      <c r="D17" s="112">
        <v>0</v>
      </c>
      <c r="E17" s="86">
        <v>0</v>
      </c>
      <c r="F17" s="87"/>
      <c r="G17" s="87"/>
      <c r="H17" s="87"/>
      <c r="I17" s="87"/>
      <c r="J17" s="87"/>
      <c r="K17" s="87"/>
      <c r="L17" s="86">
        <v>0</v>
      </c>
      <c r="M17" s="87"/>
      <c r="N17" s="87"/>
      <c r="O17" s="87"/>
      <c r="P17" s="87"/>
      <c r="Q17" s="85">
        <v>0</v>
      </c>
      <c r="R17" s="85">
        <v>0</v>
      </c>
      <c r="S17" s="86">
        <v>0</v>
      </c>
      <c r="T17" s="87"/>
      <c r="U17" s="87"/>
      <c r="V17" s="87"/>
      <c r="W17" s="87"/>
      <c r="X17" s="87"/>
      <c r="Y17" s="87"/>
      <c r="Z17" s="86">
        <v>0</v>
      </c>
      <c r="AA17" s="87"/>
      <c r="AB17" s="87"/>
      <c r="AC17" s="37">
        <v>0</v>
      </c>
      <c r="AD17" s="87"/>
      <c r="AE17" s="87"/>
      <c r="AF17" s="87"/>
      <c r="AG17" s="86">
        <v>0</v>
      </c>
      <c r="AH17" s="105"/>
      <c r="AI17" s="83">
        <f t="shared" si="0"/>
        <v>0</v>
      </c>
      <c r="AJ17" s="88"/>
      <c r="AK17" s="87"/>
      <c r="AL17" s="87"/>
      <c r="AM17" s="87">
        <f>C17*AI17</f>
        <v>0</v>
      </c>
      <c r="AN17" s="84">
        <v>0</v>
      </c>
      <c r="AO17" s="599"/>
      <c r="AP17" s="601"/>
    </row>
    <row r="18" spans="1:43" ht="15.75" thickBot="1">
      <c r="A18" s="101"/>
      <c r="B18" s="571" t="s">
        <v>30</v>
      </c>
      <c r="C18" s="572"/>
      <c r="D18" s="113">
        <f>D4+D6+D8+D10+D12+D14+D16</f>
        <v>0</v>
      </c>
      <c r="E18" s="91">
        <f t="shared" ref="E18:AN19" si="7">E4+E6+E8+E10+E12+E14+E16</f>
        <v>0</v>
      </c>
      <c r="F18" s="91">
        <f t="shared" si="7"/>
        <v>2</v>
      </c>
      <c r="G18" s="91">
        <f t="shared" si="7"/>
        <v>3</v>
      </c>
      <c r="H18" s="91">
        <f t="shared" si="7"/>
        <v>3</v>
      </c>
      <c r="I18" s="91">
        <f t="shared" si="7"/>
        <v>4</v>
      </c>
      <c r="J18" s="91">
        <f t="shared" si="7"/>
        <v>4</v>
      </c>
      <c r="K18" s="91">
        <f t="shared" si="7"/>
        <v>4</v>
      </c>
      <c r="L18" s="91">
        <f t="shared" si="7"/>
        <v>0</v>
      </c>
      <c r="M18" s="91">
        <f t="shared" si="7"/>
        <v>4</v>
      </c>
      <c r="N18" s="91">
        <f t="shared" si="7"/>
        <v>4</v>
      </c>
      <c r="O18" s="91">
        <f t="shared" si="7"/>
        <v>4</v>
      </c>
      <c r="P18" s="91">
        <f t="shared" si="7"/>
        <v>2</v>
      </c>
      <c r="Q18" s="91">
        <f t="shared" si="7"/>
        <v>0</v>
      </c>
      <c r="R18" s="91">
        <f t="shared" si="7"/>
        <v>0</v>
      </c>
      <c r="S18" s="91">
        <f t="shared" si="7"/>
        <v>0</v>
      </c>
      <c r="T18" s="91">
        <f t="shared" si="7"/>
        <v>4</v>
      </c>
      <c r="U18" s="91">
        <f t="shared" si="7"/>
        <v>5</v>
      </c>
      <c r="V18" s="91">
        <f t="shared" si="7"/>
        <v>5</v>
      </c>
      <c r="W18" s="91">
        <f t="shared" si="7"/>
        <v>5</v>
      </c>
      <c r="X18" s="91">
        <f t="shared" si="7"/>
        <v>5</v>
      </c>
      <c r="Y18" s="91">
        <f t="shared" si="7"/>
        <v>5</v>
      </c>
      <c r="Z18" s="91">
        <f t="shared" si="7"/>
        <v>0</v>
      </c>
      <c r="AA18" s="91">
        <f t="shared" si="7"/>
        <v>5</v>
      </c>
      <c r="AB18" s="91">
        <f t="shared" si="7"/>
        <v>5</v>
      </c>
      <c r="AC18" s="91">
        <f t="shared" si="7"/>
        <v>0</v>
      </c>
      <c r="AD18" s="91">
        <f t="shared" si="7"/>
        <v>5</v>
      </c>
      <c r="AE18" s="91">
        <f t="shared" si="7"/>
        <v>4</v>
      </c>
      <c r="AF18" s="91">
        <f t="shared" si="7"/>
        <v>5</v>
      </c>
      <c r="AG18" s="91">
        <f t="shared" si="7"/>
        <v>0</v>
      </c>
      <c r="AH18" s="106">
        <f t="shared" si="7"/>
        <v>5</v>
      </c>
      <c r="AI18" s="89">
        <f t="shared" si="7"/>
        <v>92</v>
      </c>
      <c r="AJ18" s="91">
        <f t="shared" si="7"/>
        <v>32</v>
      </c>
      <c r="AK18" s="91">
        <f t="shared" si="7"/>
        <v>7</v>
      </c>
      <c r="AL18" s="91">
        <f t="shared" si="7"/>
        <v>124</v>
      </c>
      <c r="AM18" s="91">
        <f t="shared" si="7"/>
        <v>38354.838709677417</v>
      </c>
      <c r="AN18" s="307">
        <f t="shared" si="7"/>
        <v>47000</v>
      </c>
      <c r="AO18" s="602">
        <f>AM18+AM19</f>
        <v>38354.838709677417</v>
      </c>
      <c r="AP18" s="604">
        <f>SUM(AP4:AP17)</f>
        <v>36800</v>
      </c>
    </row>
    <row r="19" spans="1:43" ht="15.75" thickBot="1">
      <c r="A19" s="102"/>
      <c r="B19" s="544" t="s">
        <v>31</v>
      </c>
      <c r="C19" s="545"/>
      <c r="D19" s="114">
        <f>D5+D7+D9+D11+D13+D15+D17</f>
        <v>0</v>
      </c>
      <c r="E19" s="92">
        <f t="shared" si="7"/>
        <v>0</v>
      </c>
      <c r="F19" s="92">
        <f t="shared" si="7"/>
        <v>0</v>
      </c>
      <c r="G19" s="92">
        <f t="shared" si="7"/>
        <v>0</v>
      </c>
      <c r="H19" s="92">
        <f t="shared" si="7"/>
        <v>0</v>
      </c>
      <c r="I19" s="92">
        <f t="shared" si="7"/>
        <v>0</v>
      </c>
      <c r="J19" s="92">
        <f t="shared" si="7"/>
        <v>0</v>
      </c>
      <c r="K19" s="92">
        <f t="shared" si="7"/>
        <v>0</v>
      </c>
      <c r="L19" s="92">
        <f t="shared" si="7"/>
        <v>0</v>
      </c>
      <c r="M19" s="92">
        <f t="shared" si="7"/>
        <v>0</v>
      </c>
      <c r="N19" s="92">
        <f t="shared" si="7"/>
        <v>0</v>
      </c>
      <c r="O19" s="92">
        <f t="shared" si="7"/>
        <v>0</v>
      </c>
      <c r="P19" s="92">
        <f t="shared" si="7"/>
        <v>0</v>
      </c>
      <c r="Q19" s="92">
        <f t="shared" si="7"/>
        <v>0</v>
      </c>
      <c r="R19" s="92">
        <f t="shared" si="7"/>
        <v>0</v>
      </c>
      <c r="S19" s="92">
        <f t="shared" si="7"/>
        <v>0</v>
      </c>
      <c r="T19" s="92">
        <f t="shared" si="7"/>
        <v>0</v>
      </c>
      <c r="U19" s="92">
        <f t="shared" si="7"/>
        <v>0</v>
      </c>
      <c r="V19" s="92">
        <f t="shared" si="7"/>
        <v>0</v>
      </c>
      <c r="W19" s="92">
        <f t="shared" si="7"/>
        <v>0</v>
      </c>
      <c r="X19" s="92">
        <f t="shared" si="7"/>
        <v>0</v>
      </c>
      <c r="Y19" s="92">
        <f t="shared" si="7"/>
        <v>0</v>
      </c>
      <c r="Z19" s="92">
        <f t="shared" si="7"/>
        <v>0</v>
      </c>
      <c r="AA19" s="92">
        <f t="shared" si="7"/>
        <v>0</v>
      </c>
      <c r="AB19" s="92">
        <f t="shared" si="7"/>
        <v>0</v>
      </c>
      <c r="AC19" s="92">
        <f t="shared" si="7"/>
        <v>0</v>
      </c>
      <c r="AD19" s="92">
        <f t="shared" si="7"/>
        <v>0</v>
      </c>
      <c r="AE19" s="92">
        <f t="shared" si="7"/>
        <v>0</v>
      </c>
      <c r="AF19" s="92">
        <f t="shared" si="7"/>
        <v>0</v>
      </c>
      <c r="AG19" s="92">
        <f t="shared" si="7"/>
        <v>0</v>
      </c>
      <c r="AH19" s="107">
        <f t="shared" si="7"/>
        <v>0</v>
      </c>
      <c r="AI19" s="90">
        <f t="shared" si="7"/>
        <v>0</v>
      </c>
      <c r="AJ19" s="92">
        <f t="shared" si="7"/>
        <v>0</v>
      </c>
      <c r="AK19" s="92">
        <f t="shared" si="7"/>
        <v>0</v>
      </c>
      <c r="AL19" s="92">
        <f t="shared" si="7"/>
        <v>0</v>
      </c>
      <c r="AM19" s="92">
        <f t="shared" si="7"/>
        <v>0</v>
      </c>
      <c r="AN19" s="308">
        <f t="shared" si="7"/>
        <v>0</v>
      </c>
      <c r="AO19" s="603"/>
      <c r="AP19" s="605"/>
    </row>
    <row r="20" spans="1:43">
      <c r="AF20" s="75" t="s">
        <v>49</v>
      </c>
      <c r="AG20" s="75"/>
      <c r="AH20" s="76">
        <f>(AI4+AI6+AI8+AI10+AI12+AI14+AI16)*2*5</f>
        <v>920</v>
      </c>
      <c r="AI20" s="632" t="s">
        <v>50</v>
      </c>
      <c r="AJ20" s="633"/>
      <c r="AK20" s="77"/>
    </row>
    <row r="22" spans="1:43" ht="21.75" thickBot="1"/>
    <row r="23" spans="1:43" ht="27" thickBot="1">
      <c r="A23" s="618" t="s">
        <v>0</v>
      </c>
      <c r="B23" s="620" t="s">
        <v>1</v>
      </c>
      <c r="C23" s="621"/>
      <c r="D23" s="624" t="s">
        <v>69</v>
      </c>
      <c r="E23" s="624"/>
      <c r="F23" s="624"/>
      <c r="G23" s="624"/>
      <c r="H23" s="624"/>
      <c r="I23" s="624"/>
      <c r="J23" s="624"/>
      <c r="K23" s="624"/>
      <c r="L23" s="624"/>
      <c r="M23" s="624"/>
      <c r="N23" s="624"/>
      <c r="O23" s="624"/>
      <c r="P23" s="624"/>
      <c r="Q23" s="624"/>
      <c r="R23" s="624"/>
      <c r="S23" s="624"/>
      <c r="T23" s="624"/>
      <c r="U23" s="624"/>
      <c r="V23" s="624"/>
      <c r="W23" s="624"/>
      <c r="X23" s="624"/>
      <c r="Y23" s="624"/>
      <c r="Z23" s="624"/>
      <c r="AA23" s="624"/>
      <c r="AB23" s="624"/>
      <c r="AC23" s="624"/>
      <c r="AD23" s="624"/>
      <c r="AE23" s="624"/>
      <c r="AF23" s="625"/>
      <c r="AG23" s="626">
        <v>28</v>
      </c>
      <c r="AH23" s="627"/>
      <c r="AI23" s="628" t="s">
        <v>3</v>
      </c>
      <c r="AJ23" s="630" t="s">
        <v>4</v>
      </c>
      <c r="AK23" s="630" t="s">
        <v>5</v>
      </c>
      <c r="AL23" s="630" t="s">
        <v>6</v>
      </c>
      <c r="AM23" s="630" t="s">
        <v>7</v>
      </c>
      <c r="AN23" s="610" t="s">
        <v>8</v>
      </c>
      <c r="AO23" s="612" t="s">
        <v>7</v>
      </c>
      <c r="AP23" s="614" t="s">
        <v>33</v>
      </c>
    </row>
    <row r="24" spans="1:43" ht="15.75" thickBot="1">
      <c r="A24" s="619"/>
      <c r="B24" s="622"/>
      <c r="C24" s="623"/>
      <c r="D24" s="109">
        <v>1</v>
      </c>
      <c r="E24" s="82">
        <v>2</v>
      </c>
      <c r="F24" s="82">
        <v>3</v>
      </c>
      <c r="G24" s="82">
        <v>4</v>
      </c>
      <c r="H24" s="82">
        <v>5</v>
      </c>
      <c r="I24" s="82">
        <v>6</v>
      </c>
      <c r="J24" s="82">
        <v>7</v>
      </c>
      <c r="K24" s="82">
        <v>8</v>
      </c>
      <c r="L24" s="82">
        <v>9</v>
      </c>
      <c r="M24" s="82">
        <v>10</v>
      </c>
      <c r="N24" s="82">
        <v>11</v>
      </c>
      <c r="O24" s="82">
        <v>12</v>
      </c>
      <c r="P24" s="82">
        <v>13</v>
      </c>
      <c r="Q24" s="82">
        <v>14</v>
      </c>
      <c r="R24" s="82">
        <v>15</v>
      </c>
      <c r="S24" s="82">
        <v>16</v>
      </c>
      <c r="T24" s="82">
        <v>17</v>
      </c>
      <c r="U24" s="82">
        <v>18</v>
      </c>
      <c r="V24" s="82">
        <v>19</v>
      </c>
      <c r="W24" s="82">
        <v>20</v>
      </c>
      <c r="X24" s="82">
        <v>21</v>
      </c>
      <c r="Y24" s="82">
        <v>22</v>
      </c>
      <c r="Z24" s="82">
        <v>23</v>
      </c>
      <c r="AA24" s="82">
        <v>24</v>
      </c>
      <c r="AB24" s="82">
        <v>25</v>
      </c>
      <c r="AC24" s="82">
        <v>26</v>
      </c>
      <c r="AD24" s="82">
        <v>27</v>
      </c>
      <c r="AE24" s="82">
        <v>28</v>
      </c>
      <c r="AF24" s="82">
        <v>29</v>
      </c>
      <c r="AG24" s="82">
        <v>30</v>
      </c>
      <c r="AH24" s="103">
        <v>31</v>
      </c>
      <c r="AI24" s="629"/>
      <c r="AJ24" s="631"/>
      <c r="AK24" s="631"/>
      <c r="AL24" s="631"/>
      <c r="AM24" s="631"/>
      <c r="AN24" s="611"/>
      <c r="AO24" s="613"/>
      <c r="AP24" s="615"/>
    </row>
    <row r="25" spans="1:43" ht="16.5" customHeight="1">
      <c r="A25" s="97">
        <v>1</v>
      </c>
      <c r="B25" s="93" t="s">
        <v>9</v>
      </c>
      <c r="C25" s="115">
        <f>B26/AG23</f>
        <v>428.57142857142856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86">
        <v>0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86">
        <v>0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86">
        <v>0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86">
        <v>0</v>
      </c>
      <c r="AE25" s="21">
        <v>1</v>
      </c>
      <c r="AF25" s="123"/>
      <c r="AG25" s="123"/>
      <c r="AH25" s="123"/>
      <c r="AI25" s="108">
        <f>SUM(D25:AH25)</f>
        <v>24</v>
      </c>
      <c r="AJ25" s="119">
        <v>4</v>
      </c>
      <c r="AK25" s="81">
        <v>0</v>
      </c>
      <c r="AL25" s="81">
        <f>AI25+AJ25</f>
        <v>28</v>
      </c>
      <c r="AM25" s="81">
        <f>AL25*C25</f>
        <v>12000</v>
      </c>
      <c r="AN25" s="179">
        <f>C25*AG23</f>
        <v>12000</v>
      </c>
      <c r="AO25" s="616">
        <f>AM25+AM26</f>
        <v>14250</v>
      </c>
      <c r="AP25" s="638">
        <v>14000</v>
      </c>
    </row>
    <row r="26" spans="1:43" ht="16.5" customHeight="1">
      <c r="A26" s="98">
        <v>75</v>
      </c>
      <c r="B26" s="94">
        <v>12000</v>
      </c>
      <c r="C26" s="116">
        <f>C25/8*1</f>
        <v>53.571428571428569</v>
      </c>
      <c r="D26" s="21">
        <v>0</v>
      </c>
      <c r="E26" s="21">
        <v>0</v>
      </c>
      <c r="F26" s="21">
        <v>0</v>
      </c>
      <c r="G26" s="21">
        <v>0</v>
      </c>
      <c r="H26" s="21">
        <v>2</v>
      </c>
      <c r="I26" s="86">
        <v>0</v>
      </c>
      <c r="J26" s="21">
        <v>2</v>
      </c>
      <c r="K26" s="21">
        <v>2</v>
      </c>
      <c r="L26" s="21">
        <v>2</v>
      </c>
      <c r="M26" s="21">
        <v>2</v>
      </c>
      <c r="N26" s="21">
        <v>0</v>
      </c>
      <c r="O26" s="21">
        <v>2</v>
      </c>
      <c r="P26" s="86">
        <v>0</v>
      </c>
      <c r="Q26" s="21">
        <v>0</v>
      </c>
      <c r="R26" s="21">
        <v>2</v>
      </c>
      <c r="S26" s="21">
        <v>2</v>
      </c>
      <c r="T26" s="21">
        <v>2</v>
      </c>
      <c r="U26" s="21">
        <v>2</v>
      </c>
      <c r="V26" s="21">
        <v>0</v>
      </c>
      <c r="W26" s="86">
        <v>0</v>
      </c>
      <c r="X26" s="21">
        <v>2</v>
      </c>
      <c r="Y26" s="21">
        <v>2</v>
      </c>
      <c r="Z26" s="21">
        <v>2</v>
      </c>
      <c r="AA26" s="21">
        <v>2</v>
      </c>
      <c r="AB26" s="21">
        <v>0</v>
      </c>
      <c r="AC26" s="21">
        <v>2</v>
      </c>
      <c r="AD26" s="86">
        <v>0</v>
      </c>
      <c r="AE26" s="21">
        <v>0</v>
      </c>
      <c r="AF26" s="123"/>
      <c r="AG26" s="123"/>
      <c r="AH26" s="123"/>
      <c r="AI26" s="78">
        <f t="shared" ref="AI26:AI38" si="8">SUM(D26:AH26)</f>
        <v>30</v>
      </c>
      <c r="AJ26" s="120"/>
      <c r="AK26" s="24"/>
      <c r="AL26" s="24"/>
      <c r="AM26" s="21">
        <f>AI26*A26</f>
        <v>2250</v>
      </c>
      <c r="AN26" s="20">
        <v>0</v>
      </c>
      <c r="AO26" s="505"/>
      <c r="AP26" s="635"/>
    </row>
    <row r="27" spans="1:43" ht="16.5" customHeight="1">
      <c r="A27" s="99">
        <v>2</v>
      </c>
      <c r="B27" s="95" t="s">
        <v>27</v>
      </c>
      <c r="C27" s="116">
        <f>B28/AG23</f>
        <v>321.42857142857144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86">
        <v>0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>
        <v>0</v>
      </c>
      <c r="P27" s="86">
        <v>0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86">
        <v>0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86">
        <v>0</v>
      </c>
      <c r="AE27" s="21">
        <v>1</v>
      </c>
      <c r="AF27" s="123"/>
      <c r="AG27" s="123"/>
      <c r="AH27" s="123"/>
      <c r="AI27" s="78">
        <f t="shared" si="8"/>
        <v>23</v>
      </c>
      <c r="AJ27" s="120">
        <v>4</v>
      </c>
      <c r="AK27" s="21">
        <v>1</v>
      </c>
      <c r="AL27" s="21">
        <f>AI27+AJ27</f>
        <v>27</v>
      </c>
      <c r="AM27" s="21">
        <f>AL27*C27</f>
        <v>8678.5714285714294</v>
      </c>
      <c r="AN27" s="20">
        <f>C27*AG23</f>
        <v>9000</v>
      </c>
      <c r="AO27" s="505">
        <f>AM27+AM28</f>
        <v>9978.5714285714294</v>
      </c>
      <c r="AP27" s="609">
        <v>9000</v>
      </c>
      <c r="AQ27" s="608">
        <v>1000</v>
      </c>
    </row>
    <row r="28" spans="1:43" ht="16.5" customHeight="1">
      <c r="A28" s="98">
        <v>50</v>
      </c>
      <c r="B28" s="94">
        <v>9000</v>
      </c>
      <c r="C28" s="116">
        <f>C27/8*1</f>
        <v>40.178571428571431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86">
        <v>0</v>
      </c>
      <c r="J28" s="21">
        <v>2</v>
      </c>
      <c r="K28" s="21">
        <v>2</v>
      </c>
      <c r="L28" s="21">
        <v>2</v>
      </c>
      <c r="M28" s="21">
        <v>2</v>
      </c>
      <c r="N28" s="21">
        <v>2</v>
      </c>
      <c r="O28" s="21">
        <v>0</v>
      </c>
      <c r="P28" s="86">
        <v>0</v>
      </c>
      <c r="Q28" s="21">
        <v>0</v>
      </c>
      <c r="R28" s="21">
        <v>2</v>
      </c>
      <c r="S28" s="21">
        <v>2</v>
      </c>
      <c r="T28" s="21">
        <v>2</v>
      </c>
      <c r="U28" s="21">
        <v>0</v>
      </c>
      <c r="V28" s="21">
        <v>2</v>
      </c>
      <c r="W28" s="86">
        <v>0</v>
      </c>
      <c r="X28" s="21">
        <v>2</v>
      </c>
      <c r="Y28" s="21">
        <v>0</v>
      </c>
      <c r="Z28" s="21">
        <v>2</v>
      </c>
      <c r="AA28" s="21">
        <v>2</v>
      </c>
      <c r="AB28" s="21">
        <v>2</v>
      </c>
      <c r="AC28" s="21">
        <v>0</v>
      </c>
      <c r="AD28" s="86">
        <v>0</v>
      </c>
      <c r="AE28" s="21">
        <v>0</v>
      </c>
      <c r="AF28" s="123"/>
      <c r="AG28" s="123"/>
      <c r="AH28" s="123"/>
      <c r="AI28" s="78">
        <f t="shared" si="8"/>
        <v>26</v>
      </c>
      <c r="AJ28" s="120"/>
      <c r="AK28" s="21"/>
      <c r="AL28" s="21"/>
      <c r="AM28" s="21">
        <f>A28*AI28</f>
        <v>1300</v>
      </c>
      <c r="AN28" s="20">
        <v>0</v>
      </c>
      <c r="AO28" s="505"/>
      <c r="AP28" s="609"/>
      <c r="AQ28" s="608"/>
    </row>
    <row r="29" spans="1:43" ht="16.5" customHeight="1">
      <c r="A29" s="98">
        <v>3</v>
      </c>
      <c r="B29" s="94" t="s">
        <v>68</v>
      </c>
      <c r="C29" s="116">
        <f>B30/AG23</f>
        <v>357.14285714285717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86">
        <v>0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86">
        <v>0</v>
      </c>
      <c r="Q29" s="23">
        <v>0</v>
      </c>
      <c r="R29" s="23">
        <v>0</v>
      </c>
      <c r="S29" s="21">
        <v>1</v>
      </c>
      <c r="T29" s="21">
        <v>1</v>
      </c>
      <c r="U29" s="21">
        <v>1</v>
      </c>
      <c r="V29" s="21">
        <v>1</v>
      </c>
      <c r="W29" s="86">
        <v>0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124">
        <v>1</v>
      </c>
      <c r="AE29" s="21">
        <v>1</v>
      </c>
      <c r="AF29" s="123"/>
      <c r="AG29" s="123"/>
      <c r="AH29" s="123"/>
      <c r="AI29" s="78">
        <f t="shared" si="8"/>
        <v>23</v>
      </c>
      <c r="AJ29" s="120">
        <v>4</v>
      </c>
      <c r="AK29" s="21">
        <v>2</v>
      </c>
      <c r="AL29" s="21">
        <f>AI29+AJ29</f>
        <v>27</v>
      </c>
      <c r="AM29" s="21">
        <f>AL29*C29</f>
        <v>9642.8571428571431</v>
      </c>
      <c r="AN29" s="20">
        <f>C29*AG23</f>
        <v>10000</v>
      </c>
      <c r="AO29" s="505">
        <f>AM29+AM30</f>
        <v>11682.857142857143</v>
      </c>
      <c r="AP29" s="609">
        <v>10000</v>
      </c>
      <c r="AQ29" s="608">
        <v>1000</v>
      </c>
    </row>
    <row r="30" spans="1:43" ht="16.5" customHeight="1">
      <c r="A30" s="98">
        <v>60</v>
      </c>
      <c r="B30" s="94">
        <v>10000</v>
      </c>
      <c r="C30" s="116">
        <f>C29/8*1</f>
        <v>44.642857142857146</v>
      </c>
      <c r="D30" s="21">
        <v>0</v>
      </c>
      <c r="E30" s="21">
        <v>0</v>
      </c>
      <c r="F30" s="21">
        <v>0</v>
      </c>
      <c r="G30" s="21">
        <v>0</v>
      </c>
      <c r="H30" s="21">
        <v>2</v>
      </c>
      <c r="I30" s="86">
        <v>0</v>
      </c>
      <c r="J30" s="21">
        <v>2</v>
      </c>
      <c r="K30" s="21">
        <v>2</v>
      </c>
      <c r="L30" s="21">
        <v>2</v>
      </c>
      <c r="M30" s="21">
        <v>2</v>
      </c>
      <c r="N30" s="21">
        <v>2</v>
      </c>
      <c r="O30" s="21">
        <v>2</v>
      </c>
      <c r="P30" s="86">
        <v>0</v>
      </c>
      <c r="Q30" s="21">
        <v>0</v>
      </c>
      <c r="R30" s="21">
        <v>0</v>
      </c>
      <c r="S30" s="21">
        <v>2</v>
      </c>
      <c r="T30" s="21">
        <v>2</v>
      </c>
      <c r="U30" s="21">
        <v>2</v>
      </c>
      <c r="V30" s="21">
        <v>2</v>
      </c>
      <c r="W30" s="86">
        <v>0</v>
      </c>
      <c r="X30" s="21">
        <v>2</v>
      </c>
      <c r="Y30" s="21">
        <v>2</v>
      </c>
      <c r="Z30" s="21">
        <v>2</v>
      </c>
      <c r="AA30" s="21">
        <v>2</v>
      </c>
      <c r="AB30" s="21">
        <v>2</v>
      </c>
      <c r="AC30" s="21">
        <v>2</v>
      </c>
      <c r="AD30" s="124">
        <v>0</v>
      </c>
      <c r="AE30" s="21">
        <v>0</v>
      </c>
      <c r="AF30" s="123"/>
      <c r="AG30" s="123"/>
      <c r="AH30" s="123"/>
      <c r="AI30" s="78">
        <f t="shared" si="8"/>
        <v>34</v>
      </c>
      <c r="AJ30" s="120"/>
      <c r="AK30" s="21"/>
      <c r="AL30" s="21"/>
      <c r="AM30" s="21">
        <f>A30*AI30</f>
        <v>2040</v>
      </c>
      <c r="AN30" s="20">
        <v>0</v>
      </c>
      <c r="AO30" s="505"/>
      <c r="AP30" s="609"/>
      <c r="AQ30" s="608"/>
    </row>
    <row r="31" spans="1:43" ht="16.5" customHeight="1">
      <c r="A31" s="98">
        <v>4</v>
      </c>
      <c r="B31" s="94" t="s">
        <v>70</v>
      </c>
      <c r="C31" s="116">
        <v>0</v>
      </c>
      <c r="D31" s="123"/>
      <c r="E31" s="123"/>
      <c r="F31" s="123"/>
      <c r="G31" s="123"/>
      <c r="H31" s="123"/>
      <c r="I31" s="86">
        <v>0</v>
      </c>
      <c r="J31" s="123"/>
      <c r="K31" s="123"/>
      <c r="L31" s="123"/>
      <c r="M31" s="123"/>
      <c r="N31" s="123"/>
      <c r="O31" s="123"/>
      <c r="P31" s="86">
        <v>0</v>
      </c>
      <c r="Q31" s="123"/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86">
        <v>0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124">
        <v>1</v>
      </c>
      <c r="AE31" s="23">
        <v>0</v>
      </c>
      <c r="AF31" s="123"/>
      <c r="AG31" s="123"/>
      <c r="AH31" s="123"/>
      <c r="AI31" s="78">
        <f>SUM(D31:AH31)</f>
        <v>12</v>
      </c>
      <c r="AJ31" s="120">
        <v>0</v>
      </c>
      <c r="AK31" s="21">
        <v>1</v>
      </c>
      <c r="AL31" s="21">
        <f>AI31+AJ31</f>
        <v>12</v>
      </c>
      <c r="AM31" s="21">
        <f>AI31*B32</f>
        <v>6600</v>
      </c>
      <c r="AN31" s="20">
        <f>C31*AG23</f>
        <v>0</v>
      </c>
      <c r="AO31" s="505">
        <f>AM31+AM32</f>
        <v>6600</v>
      </c>
      <c r="AP31" s="609">
        <v>6600</v>
      </c>
    </row>
    <row r="32" spans="1:43" ht="16.5" customHeight="1">
      <c r="A32" s="98"/>
      <c r="B32" s="94">
        <v>550</v>
      </c>
      <c r="C32" s="116">
        <f>C31/8*1</f>
        <v>0</v>
      </c>
      <c r="D32" s="123"/>
      <c r="E32" s="123"/>
      <c r="F32" s="123"/>
      <c r="G32" s="123"/>
      <c r="H32" s="123"/>
      <c r="I32" s="86">
        <v>0</v>
      </c>
      <c r="J32" s="123"/>
      <c r="K32" s="123"/>
      <c r="L32" s="123"/>
      <c r="M32" s="123"/>
      <c r="N32" s="123"/>
      <c r="O32" s="123"/>
      <c r="P32" s="86">
        <v>0</v>
      </c>
      <c r="Q32" s="123"/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86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124">
        <v>0</v>
      </c>
      <c r="AE32" s="21">
        <v>0</v>
      </c>
      <c r="AF32" s="123"/>
      <c r="AG32" s="123"/>
      <c r="AH32" s="123"/>
      <c r="AI32" s="78">
        <f t="shared" si="8"/>
        <v>0</v>
      </c>
      <c r="AJ32" s="120"/>
      <c r="AK32" s="21"/>
      <c r="AL32" s="21"/>
      <c r="AM32" s="21">
        <f t="shared" ref="AM32" si="9">C32*AI32</f>
        <v>0</v>
      </c>
      <c r="AN32" s="20">
        <v>0</v>
      </c>
      <c r="AO32" s="505"/>
      <c r="AP32" s="609"/>
    </row>
    <row r="33" spans="1:42" ht="16.5" customHeight="1">
      <c r="A33" s="98">
        <v>5</v>
      </c>
      <c r="B33" s="94" t="s">
        <v>71</v>
      </c>
      <c r="C33" s="116">
        <v>0</v>
      </c>
      <c r="D33" s="123"/>
      <c r="E33" s="123"/>
      <c r="F33" s="123"/>
      <c r="G33" s="123"/>
      <c r="H33" s="123"/>
      <c r="I33" s="86">
        <v>0</v>
      </c>
      <c r="J33" s="123"/>
      <c r="K33" s="123"/>
      <c r="L33" s="123"/>
      <c r="M33" s="123"/>
      <c r="N33" s="123"/>
      <c r="O33" s="123"/>
      <c r="P33" s="86">
        <v>0</v>
      </c>
      <c r="Q33" s="123"/>
      <c r="R33" s="123"/>
      <c r="S33" s="123"/>
      <c r="T33" s="21">
        <v>1</v>
      </c>
      <c r="U33" s="21">
        <v>1</v>
      </c>
      <c r="V33" s="21">
        <v>1</v>
      </c>
      <c r="W33" s="86">
        <v>0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124">
        <v>1</v>
      </c>
      <c r="AE33" s="21">
        <v>1</v>
      </c>
      <c r="AF33" s="123"/>
      <c r="AG33" s="123"/>
      <c r="AH33" s="123"/>
      <c r="AI33" s="78">
        <f t="shared" si="8"/>
        <v>11</v>
      </c>
      <c r="AJ33" s="120">
        <v>0</v>
      </c>
      <c r="AK33" s="21">
        <v>0</v>
      </c>
      <c r="AL33" s="21">
        <f>AI33+AJ33</f>
        <v>11</v>
      </c>
      <c r="AM33" s="21">
        <f>AI33*B34</f>
        <v>6050</v>
      </c>
      <c r="AN33" s="20">
        <f>C33*AG23</f>
        <v>0</v>
      </c>
      <c r="AO33" s="505">
        <f>AM33+AM34</f>
        <v>6050</v>
      </c>
      <c r="AP33" s="609">
        <v>6050</v>
      </c>
    </row>
    <row r="34" spans="1:42" ht="16.5" customHeight="1">
      <c r="A34" s="98"/>
      <c r="B34" s="94">
        <v>550</v>
      </c>
      <c r="C34" s="116">
        <v>0</v>
      </c>
      <c r="D34" s="123"/>
      <c r="E34" s="123"/>
      <c r="F34" s="123"/>
      <c r="G34" s="123"/>
      <c r="H34" s="123"/>
      <c r="I34" s="86">
        <v>0</v>
      </c>
      <c r="J34" s="123"/>
      <c r="K34" s="123"/>
      <c r="L34" s="123"/>
      <c r="M34" s="123"/>
      <c r="N34" s="123"/>
      <c r="O34" s="123"/>
      <c r="P34" s="86">
        <v>0</v>
      </c>
      <c r="Q34" s="123"/>
      <c r="R34" s="123"/>
      <c r="S34" s="123"/>
      <c r="T34" s="21">
        <v>0</v>
      </c>
      <c r="U34" s="21">
        <v>0</v>
      </c>
      <c r="V34" s="21">
        <v>0</v>
      </c>
      <c r="W34" s="86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124">
        <v>0</v>
      </c>
      <c r="AE34" s="21">
        <v>0</v>
      </c>
      <c r="AF34" s="123"/>
      <c r="AG34" s="123"/>
      <c r="AH34" s="123"/>
      <c r="AI34" s="78">
        <f t="shared" si="8"/>
        <v>0</v>
      </c>
      <c r="AJ34" s="28"/>
      <c r="AK34" s="21"/>
      <c r="AL34" s="21"/>
      <c r="AM34" s="21">
        <f t="shared" ref="AM34" si="10">C34*AI34</f>
        <v>0</v>
      </c>
      <c r="AN34" s="20">
        <v>0</v>
      </c>
      <c r="AO34" s="505"/>
      <c r="AP34" s="609"/>
    </row>
    <row r="35" spans="1:42" ht="16.5" customHeight="1">
      <c r="A35" s="98"/>
      <c r="B35" s="94"/>
      <c r="C35" s="116">
        <f>B36/AG23</f>
        <v>0</v>
      </c>
      <c r="D35" s="21"/>
      <c r="E35" s="21"/>
      <c r="F35" s="21"/>
      <c r="G35" s="21"/>
      <c r="H35" s="21"/>
      <c r="I35" s="86">
        <v>0</v>
      </c>
      <c r="J35" s="21"/>
      <c r="K35" s="21"/>
      <c r="L35" s="21"/>
      <c r="M35" s="21"/>
      <c r="N35" s="21"/>
      <c r="O35" s="21"/>
      <c r="P35" s="86">
        <v>0</v>
      </c>
      <c r="Q35" s="21"/>
      <c r="R35" s="21"/>
      <c r="S35" s="21"/>
      <c r="T35" s="21"/>
      <c r="U35" s="21"/>
      <c r="V35" s="21"/>
      <c r="W35" s="86">
        <v>0</v>
      </c>
      <c r="X35" s="21"/>
      <c r="Y35" s="21"/>
      <c r="Z35" s="21"/>
      <c r="AA35" s="21"/>
      <c r="AB35" s="21"/>
      <c r="AC35" s="21"/>
      <c r="AD35" s="86">
        <v>0</v>
      </c>
      <c r="AE35" s="21"/>
      <c r="AF35" s="123"/>
      <c r="AG35" s="123"/>
      <c r="AH35" s="123"/>
      <c r="AI35" s="78">
        <f t="shared" si="8"/>
        <v>0</v>
      </c>
      <c r="AJ35" s="28"/>
      <c r="AK35" s="21"/>
      <c r="AL35" s="21">
        <f>AI35+AJ35</f>
        <v>0</v>
      </c>
      <c r="AM35" s="21">
        <f t="shared" ref="AM35" si="11">AL35*C35</f>
        <v>0</v>
      </c>
      <c r="AN35" s="20">
        <f>C35*AG23</f>
        <v>0</v>
      </c>
      <c r="AO35" s="505">
        <f>AM35+AM36</f>
        <v>0</v>
      </c>
      <c r="AP35" s="609"/>
    </row>
    <row r="36" spans="1:42" ht="16.5" customHeight="1">
      <c r="A36" s="98"/>
      <c r="B36" s="94"/>
      <c r="C36" s="116">
        <f>C35/8*1</f>
        <v>0</v>
      </c>
      <c r="D36" s="21"/>
      <c r="E36" s="21"/>
      <c r="F36" s="21"/>
      <c r="G36" s="21"/>
      <c r="H36" s="21"/>
      <c r="I36" s="86">
        <v>0</v>
      </c>
      <c r="J36" s="21"/>
      <c r="K36" s="21"/>
      <c r="L36" s="21"/>
      <c r="M36" s="21"/>
      <c r="N36" s="21"/>
      <c r="O36" s="21"/>
      <c r="P36" s="86">
        <v>0</v>
      </c>
      <c r="Q36" s="21"/>
      <c r="R36" s="21"/>
      <c r="S36" s="21"/>
      <c r="T36" s="21"/>
      <c r="U36" s="21"/>
      <c r="V36" s="21"/>
      <c r="W36" s="86">
        <v>0</v>
      </c>
      <c r="X36" s="21"/>
      <c r="Y36" s="21"/>
      <c r="Z36" s="21"/>
      <c r="AA36" s="21"/>
      <c r="AB36" s="21"/>
      <c r="AC36" s="21"/>
      <c r="AD36" s="86">
        <v>0</v>
      </c>
      <c r="AE36" s="21"/>
      <c r="AF36" s="123"/>
      <c r="AG36" s="123"/>
      <c r="AH36" s="123"/>
      <c r="AI36" s="78">
        <f t="shared" si="8"/>
        <v>0</v>
      </c>
      <c r="AJ36" s="28"/>
      <c r="AK36" s="21"/>
      <c r="AL36" s="21"/>
      <c r="AM36" s="21">
        <f t="shared" ref="AM36" si="12">C36*AI36</f>
        <v>0</v>
      </c>
      <c r="AN36" s="20">
        <v>0</v>
      </c>
      <c r="AO36" s="505"/>
      <c r="AP36" s="609"/>
    </row>
    <row r="37" spans="1:42" ht="16.5" customHeight="1">
      <c r="A37" s="99"/>
      <c r="B37" s="94"/>
      <c r="C37" s="116">
        <f>B38/AG23</f>
        <v>0</v>
      </c>
      <c r="D37" s="21"/>
      <c r="E37" s="21"/>
      <c r="F37" s="21"/>
      <c r="G37" s="21"/>
      <c r="H37" s="21"/>
      <c r="I37" s="86">
        <v>0</v>
      </c>
      <c r="J37" s="21"/>
      <c r="K37" s="21"/>
      <c r="L37" s="21"/>
      <c r="M37" s="21"/>
      <c r="N37" s="21"/>
      <c r="O37" s="21"/>
      <c r="P37" s="86">
        <v>0</v>
      </c>
      <c r="Q37" s="21"/>
      <c r="R37" s="21"/>
      <c r="S37" s="21"/>
      <c r="T37" s="21"/>
      <c r="U37" s="21"/>
      <c r="V37" s="21"/>
      <c r="W37" s="86">
        <v>0</v>
      </c>
      <c r="X37" s="21"/>
      <c r="Y37" s="21"/>
      <c r="Z37" s="21"/>
      <c r="AA37" s="21"/>
      <c r="AB37" s="21"/>
      <c r="AC37" s="21"/>
      <c r="AD37" s="86">
        <v>0</v>
      </c>
      <c r="AE37" s="21"/>
      <c r="AF37" s="123"/>
      <c r="AG37" s="123"/>
      <c r="AH37" s="123"/>
      <c r="AI37" s="78">
        <f t="shared" si="8"/>
        <v>0</v>
      </c>
      <c r="AJ37" s="28"/>
      <c r="AK37" s="21"/>
      <c r="AL37" s="21">
        <f>AI37+AJ37</f>
        <v>0</v>
      </c>
      <c r="AM37" s="21">
        <f>AL37*C37</f>
        <v>0</v>
      </c>
      <c r="AN37" s="20">
        <f>C37*AG23</f>
        <v>0</v>
      </c>
      <c r="AO37" s="505">
        <f>AM37+AM38</f>
        <v>0</v>
      </c>
      <c r="AP37" s="600"/>
    </row>
    <row r="38" spans="1:42" ht="17.25" customHeight="1" thickBot="1">
      <c r="A38" s="100"/>
      <c r="B38" s="96">
        <v>0</v>
      </c>
      <c r="C38" s="117">
        <f>C37/8*1</f>
        <v>0</v>
      </c>
      <c r="D38" s="21"/>
      <c r="E38" s="21"/>
      <c r="F38" s="21"/>
      <c r="G38" s="21"/>
      <c r="H38" s="21"/>
      <c r="I38" s="86">
        <v>0</v>
      </c>
      <c r="J38" s="21"/>
      <c r="K38" s="21"/>
      <c r="L38" s="21"/>
      <c r="M38" s="21"/>
      <c r="N38" s="21"/>
      <c r="O38" s="21"/>
      <c r="P38" s="86">
        <v>0</v>
      </c>
      <c r="Q38" s="21"/>
      <c r="R38" s="21"/>
      <c r="S38" s="21"/>
      <c r="T38" s="21"/>
      <c r="U38" s="21"/>
      <c r="V38" s="21"/>
      <c r="W38" s="86">
        <v>0</v>
      </c>
      <c r="X38" s="21"/>
      <c r="Y38" s="21"/>
      <c r="Z38" s="21"/>
      <c r="AA38" s="21"/>
      <c r="AB38" s="21"/>
      <c r="AC38" s="21"/>
      <c r="AD38" s="86">
        <v>0</v>
      </c>
      <c r="AE38" s="21"/>
      <c r="AF38" s="123"/>
      <c r="AG38" s="123"/>
      <c r="AH38" s="123"/>
      <c r="AI38" s="83">
        <f t="shared" si="8"/>
        <v>0</v>
      </c>
      <c r="AJ38" s="88"/>
      <c r="AK38" s="87"/>
      <c r="AL38" s="87"/>
      <c r="AM38" s="87">
        <f>C38*AI38</f>
        <v>0</v>
      </c>
      <c r="AN38" s="84">
        <v>0</v>
      </c>
      <c r="AO38" s="599"/>
      <c r="AP38" s="601"/>
    </row>
    <row r="39" spans="1:42" ht="17.25" customHeight="1" thickBot="1">
      <c r="A39" s="101"/>
      <c r="B39" s="571" t="s">
        <v>30</v>
      </c>
      <c r="C39" s="572"/>
      <c r="D39" s="121">
        <f>D25+D27+D29+D31+D33+D35+D37</f>
        <v>3</v>
      </c>
      <c r="E39" s="91">
        <f t="shared" ref="E39:AC39" si="13">E25+E27+E29+E31+E33+E35+E37</f>
        <v>3</v>
      </c>
      <c r="F39" s="91">
        <f t="shared" si="13"/>
        <v>3</v>
      </c>
      <c r="G39" s="91">
        <f t="shared" si="13"/>
        <v>3</v>
      </c>
      <c r="H39" s="91">
        <f t="shared" si="13"/>
        <v>3</v>
      </c>
      <c r="I39" s="91">
        <f t="shared" si="13"/>
        <v>0</v>
      </c>
      <c r="J39" s="91">
        <f t="shared" si="13"/>
        <v>3</v>
      </c>
      <c r="K39" s="91">
        <f t="shared" si="13"/>
        <v>3</v>
      </c>
      <c r="L39" s="91">
        <f t="shared" si="13"/>
        <v>3</v>
      </c>
      <c r="M39" s="91">
        <f t="shared" si="13"/>
        <v>3</v>
      </c>
      <c r="N39" s="91">
        <f t="shared" si="13"/>
        <v>3</v>
      </c>
      <c r="O39" s="91">
        <f t="shared" si="13"/>
        <v>2</v>
      </c>
      <c r="P39" s="91">
        <f t="shared" si="13"/>
        <v>0</v>
      </c>
      <c r="Q39" s="91">
        <f t="shared" si="13"/>
        <v>2</v>
      </c>
      <c r="R39" s="91">
        <f t="shared" si="13"/>
        <v>3</v>
      </c>
      <c r="S39" s="91">
        <f t="shared" si="13"/>
        <v>4</v>
      </c>
      <c r="T39" s="91">
        <f t="shared" si="13"/>
        <v>5</v>
      </c>
      <c r="U39" s="91">
        <f t="shared" si="13"/>
        <v>5</v>
      </c>
      <c r="V39" s="91">
        <f t="shared" si="13"/>
        <v>5</v>
      </c>
      <c r="W39" s="91">
        <f t="shared" si="13"/>
        <v>0</v>
      </c>
      <c r="X39" s="91">
        <f t="shared" si="13"/>
        <v>5</v>
      </c>
      <c r="Y39" s="91">
        <f t="shared" si="13"/>
        <v>5</v>
      </c>
      <c r="Z39" s="91">
        <f t="shared" si="13"/>
        <v>5</v>
      </c>
      <c r="AA39" s="91">
        <f t="shared" si="13"/>
        <v>5</v>
      </c>
      <c r="AB39" s="91">
        <f t="shared" si="13"/>
        <v>5</v>
      </c>
      <c r="AC39" s="91">
        <f t="shared" si="13"/>
        <v>5</v>
      </c>
      <c r="AD39" s="91">
        <f t="shared" ref="AD39:AN39" si="14">AD25+AD27+AD29+AD31+AD33+AD35+AD37</f>
        <v>3</v>
      </c>
      <c r="AE39" s="91">
        <f t="shared" si="14"/>
        <v>4</v>
      </c>
      <c r="AF39" s="91">
        <f t="shared" si="14"/>
        <v>0</v>
      </c>
      <c r="AG39" s="91">
        <f t="shared" si="14"/>
        <v>0</v>
      </c>
      <c r="AH39" s="106">
        <f t="shared" si="14"/>
        <v>0</v>
      </c>
      <c r="AI39" s="89">
        <f t="shared" si="14"/>
        <v>93</v>
      </c>
      <c r="AJ39" s="91">
        <f t="shared" si="14"/>
        <v>12</v>
      </c>
      <c r="AK39" s="91">
        <f t="shared" si="14"/>
        <v>4</v>
      </c>
      <c r="AL39" s="91">
        <f t="shared" si="14"/>
        <v>105</v>
      </c>
      <c r="AM39" s="91">
        <f t="shared" si="14"/>
        <v>42971.428571428572</v>
      </c>
      <c r="AN39" s="307">
        <f t="shared" si="14"/>
        <v>31000</v>
      </c>
      <c r="AO39" s="602">
        <f>AM39+AM40</f>
        <v>48561.428571428572</v>
      </c>
      <c r="AP39" s="604">
        <f>SUM(AP25:AP38)</f>
        <v>45650</v>
      </c>
    </row>
    <row r="40" spans="1:42" ht="17.25" customHeight="1" thickBot="1">
      <c r="A40" s="102"/>
      <c r="B40" s="544" t="s">
        <v>31</v>
      </c>
      <c r="C40" s="545"/>
      <c r="D40" s="122">
        <f>D26+D28+D30+D32+D34+D36+D38</f>
        <v>0</v>
      </c>
      <c r="E40" s="92">
        <f t="shared" ref="E40:AC40" si="15">E26+E28+E30+E32+E34+E36+E38</f>
        <v>0</v>
      </c>
      <c r="F40" s="92">
        <f t="shared" si="15"/>
        <v>0</v>
      </c>
      <c r="G40" s="92">
        <f t="shared" si="15"/>
        <v>0</v>
      </c>
      <c r="H40" s="92">
        <f t="shared" si="15"/>
        <v>4</v>
      </c>
      <c r="I40" s="92">
        <f t="shared" si="15"/>
        <v>0</v>
      </c>
      <c r="J40" s="92">
        <f t="shared" si="15"/>
        <v>6</v>
      </c>
      <c r="K40" s="92">
        <f t="shared" si="15"/>
        <v>6</v>
      </c>
      <c r="L40" s="92">
        <f t="shared" si="15"/>
        <v>6</v>
      </c>
      <c r="M40" s="92">
        <f t="shared" si="15"/>
        <v>6</v>
      </c>
      <c r="N40" s="92">
        <f t="shared" si="15"/>
        <v>4</v>
      </c>
      <c r="O40" s="92">
        <f t="shared" si="15"/>
        <v>4</v>
      </c>
      <c r="P40" s="92">
        <f t="shared" si="15"/>
        <v>0</v>
      </c>
      <c r="Q40" s="92">
        <f t="shared" si="15"/>
        <v>0</v>
      </c>
      <c r="R40" s="92">
        <f t="shared" si="15"/>
        <v>4</v>
      </c>
      <c r="S40" s="92">
        <f t="shared" si="15"/>
        <v>6</v>
      </c>
      <c r="T40" s="92">
        <f t="shared" si="15"/>
        <v>6</v>
      </c>
      <c r="U40" s="92">
        <f t="shared" si="15"/>
        <v>4</v>
      </c>
      <c r="V40" s="92">
        <f t="shared" si="15"/>
        <v>4</v>
      </c>
      <c r="W40" s="92">
        <f t="shared" si="15"/>
        <v>0</v>
      </c>
      <c r="X40" s="92">
        <f t="shared" si="15"/>
        <v>6</v>
      </c>
      <c r="Y40" s="92">
        <f t="shared" si="15"/>
        <v>4</v>
      </c>
      <c r="Z40" s="92">
        <f t="shared" si="15"/>
        <v>6</v>
      </c>
      <c r="AA40" s="92">
        <f t="shared" si="15"/>
        <v>6</v>
      </c>
      <c r="AB40" s="92">
        <f t="shared" si="15"/>
        <v>4</v>
      </c>
      <c r="AC40" s="92">
        <f t="shared" si="15"/>
        <v>4</v>
      </c>
      <c r="AD40" s="92">
        <f t="shared" ref="AD40:AN40" si="16">AD26+AD28+AD30+AD32+AD34+AD36+AD38</f>
        <v>0</v>
      </c>
      <c r="AE40" s="92">
        <f t="shared" si="16"/>
        <v>0</v>
      </c>
      <c r="AF40" s="92">
        <f t="shared" si="16"/>
        <v>0</v>
      </c>
      <c r="AG40" s="92">
        <f t="shared" si="16"/>
        <v>0</v>
      </c>
      <c r="AH40" s="107">
        <f t="shared" si="16"/>
        <v>0</v>
      </c>
      <c r="AI40" s="90">
        <f t="shared" si="16"/>
        <v>90</v>
      </c>
      <c r="AJ40" s="92">
        <f t="shared" si="16"/>
        <v>0</v>
      </c>
      <c r="AK40" s="92">
        <f t="shared" si="16"/>
        <v>0</v>
      </c>
      <c r="AL40" s="92">
        <f t="shared" si="16"/>
        <v>0</v>
      </c>
      <c r="AM40" s="92">
        <f t="shared" si="16"/>
        <v>5590</v>
      </c>
      <c r="AN40" s="308">
        <f t="shared" si="16"/>
        <v>0</v>
      </c>
      <c r="AO40" s="603"/>
      <c r="AP40" s="605"/>
    </row>
    <row r="41" spans="1:42">
      <c r="AF41" s="75" t="s">
        <v>49</v>
      </c>
      <c r="AG41" s="75"/>
      <c r="AH41" s="76">
        <f>(AI25+AI27+AI29+AI31+AI33+AI35+AI37)*2*5</f>
        <v>930</v>
      </c>
      <c r="AI41" s="632" t="s">
        <v>50</v>
      </c>
      <c r="AJ41" s="633"/>
      <c r="AK41" s="77"/>
    </row>
    <row r="44" spans="1:42" ht="21.75" thickBot="1"/>
    <row r="45" spans="1:42" ht="27" thickBot="1">
      <c r="A45" s="618" t="s">
        <v>0</v>
      </c>
      <c r="B45" s="620" t="s">
        <v>1</v>
      </c>
      <c r="C45" s="621"/>
      <c r="D45" s="624" t="s">
        <v>72</v>
      </c>
      <c r="E45" s="624"/>
      <c r="F45" s="624"/>
      <c r="G45" s="624"/>
      <c r="H45" s="624"/>
      <c r="I45" s="624"/>
      <c r="J45" s="624"/>
      <c r="K45" s="624"/>
      <c r="L45" s="624"/>
      <c r="M45" s="624"/>
      <c r="N45" s="624"/>
      <c r="O45" s="624"/>
      <c r="P45" s="624"/>
      <c r="Q45" s="624"/>
      <c r="R45" s="624"/>
      <c r="S45" s="624"/>
      <c r="T45" s="624"/>
      <c r="U45" s="624"/>
      <c r="V45" s="624"/>
      <c r="W45" s="624"/>
      <c r="X45" s="624"/>
      <c r="Y45" s="624"/>
      <c r="Z45" s="624"/>
      <c r="AA45" s="624"/>
      <c r="AB45" s="624"/>
      <c r="AC45" s="624"/>
      <c r="AD45" s="624"/>
      <c r="AE45" s="624"/>
      <c r="AF45" s="625"/>
      <c r="AG45" s="626">
        <v>31</v>
      </c>
      <c r="AH45" s="627"/>
      <c r="AI45" s="628" t="s">
        <v>3</v>
      </c>
      <c r="AJ45" s="630" t="s">
        <v>4</v>
      </c>
      <c r="AK45" s="630" t="s">
        <v>5</v>
      </c>
      <c r="AL45" s="630" t="s">
        <v>6</v>
      </c>
      <c r="AM45" s="630" t="s">
        <v>7</v>
      </c>
      <c r="AN45" s="610" t="s">
        <v>8</v>
      </c>
      <c r="AO45" s="612" t="s">
        <v>7</v>
      </c>
      <c r="AP45" s="614" t="s">
        <v>33</v>
      </c>
    </row>
    <row r="46" spans="1:42" ht="15.75" thickBot="1">
      <c r="A46" s="619"/>
      <c r="B46" s="622"/>
      <c r="C46" s="623"/>
      <c r="D46" s="109">
        <v>1</v>
      </c>
      <c r="E46" s="82">
        <v>2</v>
      </c>
      <c r="F46" s="82">
        <v>3</v>
      </c>
      <c r="G46" s="82">
        <v>4</v>
      </c>
      <c r="H46" s="82">
        <v>5</v>
      </c>
      <c r="I46" s="82">
        <v>6</v>
      </c>
      <c r="J46" s="82">
        <v>7</v>
      </c>
      <c r="K46" s="82">
        <v>8</v>
      </c>
      <c r="L46" s="82">
        <v>9</v>
      </c>
      <c r="M46" s="82">
        <v>10</v>
      </c>
      <c r="N46" s="82">
        <v>11</v>
      </c>
      <c r="O46" s="82">
        <v>12</v>
      </c>
      <c r="P46" s="82">
        <v>13</v>
      </c>
      <c r="Q46" s="82">
        <v>14</v>
      </c>
      <c r="R46" s="82">
        <v>15</v>
      </c>
      <c r="S46" s="82">
        <v>16</v>
      </c>
      <c r="T46" s="82">
        <v>17</v>
      </c>
      <c r="U46" s="82">
        <v>18</v>
      </c>
      <c r="V46" s="82">
        <v>19</v>
      </c>
      <c r="W46" s="82">
        <v>20</v>
      </c>
      <c r="X46" s="82">
        <v>21</v>
      </c>
      <c r="Y46" s="82">
        <v>22</v>
      </c>
      <c r="Z46" s="82">
        <v>23</v>
      </c>
      <c r="AA46" s="82">
        <v>24</v>
      </c>
      <c r="AB46" s="82">
        <v>25</v>
      </c>
      <c r="AC46" s="82">
        <v>26</v>
      </c>
      <c r="AD46" s="82">
        <v>27</v>
      </c>
      <c r="AE46" s="82">
        <v>28</v>
      </c>
      <c r="AF46" s="82">
        <v>29</v>
      </c>
      <c r="AG46" s="82">
        <v>30</v>
      </c>
      <c r="AH46" s="103">
        <v>31</v>
      </c>
      <c r="AI46" s="629"/>
      <c r="AJ46" s="631"/>
      <c r="AK46" s="631"/>
      <c r="AL46" s="631"/>
      <c r="AM46" s="631"/>
      <c r="AN46" s="611"/>
      <c r="AO46" s="613"/>
      <c r="AP46" s="615"/>
    </row>
    <row r="47" spans="1:42" ht="15">
      <c r="A47" s="97">
        <v>1</v>
      </c>
      <c r="B47" s="93" t="s">
        <v>9</v>
      </c>
      <c r="C47" s="115">
        <f>B48/AG45</f>
        <v>387.09677419354841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86">
        <v>0</v>
      </c>
      <c r="J47" s="21">
        <v>1</v>
      </c>
      <c r="K47" s="21">
        <v>1</v>
      </c>
      <c r="L47" s="21">
        <v>1</v>
      </c>
      <c r="M47" s="27">
        <v>0.5</v>
      </c>
      <c r="N47" s="21">
        <v>1</v>
      </c>
      <c r="O47" s="21">
        <v>1</v>
      </c>
      <c r="P47" s="86">
        <v>0</v>
      </c>
      <c r="Q47" s="21">
        <v>1</v>
      </c>
      <c r="R47" s="21">
        <v>1</v>
      </c>
      <c r="S47" s="21">
        <v>1</v>
      </c>
      <c r="T47" s="23">
        <v>0</v>
      </c>
      <c r="U47" s="21">
        <v>1</v>
      </c>
      <c r="V47" s="23">
        <v>0</v>
      </c>
      <c r="W47" s="86">
        <v>0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86">
        <v>0</v>
      </c>
      <c r="AE47" s="21">
        <v>1</v>
      </c>
      <c r="AF47" s="21">
        <v>1</v>
      </c>
      <c r="AG47" s="21">
        <v>1</v>
      </c>
      <c r="AH47" s="21">
        <v>1</v>
      </c>
      <c r="AI47" s="108">
        <f>SUM(D47:AH47)</f>
        <v>24.5</v>
      </c>
      <c r="AJ47" s="119">
        <v>4</v>
      </c>
      <c r="AK47" s="81">
        <f>AG45-AL47</f>
        <v>2.5</v>
      </c>
      <c r="AL47" s="81">
        <f>AI47+AJ47</f>
        <v>28.5</v>
      </c>
      <c r="AM47" s="81">
        <f>AL47*C47</f>
        <v>11032.258064516131</v>
      </c>
      <c r="AN47" s="179">
        <f>C47*AG45</f>
        <v>12000</v>
      </c>
      <c r="AO47" s="616">
        <f>AM47+AM48</f>
        <v>11032.258064516131</v>
      </c>
      <c r="AP47" s="636">
        <v>12000</v>
      </c>
    </row>
    <row r="48" spans="1:42" ht="15">
      <c r="A48" s="98"/>
      <c r="B48" s="94">
        <v>12000</v>
      </c>
      <c r="C48" s="116">
        <f>C47/8*1.5</f>
        <v>72.580645161290334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86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86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86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86">
        <v>0</v>
      </c>
      <c r="AE48" s="21">
        <v>0</v>
      </c>
      <c r="AF48" s="21">
        <v>0</v>
      </c>
      <c r="AG48" s="21">
        <v>0</v>
      </c>
      <c r="AH48" s="21">
        <v>0</v>
      </c>
      <c r="AI48" s="78">
        <f t="shared" ref="AI48:AI60" si="17">SUM(D48:AH48)</f>
        <v>0</v>
      </c>
      <c r="AJ48" s="120"/>
      <c r="AK48" s="24"/>
      <c r="AL48" s="24"/>
      <c r="AM48" s="21">
        <f>AI48*C48</f>
        <v>0</v>
      </c>
      <c r="AN48" s="20">
        <v>0</v>
      </c>
      <c r="AO48" s="505"/>
      <c r="AP48" s="637"/>
    </row>
    <row r="49" spans="1:43" ht="16.5" customHeight="1">
      <c r="A49" s="99">
        <v>2</v>
      </c>
      <c r="B49" s="95" t="s">
        <v>27</v>
      </c>
      <c r="C49" s="116">
        <f>B50/AG45</f>
        <v>322.58064516129031</v>
      </c>
      <c r="D49" s="21">
        <v>1</v>
      </c>
      <c r="E49" s="23">
        <v>0</v>
      </c>
      <c r="F49" s="23">
        <v>0</v>
      </c>
      <c r="G49" s="21">
        <v>1</v>
      </c>
      <c r="H49" s="21">
        <v>1</v>
      </c>
      <c r="I49" s="86">
        <v>0</v>
      </c>
      <c r="J49" s="21">
        <v>1</v>
      </c>
      <c r="K49" s="21">
        <v>1</v>
      </c>
      <c r="L49" s="21">
        <v>1</v>
      </c>
      <c r="M49" s="21">
        <v>1</v>
      </c>
      <c r="N49" s="21">
        <v>1</v>
      </c>
      <c r="O49" s="21">
        <v>1</v>
      </c>
      <c r="P49" s="86">
        <v>0</v>
      </c>
      <c r="Q49" s="21">
        <v>1</v>
      </c>
      <c r="R49" s="21">
        <v>1</v>
      </c>
      <c r="S49" s="21">
        <v>1</v>
      </c>
      <c r="T49" s="21">
        <v>1</v>
      </c>
      <c r="U49" s="21">
        <v>1</v>
      </c>
      <c r="V49" s="23">
        <v>0</v>
      </c>
      <c r="W49" s="86">
        <v>0</v>
      </c>
      <c r="X49" s="21">
        <v>1</v>
      </c>
      <c r="Y49" s="21">
        <v>1</v>
      </c>
      <c r="Z49" s="21">
        <v>1</v>
      </c>
      <c r="AA49" s="21">
        <v>1</v>
      </c>
      <c r="AB49" s="21">
        <v>1</v>
      </c>
      <c r="AC49" s="21">
        <v>1</v>
      </c>
      <c r="AD49" s="86">
        <v>0</v>
      </c>
      <c r="AE49" s="21">
        <v>1</v>
      </c>
      <c r="AF49" s="21">
        <v>1</v>
      </c>
      <c r="AG49" s="21">
        <v>1</v>
      </c>
      <c r="AH49" s="21">
        <v>1</v>
      </c>
      <c r="AI49" s="78">
        <f t="shared" si="17"/>
        <v>24</v>
      </c>
      <c r="AJ49" s="120">
        <v>4</v>
      </c>
      <c r="AK49" s="81">
        <f>AG45-AL49</f>
        <v>3</v>
      </c>
      <c r="AL49" s="21">
        <f>AI49+AJ49</f>
        <v>28</v>
      </c>
      <c r="AM49" s="21">
        <f>AL49*C49</f>
        <v>9032.2580645161288</v>
      </c>
      <c r="AN49" s="20">
        <f>C49*AG45</f>
        <v>10000</v>
      </c>
      <c r="AO49" s="505">
        <f>AM49+AM50</f>
        <v>9032.2580645161288</v>
      </c>
      <c r="AP49" s="637">
        <v>8000</v>
      </c>
      <c r="AQ49" s="608">
        <v>1000</v>
      </c>
    </row>
    <row r="50" spans="1:43" ht="16.5" customHeight="1">
      <c r="A50" s="98"/>
      <c r="B50" s="94">
        <v>10000</v>
      </c>
      <c r="C50" s="116">
        <f>C49/8*1.5</f>
        <v>60.483870967741936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86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86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86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86">
        <v>0</v>
      </c>
      <c r="AE50" s="21">
        <v>0</v>
      </c>
      <c r="AF50" s="21">
        <v>0</v>
      </c>
      <c r="AG50" s="21">
        <v>0</v>
      </c>
      <c r="AH50" s="21">
        <v>0</v>
      </c>
      <c r="AI50" s="78">
        <f t="shared" si="17"/>
        <v>0</v>
      </c>
      <c r="AJ50" s="120"/>
      <c r="AK50" s="21"/>
      <c r="AL50" s="21"/>
      <c r="AM50" s="21">
        <f>C50*AI50</f>
        <v>0</v>
      </c>
      <c r="AN50" s="20">
        <v>0</v>
      </c>
      <c r="AO50" s="505"/>
      <c r="AP50" s="637"/>
      <c r="AQ50" s="608"/>
    </row>
    <row r="51" spans="1:43" ht="16.5" customHeight="1">
      <c r="A51" s="98">
        <v>3</v>
      </c>
      <c r="B51" s="94" t="s">
        <v>68</v>
      </c>
      <c r="C51" s="116">
        <f>B52/AG45</f>
        <v>322.58064516129031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86">
        <v>0</v>
      </c>
      <c r="J51" s="21">
        <v>1</v>
      </c>
      <c r="K51" s="21">
        <v>1</v>
      </c>
      <c r="L51" s="21">
        <v>1</v>
      </c>
      <c r="M51" s="21">
        <v>1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86">
        <v>0</v>
      </c>
      <c r="AE51" s="21">
        <v>1</v>
      </c>
      <c r="AF51" s="21">
        <v>1</v>
      </c>
      <c r="AG51" s="21">
        <v>1</v>
      </c>
      <c r="AH51" s="21">
        <v>1</v>
      </c>
      <c r="AI51" s="78">
        <f t="shared" si="17"/>
        <v>19</v>
      </c>
      <c r="AJ51" s="120">
        <v>2</v>
      </c>
      <c r="AK51" s="81">
        <f>AG45-AL51</f>
        <v>10</v>
      </c>
      <c r="AL51" s="21">
        <f>AI51+AJ51</f>
        <v>21</v>
      </c>
      <c r="AM51" s="21">
        <f>AL51*C51</f>
        <v>6774.1935483870966</v>
      </c>
      <c r="AN51" s="20">
        <f>C51*AG45</f>
        <v>10000</v>
      </c>
      <c r="AO51" s="505">
        <f>AM51+AM52</f>
        <v>6774.1935483870966</v>
      </c>
      <c r="AP51" s="637">
        <v>6000</v>
      </c>
      <c r="AQ51" s="608">
        <v>800</v>
      </c>
    </row>
    <row r="52" spans="1:43" ht="16.5" customHeight="1">
      <c r="A52" s="98"/>
      <c r="B52" s="94">
        <v>10000</v>
      </c>
      <c r="C52" s="116">
        <f>C51/8*1.5</f>
        <v>60.483870967741936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86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86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86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86">
        <v>0</v>
      </c>
      <c r="AE52" s="21">
        <v>0</v>
      </c>
      <c r="AF52" s="21">
        <v>0</v>
      </c>
      <c r="AG52" s="21">
        <v>0</v>
      </c>
      <c r="AH52" s="21">
        <v>0</v>
      </c>
      <c r="AI52" s="78">
        <f t="shared" si="17"/>
        <v>0</v>
      </c>
      <c r="AJ52" s="120"/>
      <c r="AK52" s="21"/>
      <c r="AL52" s="21"/>
      <c r="AM52" s="21">
        <f>C52*AI52</f>
        <v>0</v>
      </c>
      <c r="AN52" s="20">
        <v>0</v>
      </c>
      <c r="AO52" s="505"/>
      <c r="AP52" s="637"/>
      <c r="AQ52" s="608"/>
    </row>
    <row r="53" spans="1:43" ht="16.5" customHeight="1">
      <c r="A53" s="98">
        <v>4</v>
      </c>
      <c r="B53" s="94" t="s">
        <v>73</v>
      </c>
      <c r="C53" s="116">
        <f>B54/AG45</f>
        <v>290.32258064516128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86">
        <v>0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86">
        <v>0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>
        <v>0</v>
      </c>
      <c r="W53" s="23">
        <v>0</v>
      </c>
      <c r="X53" s="27">
        <v>0.5</v>
      </c>
      <c r="Y53" s="23">
        <v>0</v>
      </c>
      <c r="Z53" s="27">
        <v>0.5</v>
      </c>
      <c r="AA53" s="21">
        <v>1</v>
      </c>
      <c r="AB53" s="23">
        <v>0</v>
      </c>
      <c r="AC53" s="23">
        <v>0</v>
      </c>
      <c r="AD53" s="23">
        <v>0</v>
      </c>
      <c r="AE53" s="21">
        <v>1</v>
      </c>
      <c r="AF53" s="21">
        <v>1</v>
      </c>
      <c r="AG53" s="23">
        <v>0</v>
      </c>
      <c r="AH53" s="23">
        <v>0</v>
      </c>
      <c r="AI53" s="78">
        <f t="shared" si="17"/>
        <v>20</v>
      </c>
      <c r="AJ53" s="120">
        <v>2</v>
      </c>
      <c r="AK53" s="81">
        <f>AG45-AL53</f>
        <v>9</v>
      </c>
      <c r="AL53" s="21">
        <f>AI53+AJ53</f>
        <v>22</v>
      </c>
      <c r="AM53" s="21">
        <f>AL53*C53</f>
        <v>6387.0967741935483</v>
      </c>
      <c r="AN53" s="20">
        <f>C53*AG45</f>
        <v>9000</v>
      </c>
      <c r="AO53" s="505">
        <f>AM53+AM54</f>
        <v>6387.0967741935483</v>
      </c>
      <c r="AP53" s="637">
        <v>6400</v>
      </c>
    </row>
    <row r="54" spans="1:43" ht="16.5" customHeight="1">
      <c r="A54" s="98"/>
      <c r="B54" s="94">
        <v>9000</v>
      </c>
      <c r="C54" s="116">
        <f>C53/8*1.5</f>
        <v>54.435483870967744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86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86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86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86">
        <v>0</v>
      </c>
      <c r="AE54" s="21">
        <v>0</v>
      </c>
      <c r="AF54" s="21">
        <v>0</v>
      </c>
      <c r="AG54" s="21">
        <v>0</v>
      </c>
      <c r="AH54" s="21">
        <v>0</v>
      </c>
      <c r="AI54" s="78">
        <f t="shared" si="17"/>
        <v>0</v>
      </c>
      <c r="AJ54" s="120"/>
      <c r="AK54" s="21"/>
      <c r="AL54" s="21"/>
      <c r="AM54" s="21">
        <f>C54*AI54</f>
        <v>0</v>
      </c>
      <c r="AN54" s="20">
        <v>0</v>
      </c>
      <c r="AO54" s="505"/>
      <c r="AP54" s="637"/>
    </row>
    <row r="55" spans="1:43" ht="15">
      <c r="A55" s="98">
        <v>5</v>
      </c>
      <c r="B55" s="94" t="s">
        <v>70</v>
      </c>
      <c r="C55" s="116">
        <v>0</v>
      </c>
      <c r="D55" s="21">
        <v>1</v>
      </c>
      <c r="E55" s="21">
        <v>1</v>
      </c>
      <c r="F55" s="21">
        <v>1</v>
      </c>
      <c r="G55" s="21">
        <v>1</v>
      </c>
      <c r="H55" s="21">
        <v>1</v>
      </c>
      <c r="I55" s="86">
        <v>0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86">
        <v>0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3">
        <v>0</v>
      </c>
      <c r="W55" s="86">
        <v>0</v>
      </c>
      <c r="X55" s="21">
        <v>1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86">
        <v>0</v>
      </c>
      <c r="AE55" s="21">
        <v>1</v>
      </c>
      <c r="AF55" s="21">
        <v>1</v>
      </c>
      <c r="AG55" s="21">
        <v>1</v>
      </c>
      <c r="AH55" s="21">
        <v>1</v>
      </c>
      <c r="AI55" s="78">
        <f t="shared" si="17"/>
        <v>26</v>
      </c>
      <c r="AJ55" s="120">
        <v>0</v>
      </c>
      <c r="AK55" s="21">
        <v>0</v>
      </c>
      <c r="AL55" s="21">
        <f>AI55+AJ55</f>
        <v>26</v>
      </c>
      <c r="AM55" s="21">
        <f>AI55*B56</f>
        <v>11440</v>
      </c>
      <c r="AN55" s="20">
        <f>C55*AG45</f>
        <v>0</v>
      </c>
      <c r="AO55" s="505">
        <f>AM55+AM56</f>
        <v>11440</v>
      </c>
      <c r="AP55" s="609">
        <v>11440</v>
      </c>
    </row>
    <row r="56" spans="1:43" ht="15">
      <c r="A56" s="98"/>
      <c r="B56" s="94">
        <v>440</v>
      </c>
      <c r="C56" s="116">
        <f>C55/8*1</f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86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86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86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86">
        <v>0</v>
      </c>
      <c r="AE56" s="21">
        <v>0</v>
      </c>
      <c r="AF56" s="21">
        <v>0</v>
      </c>
      <c r="AG56" s="21">
        <v>0</v>
      </c>
      <c r="AH56" s="21">
        <v>0</v>
      </c>
      <c r="AI56" s="78">
        <f t="shared" si="17"/>
        <v>0</v>
      </c>
      <c r="AJ56" s="120"/>
      <c r="AK56" s="21"/>
      <c r="AL56" s="21"/>
      <c r="AM56" s="21">
        <f t="shared" ref="AM56" si="18">C56*AI56</f>
        <v>0</v>
      </c>
      <c r="AN56" s="20">
        <v>0</v>
      </c>
      <c r="AO56" s="505"/>
      <c r="AP56" s="609"/>
    </row>
    <row r="57" spans="1:43" ht="15">
      <c r="A57" s="98">
        <v>6</v>
      </c>
      <c r="B57" s="94" t="s">
        <v>71</v>
      </c>
      <c r="C57" s="116">
        <v>0</v>
      </c>
      <c r="D57" s="21">
        <v>1</v>
      </c>
      <c r="E57" s="23">
        <v>0</v>
      </c>
      <c r="F57" s="21">
        <v>1</v>
      </c>
      <c r="G57" s="21">
        <v>1</v>
      </c>
      <c r="H57" s="21">
        <v>1</v>
      </c>
      <c r="I57" s="86">
        <v>0</v>
      </c>
      <c r="J57" s="21">
        <v>1</v>
      </c>
      <c r="K57" s="21">
        <v>1</v>
      </c>
      <c r="L57" s="21">
        <v>1</v>
      </c>
      <c r="M57" s="23">
        <v>0</v>
      </c>
      <c r="N57" s="21">
        <v>1</v>
      </c>
      <c r="O57" s="21">
        <v>1</v>
      </c>
      <c r="P57" s="86">
        <v>0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3">
        <v>0</v>
      </c>
      <c r="W57" s="86">
        <v>0</v>
      </c>
      <c r="X57" s="21">
        <v>1</v>
      </c>
      <c r="Y57" s="21">
        <v>1</v>
      </c>
      <c r="Z57" s="21">
        <v>1</v>
      </c>
      <c r="AA57" s="21">
        <v>1</v>
      </c>
      <c r="AB57" s="21">
        <v>1</v>
      </c>
      <c r="AC57" s="21">
        <v>1</v>
      </c>
      <c r="AD57" s="86">
        <v>0</v>
      </c>
      <c r="AE57" s="21">
        <v>1</v>
      </c>
      <c r="AF57" s="21">
        <v>1</v>
      </c>
      <c r="AG57" s="21">
        <v>1</v>
      </c>
      <c r="AH57" s="23">
        <v>0</v>
      </c>
      <c r="AI57" s="78">
        <f t="shared" si="17"/>
        <v>23</v>
      </c>
      <c r="AJ57" s="120">
        <v>0</v>
      </c>
      <c r="AK57" s="21">
        <v>0</v>
      </c>
      <c r="AL57" s="21">
        <f>AI57+AJ57</f>
        <v>23</v>
      </c>
      <c r="AM57" s="21">
        <f>AI57*B58</f>
        <v>10120</v>
      </c>
      <c r="AN57" s="20">
        <f>C57*AG45</f>
        <v>0</v>
      </c>
      <c r="AO57" s="505">
        <f>AM57+AM58</f>
        <v>10120</v>
      </c>
      <c r="AP57" s="609">
        <v>10120</v>
      </c>
    </row>
    <row r="58" spans="1:43" ht="15">
      <c r="A58" s="98"/>
      <c r="B58" s="94">
        <v>440</v>
      </c>
      <c r="C58" s="116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86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86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86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86">
        <v>0</v>
      </c>
      <c r="AE58" s="21">
        <v>0</v>
      </c>
      <c r="AF58" s="21">
        <v>0</v>
      </c>
      <c r="AG58" s="21">
        <v>0</v>
      </c>
      <c r="AH58" s="21">
        <v>0</v>
      </c>
      <c r="AI58" s="78">
        <f t="shared" si="17"/>
        <v>0</v>
      </c>
      <c r="AJ58" s="28"/>
      <c r="AK58" s="21"/>
      <c r="AL58" s="21"/>
      <c r="AM58" s="21">
        <f t="shared" ref="AM58" si="19">C58*AI58</f>
        <v>0</v>
      </c>
      <c r="AN58" s="20">
        <v>0</v>
      </c>
      <c r="AO58" s="505"/>
      <c r="AP58" s="609"/>
    </row>
    <row r="59" spans="1:43" ht="15">
      <c r="A59" s="99"/>
      <c r="B59" s="94"/>
      <c r="C59" s="116"/>
      <c r="D59" s="21"/>
      <c r="E59" s="21"/>
      <c r="F59" s="21"/>
      <c r="G59" s="21"/>
      <c r="H59" s="21"/>
      <c r="I59" s="86"/>
      <c r="J59" s="21"/>
      <c r="K59" s="21"/>
      <c r="L59" s="21"/>
      <c r="M59" s="21"/>
      <c r="N59" s="21"/>
      <c r="O59" s="21"/>
      <c r="P59" s="86"/>
      <c r="Q59" s="21"/>
      <c r="R59" s="21"/>
      <c r="S59" s="21"/>
      <c r="T59" s="21"/>
      <c r="U59" s="21"/>
      <c r="V59" s="21"/>
      <c r="W59" s="86"/>
      <c r="X59" s="21"/>
      <c r="Y59" s="21"/>
      <c r="Z59" s="21"/>
      <c r="AA59" s="21"/>
      <c r="AB59" s="21"/>
      <c r="AC59" s="21"/>
      <c r="AD59" s="86"/>
      <c r="AE59" s="21"/>
      <c r="AF59" s="21"/>
      <c r="AG59" s="21"/>
      <c r="AH59" s="21"/>
      <c r="AI59" s="78">
        <f t="shared" si="17"/>
        <v>0</v>
      </c>
      <c r="AJ59" s="28"/>
      <c r="AK59" s="21"/>
      <c r="AL59" s="21">
        <f>AI59+AJ59</f>
        <v>0</v>
      </c>
      <c r="AM59" s="21">
        <f>AL59*C59</f>
        <v>0</v>
      </c>
      <c r="AN59" s="20">
        <f>C59*AG45</f>
        <v>0</v>
      </c>
      <c r="AO59" s="505">
        <f>AM59+AM60</f>
        <v>0</v>
      </c>
      <c r="AP59" s="600"/>
    </row>
    <row r="60" spans="1:43" ht="15.75" thickBot="1">
      <c r="A60" s="100"/>
      <c r="B60" s="96"/>
      <c r="C60" s="117"/>
      <c r="D60" s="21"/>
      <c r="E60" s="21"/>
      <c r="F60" s="21"/>
      <c r="G60" s="21"/>
      <c r="H60" s="21"/>
      <c r="I60" s="86"/>
      <c r="J60" s="21"/>
      <c r="K60" s="21"/>
      <c r="L60" s="21"/>
      <c r="M60" s="21"/>
      <c r="N60" s="21"/>
      <c r="O60" s="21"/>
      <c r="P60" s="86"/>
      <c r="Q60" s="21"/>
      <c r="R60" s="21"/>
      <c r="S60" s="21"/>
      <c r="T60" s="21"/>
      <c r="U60" s="21"/>
      <c r="V60" s="21"/>
      <c r="W60" s="86"/>
      <c r="X60" s="21"/>
      <c r="Y60" s="21"/>
      <c r="Z60" s="21"/>
      <c r="AA60" s="21"/>
      <c r="AB60" s="21"/>
      <c r="AC60" s="21"/>
      <c r="AD60" s="86"/>
      <c r="AE60" s="21"/>
      <c r="AF60" s="21"/>
      <c r="AG60" s="21"/>
      <c r="AH60" s="21"/>
      <c r="AI60" s="83">
        <f t="shared" si="17"/>
        <v>0</v>
      </c>
      <c r="AJ60" s="88"/>
      <c r="AK60" s="87"/>
      <c r="AL60" s="87"/>
      <c r="AM60" s="87">
        <f>C60*AI60</f>
        <v>0</v>
      </c>
      <c r="AN60" s="84">
        <v>0</v>
      </c>
      <c r="AO60" s="599"/>
      <c r="AP60" s="601"/>
    </row>
    <row r="61" spans="1:43" ht="15.75" thickBot="1">
      <c r="A61" s="101"/>
      <c r="B61" s="571" t="s">
        <v>30</v>
      </c>
      <c r="C61" s="572"/>
      <c r="D61" s="125">
        <f>D47+D49+D51+D53+D55+D57+D59</f>
        <v>6</v>
      </c>
      <c r="E61" s="127">
        <f t="shared" ref="E61:AH61" si="20">E47+E49+E51+E53+E55+E57+E59</f>
        <v>4</v>
      </c>
      <c r="F61" s="127">
        <f t="shared" si="20"/>
        <v>5</v>
      </c>
      <c r="G61" s="127">
        <f t="shared" si="20"/>
        <v>6</v>
      </c>
      <c r="H61" s="127">
        <f t="shared" si="20"/>
        <v>6</v>
      </c>
      <c r="I61" s="127">
        <f t="shared" si="20"/>
        <v>0</v>
      </c>
      <c r="J61" s="127">
        <f t="shared" si="20"/>
        <v>6</v>
      </c>
      <c r="K61" s="127">
        <f t="shared" si="20"/>
        <v>6</v>
      </c>
      <c r="L61" s="127">
        <f t="shared" si="20"/>
        <v>6</v>
      </c>
      <c r="M61" s="127">
        <f t="shared" si="20"/>
        <v>4.5</v>
      </c>
      <c r="N61" s="127">
        <f t="shared" si="20"/>
        <v>5</v>
      </c>
      <c r="O61" s="127">
        <f t="shared" si="20"/>
        <v>5</v>
      </c>
      <c r="P61" s="127">
        <f t="shared" si="20"/>
        <v>0</v>
      </c>
      <c r="Q61" s="127">
        <f t="shared" si="20"/>
        <v>5</v>
      </c>
      <c r="R61" s="127">
        <f t="shared" si="20"/>
        <v>5</v>
      </c>
      <c r="S61" s="127">
        <f t="shared" si="20"/>
        <v>5</v>
      </c>
      <c r="T61" s="127">
        <f t="shared" si="20"/>
        <v>4</v>
      </c>
      <c r="U61" s="127">
        <f t="shared" si="20"/>
        <v>5</v>
      </c>
      <c r="V61" s="127">
        <f t="shared" si="20"/>
        <v>0</v>
      </c>
      <c r="W61" s="127">
        <f t="shared" si="20"/>
        <v>0</v>
      </c>
      <c r="X61" s="127">
        <f t="shared" si="20"/>
        <v>5.5</v>
      </c>
      <c r="Y61" s="127">
        <f t="shared" si="20"/>
        <v>5</v>
      </c>
      <c r="Z61" s="127">
        <f t="shared" si="20"/>
        <v>5.5</v>
      </c>
      <c r="AA61" s="127">
        <f t="shared" si="20"/>
        <v>6</v>
      </c>
      <c r="AB61" s="127">
        <f t="shared" si="20"/>
        <v>5</v>
      </c>
      <c r="AC61" s="127">
        <f t="shared" si="20"/>
        <v>5</v>
      </c>
      <c r="AD61" s="127">
        <f t="shared" si="20"/>
        <v>0</v>
      </c>
      <c r="AE61" s="127">
        <f t="shared" si="20"/>
        <v>6</v>
      </c>
      <c r="AF61" s="127">
        <f t="shared" si="20"/>
        <v>6</v>
      </c>
      <c r="AG61" s="127">
        <f t="shared" si="20"/>
        <v>5</v>
      </c>
      <c r="AH61" s="127">
        <f t="shared" si="20"/>
        <v>4</v>
      </c>
      <c r="AI61" s="89">
        <f>AI47+AI49+AI51+AI53+AI55+AI57+AI59</f>
        <v>136.5</v>
      </c>
      <c r="AJ61" s="89">
        <f t="shared" ref="AJ61:AN61" si="21">AJ47+AJ49+AJ51+AJ53+AJ55+AJ57+AJ59</f>
        <v>12</v>
      </c>
      <c r="AK61" s="89">
        <f t="shared" si="21"/>
        <v>24.5</v>
      </c>
      <c r="AL61" s="89">
        <f t="shared" si="21"/>
        <v>148.5</v>
      </c>
      <c r="AM61" s="89">
        <f t="shared" si="21"/>
        <v>54785.806451612902</v>
      </c>
      <c r="AN61" s="309">
        <f t="shared" si="21"/>
        <v>41000</v>
      </c>
      <c r="AO61" s="602">
        <f>AM61+AM62</f>
        <v>54785.806451612902</v>
      </c>
      <c r="AP61" s="604">
        <f>SUM(AP47:AP60)</f>
        <v>53960</v>
      </c>
    </row>
    <row r="62" spans="1:43" ht="15.75" thickBot="1">
      <c r="A62" s="102"/>
      <c r="B62" s="544" t="s">
        <v>31</v>
      </c>
      <c r="C62" s="545"/>
      <c r="D62" s="126">
        <f>D48+D50+D52+D54+D56+D58+D60</f>
        <v>0</v>
      </c>
      <c r="E62" s="128">
        <f t="shared" ref="E62:AH62" si="22">E48+E50+E52+E54+E56+E58+E60</f>
        <v>0</v>
      </c>
      <c r="F62" s="128">
        <f t="shared" si="22"/>
        <v>0</v>
      </c>
      <c r="G62" s="128">
        <f t="shared" si="22"/>
        <v>0</v>
      </c>
      <c r="H62" s="128">
        <f t="shared" si="22"/>
        <v>0</v>
      </c>
      <c r="I62" s="128">
        <f t="shared" si="22"/>
        <v>0</v>
      </c>
      <c r="J62" s="128">
        <f t="shared" si="22"/>
        <v>0</v>
      </c>
      <c r="K62" s="128">
        <f t="shared" si="22"/>
        <v>0</v>
      </c>
      <c r="L62" s="128">
        <f t="shared" si="22"/>
        <v>0</v>
      </c>
      <c r="M62" s="128">
        <f t="shared" si="22"/>
        <v>0</v>
      </c>
      <c r="N62" s="128">
        <f t="shared" si="22"/>
        <v>0</v>
      </c>
      <c r="O62" s="128">
        <f t="shared" si="22"/>
        <v>0</v>
      </c>
      <c r="P62" s="128">
        <f t="shared" si="22"/>
        <v>0</v>
      </c>
      <c r="Q62" s="128">
        <f t="shared" si="22"/>
        <v>0</v>
      </c>
      <c r="R62" s="128">
        <f t="shared" si="22"/>
        <v>0</v>
      </c>
      <c r="S62" s="128">
        <f t="shared" si="22"/>
        <v>0</v>
      </c>
      <c r="T62" s="128">
        <f t="shared" si="22"/>
        <v>0</v>
      </c>
      <c r="U62" s="128">
        <f t="shared" si="22"/>
        <v>0</v>
      </c>
      <c r="V62" s="128">
        <f t="shared" si="22"/>
        <v>0</v>
      </c>
      <c r="W62" s="128">
        <f t="shared" si="22"/>
        <v>0</v>
      </c>
      <c r="X62" s="128">
        <f t="shared" si="22"/>
        <v>0</v>
      </c>
      <c r="Y62" s="128">
        <f t="shared" si="22"/>
        <v>0</v>
      </c>
      <c r="Z62" s="128">
        <f t="shared" si="22"/>
        <v>0</v>
      </c>
      <c r="AA62" s="128">
        <f t="shared" si="22"/>
        <v>0</v>
      </c>
      <c r="AB62" s="128">
        <f t="shared" si="22"/>
        <v>0</v>
      </c>
      <c r="AC62" s="128">
        <f t="shared" si="22"/>
        <v>0</v>
      </c>
      <c r="AD62" s="128">
        <f t="shared" si="22"/>
        <v>0</v>
      </c>
      <c r="AE62" s="128">
        <f t="shared" si="22"/>
        <v>0</v>
      </c>
      <c r="AF62" s="128">
        <f t="shared" si="22"/>
        <v>0</v>
      </c>
      <c r="AG62" s="128">
        <f t="shared" si="22"/>
        <v>0</v>
      </c>
      <c r="AH62" s="128">
        <f t="shared" si="22"/>
        <v>0</v>
      </c>
      <c r="AI62" s="90">
        <f>AI48+AI50+AI52+AI54+AI56+AI58+AI60</f>
        <v>0</v>
      </c>
      <c r="AJ62" s="90">
        <f t="shared" ref="AJ62:AN62" si="23">AJ48+AJ50+AJ52+AJ54+AJ56+AJ58+AJ60</f>
        <v>0</v>
      </c>
      <c r="AK62" s="90">
        <f t="shared" si="23"/>
        <v>0</v>
      </c>
      <c r="AL62" s="90">
        <f t="shared" si="23"/>
        <v>0</v>
      </c>
      <c r="AM62" s="90">
        <f t="shared" si="23"/>
        <v>0</v>
      </c>
      <c r="AN62" s="310">
        <f t="shared" si="23"/>
        <v>0</v>
      </c>
      <c r="AO62" s="603"/>
      <c r="AP62" s="605"/>
    </row>
    <row r="63" spans="1:43">
      <c r="AF63" s="75" t="s">
        <v>49</v>
      </c>
      <c r="AG63" s="75"/>
      <c r="AH63" s="76">
        <f>(AI47+AI49+AI51+AI53+AI55+AI57+AI59)*2*5</f>
        <v>1365</v>
      </c>
      <c r="AI63" s="632" t="s">
        <v>50</v>
      </c>
      <c r="AJ63" s="633"/>
      <c r="AK63" s="77"/>
    </row>
    <row r="65" spans="1:43" ht="21.75" thickBot="1"/>
    <row r="66" spans="1:43" ht="27" thickBot="1">
      <c r="A66" s="618" t="s">
        <v>0</v>
      </c>
      <c r="B66" s="620" t="s">
        <v>1</v>
      </c>
      <c r="C66" s="621"/>
      <c r="D66" s="624" t="s">
        <v>74</v>
      </c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24"/>
      <c r="AB66" s="624"/>
      <c r="AC66" s="624"/>
      <c r="AD66" s="624"/>
      <c r="AE66" s="624"/>
      <c r="AF66" s="625"/>
      <c r="AG66" s="626">
        <v>30</v>
      </c>
      <c r="AH66" s="627"/>
      <c r="AI66" s="628" t="s">
        <v>3</v>
      </c>
      <c r="AJ66" s="630" t="s">
        <v>4</v>
      </c>
      <c r="AK66" s="630" t="s">
        <v>5</v>
      </c>
      <c r="AL66" s="630" t="s">
        <v>6</v>
      </c>
      <c r="AM66" s="630" t="s">
        <v>7</v>
      </c>
      <c r="AN66" s="610" t="s">
        <v>8</v>
      </c>
      <c r="AO66" s="612" t="s">
        <v>7</v>
      </c>
      <c r="AP66" s="614" t="s">
        <v>33</v>
      </c>
    </row>
    <row r="67" spans="1:43" ht="15.75" thickBot="1">
      <c r="A67" s="619"/>
      <c r="B67" s="622"/>
      <c r="C67" s="623"/>
      <c r="D67" s="109">
        <v>1</v>
      </c>
      <c r="E67" s="82">
        <v>2</v>
      </c>
      <c r="F67" s="82">
        <v>3</v>
      </c>
      <c r="G67" s="82">
        <v>4</v>
      </c>
      <c r="H67" s="82">
        <v>5</v>
      </c>
      <c r="I67" s="82">
        <v>6</v>
      </c>
      <c r="J67" s="82">
        <v>7</v>
      </c>
      <c r="K67" s="82">
        <v>8</v>
      </c>
      <c r="L67" s="82">
        <v>9</v>
      </c>
      <c r="M67" s="82">
        <v>10</v>
      </c>
      <c r="N67" s="82">
        <v>11</v>
      </c>
      <c r="O67" s="82">
        <v>12</v>
      </c>
      <c r="P67" s="82">
        <v>13</v>
      </c>
      <c r="Q67" s="82">
        <v>14</v>
      </c>
      <c r="R67" s="82">
        <v>15</v>
      </c>
      <c r="S67" s="82">
        <v>16</v>
      </c>
      <c r="T67" s="82">
        <v>17</v>
      </c>
      <c r="U67" s="82">
        <v>18</v>
      </c>
      <c r="V67" s="82">
        <v>19</v>
      </c>
      <c r="W67" s="82">
        <v>20</v>
      </c>
      <c r="X67" s="82">
        <v>21</v>
      </c>
      <c r="Y67" s="82">
        <v>22</v>
      </c>
      <c r="Z67" s="82">
        <v>23</v>
      </c>
      <c r="AA67" s="82">
        <v>24</v>
      </c>
      <c r="AB67" s="82">
        <v>25</v>
      </c>
      <c r="AC67" s="82">
        <v>26</v>
      </c>
      <c r="AD67" s="82">
        <v>27</v>
      </c>
      <c r="AE67" s="82">
        <v>28</v>
      </c>
      <c r="AF67" s="82">
        <v>29</v>
      </c>
      <c r="AG67" s="82">
        <v>30</v>
      </c>
      <c r="AH67" s="103">
        <v>31</v>
      </c>
      <c r="AI67" s="629"/>
      <c r="AJ67" s="631"/>
      <c r="AK67" s="631"/>
      <c r="AL67" s="631"/>
      <c r="AM67" s="631"/>
      <c r="AN67" s="611"/>
      <c r="AO67" s="613"/>
      <c r="AP67" s="615"/>
    </row>
    <row r="68" spans="1:43" ht="15">
      <c r="A68" s="97">
        <v>1</v>
      </c>
      <c r="B68" s="93" t="s">
        <v>9</v>
      </c>
      <c r="C68" s="115">
        <f>B69/AG66</f>
        <v>400</v>
      </c>
      <c r="D68" s="21">
        <v>1</v>
      </c>
      <c r="E68" s="21">
        <v>1</v>
      </c>
      <c r="F68" s="86">
        <v>0</v>
      </c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>
        <v>1</v>
      </c>
      <c r="M68" s="86">
        <v>0</v>
      </c>
      <c r="N68" s="21">
        <v>1</v>
      </c>
      <c r="O68" s="21">
        <v>1</v>
      </c>
      <c r="P68" s="21">
        <v>1</v>
      </c>
      <c r="Q68" s="131">
        <v>0</v>
      </c>
      <c r="R68" s="21">
        <v>1</v>
      </c>
      <c r="S68" s="21">
        <v>1</v>
      </c>
      <c r="T68" s="86">
        <v>0</v>
      </c>
      <c r="U68" s="21">
        <v>1</v>
      </c>
      <c r="V68" s="21">
        <v>1</v>
      </c>
      <c r="W68" s="21">
        <v>1</v>
      </c>
      <c r="X68" s="21">
        <v>1</v>
      </c>
      <c r="Y68" s="21">
        <v>1</v>
      </c>
      <c r="Z68" s="21">
        <v>1</v>
      </c>
      <c r="AA68" s="86">
        <v>0</v>
      </c>
      <c r="AB68" s="21">
        <v>1</v>
      </c>
      <c r="AC68" s="21">
        <v>1</v>
      </c>
      <c r="AD68" s="23">
        <v>0</v>
      </c>
      <c r="AE68" s="21">
        <v>1</v>
      </c>
      <c r="AF68" s="21">
        <v>1</v>
      </c>
      <c r="AG68" s="21">
        <v>1</v>
      </c>
      <c r="AH68" s="131"/>
      <c r="AI68" s="108">
        <f>SUM(D68:AH68)</f>
        <v>24</v>
      </c>
      <c r="AJ68" s="119">
        <v>5</v>
      </c>
      <c r="AK68" s="81">
        <f>AG66-AL68</f>
        <v>1</v>
      </c>
      <c r="AL68" s="81">
        <f>AI68+AJ68</f>
        <v>29</v>
      </c>
      <c r="AM68" s="81">
        <f>AL68*C68</f>
        <v>11600</v>
      </c>
      <c r="AN68" s="179">
        <f>C68*AG66</f>
        <v>12000</v>
      </c>
      <c r="AO68" s="616">
        <f>AM68+AM69</f>
        <v>11600</v>
      </c>
      <c r="AP68" s="617">
        <v>12000</v>
      </c>
      <c r="AQ68" s="639">
        <v>500</v>
      </c>
    </row>
    <row r="69" spans="1:43" ht="15">
      <c r="A69" s="98"/>
      <c r="B69" s="94">
        <v>12000</v>
      </c>
      <c r="C69" s="116">
        <f>C68/8*1.5</f>
        <v>75</v>
      </c>
      <c r="D69" s="21">
        <v>0</v>
      </c>
      <c r="E69" s="21">
        <v>0</v>
      </c>
      <c r="F69" s="86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86">
        <v>0</v>
      </c>
      <c r="N69" s="21">
        <v>0</v>
      </c>
      <c r="O69" s="21">
        <v>0</v>
      </c>
      <c r="P69" s="21">
        <v>0</v>
      </c>
      <c r="Q69" s="131">
        <v>0</v>
      </c>
      <c r="R69" s="21">
        <v>0</v>
      </c>
      <c r="S69" s="21">
        <v>0</v>
      </c>
      <c r="T69" s="86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86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131"/>
      <c r="AI69" s="78">
        <f t="shared" ref="AI69:AI81" si="24">SUM(D69:AH69)</f>
        <v>0</v>
      </c>
      <c r="AJ69" s="120"/>
      <c r="AK69" s="24"/>
      <c r="AL69" s="24"/>
      <c r="AM69" s="21">
        <f>AI69*C69</f>
        <v>0</v>
      </c>
      <c r="AN69" s="20">
        <v>0</v>
      </c>
      <c r="AO69" s="505"/>
      <c r="AP69" s="609"/>
      <c r="AQ69" s="639"/>
    </row>
    <row r="70" spans="1:43" ht="15">
      <c r="A70" s="99">
        <v>2</v>
      </c>
      <c r="B70" s="95" t="s">
        <v>27</v>
      </c>
      <c r="C70" s="116">
        <f>B71/AG66</f>
        <v>333.33333333333331</v>
      </c>
      <c r="D70" s="23">
        <v>0</v>
      </c>
      <c r="E70" s="21">
        <v>1</v>
      </c>
      <c r="F70" s="86">
        <v>0</v>
      </c>
      <c r="G70" s="21">
        <v>1</v>
      </c>
      <c r="H70" s="21">
        <v>1</v>
      </c>
      <c r="I70" s="21">
        <v>1</v>
      </c>
      <c r="J70" s="21">
        <v>1</v>
      </c>
      <c r="K70" s="21">
        <v>1</v>
      </c>
      <c r="L70" s="21">
        <v>1</v>
      </c>
      <c r="M70" s="86">
        <v>0</v>
      </c>
      <c r="N70" s="21">
        <v>1</v>
      </c>
      <c r="O70" s="23">
        <v>0</v>
      </c>
      <c r="P70" s="23">
        <v>0</v>
      </c>
      <c r="Q70" s="23">
        <v>0</v>
      </c>
      <c r="R70" s="23">
        <v>0</v>
      </c>
      <c r="S70" s="21">
        <v>1</v>
      </c>
      <c r="T70" s="86">
        <v>0</v>
      </c>
      <c r="U70" s="21">
        <v>1</v>
      </c>
      <c r="V70" s="21">
        <v>1</v>
      </c>
      <c r="W70" s="21">
        <v>1</v>
      </c>
      <c r="X70" s="21">
        <v>1</v>
      </c>
      <c r="Y70" s="21">
        <v>1</v>
      </c>
      <c r="Z70" s="21">
        <v>1</v>
      </c>
      <c r="AA70" s="86">
        <v>0</v>
      </c>
      <c r="AB70" s="21">
        <v>1</v>
      </c>
      <c r="AC70" s="21">
        <v>1</v>
      </c>
      <c r="AD70" s="21">
        <v>1</v>
      </c>
      <c r="AE70" s="21">
        <v>1</v>
      </c>
      <c r="AF70" s="21">
        <v>1</v>
      </c>
      <c r="AG70" s="21">
        <v>1</v>
      </c>
      <c r="AH70" s="131"/>
      <c r="AI70" s="78">
        <f t="shared" si="24"/>
        <v>21</v>
      </c>
      <c r="AJ70" s="120">
        <v>5</v>
      </c>
      <c r="AK70" s="81">
        <v>4</v>
      </c>
      <c r="AL70" s="21">
        <f>AI70+AJ70</f>
        <v>26</v>
      </c>
      <c r="AM70" s="21">
        <f>AL70*C70</f>
        <v>8666.6666666666661</v>
      </c>
      <c r="AN70" s="20">
        <f>C70*AG66</f>
        <v>10000</v>
      </c>
      <c r="AO70" s="634">
        <f>AM70+AM71</f>
        <v>8666.6666666666661</v>
      </c>
      <c r="AP70" s="635">
        <v>7700</v>
      </c>
      <c r="AQ70" s="608">
        <v>1000</v>
      </c>
    </row>
    <row r="71" spans="1:43" ht="15">
      <c r="A71" s="98"/>
      <c r="B71" s="94">
        <v>10000</v>
      </c>
      <c r="C71" s="116">
        <f>C70/8*1.5</f>
        <v>62.5</v>
      </c>
      <c r="D71" s="21">
        <v>0</v>
      </c>
      <c r="E71" s="21">
        <v>0</v>
      </c>
      <c r="F71" s="86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86">
        <v>0</v>
      </c>
      <c r="N71" s="21">
        <v>0</v>
      </c>
      <c r="O71" s="21">
        <v>0</v>
      </c>
      <c r="P71" s="21">
        <v>0</v>
      </c>
      <c r="Q71" s="131">
        <v>0</v>
      </c>
      <c r="R71" s="21">
        <v>0</v>
      </c>
      <c r="S71" s="21">
        <v>0</v>
      </c>
      <c r="T71" s="86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86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131"/>
      <c r="AI71" s="78">
        <f t="shared" si="24"/>
        <v>0</v>
      </c>
      <c r="AJ71" s="120"/>
      <c r="AK71" s="21"/>
      <c r="AL71" s="21"/>
      <c r="AM71" s="21">
        <f>C71*AI71</f>
        <v>0</v>
      </c>
      <c r="AN71" s="20">
        <v>0</v>
      </c>
      <c r="AO71" s="634"/>
      <c r="AP71" s="635"/>
      <c r="AQ71" s="608"/>
    </row>
    <row r="72" spans="1:43" ht="15">
      <c r="A72" s="98">
        <v>3</v>
      </c>
      <c r="B72" s="94" t="s">
        <v>68</v>
      </c>
      <c r="C72" s="116">
        <f>B73/AG66</f>
        <v>333.33333333333331</v>
      </c>
      <c r="D72" s="21">
        <v>1</v>
      </c>
      <c r="E72" s="21">
        <v>1</v>
      </c>
      <c r="F72" s="86">
        <v>0</v>
      </c>
      <c r="G72" s="21">
        <v>1</v>
      </c>
      <c r="H72" s="21">
        <v>1</v>
      </c>
      <c r="I72" s="21">
        <v>1</v>
      </c>
      <c r="J72" s="21">
        <v>1</v>
      </c>
      <c r="K72" s="21">
        <v>1</v>
      </c>
      <c r="L72" s="21">
        <v>1</v>
      </c>
      <c r="M72" s="86">
        <v>0</v>
      </c>
      <c r="N72" s="23">
        <v>0</v>
      </c>
      <c r="O72" s="23">
        <v>0</v>
      </c>
      <c r="P72" s="21">
        <v>1</v>
      </c>
      <c r="Q72" s="131">
        <v>0</v>
      </c>
      <c r="R72" s="21">
        <v>1</v>
      </c>
      <c r="S72" s="21">
        <v>1</v>
      </c>
      <c r="T72" s="86">
        <v>0</v>
      </c>
      <c r="U72" s="21">
        <v>1</v>
      </c>
      <c r="V72" s="21">
        <v>1</v>
      </c>
      <c r="W72" s="21">
        <v>1</v>
      </c>
      <c r="X72" s="21">
        <v>1</v>
      </c>
      <c r="Y72" s="21">
        <v>1</v>
      </c>
      <c r="Z72" s="21">
        <v>1</v>
      </c>
      <c r="AA72" s="86">
        <v>0</v>
      </c>
      <c r="AB72" s="21">
        <v>1</v>
      </c>
      <c r="AC72" s="21">
        <v>1</v>
      </c>
      <c r="AD72" s="21">
        <v>1</v>
      </c>
      <c r="AE72" s="21">
        <v>1</v>
      </c>
      <c r="AF72" s="21">
        <v>1</v>
      </c>
      <c r="AG72" s="21">
        <v>1</v>
      </c>
      <c r="AH72" s="131"/>
      <c r="AI72" s="78">
        <f t="shared" si="24"/>
        <v>23</v>
      </c>
      <c r="AJ72" s="120">
        <v>5</v>
      </c>
      <c r="AK72" s="81">
        <v>2</v>
      </c>
      <c r="AL72" s="21">
        <f>AI72+AJ72</f>
        <v>28</v>
      </c>
      <c r="AM72" s="21">
        <f>AL72*C72</f>
        <v>9333.3333333333321</v>
      </c>
      <c r="AN72" s="20">
        <f>C72*AG66</f>
        <v>10000</v>
      </c>
      <c r="AO72" s="505">
        <f>AM72+AM73</f>
        <v>9333.3333333333321</v>
      </c>
      <c r="AP72" s="607">
        <v>9000</v>
      </c>
      <c r="AQ72" s="608">
        <v>1000</v>
      </c>
    </row>
    <row r="73" spans="1:43" ht="15">
      <c r="A73" s="98"/>
      <c r="B73" s="94">
        <v>10000</v>
      </c>
      <c r="C73" s="116">
        <f>C72/8*1.5</f>
        <v>62.5</v>
      </c>
      <c r="D73" s="21">
        <v>0</v>
      </c>
      <c r="E73" s="21">
        <v>0</v>
      </c>
      <c r="F73" s="86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86">
        <v>0</v>
      </c>
      <c r="N73" s="21">
        <v>0</v>
      </c>
      <c r="O73" s="21">
        <v>0</v>
      </c>
      <c r="P73" s="21">
        <v>0</v>
      </c>
      <c r="Q73" s="131">
        <v>0</v>
      </c>
      <c r="R73" s="21">
        <v>0</v>
      </c>
      <c r="S73" s="21">
        <v>0</v>
      </c>
      <c r="T73" s="86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86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131"/>
      <c r="AI73" s="78">
        <f t="shared" si="24"/>
        <v>0</v>
      </c>
      <c r="AJ73" s="120"/>
      <c r="AK73" s="21"/>
      <c r="AL73" s="21"/>
      <c r="AM73" s="21">
        <f>C73*AI73</f>
        <v>0</v>
      </c>
      <c r="AN73" s="20">
        <v>0</v>
      </c>
      <c r="AO73" s="505"/>
      <c r="AP73" s="607"/>
      <c r="AQ73" s="608"/>
    </row>
    <row r="74" spans="1:43" ht="15">
      <c r="A74" s="98">
        <v>4</v>
      </c>
      <c r="B74" s="94" t="s">
        <v>73</v>
      </c>
      <c r="C74" s="116">
        <f>B75/AG66</f>
        <v>300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131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86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86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131"/>
      <c r="AI74" s="78">
        <f t="shared" si="24"/>
        <v>0</v>
      </c>
      <c r="AJ74" s="120">
        <v>0</v>
      </c>
      <c r="AK74" s="81">
        <f>AG66-AL74</f>
        <v>30</v>
      </c>
      <c r="AL74" s="21">
        <f>AI74+AJ74</f>
        <v>0</v>
      </c>
      <c r="AM74" s="21">
        <f>AL74*C74</f>
        <v>0</v>
      </c>
      <c r="AN74" s="20">
        <f>C74*AG66</f>
        <v>9000</v>
      </c>
      <c r="AO74" s="505">
        <f>AM74+AM75</f>
        <v>0</v>
      </c>
      <c r="AP74" s="609">
        <v>0</v>
      </c>
    </row>
    <row r="75" spans="1:43" ht="15">
      <c r="A75" s="98"/>
      <c r="B75" s="94">
        <v>9000</v>
      </c>
      <c r="C75" s="116">
        <f>C74/8*1.5</f>
        <v>56.25</v>
      </c>
      <c r="D75" s="21">
        <v>0</v>
      </c>
      <c r="E75" s="21">
        <v>0</v>
      </c>
      <c r="F75" s="86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86">
        <v>0</v>
      </c>
      <c r="N75" s="21">
        <v>0</v>
      </c>
      <c r="O75" s="21">
        <v>0</v>
      </c>
      <c r="P75" s="21">
        <v>0</v>
      </c>
      <c r="Q75" s="131">
        <v>0</v>
      </c>
      <c r="R75" s="21">
        <v>0</v>
      </c>
      <c r="S75" s="21">
        <v>0</v>
      </c>
      <c r="T75" s="86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86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131"/>
      <c r="AI75" s="78">
        <f t="shared" si="24"/>
        <v>0</v>
      </c>
      <c r="AJ75" s="120"/>
      <c r="AK75" s="21"/>
      <c r="AL75" s="21"/>
      <c r="AM75" s="21">
        <f>C75*AI75</f>
        <v>0</v>
      </c>
      <c r="AN75" s="20">
        <v>0</v>
      </c>
      <c r="AO75" s="505"/>
      <c r="AP75" s="609"/>
    </row>
    <row r="76" spans="1:43" ht="15">
      <c r="A76" s="98">
        <v>5</v>
      </c>
      <c r="B76" s="94" t="s">
        <v>70</v>
      </c>
      <c r="C76" s="116">
        <v>0</v>
      </c>
      <c r="D76" s="23">
        <v>0</v>
      </c>
      <c r="E76" s="131">
        <v>0</v>
      </c>
      <c r="F76" s="86">
        <v>0</v>
      </c>
      <c r="G76" s="131">
        <v>0</v>
      </c>
      <c r="H76" s="23">
        <v>0</v>
      </c>
      <c r="I76" s="23">
        <v>0</v>
      </c>
      <c r="J76" s="131">
        <v>0</v>
      </c>
      <c r="K76" s="131">
        <v>0</v>
      </c>
      <c r="L76" s="131">
        <v>0</v>
      </c>
      <c r="M76" s="86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86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131">
        <v>1</v>
      </c>
      <c r="AA76" s="86">
        <v>0</v>
      </c>
      <c r="AB76" s="131">
        <v>1</v>
      </c>
      <c r="AC76" s="131">
        <v>1</v>
      </c>
      <c r="AD76" s="131">
        <v>1</v>
      </c>
      <c r="AE76" s="131">
        <v>1</v>
      </c>
      <c r="AF76" s="131">
        <v>1</v>
      </c>
      <c r="AG76" s="131">
        <v>1</v>
      </c>
      <c r="AH76" s="131"/>
      <c r="AI76" s="78">
        <f t="shared" si="24"/>
        <v>7</v>
      </c>
      <c r="AJ76" s="120">
        <v>0</v>
      </c>
      <c r="AK76" s="21">
        <v>0</v>
      </c>
      <c r="AL76" s="21">
        <f>AI76+AJ76</f>
        <v>7</v>
      </c>
      <c r="AM76" s="21">
        <f>AI76*B77</f>
        <v>2800</v>
      </c>
      <c r="AN76" s="20">
        <f>C76*AG66</f>
        <v>0</v>
      </c>
      <c r="AO76" s="505">
        <f>AM76+AM77</f>
        <v>2800</v>
      </c>
      <c r="AP76" s="609">
        <v>2800</v>
      </c>
    </row>
    <row r="77" spans="1:43" ht="15">
      <c r="A77" s="98"/>
      <c r="B77" s="94">
        <v>400</v>
      </c>
      <c r="C77" s="116">
        <f>C76/8*1</f>
        <v>0</v>
      </c>
      <c r="D77" s="21">
        <v>0</v>
      </c>
      <c r="E77" s="21">
        <v>0</v>
      </c>
      <c r="F77" s="86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86">
        <v>0</v>
      </c>
      <c r="N77" s="21">
        <v>0</v>
      </c>
      <c r="O77" s="21">
        <v>0</v>
      </c>
      <c r="P77" s="21">
        <v>0</v>
      </c>
      <c r="Q77" s="131">
        <v>0</v>
      </c>
      <c r="R77" s="21">
        <v>0</v>
      </c>
      <c r="S77" s="21">
        <v>0</v>
      </c>
      <c r="T77" s="86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86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131"/>
      <c r="AI77" s="78">
        <f t="shared" si="24"/>
        <v>0</v>
      </c>
      <c r="AJ77" s="120"/>
      <c r="AK77" s="21"/>
      <c r="AL77" s="21"/>
      <c r="AM77" s="21">
        <f t="shared" ref="AM77" si="25">C77*AI77</f>
        <v>0</v>
      </c>
      <c r="AN77" s="20">
        <v>0</v>
      </c>
      <c r="AO77" s="505"/>
      <c r="AP77" s="609"/>
    </row>
    <row r="78" spans="1:43" ht="15">
      <c r="A78" s="98">
        <v>6</v>
      </c>
      <c r="B78" s="94" t="s">
        <v>71</v>
      </c>
      <c r="C78" s="116">
        <v>0</v>
      </c>
      <c r="D78" s="23">
        <v>0</v>
      </c>
      <c r="E78" s="23">
        <v>0</v>
      </c>
      <c r="F78" s="86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86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86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86">
        <v>0</v>
      </c>
      <c r="AB78" s="23">
        <v>0</v>
      </c>
      <c r="AC78" s="131">
        <v>1</v>
      </c>
      <c r="AD78" s="131">
        <v>1</v>
      </c>
      <c r="AE78" s="131">
        <v>1</v>
      </c>
      <c r="AF78" s="23">
        <v>0</v>
      </c>
      <c r="AG78" s="131">
        <v>1</v>
      </c>
      <c r="AH78" s="131"/>
      <c r="AI78" s="78">
        <f t="shared" si="24"/>
        <v>4</v>
      </c>
      <c r="AJ78" s="120">
        <v>0</v>
      </c>
      <c r="AK78" s="21">
        <v>0</v>
      </c>
      <c r="AL78" s="21">
        <f>AI78+AJ78</f>
        <v>4</v>
      </c>
      <c r="AM78" s="21">
        <f>AI78*B79</f>
        <v>1600</v>
      </c>
      <c r="AN78" s="20">
        <f>C78*AG66</f>
        <v>0</v>
      </c>
      <c r="AO78" s="505">
        <f>AM78+AM79</f>
        <v>1600</v>
      </c>
      <c r="AP78" s="609">
        <v>1600</v>
      </c>
    </row>
    <row r="79" spans="1:43" ht="15">
      <c r="A79" s="98"/>
      <c r="B79" s="94">
        <v>400</v>
      </c>
      <c r="C79" s="116">
        <v>0</v>
      </c>
      <c r="D79" s="21">
        <v>0</v>
      </c>
      <c r="E79" s="21">
        <v>0</v>
      </c>
      <c r="F79" s="86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86">
        <v>0</v>
      </c>
      <c r="N79" s="21">
        <v>0</v>
      </c>
      <c r="O79" s="21">
        <v>0</v>
      </c>
      <c r="P79" s="21">
        <v>0</v>
      </c>
      <c r="Q79" s="131">
        <v>0</v>
      </c>
      <c r="R79" s="21">
        <v>0</v>
      </c>
      <c r="S79" s="21">
        <v>0</v>
      </c>
      <c r="T79" s="86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86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/>
      <c r="AH79" s="131"/>
      <c r="AI79" s="78">
        <f t="shared" si="24"/>
        <v>0</v>
      </c>
      <c r="AJ79" s="28"/>
      <c r="AK79" s="21"/>
      <c r="AL79" s="21"/>
      <c r="AM79" s="21">
        <f t="shared" ref="AM79" si="26">C79*AI79</f>
        <v>0</v>
      </c>
      <c r="AN79" s="20">
        <v>0</v>
      </c>
      <c r="AO79" s="505"/>
      <c r="AP79" s="609"/>
    </row>
    <row r="80" spans="1:43" ht="15">
      <c r="A80" s="99"/>
      <c r="B80" s="94"/>
      <c r="C80" s="116"/>
      <c r="D80" s="21"/>
      <c r="E80" s="21"/>
      <c r="F80" s="86">
        <v>0</v>
      </c>
      <c r="G80" s="21"/>
      <c r="H80" s="21"/>
      <c r="I80" s="21"/>
      <c r="J80" s="21"/>
      <c r="K80" s="21"/>
      <c r="L80" s="21"/>
      <c r="M80" s="86">
        <v>0</v>
      </c>
      <c r="N80" s="21"/>
      <c r="O80" s="21"/>
      <c r="P80" s="21"/>
      <c r="Q80" s="131">
        <v>0</v>
      </c>
      <c r="R80" s="21"/>
      <c r="S80" s="21"/>
      <c r="T80" s="86">
        <v>0</v>
      </c>
      <c r="U80" s="21"/>
      <c r="V80" s="21"/>
      <c r="W80" s="21"/>
      <c r="X80" s="21"/>
      <c r="Y80" s="21"/>
      <c r="Z80" s="21"/>
      <c r="AA80" s="86">
        <v>0</v>
      </c>
      <c r="AB80" s="21"/>
      <c r="AC80" s="21"/>
      <c r="AD80" s="21"/>
      <c r="AE80" s="21"/>
      <c r="AF80" s="21"/>
      <c r="AG80" s="21"/>
      <c r="AH80" s="131"/>
      <c r="AI80" s="78">
        <f t="shared" si="24"/>
        <v>0</v>
      </c>
      <c r="AJ80" s="28"/>
      <c r="AK80" s="21"/>
      <c r="AL80" s="21">
        <f>AI80+AJ80</f>
        <v>0</v>
      </c>
      <c r="AM80" s="21">
        <f>AL80*C80</f>
        <v>0</v>
      </c>
      <c r="AN80" s="20">
        <f>C80*AG66</f>
        <v>0</v>
      </c>
      <c r="AO80" s="505">
        <f>AM80+AM81</f>
        <v>0</v>
      </c>
      <c r="AP80" s="600"/>
    </row>
    <row r="81" spans="1:43" ht="15.75" thickBot="1">
      <c r="A81" s="100"/>
      <c r="B81" s="96"/>
      <c r="C81" s="117"/>
      <c r="D81" s="21"/>
      <c r="E81" s="21"/>
      <c r="F81" s="86">
        <v>0</v>
      </c>
      <c r="G81" s="21"/>
      <c r="H81" s="21"/>
      <c r="I81" s="21"/>
      <c r="J81" s="21"/>
      <c r="K81" s="21"/>
      <c r="L81" s="21"/>
      <c r="M81" s="86">
        <v>0</v>
      </c>
      <c r="N81" s="21"/>
      <c r="O81" s="21"/>
      <c r="P81" s="21"/>
      <c r="Q81" s="131">
        <v>0</v>
      </c>
      <c r="R81" s="21"/>
      <c r="S81" s="21"/>
      <c r="T81" s="86">
        <v>0</v>
      </c>
      <c r="U81" s="21"/>
      <c r="V81" s="21"/>
      <c r="W81" s="21"/>
      <c r="X81" s="21"/>
      <c r="Y81" s="21"/>
      <c r="Z81" s="21"/>
      <c r="AA81" s="86">
        <v>0</v>
      </c>
      <c r="AB81" s="21"/>
      <c r="AC81" s="21"/>
      <c r="AD81" s="21"/>
      <c r="AE81" s="21"/>
      <c r="AF81" s="21"/>
      <c r="AG81" s="21"/>
      <c r="AH81" s="131"/>
      <c r="AI81" s="83">
        <f t="shared" si="24"/>
        <v>0</v>
      </c>
      <c r="AJ81" s="88"/>
      <c r="AK81" s="87"/>
      <c r="AL81" s="87"/>
      <c r="AM81" s="87">
        <f>C81*AI81</f>
        <v>0</v>
      </c>
      <c r="AN81" s="84">
        <v>0</v>
      </c>
      <c r="AO81" s="599"/>
      <c r="AP81" s="601"/>
    </row>
    <row r="82" spans="1:43" ht="15.75" thickBot="1">
      <c r="A82" s="101"/>
      <c r="B82" s="571" t="s">
        <v>30</v>
      </c>
      <c r="C82" s="572"/>
      <c r="D82" s="129">
        <f>D68+D70+D72+D74+D76+D78+D80</f>
        <v>2</v>
      </c>
      <c r="E82" s="129">
        <f t="shared" ref="E82:AH82" si="27">E68+E70+E72+E74+E76+E78+E80</f>
        <v>3</v>
      </c>
      <c r="F82" s="129">
        <f t="shared" si="27"/>
        <v>0</v>
      </c>
      <c r="G82" s="129">
        <f t="shared" si="27"/>
        <v>3</v>
      </c>
      <c r="H82" s="129">
        <f t="shared" si="27"/>
        <v>3</v>
      </c>
      <c r="I82" s="129">
        <f t="shared" si="27"/>
        <v>3</v>
      </c>
      <c r="J82" s="129">
        <f t="shared" si="27"/>
        <v>3</v>
      </c>
      <c r="K82" s="129">
        <f t="shared" si="27"/>
        <v>3</v>
      </c>
      <c r="L82" s="129">
        <f t="shared" si="27"/>
        <v>3</v>
      </c>
      <c r="M82" s="129">
        <f t="shared" si="27"/>
        <v>0</v>
      </c>
      <c r="N82" s="129">
        <f t="shared" si="27"/>
        <v>2</v>
      </c>
      <c r="O82" s="129">
        <f t="shared" si="27"/>
        <v>1</v>
      </c>
      <c r="P82" s="129">
        <f t="shared" si="27"/>
        <v>2</v>
      </c>
      <c r="Q82" s="129">
        <f t="shared" si="27"/>
        <v>0</v>
      </c>
      <c r="R82" s="129">
        <f t="shared" si="27"/>
        <v>2</v>
      </c>
      <c r="S82" s="129">
        <f t="shared" si="27"/>
        <v>3</v>
      </c>
      <c r="T82" s="129">
        <f t="shared" si="27"/>
        <v>0</v>
      </c>
      <c r="U82" s="129">
        <f t="shared" si="27"/>
        <v>3</v>
      </c>
      <c r="V82" s="129">
        <f t="shared" si="27"/>
        <v>3</v>
      </c>
      <c r="W82" s="129">
        <f t="shared" si="27"/>
        <v>3</v>
      </c>
      <c r="X82" s="129">
        <f t="shared" si="27"/>
        <v>3</v>
      </c>
      <c r="Y82" s="129">
        <f t="shared" si="27"/>
        <v>3</v>
      </c>
      <c r="Z82" s="129">
        <f t="shared" si="27"/>
        <v>4</v>
      </c>
      <c r="AA82" s="129">
        <f t="shared" si="27"/>
        <v>0</v>
      </c>
      <c r="AB82" s="129">
        <f t="shared" si="27"/>
        <v>4</v>
      </c>
      <c r="AC82" s="129">
        <f t="shared" si="27"/>
        <v>5</v>
      </c>
      <c r="AD82" s="129">
        <f t="shared" si="27"/>
        <v>4</v>
      </c>
      <c r="AE82" s="129">
        <f t="shared" si="27"/>
        <v>5</v>
      </c>
      <c r="AF82" s="129">
        <f t="shared" si="27"/>
        <v>4</v>
      </c>
      <c r="AG82" s="129">
        <f t="shared" si="27"/>
        <v>5</v>
      </c>
      <c r="AH82" s="129">
        <f t="shared" si="27"/>
        <v>0</v>
      </c>
      <c r="AI82" s="89">
        <f>AI68+AI70+AI72+AI74+AI76+AI78+AI80</f>
        <v>79</v>
      </c>
      <c r="AJ82" s="89">
        <f t="shared" ref="AJ82:AN82" si="28">AJ68+AJ70+AJ72+AJ74+AJ76+AJ78+AJ80</f>
        <v>15</v>
      </c>
      <c r="AK82" s="89">
        <f t="shared" si="28"/>
        <v>37</v>
      </c>
      <c r="AL82" s="89">
        <f t="shared" si="28"/>
        <v>94</v>
      </c>
      <c r="AM82" s="89">
        <f t="shared" si="28"/>
        <v>34000</v>
      </c>
      <c r="AN82" s="309">
        <f t="shared" si="28"/>
        <v>41000</v>
      </c>
      <c r="AO82" s="602">
        <f>AM82+AM83</f>
        <v>34000</v>
      </c>
      <c r="AP82" s="604">
        <f>SUM(AP68:AP81)</f>
        <v>33100</v>
      </c>
    </row>
    <row r="83" spans="1:43" ht="15.75" thickBot="1">
      <c r="A83" s="102"/>
      <c r="B83" s="544" t="s">
        <v>31</v>
      </c>
      <c r="C83" s="545"/>
      <c r="D83" s="130">
        <f>D69+D71+D73+D75+D77+D79+D81</f>
        <v>0</v>
      </c>
      <c r="E83" s="130">
        <f t="shared" ref="E83:AH83" si="29">E69+E71+E73+E75+E77+E79+E81</f>
        <v>0</v>
      </c>
      <c r="F83" s="130">
        <f t="shared" si="29"/>
        <v>0</v>
      </c>
      <c r="G83" s="130">
        <f t="shared" si="29"/>
        <v>0</v>
      </c>
      <c r="H83" s="130">
        <f t="shared" si="29"/>
        <v>0</v>
      </c>
      <c r="I83" s="130">
        <f t="shared" si="29"/>
        <v>0</v>
      </c>
      <c r="J83" s="130">
        <f t="shared" si="29"/>
        <v>0</v>
      </c>
      <c r="K83" s="130">
        <f t="shared" si="29"/>
        <v>0</v>
      </c>
      <c r="L83" s="130">
        <f t="shared" si="29"/>
        <v>0</v>
      </c>
      <c r="M83" s="130">
        <f t="shared" si="29"/>
        <v>0</v>
      </c>
      <c r="N83" s="130">
        <f t="shared" si="29"/>
        <v>0</v>
      </c>
      <c r="O83" s="130">
        <f t="shared" si="29"/>
        <v>0</v>
      </c>
      <c r="P83" s="130">
        <f t="shared" si="29"/>
        <v>0</v>
      </c>
      <c r="Q83" s="130">
        <f t="shared" si="29"/>
        <v>0</v>
      </c>
      <c r="R83" s="130">
        <f t="shared" si="29"/>
        <v>0</v>
      </c>
      <c r="S83" s="130">
        <f t="shared" si="29"/>
        <v>0</v>
      </c>
      <c r="T83" s="130">
        <f t="shared" si="29"/>
        <v>0</v>
      </c>
      <c r="U83" s="130">
        <f t="shared" si="29"/>
        <v>0</v>
      </c>
      <c r="V83" s="130">
        <f t="shared" si="29"/>
        <v>0</v>
      </c>
      <c r="W83" s="130">
        <f t="shared" si="29"/>
        <v>0</v>
      </c>
      <c r="X83" s="130">
        <f t="shared" si="29"/>
        <v>0</v>
      </c>
      <c r="Y83" s="130">
        <f t="shared" si="29"/>
        <v>0</v>
      </c>
      <c r="Z83" s="130">
        <f t="shared" si="29"/>
        <v>0</v>
      </c>
      <c r="AA83" s="130">
        <f t="shared" si="29"/>
        <v>0</v>
      </c>
      <c r="AB83" s="130">
        <f t="shared" si="29"/>
        <v>0</v>
      </c>
      <c r="AC83" s="130">
        <f t="shared" si="29"/>
        <v>0</v>
      </c>
      <c r="AD83" s="130">
        <f t="shared" si="29"/>
        <v>0</v>
      </c>
      <c r="AE83" s="130">
        <f t="shared" si="29"/>
        <v>0</v>
      </c>
      <c r="AF83" s="130">
        <f t="shared" si="29"/>
        <v>0</v>
      </c>
      <c r="AG83" s="130">
        <f t="shared" si="29"/>
        <v>0</v>
      </c>
      <c r="AH83" s="130">
        <f t="shared" si="29"/>
        <v>0</v>
      </c>
      <c r="AI83" s="90">
        <f>AI69+AI71+AI73+AI75+AI77+AI79+AI81</f>
        <v>0</v>
      </c>
      <c r="AJ83" s="90">
        <f t="shared" ref="AJ83:AN83" si="30">AJ69+AJ71+AJ73+AJ75+AJ77+AJ79+AJ81</f>
        <v>0</v>
      </c>
      <c r="AK83" s="90">
        <f t="shared" si="30"/>
        <v>0</v>
      </c>
      <c r="AL83" s="90">
        <f t="shared" si="30"/>
        <v>0</v>
      </c>
      <c r="AM83" s="90">
        <f t="shared" si="30"/>
        <v>0</v>
      </c>
      <c r="AN83" s="310">
        <f t="shared" si="30"/>
        <v>0</v>
      </c>
      <c r="AO83" s="603"/>
      <c r="AP83" s="605"/>
    </row>
    <row r="84" spans="1:43">
      <c r="AF84" s="75" t="s">
        <v>49</v>
      </c>
      <c r="AG84" s="75"/>
      <c r="AH84" s="76">
        <f>(AI68+AI70+AI72+AI74+AI76+AI78+AI80)*2*6</f>
        <v>948</v>
      </c>
      <c r="AI84" s="632" t="s">
        <v>50</v>
      </c>
      <c r="AJ84" s="633"/>
      <c r="AK84" s="77"/>
    </row>
    <row r="85" spans="1:43" ht="21.75" thickBot="1"/>
    <row r="86" spans="1:43" ht="27" thickBot="1">
      <c r="A86" s="618" t="s">
        <v>0</v>
      </c>
      <c r="B86" s="620" t="s">
        <v>1</v>
      </c>
      <c r="C86" s="621"/>
      <c r="D86" s="624" t="s">
        <v>76</v>
      </c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24"/>
      <c r="AB86" s="624"/>
      <c r="AC86" s="624"/>
      <c r="AD86" s="624"/>
      <c r="AE86" s="624"/>
      <c r="AF86" s="625"/>
      <c r="AG86" s="626">
        <v>31</v>
      </c>
      <c r="AH86" s="627"/>
      <c r="AI86" s="628" t="s">
        <v>3</v>
      </c>
      <c r="AJ86" s="630" t="s">
        <v>4</v>
      </c>
      <c r="AK86" s="630" t="s">
        <v>5</v>
      </c>
      <c r="AL86" s="630" t="s">
        <v>6</v>
      </c>
      <c r="AM86" s="630" t="s">
        <v>7</v>
      </c>
      <c r="AN86" s="610" t="s">
        <v>8</v>
      </c>
      <c r="AO86" s="612" t="s">
        <v>7</v>
      </c>
      <c r="AP86" s="614" t="s">
        <v>33</v>
      </c>
    </row>
    <row r="87" spans="1:43" ht="15.75" thickBot="1">
      <c r="A87" s="619"/>
      <c r="B87" s="622"/>
      <c r="C87" s="623"/>
      <c r="D87" s="109">
        <v>1</v>
      </c>
      <c r="E87" s="82">
        <v>2</v>
      </c>
      <c r="F87" s="82">
        <v>3</v>
      </c>
      <c r="G87" s="82">
        <v>4</v>
      </c>
      <c r="H87" s="82">
        <v>5</v>
      </c>
      <c r="I87" s="82">
        <v>6</v>
      </c>
      <c r="J87" s="82">
        <v>7</v>
      </c>
      <c r="K87" s="82">
        <v>8</v>
      </c>
      <c r="L87" s="82">
        <v>9</v>
      </c>
      <c r="M87" s="82">
        <v>10</v>
      </c>
      <c r="N87" s="82">
        <v>11</v>
      </c>
      <c r="O87" s="82">
        <v>12</v>
      </c>
      <c r="P87" s="82">
        <v>13</v>
      </c>
      <c r="Q87" s="82">
        <v>14</v>
      </c>
      <c r="R87" s="82">
        <v>15</v>
      </c>
      <c r="S87" s="82">
        <v>16</v>
      </c>
      <c r="T87" s="82">
        <v>17</v>
      </c>
      <c r="U87" s="82">
        <v>18</v>
      </c>
      <c r="V87" s="82">
        <v>19</v>
      </c>
      <c r="W87" s="82">
        <v>20</v>
      </c>
      <c r="X87" s="82">
        <v>21</v>
      </c>
      <c r="Y87" s="82">
        <v>22</v>
      </c>
      <c r="Z87" s="82">
        <v>23</v>
      </c>
      <c r="AA87" s="82">
        <v>24</v>
      </c>
      <c r="AB87" s="82">
        <v>25</v>
      </c>
      <c r="AC87" s="82">
        <v>26</v>
      </c>
      <c r="AD87" s="82">
        <v>27</v>
      </c>
      <c r="AE87" s="82">
        <v>28</v>
      </c>
      <c r="AF87" s="82">
        <v>29</v>
      </c>
      <c r="AG87" s="82">
        <v>30</v>
      </c>
      <c r="AH87" s="103">
        <v>31</v>
      </c>
      <c r="AI87" s="629"/>
      <c r="AJ87" s="631"/>
      <c r="AK87" s="631"/>
      <c r="AL87" s="631"/>
      <c r="AM87" s="631"/>
      <c r="AN87" s="611"/>
      <c r="AO87" s="613"/>
      <c r="AP87" s="615"/>
    </row>
    <row r="88" spans="1:43" ht="16.5" customHeight="1">
      <c r="A88" s="97">
        <v>1</v>
      </c>
      <c r="B88" s="93" t="s">
        <v>9</v>
      </c>
      <c r="C88" s="115">
        <f>B89/AG86</f>
        <v>387.09677419354841</v>
      </c>
      <c r="D88" s="86">
        <v>0</v>
      </c>
      <c r="E88" s="21">
        <v>1</v>
      </c>
      <c r="F88" s="21">
        <v>1</v>
      </c>
      <c r="G88" s="21">
        <v>1</v>
      </c>
      <c r="H88" s="21">
        <v>1</v>
      </c>
      <c r="I88" s="21">
        <v>1</v>
      </c>
      <c r="J88" s="21">
        <v>1</v>
      </c>
      <c r="K88" s="86">
        <v>0</v>
      </c>
      <c r="L88" s="21">
        <v>1</v>
      </c>
      <c r="M88" s="21">
        <v>1</v>
      </c>
      <c r="N88" s="21">
        <v>1</v>
      </c>
      <c r="O88" s="21">
        <v>1</v>
      </c>
      <c r="P88" s="21">
        <v>1</v>
      </c>
      <c r="Q88" s="23">
        <v>0</v>
      </c>
      <c r="R88" s="86">
        <v>0</v>
      </c>
      <c r="S88" s="21">
        <v>1</v>
      </c>
      <c r="T88" s="21">
        <v>1</v>
      </c>
      <c r="U88" s="21">
        <v>1</v>
      </c>
      <c r="V88" s="21">
        <v>1</v>
      </c>
      <c r="W88" s="21">
        <v>1</v>
      </c>
      <c r="X88" s="21">
        <v>1</v>
      </c>
      <c r="Y88" s="86">
        <v>0</v>
      </c>
      <c r="Z88" s="21">
        <v>1</v>
      </c>
      <c r="AA88" s="21">
        <v>1</v>
      </c>
      <c r="AB88" s="21">
        <v>1</v>
      </c>
      <c r="AC88" s="21">
        <v>1</v>
      </c>
      <c r="AD88" s="21">
        <v>1</v>
      </c>
      <c r="AE88" s="21">
        <v>1</v>
      </c>
      <c r="AF88" s="86">
        <v>0</v>
      </c>
      <c r="AG88" s="21">
        <v>1</v>
      </c>
      <c r="AH88" s="21">
        <v>1</v>
      </c>
      <c r="AI88" s="108">
        <f>SUM(D88:AH88)</f>
        <v>25</v>
      </c>
      <c r="AJ88" s="119">
        <v>5</v>
      </c>
      <c r="AK88" s="81">
        <v>1</v>
      </c>
      <c r="AL88" s="81">
        <f>AI88+AJ88</f>
        <v>30</v>
      </c>
      <c r="AM88" s="81">
        <f>AL88*C88</f>
        <v>11612.903225806453</v>
      </c>
      <c r="AN88" s="179">
        <f>C88*AG86</f>
        <v>12000</v>
      </c>
      <c r="AO88" s="616">
        <f>AM88+AM89</f>
        <v>11975.806451612905</v>
      </c>
      <c r="AP88" s="617">
        <v>12000</v>
      </c>
      <c r="AQ88" s="608">
        <v>500</v>
      </c>
    </row>
    <row r="89" spans="1:43" ht="16.5" customHeight="1">
      <c r="A89" s="98">
        <f>C88/8</f>
        <v>48.387096774193552</v>
      </c>
      <c r="B89" s="94">
        <v>12000</v>
      </c>
      <c r="C89" s="116">
        <f>C88/8*1.5</f>
        <v>72.580645161290334</v>
      </c>
      <c r="D89" s="86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86">
        <v>0</v>
      </c>
      <c r="L89" s="21">
        <v>0</v>
      </c>
      <c r="M89" s="21">
        <v>0</v>
      </c>
      <c r="N89" s="21">
        <v>0</v>
      </c>
      <c r="O89" s="21">
        <v>0</v>
      </c>
      <c r="P89" s="21">
        <v>2</v>
      </c>
      <c r="Q89" s="21">
        <v>0</v>
      </c>
      <c r="R89" s="86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86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86">
        <v>3</v>
      </c>
      <c r="AG89" s="21">
        <v>0</v>
      </c>
      <c r="AH89" s="21">
        <v>0</v>
      </c>
      <c r="AI89" s="78">
        <f t="shared" ref="AI89:AI101" si="31">SUM(D89:AH89)</f>
        <v>5</v>
      </c>
      <c r="AJ89" s="120"/>
      <c r="AK89" s="24"/>
      <c r="AL89" s="24"/>
      <c r="AM89" s="21">
        <f>AI89*C89</f>
        <v>362.9032258064517</v>
      </c>
      <c r="AN89" s="20">
        <v>0</v>
      </c>
      <c r="AO89" s="505"/>
      <c r="AP89" s="609"/>
      <c r="AQ89" s="608"/>
    </row>
    <row r="90" spans="1:43" ht="16.5" customHeight="1">
      <c r="A90" s="99">
        <v>2</v>
      </c>
      <c r="B90" s="95" t="s">
        <v>27</v>
      </c>
      <c r="C90" s="116">
        <f>B91/AG86</f>
        <v>322.58064516129031</v>
      </c>
      <c r="D90" s="86">
        <v>0</v>
      </c>
      <c r="E90" s="21">
        <v>1</v>
      </c>
      <c r="F90" s="21">
        <v>1</v>
      </c>
      <c r="G90" s="21">
        <v>1</v>
      </c>
      <c r="H90" s="21">
        <v>1</v>
      </c>
      <c r="I90" s="21">
        <v>1</v>
      </c>
      <c r="J90" s="21">
        <v>1</v>
      </c>
      <c r="K90" s="86">
        <v>0</v>
      </c>
      <c r="L90" s="21">
        <v>1</v>
      </c>
      <c r="M90" s="21">
        <v>1</v>
      </c>
      <c r="N90" s="21">
        <v>1</v>
      </c>
      <c r="O90" s="21">
        <v>1</v>
      </c>
      <c r="P90" s="21">
        <v>1</v>
      </c>
      <c r="Q90" s="21">
        <v>1</v>
      </c>
      <c r="R90" s="86">
        <v>0</v>
      </c>
      <c r="S90" s="21">
        <v>1</v>
      </c>
      <c r="T90" s="21">
        <v>1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1">
        <v>1</v>
      </c>
      <c r="AC90" s="21">
        <v>1</v>
      </c>
      <c r="AD90" s="21">
        <v>1</v>
      </c>
      <c r="AE90" s="21">
        <v>1</v>
      </c>
      <c r="AF90" s="86">
        <v>0</v>
      </c>
      <c r="AG90" s="23">
        <v>0</v>
      </c>
      <c r="AH90" s="21">
        <v>1</v>
      </c>
      <c r="AI90" s="78">
        <f t="shared" si="31"/>
        <v>19</v>
      </c>
      <c r="AJ90" s="120">
        <v>4</v>
      </c>
      <c r="AK90" s="81">
        <v>0</v>
      </c>
      <c r="AL90" s="21">
        <f>AI90+AJ90</f>
        <v>23</v>
      </c>
      <c r="AM90" s="21">
        <f>AL90*C90</f>
        <v>7419.3548387096771</v>
      </c>
      <c r="AN90" s="20">
        <f>C90*AG86</f>
        <v>10000</v>
      </c>
      <c r="AO90" s="616">
        <f>AM90+AM91</f>
        <v>8145.1612903225805</v>
      </c>
      <c r="AP90" s="607">
        <v>7500</v>
      </c>
      <c r="AQ90" s="608">
        <v>1000</v>
      </c>
    </row>
    <row r="91" spans="1:43" ht="16.5" customHeight="1">
      <c r="A91" s="98">
        <f>C90/8</f>
        <v>40.322580645161288</v>
      </c>
      <c r="B91" s="94">
        <v>10000</v>
      </c>
      <c r="C91" s="116">
        <f>C90/8*1.5</f>
        <v>60.483870967741936</v>
      </c>
      <c r="D91" s="86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86">
        <v>0</v>
      </c>
      <c r="L91" s="21">
        <v>0</v>
      </c>
      <c r="M91" s="21">
        <v>0</v>
      </c>
      <c r="N91" s="21">
        <v>0</v>
      </c>
      <c r="O91" s="21">
        <v>2</v>
      </c>
      <c r="P91" s="21">
        <v>2</v>
      </c>
      <c r="Q91" s="21">
        <v>2</v>
      </c>
      <c r="R91" s="86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86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134">
        <v>6</v>
      </c>
      <c r="AG91" s="21">
        <v>0</v>
      </c>
      <c r="AH91" s="21">
        <v>0</v>
      </c>
      <c r="AI91" s="78">
        <f t="shared" si="31"/>
        <v>12</v>
      </c>
      <c r="AJ91" s="120"/>
      <c r="AK91" s="21"/>
      <c r="AL91" s="21"/>
      <c r="AM91" s="21">
        <f>C91*AI91</f>
        <v>725.80645161290317</v>
      </c>
      <c r="AN91" s="20">
        <v>0</v>
      </c>
      <c r="AO91" s="505"/>
      <c r="AP91" s="607"/>
      <c r="AQ91" s="608"/>
    </row>
    <row r="92" spans="1:43" ht="15">
      <c r="A92" s="98">
        <v>3</v>
      </c>
      <c r="B92" s="94" t="s">
        <v>68</v>
      </c>
      <c r="C92" s="116">
        <f>B93/AG86</f>
        <v>322.58064516129031</v>
      </c>
      <c r="D92" s="86">
        <v>0</v>
      </c>
      <c r="E92" s="21">
        <v>1</v>
      </c>
      <c r="F92" s="21">
        <v>1</v>
      </c>
      <c r="G92" s="21">
        <v>1</v>
      </c>
      <c r="H92" s="21">
        <v>1</v>
      </c>
      <c r="I92" s="21">
        <v>1</v>
      </c>
      <c r="J92" s="21">
        <v>1</v>
      </c>
      <c r="K92" s="86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86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86">
        <v>0</v>
      </c>
      <c r="AG92" s="23">
        <v>0</v>
      </c>
      <c r="AH92" s="23">
        <v>0</v>
      </c>
      <c r="AI92" s="78">
        <f t="shared" si="31"/>
        <v>6</v>
      </c>
      <c r="AJ92" s="120">
        <v>1</v>
      </c>
      <c r="AK92" s="81">
        <v>6</v>
      </c>
      <c r="AL92" s="21">
        <f>AI92+AJ92</f>
        <v>7</v>
      </c>
      <c r="AM92" s="21">
        <f>AL92*C92</f>
        <v>2258.0645161290322</v>
      </c>
      <c r="AN92" s="20">
        <f>C92*AG86</f>
        <v>10000</v>
      </c>
      <c r="AO92" s="505">
        <f>AM92+AM93</f>
        <v>2258.0645161290322</v>
      </c>
      <c r="AP92" s="607">
        <v>1200</v>
      </c>
      <c r="AQ92" s="608">
        <v>1000</v>
      </c>
    </row>
    <row r="93" spans="1:43" ht="15">
      <c r="A93" s="98"/>
      <c r="B93" s="94">
        <v>10000</v>
      </c>
      <c r="C93" s="116">
        <f>C92/8*1.5</f>
        <v>60.483870967741936</v>
      </c>
      <c r="D93" s="86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86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86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86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86">
        <v>0</v>
      </c>
      <c r="AG93" s="21">
        <v>0</v>
      </c>
      <c r="AH93" s="21">
        <v>0</v>
      </c>
      <c r="AI93" s="78">
        <f t="shared" si="31"/>
        <v>0</v>
      </c>
      <c r="AJ93" s="120"/>
      <c r="AK93" s="21"/>
      <c r="AL93" s="21"/>
      <c r="AM93" s="21">
        <f>C93*AI93</f>
        <v>0</v>
      </c>
      <c r="AN93" s="20">
        <v>0</v>
      </c>
      <c r="AO93" s="505"/>
      <c r="AP93" s="607"/>
      <c r="AQ93" s="608"/>
    </row>
    <row r="94" spans="1:43" ht="15">
      <c r="A94" s="98">
        <v>4</v>
      </c>
      <c r="B94" s="94" t="s">
        <v>75</v>
      </c>
      <c r="C94" s="116">
        <v>50</v>
      </c>
      <c r="D94" s="86">
        <v>0</v>
      </c>
      <c r="E94" s="134">
        <v>8</v>
      </c>
      <c r="F94" s="23">
        <v>0</v>
      </c>
      <c r="G94" s="134">
        <v>8</v>
      </c>
      <c r="H94" s="134">
        <v>8</v>
      </c>
      <c r="I94" s="134">
        <v>8</v>
      </c>
      <c r="J94" s="134">
        <v>8</v>
      </c>
      <c r="K94" s="86">
        <v>0</v>
      </c>
      <c r="L94" s="134">
        <v>8</v>
      </c>
      <c r="M94" s="134">
        <v>8</v>
      </c>
      <c r="N94" s="135">
        <v>10</v>
      </c>
      <c r="O94" s="135">
        <v>10</v>
      </c>
      <c r="P94" s="135">
        <v>10</v>
      </c>
      <c r="Q94" s="134">
        <v>8</v>
      </c>
      <c r="R94" s="86">
        <v>0</v>
      </c>
      <c r="S94" s="134">
        <v>8</v>
      </c>
      <c r="T94" s="134">
        <v>8</v>
      </c>
      <c r="U94" s="23">
        <v>0</v>
      </c>
      <c r="V94" s="23">
        <v>0</v>
      </c>
      <c r="W94" s="134">
        <v>8</v>
      </c>
      <c r="X94" s="134">
        <v>8</v>
      </c>
      <c r="Y94" s="86">
        <v>0</v>
      </c>
      <c r="Z94" s="135">
        <v>10</v>
      </c>
      <c r="AA94" s="134">
        <v>8</v>
      </c>
      <c r="AB94" s="134">
        <v>8</v>
      </c>
      <c r="AC94" s="134">
        <v>8</v>
      </c>
      <c r="AD94" s="134">
        <v>8</v>
      </c>
      <c r="AE94" s="134">
        <v>8</v>
      </c>
      <c r="AF94" s="86">
        <v>6</v>
      </c>
      <c r="AG94" s="134">
        <v>8</v>
      </c>
      <c r="AH94" s="134">
        <v>5</v>
      </c>
      <c r="AI94" s="78">
        <f t="shared" si="31"/>
        <v>195</v>
      </c>
      <c r="AJ94" s="120">
        <v>0</v>
      </c>
      <c r="AK94" s="81">
        <v>0</v>
      </c>
      <c r="AL94" s="21">
        <f>AI94+AJ94</f>
        <v>195</v>
      </c>
      <c r="AM94" s="21">
        <f>AL94*C94</f>
        <v>9750</v>
      </c>
      <c r="AN94" s="20">
        <f>C94*AG86</f>
        <v>1550</v>
      </c>
      <c r="AO94" s="505">
        <f>AM94+AM95</f>
        <v>9750</v>
      </c>
      <c r="AP94" s="609">
        <v>9800</v>
      </c>
    </row>
    <row r="95" spans="1:43" ht="15">
      <c r="A95" s="98"/>
      <c r="B95" s="94"/>
      <c r="C95" s="116"/>
      <c r="D95" s="86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86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86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86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86">
        <v>0</v>
      </c>
      <c r="AG95" s="21">
        <v>0</v>
      </c>
      <c r="AH95" s="21">
        <v>0</v>
      </c>
      <c r="AI95" s="78">
        <f t="shared" si="31"/>
        <v>0</v>
      </c>
      <c r="AJ95" s="120"/>
      <c r="AK95" s="21"/>
      <c r="AL95" s="21"/>
      <c r="AM95" s="21">
        <f>C95*AI95</f>
        <v>0</v>
      </c>
      <c r="AN95" s="20">
        <v>0</v>
      </c>
      <c r="AO95" s="505"/>
      <c r="AP95" s="609"/>
    </row>
    <row r="96" spans="1:43" ht="16.5" customHeight="1">
      <c r="A96" s="98">
        <v>5</v>
      </c>
      <c r="B96" s="94"/>
      <c r="C96" s="116">
        <v>50</v>
      </c>
      <c r="D96" s="86">
        <v>0</v>
      </c>
      <c r="E96" s="134">
        <v>8</v>
      </c>
      <c r="F96" s="23">
        <v>0</v>
      </c>
      <c r="G96" s="134">
        <v>8</v>
      </c>
      <c r="H96" s="134">
        <v>8</v>
      </c>
      <c r="I96" s="134">
        <v>8</v>
      </c>
      <c r="J96" s="134">
        <v>8</v>
      </c>
      <c r="K96" s="86">
        <v>0</v>
      </c>
      <c r="L96" s="134">
        <v>8</v>
      </c>
      <c r="M96" s="134">
        <v>8</v>
      </c>
      <c r="N96" s="135">
        <v>10</v>
      </c>
      <c r="O96" s="135">
        <v>10</v>
      </c>
      <c r="P96" s="134">
        <v>8</v>
      </c>
      <c r="Q96" s="135">
        <v>10</v>
      </c>
      <c r="R96" s="86">
        <v>0</v>
      </c>
      <c r="S96" s="134">
        <v>8</v>
      </c>
      <c r="T96" s="134">
        <v>8</v>
      </c>
      <c r="U96" s="23">
        <v>0</v>
      </c>
      <c r="V96" s="134">
        <v>8</v>
      </c>
      <c r="W96" s="134">
        <v>8</v>
      </c>
      <c r="X96" s="134">
        <v>8</v>
      </c>
      <c r="Y96" s="86">
        <v>0</v>
      </c>
      <c r="Z96" s="135">
        <v>10</v>
      </c>
      <c r="AA96" s="134">
        <v>8</v>
      </c>
      <c r="AB96" s="23">
        <v>0</v>
      </c>
      <c r="AC96" s="134">
        <v>8</v>
      </c>
      <c r="AD96" s="134">
        <v>8</v>
      </c>
      <c r="AE96" s="134">
        <v>8</v>
      </c>
      <c r="AF96" s="86">
        <v>0</v>
      </c>
      <c r="AG96" s="134">
        <v>8</v>
      </c>
      <c r="AH96" s="134">
        <v>5</v>
      </c>
      <c r="AI96" s="78">
        <f t="shared" si="31"/>
        <v>189</v>
      </c>
      <c r="AJ96" s="120">
        <v>0</v>
      </c>
      <c r="AK96" s="21">
        <v>0</v>
      </c>
      <c r="AL96" s="21">
        <f>AI96+AJ96</f>
        <v>189</v>
      </c>
      <c r="AM96" s="21">
        <f>AL96*C96</f>
        <v>9450</v>
      </c>
      <c r="AN96" s="20">
        <f>C96*AG86</f>
        <v>1550</v>
      </c>
      <c r="AO96" s="505">
        <f>AM96+AM97</f>
        <v>9450</v>
      </c>
      <c r="AP96" s="609">
        <v>9500</v>
      </c>
    </row>
    <row r="97" spans="1:44" ht="16.5" customHeight="1">
      <c r="A97" s="98"/>
      <c r="B97" s="94"/>
      <c r="C97" s="116"/>
      <c r="D97" s="86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86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86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86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86">
        <v>0</v>
      </c>
      <c r="AG97" s="21">
        <v>0</v>
      </c>
      <c r="AH97" s="21">
        <v>0</v>
      </c>
      <c r="AI97" s="78">
        <f t="shared" si="31"/>
        <v>0</v>
      </c>
      <c r="AJ97" s="120"/>
      <c r="AK97" s="21"/>
      <c r="AL97" s="21"/>
      <c r="AM97" s="21">
        <f t="shared" ref="AM97" si="32">C97*AI97</f>
        <v>0</v>
      </c>
      <c r="AN97" s="20">
        <v>0</v>
      </c>
      <c r="AO97" s="505"/>
      <c r="AP97" s="609"/>
    </row>
    <row r="98" spans="1:44" ht="16.5" customHeight="1">
      <c r="A98" s="98">
        <v>6</v>
      </c>
      <c r="B98" s="94"/>
      <c r="C98" s="116">
        <v>50</v>
      </c>
      <c r="D98" s="86">
        <v>0</v>
      </c>
      <c r="E98" s="134"/>
      <c r="F98" s="134"/>
      <c r="G98" s="134"/>
      <c r="H98" s="134"/>
      <c r="I98" s="134"/>
      <c r="J98" s="134"/>
      <c r="K98" s="86">
        <v>0</v>
      </c>
      <c r="L98" s="134"/>
      <c r="M98" s="134"/>
      <c r="N98" s="134"/>
      <c r="O98" s="134"/>
      <c r="P98" s="134"/>
      <c r="Q98" s="134"/>
      <c r="R98" s="86">
        <v>0</v>
      </c>
      <c r="S98" s="134">
        <v>8</v>
      </c>
      <c r="T98" s="134">
        <v>8</v>
      </c>
      <c r="U98" s="134">
        <v>8</v>
      </c>
      <c r="V98" s="134">
        <v>8</v>
      </c>
      <c r="W98" s="134">
        <v>8</v>
      </c>
      <c r="X98" s="134">
        <v>8</v>
      </c>
      <c r="Y98" s="86">
        <v>0</v>
      </c>
      <c r="Z98" s="134">
        <v>8</v>
      </c>
      <c r="AA98" s="134">
        <v>8</v>
      </c>
      <c r="AB98" s="134">
        <v>8</v>
      </c>
      <c r="AC98" s="134">
        <v>8</v>
      </c>
      <c r="AD98" s="134">
        <v>8</v>
      </c>
      <c r="AE98" s="134">
        <v>8</v>
      </c>
      <c r="AF98" s="86">
        <v>0</v>
      </c>
      <c r="AG98" s="134">
        <v>8</v>
      </c>
      <c r="AH98" s="134">
        <v>8</v>
      </c>
      <c r="AI98" s="78">
        <f t="shared" si="31"/>
        <v>112</v>
      </c>
      <c r="AJ98" s="120">
        <v>0</v>
      </c>
      <c r="AK98" s="21">
        <v>0</v>
      </c>
      <c r="AL98" s="21">
        <f>AI98+AJ98</f>
        <v>112</v>
      </c>
      <c r="AM98" s="21">
        <f>AL98*C98</f>
        <v>5600</v>
      </c>
      <c r="AN98" s="20">
        <f>C98*AG86</f>
        <v>1550</v>
      </c>
      <c r="AO98" s="505">
        <f>AM98+AM99</f>
        <v>5600</v>
      </c>
      <c r="AP98" s="609">
        <v>5600</v>
      </c>
    </row>
    <row r="99" spans="1:44" ht="16.5" customHeight="1">
      <c r="A99" s="98"/>
      <c r="B99" s="94"/>
      <c r="C99" s="116"/>
      <c r="D99" s="86">
        <v>0</v>
      </c>
      <c r="E99" s="134"/>
      <c r="F99" s="134"/>
      <c r="G99" s="134"/>
      <c r="H99" s="134"/>
      <c r="I99" s="134"/>
      <c r="J99" s="134"/>
      <c r="K99" s="86">
        <v>0</v>
      </c>
      <c r="L99" s="134"/>
      <c r="M99" s="134"/>
      <c r="N99" s="134"/>
      <c r="O99" s="134"/>
      <c r="P99" s="134"/>
      <c r="Q99" s="134"/>
      <c r="R99" s="86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86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86">
        <v>0</v>
      </c>
      <c r="AG99" s="21">
        <v>0</v>
      </c>
      <c r="AH99" s="21">
        <v>0</v>
      </c>
      <c r="AI99" s="78">
        <f t="shared" si="31"/>
        <v>0</v>
      </c>
      <c r="AJ99" s="28"/>
      <c r="AK99" s="21"/>
      <c r="AL99" s="21"/>
      <c r="AM99" s="21">
        <f t="shared" ref="AM99" si="33">C99*AI99</f>
        <v>0</v>
      </c>
      <c r="AN99" s="20">
        <v>0</v>
      </c>
      <c r="AO99" s="505"/>
      <c r="AP99" s="609"/>
    </row>
    <row r="100" spans="1:44" ht="15">
      <c r="A100" s="99"/>
      <c r="B100" s="94"/>
      <c r="C100" s="116"/>
      <c r="D100" s="86">
        <v>0</v>
      </c>
      <c r="E100" s="21"/>
      <c r="F100" s="21"/>
      <c r="G100" s="21"/>
      <c r="H100" s="21"/>
      <c r="I100" s="21"/>
      <c r="J100" s="21"/>
      <c r="K100" s="86">
        <v>0</v>
      </c>
      <c r="L100" s="21"/>
      <c r="M100" s="21"/>
      <c r="N100" s="21"/>
      <c r="O100" s="21"/>
      <c r="P100" s="21"/>
      <c r="Q100" s="21"/>
      <c r="R100" s="86">
        <v>0</v>
      </c>
      <c r="S100" s="21"/>
      <c r="T100" s="21"/>
      <c r="U100" s="21"/>
      <c r="V100" s="21"/>
      <c r="W100" s="21"/>
      <c r="X100" s="21"/>
      <c r="Y100" s="86">
        <v>0</v>
      </c>
      <c r="Z100" s="21"/>
      <c r="AA100" s="21"/>
      <c r="AB100" s="21"/>
      <c r="AC100" s="21"/>
      <c r="AD100" s="21"/>
      <c r="AE100" s="21"/>
      <c r="AF100" s="86">
        <v>0</v>
      </c>
      <c r="AG100" s="21"/>
      <c r="AH100" s="21"/>
      <c r="AI100" s="78">
        <f t="shared" si="31"/>
        <v>0</v>
      </c>
      <c r="AJ100" s="28"/>
      <c r="AK100" s="21"/>
      <c r="AL100" s="21">
        <f>AI100+AJ100</f>
        <v>0</v>
      </c>
      <c r="AM100" s="21">
        <f>AL100*C100</f>
        <v>0</v>
      </c>
      <c r="AN100" s="20">
        <f>C100*AG86</f>
        <v>0</v>
      </c>
      <c r="AO100" s="505">
        <f>AM100+AM101</f>
        <v>0</v>
      </c>
      <c r="AP100" s="600"/>
    </row>
    <row r="101" spans="1:44" ht="15.75" thickBot="1">
      <c r="A101" s="100"/>
      <c r="B101" s="96"/>
      <c r="C101" s="117"/>
      <c r="D101" s="86">
        <v>0</v>
      </c>
      <c r="E101" s="21"/>
      <c r="F101" s="21"/>
      <c r="G101" s="21"/>
      <c r="H101" s="21"/>
      <c r="I101" s="21"/>
      <c r="J101" s="21"/>
      <c r="K101" s="86">
        <v>0</v>
      </c>
      <c r="L101" s="21"/>
      <c r="M101" s="21"/>
      <c r="N101" s="21"/>
      <c r="O101" s="21"/>
      <c r="P101" s="21"/>
      <c r="Q101" s="21"/>
      <c r="R101" s="86">
        <v>0</v>
      </c>
      <c r="S101" s="21"/>
      <c r="T101" s="21"/>
      <c r="U101" s="21"/>
      <c r="V101" s="21"/>
      <c r="W101" s="21"/>
      <c r="X101" s="21"/>
      <c r="Y101" s="86">
        <v>0</v>
      </c>
      <c r="Z101" s="21"/>
      <c r="AA101" s="21"/>
      <c r="AB101" s="21"/>
      <c r="AC101" s="21"/>
      <c r="AD101" s="21"/>
      <c r="AE101" s="21"/>
      <c r="AF101" s="86">
        <v>0</v>
      </c>
      <c r="AG101" s="21"/>
      <c r="AH101" s="21"/>
      <c r="AI101" s="83">
        <f t="shared" si="31"/>
        <v>0</v>
      </c>
      <c r="AJ101" s="88"/>
      <c r="AK101" s="87"/>
      <c r="AL101" s="87"/>
      <c r="AM101" s="87">
        <f>C101*AI101</f>
        <v>0</v>
      </c>
      <c r="AN101" s="84">
        <v>0</v>
      </c>
      <c r="AO101" s="599"/>
      <c r="AP101" s="601"/>
    </row>
    <row r="102" spans="1:44" ht="15.75" thickBot="1">
      <c r="A102" s="101"/>
      <c r="B102" s="571" t="s">
        <v>30</v>
      </c>
      <c r="C102" s="572"/>
      <c r="D102" s="132">
        <f>D88+D90+D92+D94+D96+D98+D100</f>
        <v>0</v>
      </c>
      <c r="E102" s="132">
        <f t="shared" ref="E102:AH102" si="34">E88+E90+E92+E94+E96+E98+E100</f>
        <v>19</v>
      </c>
      <c r="F102" s="132">
        <f t="shared" si="34"/>
        <v>3</v>
      </c>
      <c r="G102" s="132">
        <f t="shared" si="34"/>
        <v>19</v>
      </c>
      <c r="H102" s="132">
        <f t="shared" si="34"/>
        <v>19</v>
      </c>
      <c r="I102" s="132">
        <f t="shared" si="34"/>
        <v>19</v>
      </c>
      <c r="J102" s="132">
        <f t="shared" si="34"/>
        <v>19</v>
      </c>
      <c r="K102" s="132">
        <f t="shared" si="34"/>
        <v>0</v>
      </c>
      <c r="L102" s="132">
        <f t="shared" si="34"/>
        <v>18</v>
      </c>
      <c r="M102" s="132">
        <f t="shared" si="34"/>
        <v>18</v>
      </c>
      <c r="N102" s="132">
        <f t="shared" si="34"/>
        <v>22</v>
      </c>
      <c r="O102" s="132">
        <f t="shared" si="34"/>
        <v>22</v>
      </c>
      <c r="P102" s="132">
        <f t="shared" si="34"/>
        <v>20</v>
      </c>
      <c r="Q102" s="132">
        <f t="shared" si="34"/>
        <v>19</v>
      </c>
      <c r="R102" s="132">
        <f t="shared" si="34"/>
        <v>0</v>
      </c>
      <c r="S102" s="132">
        <f t="shared" si="34"/>
        <v>26</v>
      </c>
      <c r="T102" s="132">
        <f t="shared" si="34"/>
        <v>26</v>
      </c>
      <c r="U102" s="132">
        <f t="shared" si="34"/>
        <v>9</v>
      </c>
      <c r="V102" s="132">
        <f t="shared" si="34"/>
        <v>17</v>
      </c>
      <c r="W102" s="132">
        <f t="shared" si="34"/>
        <v>25</v>
      </c>
      <c r="X102" s="132">
        <f t="shared" si="34"/>
        <v>25</v>
      </c>
      <c r="Y102" s="132">
        <f t="shared" si="34"/>
        <v>0</v>
      </c>
      <c r="Z102" s="132">
        <f t="shared" si="34"/>
        <v>29</v>
      </c>
      <c r="AA102" s="132">
        <f t="shared" si="34"/>
        <v>25</v>
      </c>
      <c r="AB102" s="132">
        <f t="shared" si="34"/>
        <v>18</v>
      </c>
      <c r="AC102" s="132">
        <f t="shared" si="34"/>
        <v>26</v>
      </c>
      <c r="AD102" s="132">
        <f t="shared" si="34"/>
        <v>26</v>
      </c>
      <c r="AE102" s="132">
        <f t="shared" si="34"/>
        <v>26</v>
      </c>
      <c r="AF102" s="132">
        <f t="shared" si="34"/>
        <v>6</v>
      </c>
      <c r="AG102" s="132">
        <f t="shared" si="34"/>
        <v>25</v>
      </c>
      <c r="AH102" s="132">
        <f t="shared" si="34"/>
        <v>20</v>
      </c>
      <c r="AI102" s="89">
        <f>AI88+AI90+AI92+AI94+AI96+AI98+AI100</f>
        <v>546</v>
      </c>
      <c r="AJ102" s="89">
        <f t="shared" ref="AJ102:AN102" si="35">AJ88+AJ90+AJ92+AJ94+AJ96+AJ98+AJ100</f>
        <v>10</v>
      </c>
      <c r="AK102" s="89">
        <f t="shared" si="35"/>
        <v>7</v>
      </c>
      <c r="AL102" s="89">
        <f t="shared" si="35"/>
        <v>556</v>
      </c>
      <c r="AM102" s="89">
        <f t="shared" si="35"/>
        <v>46090.322580645159</v>
      </c>
      <c r="AN102" s="309">
        <f t="shared" si="35"/>
        <v>36650</v>
      </c>
      <c r="AO102" s="602">
        <f>AM102+AM103</f>
        <v>47179.032258064515</v>
      </c>
      <c r="AP102" s="604">
        <f>SUM(AP88:AP101)</f>
        <v>45600</v>
      </c>
    </row>
    <row r="103" spans="1:44" ht="15.75" thickBot="1">
      <c r="A103" s="102"/>
      <c r="B103" s="544" t="s">
        <v>31</v>
      </c>
      <c r="C103" s="545"/>
      <c r="D103" s="133">
        <f>D89+D91+D93+D95+D97+D99+D101</f>
        <v>0</v>
      </c>
      <c r="E103" s="133">
        <f t="shared" ref="E103:AH103" si="36">E89+E91+E93+E95+E97+E99+E101</f>
        <v>0</v>
      </c>
      <c r="F103" s="133">
        <f t="shared" si="36"/>
        <v>0</v>
      </c>
      <c r="G103" s="133">
        <f t="shared" si="36"/>
        <v>0</v>
      </c>
      <c r="H103" s="133">
        <f t="shared" si="36"/>
        <v>0</v>
      </c>
      <c r="I103" s="133">
        <f t="shared" si="36"/>
        <v>0</v>
      </c>
      <c r="J103" s="133">
        <f t="shared" si="36"/>
        <v>0</v>
      </c>
      <c r="K103" s="133">
        <f t="shared" si="36"/>
        <v>0</v>
      </c>
      <c r="L103" s="133">
        <f t="shared" si="36"/>
        <v>0</v>
      </c>
      <c r="M103" s="133">
        <f t="shared" si="36"/>
        <v>0</v>
      </c>
      <c r="N103" s="133">
        <f t="shared" si="36"/>
        <v>0</v>
      </c>
      <c r="O103" s="133">
        <f t="shared" si="36"/>
        <v>2</v>
      </c>
      <c r="P103" s="133">
        <f t="shared" si="36"/>
        <v>4</v>
      </c>
      <c r="Q103" s="133">
        <f t="shared" si="36"/>
        <v>2</v>
      </c>
      <c r="R103" s="133">
        <f t="shared" si="36"/>
        <v>0</v>
      </c>
      <c r="S103" s="133">
        <f t="shared" si="36"/>
        <v>0</v>
      </c>
      <c r="T103" s="133">
        <f t="shared" si="36"/>
        <v>0</v>
      </c>
      <c r="U103" s="133">
        <f t="shared" si="36"/>
        <v>0</v>
      </c>
      <c r="V103" s="133">
        <f t="shared" si="36"/>
        <v>0</v>
      </c>
      <c r="W103" s="133">
        <f t="shared" si="36"/>
        <v>0</v>
      </c>
      <c r="X103" s="133">
        <f t="shared" si="36"/>
        <v>0</v>
      </c>
      <c r="Y103" s="133">
        <f t="shared" si="36"/>
        <v>0</v>
      </c>
      <c r="Z103" s="133">
        <f t="shared" si="36"/>
        <v>0</v>
      </c>
      <c r="AA103" s="133">
        <f t="shared" si="36"/>
        <v>0</v>
      </c>
      <c r="AB103" s="133">
        <f t="shared" si="36"/>
        <v>0</v>
      </c>
      <c r="AC103" s="133">
        <f t="shared" si="36"/>
        <v>0</v>
      </c>
      <c r="AD103" s="133">
        <f t="shared" si="36"/>
        <v>0</v>
      </c>
      <c r="AE103" s="133">
        <f t="shared" si="36"/>
        <v>0</v>
      </c>
      <c r="AF103" s="133">
        <f t="shared" si="36"/>
        <v>9</v>
      </c>
      <c r="AG103" s="133">
        <f t="shared" si="36"/>
        <v>0</v>
      </c>
      <c r="AH103" s="133">
        <f t="shared" si="36"/>
        <v>0</v>
      </c>
      <c r="AI103" s="90">
        <f>AI89+AI91+AI93+AI95+AI97+AI99+AI101</f>
        <v>17</v>
      </c>
      <c r="AJ103" s="90">
        <f t="shared" ref="AJ103:AN103" si="37">AJ89+AJ91+AJ93+AJ95+AJ97+AJ99+AJ101</f>
        <v>0</v>
      </c>
      <c r="AK103" s="90">
        <f t="shared" si="37"/>
        <v>0</v>
      </c>
      <c r="AL103" s="90">
        <f t="shared" si="37"/>
        <v>0</v>
      </c>
      <c r="AM103" s="90">
        <f t="shared" si="37"/>
        <v>1088.7096774193549</v>
      </c>
      <c r="AN103" s="310">
        <f t="shared" si="37"/>
        <v>0</v>
      </c>
      <c r="AO103" s="603"/>
      <c r="AP103" s="605"/>
    </row>
    <row r="105" spans="1:44" ht="21.75" thickBot="1"/>
    <row r="106" spans="1:44" ht="27" thickBot="1">
      <c r="A106" s="618" t="s">
        <v>0</v>
      </c>
      <c r="B106" s="620" t="s">
        <v>1</v>
      </c>
      <c r="C106" s="621"/>
      <c r="D106" s="640" t="s">
        <v>77</v>
      </c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  <c r="AA106" s="640"/>
      <c r="AB106" s="640"/>
      <c r="AC106" s="640"/>
      <c r="AD106" s="640"/>
      <c r="AE106" s="640"/>
      <c r="AF106" s="641"/>
      <c r="AG106" s="626">
        <v>30</v>
      </c>
      <c r="AH106" s="627"/>
      <c r="AI106" s="628" t="s">
        <v>3</v>
      </c>
      <c r="AJ106" s="630" t="s">
        <v>4</v>
      </c>
      <c r="AK106" s="630" t="s">
        <v>5</v>
      </c>
      <c r="AL106" s="630" t="s">
        <v>6</v>
      </c>
      <c r="AM106" s="630" t="s">
        <v>7</v>
      </c>
      <c r="AN106" s="610" t="s">
        <v>8</v>
      </c>
      <c r="AO106" s="612" t="s">
        <v>7</v>
      </c>
      <c r="AP106" s="614" t="s">
        <v>33</v>
      </c>
    </row>
    <row r="107" spans="1:44" ht="15.75" thickBot="1">
      <c r="A107" s="619"/>
      <c r="B107" s="622"/>
      <c r="C107" s="623"/>
      <c r="D107" s="109">
        <v>1</v>
      </c>
      <c r="E107" s="82">
        <v>2</v>
      </c>
      <c r="F107" s="82">
        <v>3</v>
      </c>
      <c r="G107" s="82">
        <v>4</v>
      </c>
      <c r="H107" s="82">
        <v>5</v>
      </c>
      <c r="I107" s="82">
        <v>6</v>
      </c>
      <c r="J107" s="82">
        <v>7</v>
      </c>
      <c r="K107" s="82">
        <v>8</v>
      </c>
      <c r="L107" s="82">
        <v>9</v>
      </c>
      <c r="M107" s="82">
        <v>10</v>
      </c>
      <c r="N107" s="82">
        <v>11</v>
      </c>
      <c r="O107" s="82">
        <v>12</v>
      </c>
      <c r="P107" s="82">
        <v>13</v>
      </c>
      <c r="Q107" s="82">
        <v>14</v>
      </c>
      <c r="R107" s="82">
        <v>15</v>
      </c>
      <c r="S107" s="82">
        <v>16</v>
      </c>
      <c r="T107" s="82">
        <v>17</v>
      </c>
      <c r="U107" s="82">
        <v>18</v>
      </c>
      <c r="V107" s="82">
        <v>19</v>
      </c>
      <c r="W107" s="82">
        <v>20</v>
      </c>
      <c r="X107" s="82">
        <v>21</v>
      </c>
      <c r="Y107" s="82">
        <v>22</v>
      </c>
      <c r="Z107" s="82">
        <v>23</v>
      </c>
      <c r="AA107" s="82">
        <v>24</v>
      </c>
      <c r="AB107" s="82">
        <v>25</v>
      </c>
      <c r="AC107" s="82">
        <v>26</v>
      </c>
      <c r="AD107" s="82">
        <v>27</v>
      </c>
      <c r="AE107" s="82">
        <v>28</v>
      </c>
      <c r="AF107" s="82">
        <v>29</v>
      </c>
      <c r="AG107" s="82">
        <v>30</v>
      </c>
      <c r="AH107" s="103">
        <v>31</v>
      </c>
      <c r="AI107" s="629"/>
      <c r="AJ107" s="631"/>
      <c r="AK107" s="631"/>
      <c r="AL107" s="631"/>
      <c r="AM107" s="631"/>
      <c r="AN107" s="611"/>
      <c r="AO107" s="613"/>
      <c r="AP107" s="615"/>
    </row>
    <row r="108" spans="1:44" ht="16.5" customHeight="1">
      <c r="A108" s="97">
        <v>1</v>
      </c>
      <c r="B108" s="93" t="s">
        <v>9</v>
      </c>
      <c r="C108" s="115">
        <f>B109/AG106</f>
        <v>400</v>
      </c>
      <c r="D108" s="21">
        <v>1</v>
      </c>
      <c r="E108" s="21">
        <v>1</v>
      </c>
      <c r="F108" s="21">
        <v>1</v>
      </c>
      <c r="G108" s="27">
        <v>0.5</v>
      </c>
      <c r="H108" s="86">
        <v>0</v>
      </c>
      <c r="I108" s="21">
        <v>1</v>
      </c>
      <c r="J108" s="21">
        <v>1</v>
      </c>
      <c r="K108" s="21">
        <v>1</v>
      </c>
      <c r="L108" s="21">
        <v>1</v>
      </c>
      <c r="M108" s="21">
        <v>1</v>
      </c>
      <c r="N108" s="21">
        <v>1</v>
      </c>
      <c r="O108" s="86">
        <v>0</v>
      </c>
      <c r="P108" s="21">
        <v>1</v>
      </c>
      <c r="Q108" s="21">
        <v>1</v>
      </c>
      <c r="R108" s="21">
        <v>1</v>
      </c>
      <c r="S108" s="21">
        <v>1</v>
      </c>
      <c r="T108" s="21">
        <v>1</v>
      </c>
      <c r="U108" s="131">
        <v>0</v>
      </c>
      <c r="V108" s="22">
        <v>1</v>
      </c>
      <c r="W108" s="21">
        <v>1</v>
      </c>
      <c r="X108" s="21">
        <v>1</v>
      </c>
      <c r="Y108" s="21">
        <v>1</v>
      </c>
      <c r="Z108" s="27">
        <v>0.5</v>
      </c>
      <c r="AA108" s="21">
        <v>1</v>
      </c>
      <c r="AB108" s="21">
        <v>1</v>
      </c>
      <c r="AC108" s="86">
        <v>0</v>
      </c>
      <c r="AD108" s="27">
        <v>0.5</v>
      </c>
      <c r="AE108" s="21">
        <v>1</v>
      </c>
      <c r="AF108" s="21">
        <v>1</v>
      </c>
      <c r="AG108" s="21">
        <v>1</v>
      </c>
      <c r="AH108" s="131"/>
      <c r="AI108" s="108">
        <f>SUM(D108:AH108)</f>
        <v>24.5</v>
      </c>
      <c r="AJ108" s="119">
        <v>4</v>
      </c>
      <c r="AK108" s="81">
        <v>0</v>
      </c>
      <c r="AL108" s="81">
        <f>AI108+AJ108</f>
        <v>28.5</v>
      </c>
      <c r="AM108" s="81">
        <f>AL108*C108</f>
        <v>11400</v>
      </c>
      <c r="AN108" s="179">
        <f>C108*AG106</f>
        <v>12000</v>
      </c>
      <c r="AO108" s="616">
        <f>AM108+AM109</f>
        <v>11475</v>
      </c>
      <c r="AP108" s="642">
        <v>12000</v>
      </c>
    </row>
    <row r="109" spans="1:44" ht="16.5" customHeight="1">
      <c r="A109" s="98">
        <f>C108/8</f>
        <v>50</v>
      </c>
      <c r="B109" s="94">
        <v>12000</v>
      </c>
      <c r="C109" s="116">
        <f>C108/8*1.5</f>
        <v>75</v>
      </c>
      <c r="D109" s="21">
        <v>0</v>
      </c>
      <c r="E109" s="21">
        <v>0</v>
      </c>
      <c r="F109" s="21">
        <v>0</v>
      </c>
      <c r="G109" s="21">
        <v>0</v>
      </c>
      <c r="H109" s="86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86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1</v>
      </c>
      <c r="U109" s="131">
        <v>0</v>
      </c>
      <c r="V109" s="22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86">
        <v>0</v>
      </c>
      <c r="AD109" s="21">
        <v>0</v>
      </c>
      <c r="AE109" s="21">
        <v>0</v>
      </c>
      <c r="AF109" s="21">
        <v>0</v>
      </c>
      <c r="AG109" s="21">
        <v>0</v>
      </c>
      <c r="AH109" s="131"/>
      <c r="AI109" s="78">
        <f t="shared" ref="AI109:AI119" si="38">SUM(D109:AH109)</f>
        <v>1</v>
      </c>
      <c r="AJ109" s="120"/>
      <c r="AK109" s="24"/>
      <c r="AL109" s="24"/>
      <c r="AM109" s="21">
        <f>AI109*C109</f>
        <v>75</v>
      </c>
      <c r="AN109" s="20">
        <v>0</v>
      </c>
      <c r="AO109" s="505"/>
      <c r="AP109" s="642"/>
    </row>
    <row r="110" spans="1:44" ht="16.5" customHeight="1">
      <c r="A110" s="99">
        <v>2</v>
      </c>
      <c r="B110" s="95" t="s">
        <v>27</v>
      </c>
      <c r="C110" s="116">
        <f>B111/AG106</f>
        <v>333.33333333333331</v>
      </c>
      <c r="D110" s="21">
        <v>1</v>
      </c>
      <c r="E110" s="21">
        <v>1</v>
      </c>
      <c r="F110" s="21">
        <v>1</v>
      </c>
      <c r="G110" s="21">
        <v>1</v>
      </c>
      <c r="H110" s="86">
        <v>0</v>
      </c>
      <c r="I110" s="21">
        <v>1</v>
      </c>
      <c r="J110" s="21">
        <v>1</v>
      </c>
      <c r="K110" s="21">
        <v>1</v>
      </c>
      <c r="L110" s="21">
        <v>1</v>
      </c>
      <c r="M110" s="21">
        <v>1</v>
      </c>
      <c r="N110" s="21">
        <v>1</v>
      </c>
      <c r="O110" s="86">
        <v>0</v>
      </c>
      <c r="P110" s="21">
        <v>1</v>
      </c>
      <c r="Q110" s="21">
        <v>1</v>
      </c>
      <c r="R110" s="21">
        <v>1</v>
      </c>
      <c r="S110" s="21">
        <v>1</v>
      </c>
      <c r="T110" s="21">
        <v>1</v>
      </c>
      <c r="U110" s="131">
        <v>0</v>
      </c>
      <c r="V110" s="22">
        <v>1</v>
      </c>
      <c r="W110" s="21">
        <v>1</v>
      </c>
      <c r="X110" s="21">
        <v>1</v>
      </c>
      <c r="Y110" s="23">
        <v>0</v>
      </c>
      <c r="Z110" s="21">
        <v>1</v>
      </c>
      <c r="AA110" s="21">
        <v>1</v>
      </c>
      <c r="AB110" s="21">
        <v>1</v>
      </c>
      <c r="AC110" s="86">
        <v>0</v>
      </c>
      <c r="AD110" s="21">
        <v>1</v>
      </c>
      <c r="AE110" s="21">
        <v>1</v>
      </c>
      <c r="AF110" s="21">
        <v>1</v>
      </c>
      <c r="AG110" s="21">
        <v>1</v>
      </c>
      <c r="AH110" s="131"/>
      <c r="AI110" s="78">
        <f t="shared" si="38"/>
        <v>25</v>
      </c>
      <c r="AJ110" s="120">
        <v>4</v>
      </c>
      <c r="AK110" s="81">
        <v>0</v>
      </c>
      <c r="AL110" s="21">
        <f>AI110+AJ110</f>
        <v>29</v>
      </c>
      <c r="AM110" s="21">
        <f>AL110*C110</f>
        <v>9666.6666666666661</v>
      </c>
      <c r="AN110" s="20">
        <f>C110*AG106</f>
        <v>10000</v>
      </c>
      <c r="AO110" s="616">
        <f>AM110+AM111</f>
        <v>10541.666666666666</v>
      </c>
      <c r="AP110" s="642">
        <v>11000</v>
      </c>
    </row>
    <row r="111" spans="1:44" ht="16.5" customHeight="1">
      <c r="A111" s="98">
        <f>C110/8</f>
        <v>41.666666666666664</v>
      </c>
      <c r="B111" s="94">
        <v>10000</v>
      </c>
      <c r="C111" s="116">
        <f>C110/8*1.5</f>
        <v>62.5</v>
      </c>
      <c r="D111" s="21">
        <v>0</v>
      </c>
      <c r="E111" s="21">
        <v>0</v>
      </c>
      <c r="F111" s="21">
        <v>0</v>
      </c>
      <c r="G111" s="21">
        <v>0</v>
      </c>
      <c r="H111" s="140" t="s">
        <v>80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86">
        <v>0</v>
      </c>
      <c r="P111" s="21">
        <v>0</v>
      </c>
      <c r="Q111" s="21">
        <v>2</v>
      </c>
      <c r="R111" s="21">
        <v>0</v>
      </c>
      <c r="S111" s="21">
        <v>0</v>
      </c>
      <c r="T111" s="21">
        <v>2</v>
      </c>
      <c r="U111" s="131">
        <v>0</v>
      </c>
      <c r="V111" s="22">
        <v>0</v>
      </c>
      <c r="W111" s="21">
        <v>0</v>
      </c>
      <c r="X111" s="21">
        <v>2</v>
      </c>
      <c r="Y111" s="21">
        <v>0</v>
      </c>
      <c r="Z111" s="21">
        <v>0</v>
      </c>
      <c r="AA111" s="21">
        <v>2</v>
      </c>
      <c r="AB111" s="21">
        <v>2</v>
      </c>
      <c r="AC111" s="140" t="s">
        <v>80</v>
      </c>
      <c r="AD111" s="21">
        <v>0</v>
      </c>
      <c r="AE111" s="21">
        <v>2</v>
      </c>
      <c r="AF111" s="21">
        <v>2</v>
      </c>
      <c r="AG111" s="21">
        <v>0</v>
      </c>
      <c r="AH111" s="131"/>
      <c r="AI111" s="78">
        <f t="shared" si="38"/>
        <v>14</v>
      </c>
      <c r="AJ111" s="120"/>
      <c r="AK111" s="21"/>
      <c r="AL111" s="21"/>
      <c r="AM111" s="21">
        <f>C111*AI111</f>
        <v>875</v>
      </c>
      <c r="AN111" s="20">
        <v>0</v>
      </c>
      <c r="AO111" s="505"/>
      <c r="AP111" s="642"/>
    </row>
    <row r="112" spans="1:44" ht="16.5" customHeight="1">
      <c r="A112" s="98">
        <v>3</v>
      </c>
      <c r="B112" s="95" t="s">
        <v>75</v>
      </c>
      <c r="C112" s="116">
        <v>50</v>
      </c>
      <c r="D112" s="21">
        <v>8</v>
      </c>
      <c r="E112" s="21">
        <v>8</v>
      </c>
      <c r="F112" s="21">
        <v>8</v>
      </c>
      <c r="G112" s="21">
        <v>8</v>
      </c>
      <c r="H112" s="138">
        <v>7</v>
      </c>
      <c r="I112" s="21">
        <v>8</v>
      </c>
      <c r="J112" s="23">
        <v>0</v>
      </c>
      <c r="K112" s="23">
        <v>0</v>
      </c>
      <c r="L112" s="23">
        <v>0</v>
      </c>
      <c r="M112" s="21">
        <v>8</v>
      </c>
      <c r="N112" s="21">
        <v>8</v>
      </c>
      <c r="O112" s="23">
        <v>0</v>
      </c>
      <c r="P112" s="21">
        <v>8</v>
      </c>
      <c r="Q112" s="23">
        <v>0</v>
      </c>
      <c r="R112" s="21">
        <v>8</v>
      </c>
      <c r="S112" s="21">
        <v>8</v>
      </c>
      <c r="T112" s="21">
        <v>8</v>
      </c>
      <c r="U112" s="23">
        <v>0</v>
      </c>
      <c r="V112" s="22">
        <v>8</v>
      </c>
      <c r="W112" s="21">
        <v>8</v>
      </c>
      <c r="X112" s="21">
        <v>8</v>
      </c>
      <c r="Y112" s="139">
        <v>9</v>
      </c>
      <c r="Z112" s="21">
        <v>8</v>
      </c>
      <c r="AA112" s="135">
        <v>10</v>
      </c>
      <c r="AB112" s="135">
        <v>10</v>
      </c>
      <c r="AC112" s="23">
        <v>0</v>
      </c>
      <c r="AD112" s="135">
        <v>10</v>
      </c>
      <c r="AE112" s="21">
        <v>8</v>
      </c>
      <c r="AF112" s="135">
        <v>10</v>
      </c>
      <c r="AG112" s="21">
        <v>8</v>
      </c>
      <c r="AH112" s="131"/>
      <c r="AI112" s="78">
        <f t="shared" si="38"/>
        <v>192</v>
      </c>
      <c r="AJ112" s="120"/>
      <c r="AK112" s="81"/>
      <c r="AL112" s="21">
        <f>AI112+AJ112</f>
        <v>192</v>
      </c>
      <c r="AM112" s="21">
        <f>AL112*C112</f>
        <v>9600</v>
      </c>
      <c r="AN112" s="20">
        <f>C112*AG106</f>
        <v>1500</v>
      </c>
      <c r="AO112" s="505">
        <f>AM112+AM113</f>
        <v>9600</v>
      </c>
      <c r="AP112" s="642">
        <f>AO112+2000</f>
        <v>11600</v>
      </c>
      <c r="AQ112" s="606"/>
      <c r="AR112" s="598" t="s">
        <v>84</v>
      </c>
    </row>
    <row r="113" spans="1:44" ht="16.5" customHeight="1">
      <c r="A113" s="98"/>
      <c r="B113" s="94"/>
      <c r="C113" s="116"/>
      <c r="D113" s="21">
        <v>0</v>
      </c>
      <c r="E113" s="21">
        <v>0</v>
      </c>
      <c r="F113" s="21">
        <v>0</v>
      </c>
      <c r="G113" s="21">
        <v>0</v>
      </c>
      <c r="H113" s="86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86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131">
        <v>0</v>
      </c>
      <c r="V113" s="22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86">
        <v>0</v>
      </c>
      <c r="AD113" s="21">
        <v>0</v>
      </c>
      <c r="AE113" s="21">
        <v>0</v>
      </c>
      <c r="AF113" s="21">
        <v>0</v>
      </c>
      <c r="AG113" s="21">
        <v>0</v>
      </c>
      <c r="AH113" s="131"/>
      <c r="AI113" s="78">
        <f t="shared" si="38"/>
        <v>0</v>
      </c>
      <c r="AJ113" s="120"/>
      <c r="AK113" s="21"/>
      <c r="AL113" s="21"/>
      <c r="AM113" s="21">
        <f>C113*AI113</f>
        <v>0</v>
      </c>
      <c r="AN113" s="20">
        <v>0</v>
      </c>
      <c r="AO113" s="505"/>
      <c r="AP113" s="642"/>
      <c r="AQ113" s="606"/>
      <c r="AR113" s="598"/>
    </row>
    <row r="114" spans="1:44" ht="16.5" customHeight="1">
      <c r="A114" s="98">
        <v>4</v>
      </c>
      <c r="B114" s="95" t="s">
        <v>78</v>
      </c>
      <c r="C114" s="116">
        <v>50</v>
      </c>
      <c r="D114" s="21">
        <v>8</v>
      </c>
      <c r="E114" s="21">
        <v>8</v>
      </c>
      <c r="F114" s="21">
        <v>8</v>
      </c>
      <c r="G114" s="21">
        <v>8</v>
      </c>
      <c r="H114" s="86">
        <v>0</v>
      </c>
      <c r="I114" s="21">
        <v>8</v>
      </c>
      <c r="J114" s="21">
        <v>8</v>
      </c>
      <c r="K114" s="23">
        <v>0</v>
      </c>
      <c r="L114" s="23">
        <v>0</v>
      </c>
      <c r="M114" s="21">
        <v>8</v>
      </c>
      <c r="N114" s="23">
        <v>0</v>
      </c>
      <c r="O114" s="86">
        <v>0</v>
      </c>
      <c r="P114" s="21">
        <v>8</v>
      </c>
      <c r="Q114" s="135">
        <v>10</v>
      </c>
      <c r="R114" s="21">
        <v>8</v>
      </c>
      <c r="S114" s="21">
        <v>8</v>
      </c>
      <c r="T114" s="135">
        <v>10</v>
      </c>
      <c r="U114" s="131">
        <v>0</v>
      </c>
      <c r="V114" s="23">
        <v>0</v>
      </c>
      <c r="W114" s="21">
        <v>8</v>
      </c>
      <c r="X114" s="135">
        <v>10</v>
      </c>
      <c r="Y114" s="21">
        <v>8</v>
      </c>
      <c r="Z114" s="21">
        <v>8</v>
      </c>
      <c r="AA114" s="21">
        <v>8</v>
      </c>
      <c r="AB114" s="135">
        <v>10</v>
      </c>
      <c r="AC114" s="86">
        <v>0</v>
      </c>
      <c r="AD114" s="21">
        <v>8</v>
      </c>
      <c r="AE114" s="135">
        <v>10</v>
      </c>
      <c r="AF114" s="23">
        <v>0</v>
      </c>
      <c r="AG114" s="23">
        <v>0</v>
      </c>
      <c r="AH114" s="131"/>
      <c r="AI114" s="78">
        <f t="shared" si="38"/>
        <v>170</v>
      </c>
      <c r="AJ114" s="120"/>
      <c r="AK114" s="21"/>
      <c r="AL114" s="21">
        <f>AI114+AJ114</f>
        <v>170</v>
      </c>
      <c r="AM114" s="21">
        <f>AL114*C114</f>
        <v>8500</v>
      </c>
      <c r="AN114" s="20">
        <f>C114*AG106</f>
        <v>1500</v>
      </c>
      <c r="AO114" s="643">
        <f>AM114+AM115</f>
        <v>8500</v>
      </c>
      <c r="AP114" s="606">
        <v>10000</v>
      </c>
      <c r="AQ114" s="606"/>
      <c r="AR114" s="598" t="s">
        <v>81</v>
      </c>
    </row>
    <row r="115" spans="1:44" ht="16.5" customHeight="1">
      <c r="A115" s="98"/>
      <c r="B115" s="94"/>
      <c r="C115" s="116"/>
      <c r="D115" s="21">
        <v>0</v>
      </c>
      <c r="E115" s="21">
        <v>0</v>
      </c>
      <c r="F115" s="21">
        <v>0</v>
      </c>
      <c r="G115" s="21">
        <v>0</v>
      </c>
      <c r="H115" s="86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86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131">
        <v>0</v>
      </c>
      <c r="V115" s="22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86">
        <v>0</v>
      </c>
      <c r="AD115" s="21">
        <v>0</v>
      </c>
      <c r="AE115" s="21">
        <v>0</v>
      </c>
      <c r="AF115" s="21">
        <v>0</v>
      </c>
      <c r="AG115" s="21">
        <v>0</v>
      </c>
      <c r="AH115" s="131"/>
      <c r="AI115" s="78">
        <f t="shared" si="38"/>
        <v>0</v>
      </c>
      <c r="AJ115" s="120"/>
      <c r="AK115" s="21"/>
      <c r="AL115" s="21"/>
      <c r="AM115" s="21">
        <f t="shared" ref="AM115" si="39">C115*AI115</f>
        <v>0</v>
      </c>
      <c r="AN115" s="20">
        <v>0</v>
      </c>
      <c r="AO115" s="643"/>
      <c r="AP115" s="606"/>
      <c r="AQ115" s="606"/>
      <c r="AR115" s="598"/>
    </row>
    <row r="116" spans="1:44" ht="16.5" customHeight="1">
      <c r="A116" s="98">
        <v>5</v>
      </c>
      <c r="B116" s="95" t="s">
        <v>79</v>
      </c>
      <c r="C116" s="116">
        <v>50</v>
      </c>
      <c r="D116" s="21">
        <v>8</v>
      </c>
      <c r="E116" s="21">
        <v>8</v>
      </c>
      <c r="F116" s="23">
        <v>0</v>
      </c>
      <c r="G116" s="21">
        <v>8</v>
      </c>
      <c r="H116" s="138">
        <v>7</v>
      </c>
      <c r="I116" s="21">
        <v>8</v>
      </c>
      <c r="J116" s="21">
        <v>8</v>
      </c>
      <c r="K116" s="21">
        <v>8</v>
      </c>
      <c r="L116" s="21">
        <v>8</v>
      </c>
      <c r="M116" s="23">
        <v>0</v>
      </c>
      <c r="N116" s="23">
        <v>0</v>
      </c>
      <c r="O116" s="86">
        <v>0</v>
      </c>
      <c r="P116" s="21">
        <v>8</v>
      </c>
      <c r="Q116" s="135">
        <v>10</v>
      </c>
      <c r="R116" s="21">
        <v>8</v>
      </c>
      <c r="S116" s="21">
        <v>8</v>
      </c>
      <c r="T116" s="135">
        <v>10</v>
      </c>
      <c r="U116" s="131">
        <v>0</v>
      </c>
      <c r="V116" s="22">
        <v>8</v>
      </c>
      <c r="W116" s="21">
        <v>8</v>
      </c>
      <c r="X116" s="135">
        <v>10</v>
      </c>
      <c r="Y116" s="135">
        <v>10</v>
      </c>
      <c r="Z116" s="21">
        <v>8</v>
      </c>
      <c r="AA116" s="23">
        <v>0</v>
      </c>
      <c r="AB116" s="135">
        <v>10</v>
      </c>
      <c r="AC116" s="86">
        <v>7</v>
      </c>
      <c r="AD116" s="21">
        <v>8</v>
      </c>
      <c r="AE116" s="135">
        <v>10</v>
      </c>
      <c r="AF116" s="21">
        <v>0</v>
      </c>
      <c r="AG116" s="21">
        <v>8</v>
      </c>
      <c r="AH116" s="131"/>
      <c r="AI116" s="78">
        <f t="shared" si="38"/>
        <v>194</v>
      </c>
      <c r="AJ116" s="120"/>
      <c r="AK116" s="21"/>
      <c r="AL116" s="21">
        <f>AI116+AJ116</f>
        <v>194</v>
      </c>
      <c r="AM116" s="21">
        <f>AL116*C116</f>
        <v>9700</v>
      </c>
      <c r="AN116" s="20">
        <f>C116*AG106</f>
        <v>1500</v>
      </c>
      <c r="AO116" s="643">
        <f>AM116+AM117</f>
        <v>9700</v>
      </c>
      <c r="AP116" s="606">
        <v>10000</v>
      </c>
      <c r="AQ116" s="606">
        <v>500</v>
      </c>
      <c r="AR116" s="598" t="s">
        <v>82</v>
      </c>
    </row>
    <row r="117" spans="1:44" ht="15">
      <c r="A117" s="98"/>
      <c r="B117" s="94"/>
      <c r="C117" s="116"/>
      <c r="D117" s="21">
        <v>0</v>
      </c>
      <c r="E117" s="21">
        <v>0</v>
      </c>
      <c r="F117" s="21">
        <v>0</v>
      </c>
      <c r="G117" s="21">
        <v>0</v>
      </c>
      <c r="H117" s="86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86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131">
        <v>0</v>
      </c>
      <c r="V117" s="22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86">
        <v>0</v>
      </c>
      <c r="AD117" s="21">
        <v>0</v>
      </c>
      <c r="AE117" s="21">
        <v>0</v>
      </c>
      <c r="AF117" s="21">
        <v>0</v>
      </c>
      <c r="AG117" s="21">
        <v>0</v>
      </c>
      <c r="AH117" s="131"/>
      <c r="AI117" s="78">
        <f t="shared" si="38"/>
        <v>0</v>
      </c>
      <c r="AJ117" s="28"/>
      <c r="AK117" s="21"/>
      <c r="AL117" s="21"/>
      <c r="AM117" s="21">
        <f t="shared" ref="AM117" si="40">C117*AI117</f>
        <v>0</v>
      </c>
      <c r="AN117" s="20">
        <v>0</v>
      </c>
      <c r="AO117" s="643"/>
      <c r="AP117" s="606"/>
      <c r="AQ117" s="606"/>
      <c r="AR117" s="598"/>
    </row>
    <row r="118" spans="1:44" ht="15">
      <c r="A118" s="99"/>
      <c r="B118" s="94"/>
      <c r="C118" s="116"/>
      <c r="D118" s="21"/>
      <c r="E118" s="21"/>
      <c r="F118" s="21"/>
      <c r="G118" s="21"/>
      <c r="H118" s="86"/>
      <c r="I118" s="21"/>
      <c r="J118" s="21"/>
      <c r="K118" s="21"/>
      <c r="L118" s="21"/>
      <c r="M118" s="21"/>
      <c r="N118" s="21"/>
      <c r="O118" s="86"/>
      <c r="P118" s="21"/>
      <c r="Q118" s="21"/>
      <c r="R118" s="21"/>
      <c r="S118" s="21"/>
      <c r="T118" s="21"/>
      <c r="U118" s="131"/>
      <c r="V118" s="22"/>
      <c r="W118" s="21"/>
      <c r="X118" s="21"/>
      <c r="Y118" s="21"/>
      <c r="Z118" s="21"/>
      <c r="AA118" s="21"/>
      <c r="AB118" s="21"/>
      <c r="AC118" s="86"/>
      <c r="AD118" s="21"/>
      <c r="AE118" s="21"/>
      <c r="AF118" s="21"/>
      <c r="AG118" s="21"/>
      <c r="AH118" s="131"/>
      <c r="AI118" s="78">
        <f t="shared" si="38"/>
        <v>0</v>
      </c>
      <c r="AJ118" s="28"/>
      <c r="AK118" s="21"/>
      <c r="AL118" s="21">
        <f>AI118+AJ118</f>
        <v>0</v>
      </c>
      <c r="AM118" s="21">
        <f>AL118*C118</f>
        <v>0</v>
      </c>
      <c r="AN118" s="20">
        <f>C118*AG106</f>
        <v>0</v>
      </c>
      <c r="AO118" s="505"/>
      <c r="AP118" s="600"/>
    </row>
    <row r="119" spans="1:44" ht="15.75" thickBot="1">
      <c r="A119" s="100"/>
      <c r="B119" s="96"/>
      <c r="C119" s="117"/>
      <c r="D119" s="21"/>
      <c r="E119" s="21"/>
      <c r="F119" s="21"/>
      <c r="G119" s="21"/>
      <c r="H119" s="86"/>
      <c r="I119" s="21"/>
      <c r="J119" s="21"/>
      <c r="K119" s="21"/>
      <c r="L119" s="21"/>
      <c r="M119" s="21"/>
      <c r="N119" s="21"/>
      <c r="O119" s="86"/>
      <c r="P119" s="21"/>
      <c r="Q119" s="21"/>
      <c r="R119" s="21"/>
      <c r="S119" s="21"/>
      <c r="T119" s="21"/>
      <c r="U119" s="131"/>
      <c r="V119" s="22"/>
      <c r="W119" s="21"/>
      <c r="X119" s="21"/>
      <c r="Y119" s="21"/>
      <c r="Z119" s="21"/>
      <c r="AA119" s="21"/>
      <c r="AB119" s="21"/>
      <c r="AC119" s="86"/>
      <c r="AD119" s="21"/>
      <c r="AE119" s="21"/>
      <c r="AF119" s="21"/>
      <c r="AG119" s="21"/>
      <c r="AH119" s="131"/>
      <c r="AI119" s="83">
        <f t="shared" si="38"/>
        <v>0</v>
      </c>
      <c r="AJ119" s="88"/>
      <c r="AK119" s="87"/>
      <c r="AL119" s="87"/>
      <c r="AM119" s="87">
        <f>C119*AI119</f>
        <v>0</v>
      </c>
      <c r="AN119" s="84">
        <v>0</v>
      </c>
      <c r="AO119" s="599"/>
      <c r="AP119" s="601"/>
    </row>
    <row r="120" spans="1:44" ht="15.75" thickBot="1">
      <c r="A120" s="101"/>
      <c r="B120" s="571" t="s">
        <v>30</v>
      </c>
      <c r="C120" s="572"/>
      <c r="D120" s="137">
        <f>D108+D110+D112+D114+D116+D118</f>
        <v>26</v>
      </c>
      <c r="E120" s="137">
        <f t="shared" ref="E120:AN120" si="41">E108+E110+E112+E114+E116+E118</f>
        <v>26</v>
      </c>
      <c r="F120" s="137">
        <f t="shared" si="41"/>
        <v>18</v>
      </c>
      <c r="G120" s="137">
        <f t="shared" si="41"/>
        <v>25.5</v>
      </c>
      <c r="H120" s="137">
        <f t="shared" si="41"/>
        <v>14</v>
      </c>
      <c r="I120" s="137">
        <f t="shared" si="41"/>
        <v>26</v>
      </c>
      <c r="J120" s="137">
        <f t="shared" si="41"/>
        <v>18</v>
      </c>
      <c r="K120" s="137">
        <f t="shared" si="41"/>
        <v>10</v>
      </c>
      <c r="L120" s="137">
        <f t="shared" si="41"/>
        <v>10</v>
      </c>
      <c r="M120" s="137">
        <f t="shared" si="41"/>
        <v>18</v>
      </c>
      <c r="N120" s="137">
        <f t="shared" si="41"/>
        <v>10</v>
      </c>
      <c r="O120" s="137">
        <f t="shared" si="41"/>
        <v>0</v>
      </c>
      <c r="P120" s="137">
        <f t="shared" si="41"/>
        <v>26</v>
      </c>
      <c r="Q120" s="137">
        <f t="shared" si="41"/>
        <v>22</v>
      </c>
      <c r="R120" s="137">
        <f t="shared" si="41"/>
        <v>26</v>
      </c>
      <c r="S120" s="137">
        <f t="shared" si="41"/>
        <v>26</v>
      </c>
      <c r="T120" s="137">
        <f t="shared" si="41"/>
        <v>30</v>
      </c>
      <c r="U120" s="137">
        <f t="shared" si="41"/>
        <v>0</v>
      </c>
      <c r="V120" s="137">
        <f t="shared" si="41"/>
        <v>18</v>
      </c>
      <c r="W120" s="137">
        <f t="shared" si="41"/>
        <v>26</v>
      </c>
      <c r="X120" s="137">
        <f t="shared" si="41"/>
        <v>30</v>
      </c>
      <c r="Y120" s="137">
        <f t="shared" si="41"/>
        <v>28</v>
      </c>
      <c r="Z120" s="137">
        <f t="shared" si="41"/>
        <v>25.5</v>
      </c>
      <c r="AA120" s="137">
        <f t="shared" si="41"/>
        <v>20</v>
      </c>
      <c r="AB120" s="137">
        <f t="shared" si="41"/>
        <v>32</v>
      </c>
      <c r="AC120" s="137">
        <f t="shared" si="41"/>
        <v>7</v>
      </c>
      <c r="AD120" s="137">
        <f t="shared" si="41"/>
        <v>27.5</v>
      </c>
      <c r="AE120" s="137">
        <f t="shared" si="41"/>
        <v>30</v>
      </c>
      <c r="AF120" s="137">
        <f t="shared" si="41"/>
        <v>12</v>
      </c>
      <c r="AG120" s="137">
        <f t="shared" si="41"/>
        <v>18</v>
      </c>
      <c r="AH120" s="137">
        <f t="shared" si="41"/>
        <v>0</v>
      </c>
      <c r="AI120" s="137">
        <f t="shared" si="41"/>
        <v>605.5</v>
      </c>
      <c r="AJ120" s="137">
        <f t="shared" si="41"/>
        <v>8</v>
      </c>
      <c r="AK120" s="137">
        <f t="shared" si="41"/>
        <v>0</v>
      </c>
      <c r="AL120" s="137">
        <f t="shared" si="41"/>
        <v>613.5</v>
      </c>
      <c r="AM120" s="137">
        <f t="shared" si="41"/>
        <v>48866.666666666664</v>
      </c>
      <c r="AN120" s="311">
        <f t="shared" si="41"/>
        <v>26500</v>
      </c>
      <c r="AO120" s="602">
        <f>AM120+AM121</f>
        <v>49816.666666666664</v>
      </c>
      <c r="AP120" s="604">
        <f>SUM(AP108:AP119)</f>
        <v>54600</v>
      </c>
    </row>
    <row r="121" spans="1:44" ht="15.75" thickBot="1">
      <c r="A121" s="102"/>
      <c r="B121" s="544" t="s">
        <v>31</v>
      </c>
      <c r="C121" s="545"/>
      <c r="D121" s="136">
        <f>D109+D111+D113+D115+D117+D119</f>
        <v>0</v>
      </c>
      <c r="E121" s="136">
        <f t="shared" ref="E121:AN121" si="42">E109+E111+E113+E115+E117+E119</f>
        <v>0</v>
      </c>
      <c r="F121" s="136">
        <f t="shared" si="42"/>
        <v>0</v>
      </c>
      <c r="G121" s="136">
        <f t="shared" si="42"/>
        <v>0</v>
      </c>
      <c r="H121" s="136">
        <f t="shared" si="42"/>
        <v>7</v>
      </c>
      <c r="I121" s="136">
        <f t="shared" si="42"/>
        <v>0</v>
      </c>
      <c r="J121" s="136">
        <f t="shared" si="42"/>
        <v>0</v>
      </c>
      <c r="K121" s="136">
        <f t="shared" si="42"/>
        <v>0</v>
      </c>
      <c r="L121" s="136">
        <f t="shared" si="42"/>
        <v>0</v>
      </c>
      <c r="M121" s="136">
        <f t="shared" si="42"/>
        <v>0</v>
      </c>
      <c r="N121" s="136">
        <f t="shared" si="42"/>
        <v>0</v>
      </c>
      <c r="O121" s="136">
        <f t="shared" si="42"/>
        <v>0</v>
      </c>
      <c r="P121" s="136">
        <f t="shared" si="42"/>
        <v>0</v>
      </c>
      <c r="Q121" s="136">
        <f t="shared" si="42"/>
        <v>2</v>
      </c>
      <c r="R121" s="136">
        <f t="shared" si="42"/>
        <v>0</v>
      </c>
      <c r="S121" s="136">
        <f t="shared" si="42"/>
        <v>0</v>
      </c>
      <c r="T121" s="136">
        <f t="shared" si="42"/>
        <v>3</v>
      </c>
      <c r="U121" s="136">
        <f t="shared" si="42"/>
        <v>0</v>
      </c>
      <c r="V121" s="136">
        <f t="shared" si="42"/>
        <v>0</v>
      </c>
      <c r="W121" s="136">
        <f t="shared" si="42"/>
        <v>0</v>
      </c>
      <c r="X121" s="136">
        <f t="shared" si="42"/>
        <v>2</v>
      </c>
      <c r="Y121" s="136">
        <f t="shared" si="42"/>
        <v>0</v>
      </c>
      <c r="Z121" s="136">
        <f t="shared" si="42"/>
        <v>0</v>
      </c>
      <c r="AA121" s="136">
        <f t="shared" si="42"/>
        <v>2</v>
      </c>
      <c r="AB121" s="136">
        <f t="shared" si="42"/>
        <v>2</v>
      </c>
      <c r="AC121" s="136">
        <f t="shared" si="42"/>
        <v>7</v>
      </c>
      <c r="AD121" s="136">
        <f t="shared" si="42"/>
        <v>0</v>
      </c>
      <c r="AE121" s="136">
        <f t="shared" si="42"/>
        <v>2</v>
      </c>
      <c r="AF121" s="136">
        <f t="shared" si="42"/>
        <v>2</v>
      </c>
      <c r="AG121" s="136">
        <f t="shared" si="42"/>
        <v>0</v>
      </c>
      <c r="AH121" s="136">
        <f t="shared" si="42"/>
        <v>0</v>
      </c>
      <c r="AI121" s="136">
        <f t="shared" si="42"/>
        <v>15</v>
      </c>
      <c r="AJ121" s="136">
        <f t="shared" si="42"/>
        <v>0</v>
      </c>
      <c r="AK121" s="136">
        <f t="shared" si="42"/>
        <v>0</v>
      </c>
      <c r="AL121" s="136">
        <f t="shared" si="42"/>
        <v>0</v>
      </c>
      <c r="AM121" s="136">
        <f t="shared" si="42"/>
        <v>950</v>
      </c>
      <c r="AN121" s="312">
        <f t="shared" si="42"/>
        <v>0</v>
      </c>
      <c r="AO121" s="603"/>
      <c r="AP121" s="605"/>
    </row>
    <row r="123" spans="1:44" ht="21.75" thickBot="1"/>
    <row r="124" spans="1:44" ht="27" thickBot="1">
      <c r="A124" s="644" t="s">
        <v>0</v>
      </c>
      <c r="B124" s="646" t="s">
        <v>1</v>
      </c>
      <c r="C124" s="647"/>
      <c r="D124" s="650" t="s">
        <v>83</v>
      </c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0"/>
      <c r="Q124" s="650"/>
      <c r="R124" s="650"/>
      <c r="S124" s="650"/>
      <c r="T124" s="650"/>
      <c r="U124" s="650"/>
      <c r="V124" s="650"/>
      <c r="W124" s="650"/>
      <c r="X124" s="650"/>
      <c r="Y124" s="650"/>
      <c r="Z124" s="650"/>
      <c r="AA124" s="650"/>
      <c r="AB124" s="650"/>
      <c r="AC124" s="650"/>
      <c r="AD124" s="650"/>
      <c r="AE124" s="650"/>
      <c r="AF124" s="651"/>
      <c r="AG124" s="652">
        <v>31</v>
      </c>
      <c r="AH124" s="653"/>
      <c r="AI124" s="654" t="s">
        <v>3</v>
      </c>
      <c r="AJ124" s="656" t="s">
        <v>4</v>
      </c>
      <c r="AK124" s="656" t="s">
        <v>5</v>
      </c>
      <c r="AL124" s="656" t="s">
        <v>6</v>
      </c>
      <c r="AM124" s="656" t="s">
        <v>7</v>
      </c>
      <c r="AN124" s="658" t="s">
        <v>8</v>
      </c>
      <c r="AO124" s="660" t="s">
        <v>7</v>
      </c>
      <c r="AP124" s="662" t="s">
        <v>33</v>
      </c>
    </row>
    <row r="125" spans="1:44" ht="15.75" thickBot="1">
      <c r="A125" s="645"/>
      <c r="B125" s="648"/>
      <c r="C125" s="649"/>
      <c r="D125" s="144">
        <v>1</v>
      </c>
      <c r="E125" s="145">
        <v>2</v>
      </c>
      <c r="F125" s="145">
        <v>3</v>
      </c>
      <c r="G125" s="145">
        <v>4</v>
      </c>
      <c r="H125" s="145">
        <v>5</v>
      </c>
      <c r="I125" s="145">
        <v>6</v>
      </c>
      <c r="J125" s="145">
        <v>7</v>
      </c>
      <c r="K125" s="145">
        <v>8</v>
      </c>
      <c r="L125" s="145">
        <v>9</v>
      </c>
      <c r="M125" s="145">
        <v>10</v>
      </c>
      <c r="N125" s="145">
        <v>11</v>
      </c>
      <c r="O125" s="145">
        <v>12</v>
      </c>
      <c r="P125" s="145">
        <v>13</v>
      </c>
      <c r="Q125" s="145">
        <v>14</v>
      </c>
      <c r="R125" s="145">
        <v>15</v>
      </c>
      <c r="S125" s="145">
        <v>16</v>
      </c>
      <c r="T125" s="145">
        <v>17</v>
      </c>
      <c r="U125" s="145">
        <v>18</v>
      </c>
      <c r="V125" s="145">
        <v>19</v>
      </c>
      <c r="W125" s="145">
        <v>20</v>
      </c>
      <c r="X125" s="145">
        <v>21</v>
      </c>
      <c r="Y125" s="145">
        <v>22</v>
      </c>
      <c r="Z125" s="145">
        <v>23</v>
      </c>
      <c r="AA125" s="145">
        <v>24</v>
      </c>
      <c r="AB125" s="145">
        <v>25</v>
      </c>
      <c r="AC125" s="145">
        <v>26</v>
      </c>
      <c r="AD125" s="145">
        <v>27</v>
      </c>
      <c r="AE125" s="145">
        <v>28</v>
      </c>
      <c r="AF125" s="145">
        <v>29</v>
      </c>
      <c r="AG125" s="145">
        <v>30</v>
      </c>
      <c r="AH125" s="146">
        <v>31</v>
      </c>
      <c r="AI125" s="655"/>
      <c r="AJ125" s="657"/>
      <c r="AK125" s="657"/>
      <c r="AL125" s="657"/>
      <c r="AM125" s="657"/>
      <c r="AN125" s="659"/>
      <c r="AO125" s="661"/>
      <c r="AP125" s="663"/>
    </row>
    <row r="126" spans="1:44" ht="15">
      <c r="A126" s="99">
        <v>1</v>
      </c>
      <c r="B126" s="95" t="s">
        <v>27</v>
      </c>
      <c r="C126" s="116">
        <f>B127/AG124</f>
        <v>322.58064516129031</v>
      </c>
      <c r="D126" s="21">
        <v>1</v>
      </c>
      <c r="E126" s="21">
        <v>1</v>
      </c>
      <c r="F126" s="86">
        <v>0</v>
      </c>
      <c r="G126" s="21">
        <v>1</v>
      </c>
      <c r="H126" s="21">
        <v>1</v>
      </c>
      <c r="I126" s="21">
        <v>1</v>
      </c>
      <c r="J126" s="21">
        <v>1</v>
      </c>
      <c r="K126" s="21">
        <v>1</v>
      </c>
      <c r="L126" s="21">
        <v>1</v>
      </c>
      <c r="M126" s="86">
        <v>0</v>
      </c>
      <c r="N126" s="21">
        <v>1</v>
      </c>
      <c r="O126" s="21">
        <v>1</v>
      </c>
      <c r="P126" s="21">
        <v>1</v>
      </c>
      <c r="Q126" s="21">
        <v>1</v>
      </c>
      <c r="R126" s="21">
        <v>1</v>
      </c>
      <c r="S126" s="21">
        <v>1</v>
      </c>
      <c r="T126" s="86">
        <v>0</v>
      </c>
      <c r="U126" s="23">
        <v>0</v>
      </c>
      <c r="V126" s="21">
        <v>1</v>
      </c>
      <c r="W126" s="21">
        <v>1</v>
      </c>
      <c r="X126" s="21">
        <v>1</v>
      </c>
      <c r="Y126" s="23">
        <v>0</v>
      </c>
      <c r="Z126" s="21">
        <v>1</v>
      </c>
      <c r="AA126" s="151">
        <v>0</v>
      </c>
      <c r="AB126" s="21">
        <v>1</v>
      </c>
      <c r="AC126" s="21">
        <v>1</v>
      </c>
      <c r="AD126" s="21">
        <v>1</v>
      </c>
      <c r="AE126" s="21">
        <v>1</v>
      </c>
      <c r="AF126" s="21">
        <v>1</v>
      </c>
      <c r="AG126" s="21">
        <v>1</v>
      </c>
      <c r="AH126" s="86">
        <v>0</v>
      </c>
      <c r="AI126" s="108">
        <f>SUM(D126:AH126)</f>
        <v>24</v>
      </c>
      <c r="AJ126" s="119">
        <v>5</v>
      </c>
      <c r="AK126" s="81">
        <v>0</v>
      </c>
      <c r="AL126" s="81">
        <f>SUM(AI126:AK126)</f>
        <v>29</v>
      </c>
      <c r="AM126" s="81">
        <f>C126*AL126</f>
        <v>9354.8387096774186</v>
      </c>
      <c r="AN126" s="179">
        <v>11000</v>
      </c>
      <c r="AO126" s="616">
        <f>AM126+AM127</f>
        <v>10564.516129032258</v>
      </c>
      <c r="AP126" s="664">
        <v>11000</v>
      </c>
    </row>
    <row r="127" spans="1:44" ht="15">
      <c r="A127" s="98">
        <f>C126/8</f>
        <v>40.322580645161288</v>
      </c>
      <c r="B127" s="147">
        <v>10000</v>
      </c>
      <c r="C127" s="116">
        <f>C126/8*1.5</f>
        <v>60.483870967741936</v>
      </c>
      <c r="D127" s="21">
        <v>0</v>
      </c>
      <c r="E127" s="21">
        <v>0</v>
      </c>
      <c r="F127" s="86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86">
        <v>0</v>
      </c>
      <c r="N127" s="21">
        <v>2</v>
      </c>
      <c r="O127" s="21">
        <v>2</v>
      </c>
      <c r="P127" s="21">
        <v>0</v>
      </c>
      <c r="Q127" s="21">
        <v>0</v>
      </c>
      <c r="R127" s="21">
        <v>2</v>
      </c>
      <c r="S127" s="21">
        <v>0</v>
      </c>
      <c r="T127" s="86">
        <v>0</v>
      </c>
      <c r="U127" s="21">
        <v>0</v>
      </c>
      <c r="V127" s="21">
        <v>2</v>
      </c>
      <c r="W127" s="21">
        <v>2</v>
      </c>
      <c r="X127" s="21">
        <v>2</v>
      </c>
      <c r="Y127" s="120">
        <v>0</v>
      </c>
      <c r="Z127" s="120">
        <v>0</v>
      </c>
      <c r="AA127" s="151">
        <v>0</v>
      </c>
      <c r="AB127" s="21">
        <v>2</v>
      </c>
      <c r="AC127" s="21">
        <v>2</v>
      </c>
      <c r="AD127" s="120">
        <v>0</v>
      </c>
      <c r="AE127" s="120">
        <v>0</v>
      </c>
      <c r="AF127" s="21">
        <v>2</v>
      </c>
      <c r="AG127" s="21">
        <v>2</v>
      </c>
      <c r="AH127" s="86">
        <v>0</v>
      </c>
      <c r="AI127" s="108">
        <f t="shared" ref="AI127:AI135" si="43">SUM(D127:AH127)</f>
        <v>20</v>
      </c>
      <c r="AJ127" s="120">
        <v>0</v>
      </c>
      <c r="AK127" s="21">
        <v>0</v>
      </c>
      <c r="AL127" s="81">
        <f t="shared" ref="AL127:AL135" si="44">SUM(AI127:AK127)</f>
        <v>20</v>
      </c>
      <c r="AM127" s="81">
        <f>C127*AL127</f>
        <v>1209.6774193548388</v>
      </c>
      <c r="AN127" s="20">
        <v>0</v>
      </c>
      <c r="AO127" s="505"/>
      <c r="AP127" s="665"/>
    </row>
    <row r="128" spans="1:44" ht="16.5" customHeight="1">
      <c r="A128" s="99">
        <v>2</v>
      </c>
      <c r="B128" s="95" t="s">
        <v>85</v>
      </c>
      <c r="C128" s="116">
        <f>B129/AG124</f>
        <v>483.87096774193549</v>
      </c>
      <c r="D128" s="134"/>
      <c r="E128" s="134"/>
      <c r="F128" s="86">
        <v>0</v>
      </c>
      <c r="G128" s="134"/>
      <c r="H128" s="21">
        <v>1</v>
      </c>
      <c r="I128" s="21">
        <v>1</v>
      </c>
      <c r="J128" s="21">
        <v>1</v>
      </c>
      <c r="K128" s="21">
        <v>1</v>
      </c>
      <c r="L128" s="21">
        <v>1</v>
      </c>
      <c r="M128" s="86">
        <v>0</v>
      </c>
      <c r="N128" s="21">
        <v>1</v>
      </c>
      <c r="O128" s="21">
        <v>1</v>
      </c>
      <c r="P128" s="21">
        <v>1</v>
      </c>
      <c r="Q128" s="21">
        <v>1</v>
      </c>
      <c r="R128" s="21">
        <v>1</v>
      </c>
      <c r="S128" s="21">
        <v>1</v>
      </c>
      <c r="T128" s="86">
        <v>0</v>
      </c>
      <c r="U128" s="21">
        <v>1</v>
      </c>
      <c r="V128" s="21">
        <v>1</v>
      </c>
      <c r="W128" s="21">
        <v>1</v>
      </c>
      <c r="X128" s="21">
        <v>1</v>
      </c>
      <c r="Y128" s="21">
        <v>1</v>
      </c>
      <c r="Z128" s="21">
        <v>1</v>
      </c>
      <c r="AA128" s="151">
        <v>0</v>
      </c>
      <c r="AB128" s="21">
        <v>1</v>
      </c>
      <c r="AC128" s="21">
        <v>1</v>
      </c>
      <c r="AD128" s="23">
        <v>0</v>
      </c>
      <c r="AE128" s="21">
        <v>1</v>
      </c>
      <c r="AF128" s="21">
        <v>1</v>
      </c>
      <c r="AG128" s="21">
        <v>1</v>
      </c>
      <c r="AH128" s="86">
        <v>1</v>
      </c>
      <c r="AI128" s="108">
        <f t="shared" si="43"/>
        <v>23</v>
      </c>
      <c r="AJ128" s="120">
        <v>4</v>
      </c>
      <c r="AK128" s="81">
        <v>0</v>
      </c>
      <c r="AL128" s="81">
        <f t="shared" si="44"/>
        <v>27</v>
      </c>
      <c r="AM128" s="81">
        <f t="shared" ref="AM128:AM135" si="45">C128*AL128</f>
        <v>13064.516129032258</v>
      </c>
      <c r="AN128" s="20">
        <v>12500</v>
      </c>
      <c r="AO128" s="616">
        <f>AM128+AM129</f>
        <v>13064.516129032258</v>
      </c>
      <c r="AP128" s="664">
        <v>12900</v>
      </c>
    </row>
    <row r="129" spans="1:43" ht="16.5" customHeight="1">
      <c r="A129" s="98">
        <f>C128/10</f>
        <v>48.387096774193552</v>
      </c>
      <c r="B129" s="147">
        <v>15000</v>
      </c>
      <c r="C129" s="116">
        <v>0</v>
      </c>
      <c r="D129" s="134"/>
      <c r="E129" s="134"/>
      <c r="F129" s="86">
        <v>0</v>
      </c>
      <c r="G129" s="134"/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86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86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15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124">
        <v>8</v>
      </c>
      <c r="AI129" s="108">
        <f t="shared" si="43"/>
        <v>8</v>
      </c>
      <c r="AJ129" s="120">
        <v>0</v>
      </c>
      <c r="AK129" s="21">
        <v>0</v>
      </c>
      <c r="AL129" s="81">
        <f t="shared" si="44"/>
        <v>8</v>
      </c>
      <c r="AM129" s="81">
        <f t="shared" si="45"/>
        <v>0</v>
      </c>
      <c r="AN129" s="20">
        <v>0</v>
      </c>
      <c r="AO129" s="505"/>
      <c r="AP129" s="665"/>
    </row>
    <row r="130" spans="1:43" ht="16.5" customHeight="1">
      <c r="A130" s="99">
        <v>3</v>
      </c>
      <c r="B130" s="95" t="s">
        <v>86</v>
      </c>
      <c r="C130" s="116">
        <v>500</v>
      </c>
      <c r="D130" s="134"/>
      <c r="E130" s="134"/>
      <c r="F130" s="86">
        <v>0</v>
      </c>
      <c r="G130" s="134"/>
      <c r="H130" s="21">
        <v>1</v>
      </c>
      <c r="I130" s="21">
        <v>1</v>
      </c>
      <c r="J130" s="21">
        <v>1</v>
      </c>
      <c r="K130" s="21">
        <v>1</v>
      </c>
      <c r="L130" s="21">
        <v>1</v>
      </c>
      <c r="M130" s="86">
        <v>0</v>
      </c>
      <c r="N130" s="21">
        <v>1</v>
      </c>
      <c r="O130" s="21">
        <v>1</v>
      </c>
      <c r="P130" s="21">
        <v>1</v>
      </c>
      <c r="Q130" s="21">
        <v>1</v>
      </c>
      <c r="R130" s="21">
        <v>1</v>
      </c>
      <c r="S130" s="21">
        <v>1</v>
      </c>
      <c r="T130" s="86">
        <v>1</v>
      </c>
      <c r="U130" s="21">
        <v>1</v>
      </c>
      <c r="V130" s="21">
        <v>1</v>
      </c>
      <c r="W130" s="21">
        <v>1</v>
      </c>
      <c r="X130" s="21">
        <v>1</v>
      </c>
      <c r="Y130" s="21">
        <v>1</v>
      </c>
      <c r="Z130" s="21">
        <v>1</v>
      </c>
      <c r="AA130" s="151">
        <v>0</v>
      </c>
      <c r="AB130" s="21">
        <v>1</v>
      </c>
      <c r="AC130" s="21">
        <v>1</v>
      </c>
      <c r="AD130" s="21">
        <v>1</v>
      </c>
      <c r="AE130" s="21">
        <v>1</v>
      </c>
      <c r="AF130" s="21">
        <v>1</v>
      </c>
      <c r="AG130" s="21">
        <v>1</v>
      </c>
      <c r="AH130" s="86">
        <v>1</v>
      </c>
      <c r="AI130" s="108">
        <f t="shared" si="43"/>
        <v>25</v>
      </c>
      <c r="AJ130" s="120">
        <v>0</v>
      </c>
      <c r="AK130" s="81">
        <v>0</v>
      </c>
      <c r="AL130" s="81">
        <f t="shared" si="44"/>
        <v>25</v>
      </c>
      <c r="AM130" s="81">
        <f t="shared" si="45"/>
        <v>12500</v>
      </c>
      <c r="AN130" s="20">
        <v>12500</v>
      </c>
      <c r="AO130" s="616">
        <f>AM130+AM131</f>
        <v>12500</v>
      </c>
      <c r="AP130" s="664">
        <v>11900</v>
      </c>
    </row>
    <row r="131" spans="1:43" ht="16.5" customHeight="1">
      <c r="A131" s="98">
        <f>C130/10</f>
        <v>50</v>
      </c>
      <c r="B131" s="147"/>
      <c r="C131" s="116">
        <v>0</v>
      </c>
      <c r="D131" s="134"/>
      <c r="E131" s="134"/>
      <c r="F131" s="86">
        <v>0</v>
      </c>
      <c r="G131" s="134"/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86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124">
        <v>8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15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124">
        <v>8</v>
      </c>
      <c r="AI131" s="108">
        <f t="shared" si="43"/>
        <v>16</v>
      </c>
      <c r="AJ131" s="120">
        <v>0</v>
      </c>
      <c r="AK131" s="21">
        <v>0</v>
      </c>
      <c r="AL131" s="81">
        <f t="shared" si="44"/>
        <v>16</v>
      </c>
      <c r="AM131" s="81">
        <f t="shared" si="45"/>
        <v>0</v>
      </c>
      <c r="AN131" s="20">
        <v>0</v>
      </c>
      <c r="AO131" s="505"/>
      <c r="AP131" s="665"/>
      <c r="AQ131" t="s">
        <v>54</v>
      </c>
    </row>
    <row r="132" spans="1:43" ht="16.5" customHeight="1">
      <c r="A132" s="99">
        <v>4</v>
      </c>
      <c r="B132" s="95" t="s">
        <v>87</v>
      </c>
      <c r="C132" s="116">
        <v>500</v>
      </c>
      <c r="D132" s="134"/>
      <c r="E132" s="134"/>
      <c r="F132" s="86">
        <v>0</v>
      </c>
      <c r="G132" s="134"/>
      <c r="H132" s="21">
        <v>1</v>
      </c>
      <c r="I132" s="21">
        <v>1</v>
      </c>
      <c r="J132" s="21">
        <v>1</v>
      </c>
      <c r="K132" s="21">
        <v>1</v>
      </c>
      <c r="L132" s="21">
        <v>1</v>
      </c>
      <c r="M132" s="86">
        <v>0</v>
      </c>
      <c r="N132" s="21">
        <v>1</v>
      </c>
      <c r="O132" s="21">
        <v>1</v>
      </c>
      <c r="P132" s="21">
        <v>1</v>
      </c>
      <c r="Q132" s="21">
        <v>1</v>
      </c>
      <c r="R132" s="21">
        <v>1</v>
      </c>
      <c r="S132" s="21">
        <v>1</v>
      </c>
      <c r="T132" s="86">
        <v>1</v>
      </c>
      <c r="U132" s="21">
        <v>1</v>
      </c>
      <c r="V132" s="21">
        <v>1</v>
      </c>
      <c r="W132" s="21">
        <v>1</v>
      </c>
      <c r="X132" s="21">
        <v>1</v>
      </c>
      <c r="Y132" s="21">
        <v>1</v>
      </c>
      <c r="Z132" s="21">
        <v>1</v>
      </c>
      <c r="AA132" s="151">
        <v>0</v>
      </c>
      <c r="AB132" s="21">
        <v>1</v>
      </c>
      <c r="AC132" s="21">
        <v>1</v>
      </c>
      <c r="AD132" s="21">
        <v>1</v>
      </c>
      <c r="AE132" s="21">
        <v>1</v>
      </c>
      <c r="AF132" s="21">
        <v>1</v>
      </c>
      <c r="AG132" s="21">
        <v>1</v>
      </c>
      <c r="AH132" s="86">
        <v>1</v>
      </c>
      <c r="AI132" s="108">
        <f t="shared" si="43"/>
        <v>25</v>
      </c>
      <c r="AJ132" s="120">
        <v>0</v>
      </c>
      <c r="AK132" s="21">
        <v>0</v>
      </c>
      <c r="AL132" s="81">
        <f t="shared" si="44"/>
        <v>25</v>
      </c>
      <c r="AM132" s="81">
        <f t="shared" si="45"/>
        <v>12500</v>
      </c>
      <c r="AN132" s="20">
        <v>12500</v>
      </c>
      <c r="AO132" s="616">
        <f>AM132+AM133</f>
        <v>12500</v>
      </c>
      <c r="AP132" s="664">
        <v>11900</v>
      </c>
    </row>
    <row r="133" spans="1:43" ht="16.5" customHeight="1">
      <c r="A133" s="98">
        <f>C132/10</f>
        <v>50</v>
      </c>
      <c r="B133" s="147"/>
      <c r="C133" s="116">
        <v>0</v>
      </c>
      <c r="D133" s="134"/>
      <c r="E133" s="134"/>
      <c r="F133" s="86">
        <v>0</v>
      </c>
      <c r="G133" s="134"/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86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124">
        <v>8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15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124">
        <v>8</v>
      </c>
      <c r="AI133" s="108">
        <f t="shared" si="43"/>
        <v>16</v>
      </c>
      <c r="AJ133" s="120">
        <v>0</v>
      </c>
      <c r="AK133" s="21">
        <v>0</v>
      </c>
      <c r="AL133" s="81">
        <f t="shared" si="44"/>
        <v>16</v>
      </c>
      <c r="AM133" s="81">
        <f t="shared" si="45"/>
        <v>0</v>
      </c>
      <c r="AN133" s="20">
        <v>0</v>
      </c>
      <c r="AO133" s="505"/>
      <c r="AP133" s="665"/>
    </row>
    <row r="134" spans="1:43" ht="16.5" customHeight="1">
      <c r="A134" s="99">
        <v>5</v>
      </c>
      <c r="B134" s="95" t="s">
        <v>88</v>
      </c>
      <c r="C134" s="116">
        <v>500</v>
      </c>
      <c r="D134" s="134"/>
      <c r="E134" s="134"/>
      <c r="F134" s="86">
        <v>0</v>
      </c>
      <c r="G134" s="134"/>
      <c r="H134" s="21">
        <v>1</v>
      </c>
      <c r="I134" s="21">
        <v>1</v>
      </c>
      <c r="J134" s="21">
        <v>1</v>
      </c>
      <c r="K134" s="21">
        <v>1</v>
      </c>
      <c r="L134" s="21">
        <v>1</v>
      </c>
      <c r="M134" s="86">
        <v>0</v>
      </c>
      <c r="N134" s="21">
        <v>1</v>
      </c>
      <c r="O134" s="21">
        <v>1</v>
      </c>
      <c r="P134" s="21">
        <v>1</v>
      </c>
      <c r="Q134" s="21">
        <v>1</v>
      </c>
      <c r="R134" s="21">
        <v>1</v>
      </c>
      <c r="S134" s="21">
        <v>1</v>
      </c>
      <c r="T134" s="86">
        <v>0</v>
      </c>
      <c r="U134" s="21">
        <v>1</v>
      </c>
      <c r="V134" s="21">
        <v>1</v>
      </c>
      <c r="W134" s="21">
        <v>1</v>
      </c>
      <c r="X134" s="23">
        <v>0</v>
      </c>
      <c r="Y134" s="21">
        <v>1</v>
      </c>
      <c r="Z134" s="21">
        <v>1</v>
      </c>
      <c r="AA134" s="151">
        <v>0</v>
      </c>
      <c r="AB134" s="21">
        <v>1</v>
      </c>
      <c r="AC134" s="21">
        <v>1</v>
      </c>
      <c r="AD134" s="21">
        <v>1</v>
      </c>
      <c r="AE134" s="21">
        <v>1</v>
      </c>
      <c r="AF134" s="21">
        <v>1</v>
      </c>
      <c r="AG134" s="21">
        <v>1</v>
      </c>
      <c r="AH134" s="86">
        <v>1</v>
      </c>
      <c r="AI134" s="108">
        <f t="shared" si="43"/>
        <v>23</v>
      </c>
      <c r="AJ134" s="120">
        <v>0</v>
      </c>
      <c r="AK134" s="21">
        <v>0</v>
      </c>
      <c r="AL134" s="81">
        <f t="shared" si="44"/>
        <v>23</v>
      </c>
      <c r="AM134" s="81">
        <f t="shared" si="45"/>
        <v>11500</v>
      </c>
      <c r="AN134" s="20">
        <v>12500</v>
      </c>
      <c r="AO134" s="616">
        <f>AM134+AM135</f>
        <v>11500</v>
      </c>
      <c r="AP134" s="664">
        <v>10900</v>
      </c>
    </row>
    <row r="135" spans="1:43" ht="16.5" customHeight="1">
      <c r="A135" s="98">
        <f>C134/10</f>
        <v>50</v>
      </c>
      <c r="B135" s="147"/>
      <c r="C135" s="116">
        <v>0</v>
      </c>
      <c r="D135" s="134"/>
      <c r="E135" s="134"/>
      <c r="F135" s="86">
        <v>0</v>
      </c>
      <c r="G135" s="134"/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86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86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15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124">
        <v>8</v>
      </c>
      <c r="AI135" s="108">
        <f t="shared" si="43"/>
        <v>8</v>
      </c>
      <c r="AJ135" s="28">
        <v>0</v>
      </c>
      <c r="AK135" s="21">
        <v>0</v>
      </c>
      <c r="AL135" s="81">
        <f t="shared" si="44"/>
        <v>8</v>
      </c>
      <c r="AM135" s="81">
        <f t="shared" si="45"/>
        <v>0</v>
      </c>
      <c r="AN135" s="20">
        <v>0</v>
      </c>
      <c r="AO135" s="505"/>
      <c r="AP135" s="665"/>
    </row>
    <row r="136" spans="1:43" ht="15">
      <c r="A136" s="99"/>
      <c r="B136" s="94"/>
      <c r="C136" s="116"/>
      <c r="D136" s="21"/>
      <c r="E136" s="21"/>
      <c r="F136" s="86"/>
      <c r="G136" s="21"/>
      <c r="H136" s="21"/>
      <c r="I136" s="21"/>
      <c r="J136" s="21"/>
      <c r="K136" s="21"/>
      <c r="L136" s="21"/>
      <c r="M136" s="86"/>
      <c r="N136" s="21"/>
      <c r="O136" s="21"/>
      <c r="P136" s="21"/>
      <c r="Q136" s="21"/>
      <c r="R136" s="21"/>
      <c r="S136" s="21"/>
      <c r="T136" s="86"/>
      <c r="U136" s="21"/>
      <c r="V136" s="21"/>
      <c r="W136" s="21"/>
      <c r="X136" s="21"/>
      <c r="Y136" s="21"/>
      <c r="Z136" s="21"/>
      <c r="AA136" s="151"/>
      <c r="AB136" s="21"/>
      <c r="AC136" s="21"/>
      <c r="AD136" s="21"/>
      <c r="AE136" s="21"/>
      <c r="AF136" s="21"/>
      <c r="AG136" s="21"/>
      <c r="AH136" s="86"/>
      <c r="AI136" s="108"/>
      <c r="AJ136" s="28"/>
      <c r="AK136" s="21"/>
      <c r="AL136" s="21"/>
      <c r="AM136" s="21"/>
      <c r="AN136" s="20"/>
      <c r="AO136" s="505"/>
      <c r="AP136" s="600"/>
    </row>
    <row r="137" spans="1:43" ht="15.75" thickBot="1">
      <c r="A137" s="100"/>
      <c r="B137" s="96"/>
      <c r="C137" s="117"/>
      <c r="D137" s="21"/>
      <c r="E137" s="21"/>
      <c r="F137" s="86"/>
      <c r="G137" s="21"/>
      <c r="I137" s="21"/>
      <c r="J137" s="21"/>
      <c r="K137" s="21"/>
      <c r="L137" s="21"/>
      <c r="M137" s="86"/>
      <c r="N137" s="21"/>
      <c r="O137" s="21"/>
      <c r="P137" s="21"/>
      <c r="Q137" s="21"/>
      <c r="R137" s="21"/>
      <c r="S137" s="21"/>
      <c r="T137" s="86"/>
      <c r="U137" s="21"/>
      <c r="V137" s="21"/>
      <c r="W137" s="21"/>
      <c r="X137" s="21"/>
      <c r="Y137" s="21"/>
      <c r="Z137" s="21"/>
      <c r="AA137" s="151"/>
      <c r="AB137" s="21"/>
      <c r="AC137" s="21"/>
      <c r="AD137" s="21"/>
      <c r="AE137" s="21"/>
      <c r="AF137" s="21"/>
      <c r="AG137" s="21"/>
      <c r="AH137" s="86"/>
      <c r="AI137" s="108"/>
      <c r="AJ137" s="88"/>
      <c r="AK137" s="87"/>
      <c r="AL137" s="87"/>
      <c r="AM137" s="87"/>
      <c r="AN137" s="84"/>
      <c r="AO137" s="599"/>
      <c r="AP137" s="601"/>
    </row>
    <row r="138" spans="1:43" ht="15.75" thickBot="1">
      <c r="A138" s="101"/>
      <c r="B138" s="571" t="s">
        <v>30</v>
      </c>
      <c r="C138" s="572"/>
      <c r="D138" s="142">
        <f>D126+D128+D130+D132+D134+D136</f>
        <v>1</v>
      </c>
      <c r="E138" s="142">
        <f t="shared" ref="E138:AN138" si="46">E126+E128+E130+E132+E134+E136</f>
        <v>1</v>
      </c>
      <c r="F138" s="142">
        <f t="shared" si="46"/>
        <v>0</v>
      </c>
      <c r="G138" s="142">
        <f t="shared" si="46"/>
        <v>1</v>
      </c>
      <c r="H138" s="142">
        <f t="shared" si="46"/>
        <v>5</v>
      </c>
      <c r="I138" s="142">
        <f t="shared" si="46"/>
        <v>5</v>
      </c>
      <c r="J138" s="142">
        <f t="shared" si="46"/>
        <v>5</v>
      </c>
      <c r="K138" s="142">
        <f t="shared" si="46"/>
        <v>5</v>
      </c>
      <c r="L138" s="142">
        <f t="shared" si="46"/>
        <v>5</v>
      </c>
      <c r="M138" s="142">
        <f t="shared" si="46"/>
        <v>0</v>
      </c>
      <c r="N138" s="142">
        <f t="shared" si="46"/>
        <v>5</v>
      </c>
      <c r="O138" s="142">
        <f>O126+O128+O130+O132+O134+O136</f>
        <v>5</v>
      </c>
      <c r="P138" s="148">
        <f>P126+P128+P130+P132+P134+P136</f>
        <v>5</v>
      </c>
      <c r="Q138" s="142">
        <f t="shared" si="46"/>
        <v>5</v>
      </c>
      <c r="R138" s="142">
        <f t="shared" si="46"/>
        <v>5</v>
      </c>
      <c r="S138" s="142">
        <f t="shared" si="46"/>
        <v>5</v>
      </c>
      <c r="T138" s="142">
        <f t="shared" si="46"/>
        <v>2</v>
      </c>
      <c r="U138" s="142">
        <f t="shared" si="46"/>
        <v>4</v>
      </c>
      <c r="V138" s="142">
        <f t="shared" si="46"/>
        <v>5</v>
      </c>
      <c r="W138" s="142">
        <f t="shared" si="46"/>
        <v>5</v>
      </c>
      <c r="X138" s="142">
        <f t="shared" si="46"/>
        <v>4</v>
      </c>
      <c r="Y138" s="142">
        <f t="shared" si="46"/>
        <v>4</v>
      </c>
      <c r="Z138" s="142">
        <f t="shared" si="46"/>
        <v>5</v>
      </c>
      <c r="AA138" s="142">
        <f t="shared" si="46"/>
        <v>0</v>
      </c>
      <c r="AB138" s="142">
        <f t="shared" si="46"/>
        <v>5</v>
      </c>
      <c r="AC138" s="142">
        <f t="shared" si="46"/>
        <v>5</v>
      </c>
      <c r="AD138" s="142">
        <f t="shared" si="46"/>
        <v>4</v>
      </c>
      <c r="AE138" s="142">
        <f t="shared" si="46"/>
        <v>5</v>
      </c>
      <c r="AF138" s="142">
        <f t="shared" si="46"/>
        <v>5</v>
      </c>
      <c r="AG138" s="142">
        <f t="shared" si="46"/>
        <v>5</v>
      </c>
      <c r="AH138" s="142">
        <f t="shared" si="46"/>
        <v>4</v>
      </c>
      <c r="AI138" s="142">
        <f t="shared" si="46"/>
        <v>120</v>
      </c>
      <c r="AJ138" s="142">
        <f t="shared" si="46"/>
        <v>9</v>
      </c>
      <c r="AK138" s="142">
        <f t="shared" si="46"/>
        <v>0</v>
      </c>
      <c r="AL138" s="142">
        <f t="shared" si="46"/>
        <v>129</v>
      </c>
      <c r="AM138" s="142">
        <f t="shared" si="46"/>
        <v>58919.354838709674</v>
      </c>
      <c r="AN138" s="311">
        <f t="shared" si="46"/>
        <v>61000</v>
      </c>
      <c r="AO138" s="602">
        <f>AM138+AM139</f>
        <v>60129.032258064515</v>
      </c>
      <c r="AP138" s="604">
        <f>SUM(AP126:AP137)</f>
        <v>58600</v>
      </c>
    </row>
    <row r="139" spans="1:43" ht="15.75" thickBot="1">
      <c r="A139" s="102"/>
      <c r="B139" s="544" t="s">
        <v>31</v>
      </c>
      <c r="C139" s="545"/>
      <c r="D139" s="143">
        <f>D127+D129+D131+D133+D135+D137</f>
        <v>0</v>
      </c>
      <c r="E139" s="143">
        <f t="shared" ref="E139:AN139" si="47">E127+E129+E131+E133+E135+E137</f>
        <v>0</v>
      </c>
      <c r="F139" s="143">
        <f t="shared" si="47"/>
        <v>0</v>
      </c>
      <c r="G139" s="143">
        <f t="shared" si="47"/>
        <v>0</v>
      </c>
      <c r="H139" s="143">
        <f t="shared" si="47"/>
        <v>0</v>
      </c>
      <c r="I139" s="143">
        <f t="shared" si="47"/>
        <v>0</v>
      </c>
      <c r="J139" s="143">
        <f t="shared" si="47"/>
        <v>0</v>
      </c>
      <c r="K139" s="143">
        <f t="shared" si="47"/>
        <v>0</v>
      </c>
      <c r="L139" s="143">
        <f t="shared" si="47"/>
        <v>0</v>
      </c>
      <c r="M139" s="143">
        <f t="shared" si="47"/>
        <v>0</v>
      </c>
      <c r="N139" s="143">
        <f t="shared" si="47"/>
        <v>2</v>
      </c>
      <c r="O139" s="143">
        <f t="shared" si="47"/>
        <v>2</v>
      </c>
      <c r="P139" s="143">
        <f t="shared" si="47"/>
        <v>0</v>
      </c>
      <c r="Q139" s="143">
        <f t="shared" si="47"/>
        <v>0</v>
      </c>
      <c r="R139" s="143">
        <f t="shared" si="47"/>
        <v>2</v>
      </c>
      <c r="S139" s="143">
        <f t="shared" si="47"/>
        <v>0</v>
      </c>
      <c r="T139" s="143">
        <f t="shared" si="47"/>
        <v>16</v>
      </c>
      <c r="U139" s="143">
        <f t="shared" si="47"/>
        <v>0</v>
      </c>
      <c r="V139" s="143">
        <f t="shared" si="47"/>
        <v>2</v>
      </c>
      <c r="W139" s="143">
        <f t="shared" si="47"/>
        <v>2</v>
      </c>
      <c r="X139" s="143">
        <f t="shared" si="47"/>
        <v>2</v>
      </c>
      <c r="Y139" s="143">
        <f t="shared" si="47"/>
        <v>0</v>
      </c>
      <c r="Z139" s="143">
        <f t="shared" si="47"/>
        <v>0</v>
      </c>
      <c r="AA139" s="143">
        <f t="shared" si="47"/>
        <v>0</v>
      </c>
      <c r="AB139" s="143">
        <f t="shared" si="47"/>
        <v>2</v>
      </c>
      <c r="AC139" s="143">
        <f t="shared" si="47"/>
        <v>2</v>
      </c>
      <c r="AD139" s="143">
        <f t="shared" si="47"/>
        <v>0</v>
      </c>
      <c r="AE139" s="143">
        <f t="shared" si="47"/>
        <v>0</v>
      </c>
      <c r="AF139" s="143">
        <f t="shared" si="47"/>
        <v>2</v>
      </c>
      <c r="AG139" s="143">
        <f t="shared" si="47"/>
        <v>2</v>
      </c>
      <c r="AH139" s="143">
        <f t="shared" si="47"/>
        <v>32</v>
      </c>
      <c r="AI139" s="143">
        <f t="shared" si="47"/>
        <v>68</v>
      </c>
      <c r="AJ139" s="143">
        <f t="shared" si="47"/>
        <v>0</v>
      </c>
      <c r="AK139" s="143">
        <f t="shared" si="47"/>
        <v>0</v>
      </c>
      <c r="AL139" s="143">
        <f t="shared" si="47"/>
        <v>68</v>
      </c>
      <c r="AM139" s="143">
        <f t="shared" si="47"/>
        <v>1209.6774193548388</v>
      </c>
      <c r="AN139" s="312">
        <f t="shared" si="47"/>
        <v>0</v>
      </c>
      <c r="AO139" s="603"/>
      <c r="AP139" s="605"/>
    </row>
    <row r="141" spans="1:43" ht="21.75" thickBot="1"/>
    <row r="142" spans="1:43" ht="27" thickBot="1">
      <c r="A142" s="644" t="s">
        <v>0</v>
      </c>
      <c r="B142" s="646" t="s">
        <v>1</v>
      </c>
      <c r="C142" s="647"/>
      <c r="D142" s="650" t="s">
        <v>89</v>
      </c>
      <c r="E142" s="650"/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650"/>
      <c r="R142" s="650"/>
      <c r="S142" s="650"/>
      <c r="T142" s="650"/>
      <c r="U142" s="650"/>
      <c r="V142" s="650"/>
      <c r="W142" s="650"/>
      <c r="X142" s="650"/>
      <c r="Y142" s="650"/>
      <c r="Z142" s="650"/>
      <c r="AA142" s="650"/>
      <c r="AB142" s="650"/>
      <c r="AC142" s="650"/>
      <c r="AD142" s="650"/>
      <c r="AE142" s="650"/>
      <c r="AF142" s="651"/>
      <c r="AG142" s="652">
        <v>31</v>
      </c>
      <c r="AH142" s="653"/>
      <c r="AI142" s="666" t="s">
        <v>3</v>
      </c>
      <c r="AJ142" s="668" t="s">
        <v>4</v>
      </c>
      <c r="AK142" s="668" t="s">
        <v>5</v>
      </c>
      <c r="AL142" s="668" t="s">
        <v>6</v>
      </c>
      <c r="AM142" s="656" t="s">
        <v>7</v>
      </c>
      <c r="AN142" s="658" t="s">
        <v>8</v>
      </c>
      <c r="AO142" s="658" t="s">
        <v>7</v>
      </c>
      <c r="AP142" s="662" t="s">
        <v>33</v>
      </c>
    </row>
    <row r="143" spans="1:43" ht="15.75" thickBot="1">
      <c r="A143" s="645"/>
      <c r="B143" s="648"/>
      <c r="C143" s="649"/>
      <c r="D143" s="144">
        <v>1</v>
      </c>
      <c r="E143" s="145">
        <v>2</v>
      </c>
      <c r="F143" s="145">
        <v>3</v>
      </c>
      <c r="G143" s="145">
        <v>4</v>
      </c>
      <c r="H143" s="145">
        <v>5</v>
      </c>
      <c r="I143" s="145">
        <v>6</v>
      </c>
      <c r="J143" s="145">
        <v>7</v>
      </c>
      <c r="K143" s="145">
        <v>8</v>
      </c>
      <c r="L143" s="145">
        <v>9</v>
      </c>
      <c r="M143" s="145">
        <v>10</v>
      </c>
      <c r="N143" s="145">
        <v>11</v>
      </c>
      <c r="O143" s="145">
        <v>12</v>
      </c>
      <c r="P143" s="145">
        <v>13</v>
      </c>
      <c r="Q143" s="145">
        <v>14</v>
      </c>
      <c r="R143" s="145">
        <v>15</v>
      </c>
      <c r="S143" s="145">
        <v>16</v>
      </c>
      <c r="T143" s="145">
        <v>17</v>
      </c>
      <c r="U143" s="145">
        <v>18</v>
      </c>
      <c r="V143" s="145">
        <v>19</v>
      </c>
      <c r="W143" s="145">
        <v>20</v>
      </c>
      <c r="X143" s="145">
        <v>21</v>
      </c>
      <c r="Y143" s="145">
        <v>22</v>
      </c>
      <c r="Z143" s="145">
        <v>23</v>
      </c>
      <c r="AA143" s="145">
        <v>24</v>
      </c>
      <c r="AB143" s="145">
        <v>25</v>
      </c>
      <c r="AC143" s="145">
        <v>26</v>
      </c>
      <c r="AD143" s="145">
        <v>27</v>
      </c>
      <c r="AE143" s="145">
        <v>28</v>
      </c>
      <c r="AF143" s="145">
        <v>29</v>
      </c>
      <c r="AG143" s="145">
        <v>30</v>
      </c>
      <c r="AH143" s="146">
        <v>31</v>
      </c>
      <c r="AI143" s="667"/>
      <c r="AJ143" s="669"/>
      <c r="AK143" s="669"/>
      <c r="AL143" s="669"/>
      <c r="AM143" s="657"/>
      <c r="AN143" s="659"/>
      <c r="AO143" s="659"/>
      <c r="AP143" s="663"/>
    </row>
    <row r="144" spans="1:43" ht="15">
      <c r="A144" s="99">
        <v>1</v>
      </c>
      <c r="B144" s="95" t="s">
        <v>27</v>
      </c>
      <c r="C144" s="116">
        <f>B145/AG142</f>
        <v>322.58064516129031</v>
      </c>
      <c r="D144" s="21">
        <v>1</v>
      </c>
      <c r="E144" s="21">
        <v>1</v>
      </c>
      <c r="F144" s="21">
        <v>1</v>
      </c>
      <c r="G144" s="23">
        <v>0</v>
      </c>
      <c r="H144" s="21">
        <v>1</v>
      </c>
      <c r="I144" s="21">
        <v>1</v>
      </c>
      <c r="J144" s="86">
        <v>0</v>
      </c>
      <c r="K144" s="21">
        <v>1</v>
      </c>
      <c r="L144" s="21">
        <v>1</v>
      </c>
      <c r="M144" s="21">
        <v>1</v>
      </c>
      <c r="N144" s="21">
        <v>1</v>
      </c>
      <c r="O144" s="21">
        <v>1</v>
      </c>
      <c r="P144" s="21">
        <v>1</v>
      </c>
      <c r="Q144" s="86">
        <v>0</v>
      </c>
      <c r="R144" s="151">
        <v>0</v>
      </c>
      <c r="S144" s="21">
        <v>1</v>
      </c>
      <c r="T144" s="21">
        <v>1</v>
      </c>
      <c r="U144" s="21">
        <v>1</v>
      </c>
      <c r="V144" s="21">
        <v>1</v>
      </c>
      <c r="W144" s="86">
        <v>0</v>
      </c>
      <c r="X144" s="151">
        <v>1</v>
      </c>
      <c r="Y144" s="21">
        <v>1</v>
      </c>
      <c r="Z144" s="21">
        <v>1</v>
      </c>
      <c r="AA144" s="21">
        <v>1</v>
      </c>
      <c r="AB144" s="21">
        <v>1</v>
      </c>
      <c r="AC144" s="154">
        <v>0.5</v>
      </c>
      <c r="AD144" s="23">
        <v>0</v>
      </c>
      <c r="AE144" s="86">
        <v>0</v>
      </c>
      <c r="AF144" s="21">
        <v>1</v>
      </c>
      <c r="AG144" s="23">
        <v>0</v>
      </c>
      <c r="AH144" s="151">
        <v>0</v>
      </c>
      <c r="AI144" s="108">
        <f>SUM(D144:AH144)</f>
        <v>21.5</v>
      </c>
      <c r="AJ144" s="119">
        <v>6</v>
      </c>
      <c r="AK144" s="81">
        <v>0</v>
      </c>
      <c r="AL144" s="81">
        <f>SUM(AI144:AK144)</f>
        <v>27.5</v>
      </c>
      <c r="AM144" s="81">
        <f>C144*AL144</f>
        <v>8870.967741935483</v>
      </c>
      <c r="AN144" s="179">
        <v>11000</v>
      </c>
      <c r="AO144" s="533">
        <f>AM144+AM145</f>
        <v>10322.58064516129</v>
      </c>
      <c r="AP144" s="671">
        <v>10000</v>
      </c>
    </row>
    <row r="145" spans="1:43" ht="15">
      <c r="A145" s="98">
        <f>C144/8</f>
        <v>40.322580645161288</v>
      </c>
      <c r="B145" s="147">
        <v>10000</v>
      </c>
      <c r="C145" s="116">
        <f>C144/8*1.5</f>
        <v>60.483870967741936</v>
      </c>
      <c r="D145" s="21">
        <v>0</v>
      </c>
      <c r="E145" s="21">
        <v>0</v>
      </c>
      <c r="F145" s="21">
        <v>2</v>
      </c>
      <c r="G145" s="21">
        <v>0</v>
      </c>
      <c r="H145" s="21">
        <v>2</v>
      </c>
      <c r="I145" s="21">
        <v>2</v>
      </c>
      <c r="J145" s="86">
        <v>0</v>
      </c>
      <c r="K145" s="21">
        <v>2</v>
      </c>
      <c r="L145" s="21">
        <v>2</v>
      </c>
      <c r="M145" s="21">
        <v>0</v>
      </c>
      <c r="N145" s="21">
        <v>0</v>
      </c>
      <c r="O145" s="21">
        <v>2</v>
      </c>
      <c r="P145" s="21">
        <v>2</v>
      </c>
      <c r="Q145" s="86">
        <v>0</v>
      </c>
      <c r="R145" s="151">
        <v>0</v>
      </c>
      <c r="S145" s="21">
        <v>2</v>
      </c>
      <c r="T145" s="21">
        <v>0</v>
      </c>
      <c r="U145" s="21">
        <v>2</v>
      </c>
      <c r="V145" s="21">
        <v>2</v>
      </c>
      <c r="W145" s="86">
        <v>0</v>
      </c>
      <c r="X145" s="151">
        <v>0</v>
      </c>
      <c r="Y145" s="21">
        <v>0</v>
      </c>
      <c r="Z145" s="21">
        <v>0</v>
      </c>
      <c r="AA145" s="21">
        <v>2</v>
      </c>
      <c r="AB145" s="21">
        <v>2</v>
      </c>
      <c r="AC145" s="21">
        <v>0</v>
      </c>
      <c r="AD145" s="21">
        <v>0</v>
      </c>
      <c r="AE145" s="86">
        <v>0</v>
      </c>
      <c r="AF145" s="21">
        <v>0</v>
      </c>
      <c r="AG145" s="21">
        <v>0</v>
      </c>
      <c r="AH145" s="151">
        <v>0</v>
      </c>
      <c r="AI145" s="108">
        <f t="shared" ref="AI145:AI153" si="48">SUM(D145:AH145)</f>
        <v>24</v>
      </c>
      <c r="AJ145" s="120">
        <v>0</v>
      </c>
      <c r="AK145" s="21">
        <v>0</v>
      </c>
      <c r="AL145" s="81">
        <f t="shared" ref="AL145:AL153" si="49">SUM(AI145:AK145)</f>
        <v>24</v>
      </c>
      <c r="AM145" s="81">
        <f>C145*AL145</f>
        <v>1451.6129032258063</v>
      </c>
      <c r="AN145" s="20">
        <v>0</v>
      </c>
      <c r="AO145" s="528"/>
      <c r="AP145" s="672"/>
    </row>
    <row r="146" spans="1:43" ht="15">
      <c r="A146" s="99">
        <v>2</v>
      </c>
      <c r="B146" s="95" t="s">
        <v>85</v>
      </c>
      <c r="C146" s="116">
        <f>B147/AG142</f>
        <v>483.87096774193549</v>
      </c>
      <c r="D146" s="21">
        <v>1</v>
      </c>
      <c r="E146" s="21">
        <v>1</v>
      </c>
      <c r="F146" s="21">
        <v>1</v>
      </c>
      <c r="G146" s="21">
        <v>1</v>
      </c>
      <c r="H146" s="21">
        <v>1</v>
      </c>
      <c r="I146" s="21">
        <v>1</v>
      </c>
      <c r="J146" s="86">
        <v>0</v>
      </c>
      <c r="K146" s="21">
        <v>1</v>
      </c>
      <c r="L146" s="21">
        <v>1</v>
      </c>
      <c r="M146" s="21">
        <v>1</v>
      </c>
      <c r="N146" s="21">
        <v>1</v>
      </c>
      <c r="O146" s="21">
        <v>1</v>
      </c>
      <c r="P146" s="21">
        <v>1</v>
      </c>
      <c r="Q146" s="86">
        <v>1</v>
      </c>
      <c r="R146" s="151">
        <v>0</v>
      </c>
      <c r="S146" s="21">
        <v>1</v>
      </c>
      <c r="T146" s="21">
        <v>1</v>
      </c>
      <c r="U146" s="21">
        <v>1</v>
      </c>
      <c r="V146" s="21">
        <v>1</v>
      </c>
      <c r="W146" s="86">
        <v>0</v>
      </c>
      <c r="X146" s="151">
        <v>1</v>
      </c>
      <c r="Y146" s="21">
        <v>1</v>
      </c>
      <c r="Z146" s="21">
        <v>1</v>
      </c>
      <c r="AA146" s="154">
        <v>0.5</v>
      </c>
      <c r="AB146" s="21">
        <v>1</v>
      </c>
      <c r="AC146" s="21">
        <v>1</v>
      </c>
      <c r="AD146" s="21">
        <v>1</v>
      </c>
      <c r="AE146" s="86">
        <v>1</v>
      </c>
      <c r="AF146" s="21">
        <v>1</v>
      </c>
      <c r="AG146" s="154">
        <v>0.5</v>
      </c>
      <c r="AH146" s="151">
        <v>0</v>
      </c>
      <c r="AI146" s="108">
        <f t="shared" si="48"/>
        <v>26</v>
      </c>
      <c r="AJ146" s="120">
        <v>5</v>
      </c>
      <c r="AK146" s="81">
        <v>0</v>
      </c>
      <c r="AL146" s="81">
        <f t="shared" si="49"/>
        <v>31</v>
      </c>
      <c r="AM146" s="81">
        <f t="shared" ref="AM146:AM153" si="50">C146*AL146</f>
        <v>15000</v>
      </c>
      <c r="AN146" s="20">
        <v>15000</v>
      </c>
      <c r="AO146" s="533">
        <f>AM146+AM147</f>
        <v>15000</v>
      </c>
      <c r="AP146" s="671"/>
    </row>
    <row r="147" spans="1:43" ht="15">
      <c r="A147" s="98">
        <f>C146/10</f>
        <v>48.387096774193552</v>
      </c>
      <c r="B147" s="147">
        <v>15000</v>
      </c>
      <c r="C147" s="116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86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124">
        <v>8</v>
      </c>
      <c r="R147" s="151">
        <v>0</v>
      </c>
      <c r="S147" s="21">
        <v>0</v>
      </c>
      <c r="T147" s="21">
        <v>0</v>
      </c>
      <c r="U147" s="21">
        <v>0</v>
      </c>
      <c r="V147" s="21">
        <v>0</v>
      </c>
      <c r="W147" s="86">
        <v>0</v>
      </c>
      <c r="X147" s="15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124">
        <v>8</v>
      </c>
      <c r="AF147" s="21">
        <v>0</v>
      </c>
      <c r="AG147" s="21">
        <v>0</v>
      </c>
      <c r="AH147" s="151">
        <v>0</v>
      </c>
      <c r="AI147" s="108">
        <f t="shared" si="48"/>
        <v>16</v>
      </c>
      <c r="AJ147" s="120">
        <v>0</v>
      </c>
      <c r="AK147" s="21">
        <v>0</v>
      </c>
      <c r="AL147" s="81">
        <f t="shared" si="49"/>
        <v>16</v>
      </c>
      <c r="AM147" s="81">
        <f t="shared" si="50"/>
        <v>0</v>
      </c>
      <c r="AN147" s="20">
        <v>0</v>
      </c>
      <c r="AO147" s="528"/>
      <c r="AP147" s="672"/>
    </row>
    <row r="148" spans="1:43" ht="15">
      <c r="A148" s="99">
        <v>3</v>
      </c>
      <c r="B148" s="95" t="s">
        <v>86</v>
      </c>
      <c r="C148" s="116">
        <v>500</v>
      </c>
      <c r="D148" s="21">
        <v>1</v>
      </c>
      <c r="E148" s="21">
        <v>1</v>
      </c>
      <c r="F148" s="21">
        <v>1</v>
      </c>
      <c r="G148" s="21">
        <v>1</v>
      </c>
      <c r="H148" s="21">
        <v>1</v>
      </c>
      <c r="I148" s="21">
        <v>1</v>
      </c>
      <c r="J148" s="86">
        <v>0</v>
      </c>
      <c r="K148" s="21">
        <v>1</v>
      </c>
      <c r="L148" s="21">
        <v>1</v>
      </c>
      <c r="M148" s="21">
        <v>1</v>
      </c>
      <c r="N148" s="21">
        <v>1</v>
      </c>
      <c r="O148" s="21">
        <v>1</v>
      </c>
      <c r="P148" s="21">
        <v>1</v>
      </c>
      <c r="Q148" s="86">
        <v>1</v>
      </c>
      <c r="R148" s="151">
        <v>0</v>
      </c>
      <c r="S148" s="21">
        <v>1</v>
      </c>
      <c r="T148" s="21">
        <v>1</v>
      </c>
      <c r="U148" s="21">
        <v>1</v>
      </c>
      <c r="V148" s="21">
        <v>1</v>
      </c>
      <c r="W148" s="86">
        <v>0</v>
      </c>
      <c r="X148" s="151">
        <v>1</v>
      </c>
      <c r="Y148" s="21">
        <v>1</v>
      </c>
      <c r="Z148" s="21">
        <v>1</v>
      </c>
      <c r="AA148" s="21">
        <v>1</v>
      </c>
      <c r="AB148" s="21">
        <v>1</v>
      </c>
      <c r="AC148" s="21">
        <v>1</v>
      </c>
      <c r="AD148" s="21">
        <v>1</v>
      </c>
      <c r="AE148" s="86">
        <v>1</v>
      </c>
      <c r="AF148" s="21">
        <v>1</v>
      </c>
      <c r="AG148" s="21">
        <v>1</v>
      </c>
      <c r="AH148" s="151">
        <v>1</v>
      </c>
      <c r="AI148" s="108">
        <f t="shared" si="48"/>
        <v>28</v>
      </c>
      <c r="AJ148" s="120">
        <v>0</v>
      </c>
      <c r="AK148" s="81">
        <v>0</v>
      </c>
      <c r="AL148" s="81">
        <f t="shared" si="49"/>
        <v>28</v>
      </c>
      <c r="AM148" s="81">
        <f t="shared" si="50"/>
        <v>14000</v>
      </c>
      <c r="AN148" s="20">
        <v>12500</v>
      </c>
      <c r="AO148" s="673">
        <f>AM148+AM149</f>
        <v>14000</v>
      </c>
      <c r="AP148" s="672"/>
    </row>
    <row r="149" spans="1:43" ht="15">
      <c r="A149" s="98">
        <f>C148/10</f>
        <v>50</v>
      </c>
      <c r="B149" s="147"/>
      <c r="C149" s="116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86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124">
        <v>8</v>
      </c>
      <c r="R149" s="151">
        <v>0</v>
      </c>
      <c r="S149" s="21">
        <v>0</v>
      </c>
      <c r="T149" s="21">
        <v>0</v>
      </c>
      <c r="U149" s="21">
        <v>0</v>
      </c>
      <c r="V149" s="21">
        <v>0</v>
      </c>
      <c r="W149" s="86">
        <v>0</v>
      </c>
      <c r="X149" s="15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124">
        <v>8</v>
      </c>
      <c r="AF149" s="21">
        <v>0</v>
      </c>
      <c r="AG149" s="21">
        <v>0</v>
      </c>
      <c r="AH149" s="124">
        <v>8</v>
      </c>
      <c r="AI149" s="108">
        <f t="shared" si="48"/>
        <v>24</v>
      </c>
      <c r="AJ149" s="120">
        <v>0</v>
      </c>
      <c r="AK149" s="21">
        <v>0</v>
      </c>
      <c r="AL149" s="81">
        <f t="shared" si="49"/>
        <v>24</v>
      </c>
      <c r="AM149" s="81">
        <f t="shared" si="50"/>
        <v>0</v>
      </c>
      <c r="AN149" s="20">
        <v>0</v>
      </c>
      <c r="AO149" s="529"/>
      <c r="AP149" s="672"/>
    </row>
    <row r="150" spans="1:43" ht="15">
      <c r="A150" s="99">
        <v>4</v>
      </c>
      <c r="B150" s="95" t="s">
        <v>87</v>
      </c>
      <c r="C150" s="116">
        <v>500</v>
      </c>
      <c r="D150" s="21">
        <v>1</v>
      </c>
      <c r="E150" s="21">
        <v>1</v>
      </c>
      <c r="F150" s="21">
        <v>1</v>
      </c>
      <c r="G150" s="21">
        <v>1</v>
      </c>
      <c r="H150" s="21">
        <v>1</v>
      </c>
      <c r="I150" s="21">
        <v>1</v>
      </c>
      <c r="J150" s="86">
        <v>1</v>
      </c>
      <c r="K150" s="21">
        <v>1</v>
      </c>
      <c r="L150" s="21">
        <v>1</v>
      </c>
      <c r="M150" s="21">
        <v>1</v>
      </c>
      <c r="N150" s="21">
        <v>1</v>
      </c>
      <c r="O150" s="21">
        <v>1</v>
      </c>
      <c r="P150" s="21">
        <v>1</v>
      </c>
      <c r="Q150" s="86">
        <v>0</v>
      </c>
      <c r="R150" s="151">
        <v>0</v>
      </c>
      <c r="S150" s="21">
        <v>1</v>
      </c>
      <c r="T150" s="21">
        <v>1</v>
      </c>
      <c r="U150" s="21">
        <v>1</v>
      </c>
      <c r="V150" s="21">
        <v>1</v>
      </c>
      <c r="W150" s="86">
        <v>0</v>
      </c>
      <c r="X150" s="151">
        <v>1</v>
      </c>
      <c r="Y150" s="21">
        <v>1</v>
      </c>
      <c r="Z150" s="21">
        <v>1</v>
      </c>
      <c r="AA150" s="21">
        <v>1</v>
      </c>
      <c r="AB150" s="21">
        <v>1</v>
      </c>
      <c r="AC150" s="21">
        <v>1</v>
      </c>
      <c r="AD150" s="154">
        <v>1</v>
      </c>
      <c r="AE150" s="86">
        <v>1</v>
      </c>
      <c r="AF150" s="21">
        <v>1</v>
      </c>
      <c r="AG150" s="21">
        <v>1</v>
      </c>
      <c r="AH150" s="151">
        <v>1</v>
      </c>
      <c r="AI150" s="108">
        <f t="shared" si="48"/>
        <v>28</v>
      </c>
      <c r="AJ150" s="120">
        <v>0</v>
      </c>
      <c r="AK150" s="21">
        <v>0</v>
      </c>
      <c r="AL150" s="81">
        <f t="shared" si="49"/>
        <v>28</v>
      </c>
      <c r="AM150" s="81">
        <f t="shared" si="50"/>
        <v>14000</v>
      </c>
      <c r="AN150" s="20">
        <v>12500</v>
      </c>
      <c r="AO150" s="673">
        <f>AM150+AM151</f>
        <v>14000</v>
      </c>
      <c r="AP150" s="672"/>
    </row>
    <row r="151" spans="1:43" ht="15">
      <c r="A151" s="98">
        <f>C150/10</f>
        <v>50</v>
      </c>
      <c r="B151" s="147"/>
      <c r="C151" s="116">
        <v>0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1">
        <v>0</v>
      </c>
      <c r="J151" s="124">
        <v>8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86">
        <v>0</v>
      </c>
      <c r="R151" s="151">
        <v>0</v>
      </c>
      <c r="S151" s="21">
        <v>0</v>
      </c>
      <c r="T151" s="21">
        <v>0</v>
      </c>
      <c r="U151" s="21">
        <v>0</v>
      </c>
      <c r="V151" s="21">
        <v>0</v>
      </c>
      <c r="W151" s="86">
        <v>0</v>
      </c>
      <c r="X151" s="15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124">
        <v>8</v>
      </c>
      <c r="AF151" s="21">
        <v>0</v>
      </c>
      <c r="AG151" s="21">
        <v>0</v>
      </c>
      <c r="AH151" s="124">
        <v>8</v>
      </c>
      <c r="AI151" s="108">
        <f t="shared" si="48"/>
        <v>24</v>
      </c>
      <c r="AJ151" s="120">
        <v>0</v>
      </c>
      <c r="AK151" s="21">
        <v>0</v>
      </c>
      <c r="AL151" s="81">
        <f t="shared" si="49"/>
        <v>24</v>
      </c>
      <c r="AM151" s="81">
        <f t="shared" si="50"/>
        <v>0</v>
      </c>
      <c r="AN151" s="20">
        <v>0</v>
      </c>
      <c r="AO151" s="529"/>
      <c r="AP151" s="672"/>
    </row>
    <row r="152" spans="1:43" ht="15">
      <c r="A152" s="99">
        <v>5</v>
      </c>
      <c r="B152" s="95" t="s">
        <v>88</v>
      </c>
      <c r="C152" s="116">
        <v>500</v>
      </c>
      <c r="D152" s="21">
        <v>1</v>
      </c>
      <c r="E152" s="21">
        <v>1</v>
      </c>
      <c r="F152" s="21">
        <v>1</v>
      </c>
      <c r="G152" s="21">
        <v>1</v>
      </c>
      <c r="H152" s="21">
        <v>1</v>
      </c>
      <c r="I152" s="21">
        <v>1</v>
      </c>
      <c r="J152" s="86">
        <v>1</v>
      </c>
      <c r="K152" s="21">
        <v>1</v>
      </c>
      <c r="L152" s="21">
        <v>1</v>
      </c>
      <c r="M152" s="21">
        <v>1</v>
      </c>
      <c r="N152" s="21">
        <v>1</v>
      </c>
      <c r="O152" s="21">
        <v>1</v>
      </c>
      <c r="P152" s="21">
        <v>1</v>
      </c>
      <c r="Q152" s="86">
        <v>1</v>
      </c>
      <c r="R152" s="151">
        <v>0</v>
      </c>
      <c r="S152" s="21">
        <v>1</v>
      </c>
      <c r="T152" s="21">
        <v>1</v>
      </c>
      <c r="U152" s="21">
        <v>1</v>
      </c>
      <c r="V152" s="21">
        <v>1</v>
      </c>
      <c r="W152" s="86">
        <v>0</v>
      </c>
      <c r="X152" s="151">
        <v>1</v>
      </c>
      <c r="Y152" s="21">
        <v>1</v>
      </c>
      <c r="Z152" s="21">
        <v>1</v>
      </c>
      <c r="AA152" s="21">
        <v>1</v>
      </c>
      <c r="AB152" s="21">
        <v>1</v>
      </c>
      <c r="AC152" s="21">
        <v>1</v>
      </c>
      <c r="AD152" s="21">
        <v>1</v>
      </c>
      <c r="AE152" s="86">
        <v>0</v>
      </c>
      <c r="AF152" s="23">
        <v>0</v>
      </c>
      <c r="AG152" s="23">
        <v>0</v>
      </c>
      <c r="AH152" s="151">
        <v>0</v>
      </c>
      <c r="AI152" s="108">
        <f t="shared" si="48"/>
        <v>25</v>
      </c>
      <c r="AJ152" s="120">
        <v>0</v>
      </c>
      <c r="AK152" s="21">
        <v>0</v>
      </c>
      <c r="AL152" s="81">
        <f t="shared" si="49"/>
        <v>25</v>
      </c>
      <c r="AM152" s="81">
        <f t="shared" si="50"/>
        <v>12500</v>
      </c>
      <c r="AN152" s="20">
        <v>12500</v>
      </c>
      <c r="AO152" s="673">
        <f>AM152+AM153</f>
        <v>12500</v>
      </c>
      <c r="AP152" s="672"/>
    </row>
    <row r="153" spans="1:43" ht="15">
      <c r="A153" s="98">
        <f>C152/10</f>
        <v>50</v>
      </c>
      <c r="B153" s="147"/>
      <c r="C153" s="116">
        <v>0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1">
        <v>0</v>
      </c>
      <c r="J153" s="124">
        <v>8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124">
        <v>8</v>
      </c>
      <c r="R153" s="151">
        <v>0</v>
      </c>
      <c r="S153" s="21">
        <v>0</v>
      </c>
      <c r="T153" s="21">
        <v>0</v>
      </c>
      <c r="U153" s="21">
        <v>0</v>
      </c>
      <c r="V153" s="21">
        <v>0</v>
      </c>
      <c r="W153" s="86">
        <v>0</v>
      </c>
      <c r="X153" s="15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86">
        <v>0</v>
      </c>
      <c r="AF153" s="21">
        <v>0</v>
      </c>
      <c r="AG153" s="21">
        <v>0</v>
      </c>
      <c r="AH153" s="151">
        <v>0</v>
      </c>
      <c r="AI153" s="108">
        <f t="shared" si="48"/>
        <v>16</v>
      </c>
      <c r="AJ153" s="28">
        <v>0</v>
      </c>
      <c r="AK153" s="21">
        <v>0</v>
      </c>
      <c r="AL153" s="81">
        <f t="shared" si="49"/>
        <v>16</v>
      </c>
      <c r="AM153" s="81">
        <f t="shared" si="50"/>
        <v>0</v>
      </c>
      <c r="AN153" s="20">
        <v>0</v>
      </c>
      <c r="AO153" s="529"/>
      <c r="AP153" s="672"/>
    </row>
    <row r="154" spans="1:43" ht="16.5" customHeight="1">
      <c r="A154" s="99">
        <v>6</v>
      </c>
      <c r="B154" s="95" t="s">
        <v>90</v>
      </c>
      <c r="C154" s="116">
        <f>B155/AG142</f>
        <v>322.58064516129031</v>
      </c>
      <c r="D154" s="151">
        <v>0</v>
      </c>
      <c r="E154" s="151">
        <v>0</v>
      </c>
      <c r="F154" s="151">
        <v>0</v>
      </c>
      <c r="G154" s="151">
        <v>0</v>
      </c>
      <c r="H154" s="151">
        <v>0</v>
      </c>
      <c r="I154" s="151">
        <v>0</v>
      </c>
      <c r="J154" s="151">
        <v>0</v>
      </c>
      <c r="K154" s="21">
        <v>1</v>
      </c>
      <c r="L154" s="21">
        <v>1</v>
      </c>
      <c r="M154" s="21">
        <v>1</v>
      </c>
      <c r="N154" s="21">
        <v>1</v>
      </c>
      <c r="O154" s="21">
        <v>1</v>
      </c>
      <c r="P154" s="21">
        <v>1</v>
      </c>
      <c r="Q154" s="86">
        <v>1</v>
      </c>
      <c r="R154" s="151">
        <v>0</v>
      </c>
      <c r="S154" s="21">
        <v>1</v>
      </c>
      <c r="T154" s="21">
        <v>1</v>
      </c>
      <c r="U154" s="21">
        <v>1</v>
      </c>
      <c r="V154" s="21">
        <v>1</v>
      </c>
      <c r="W154" s="86">
        <v>0</v>
      </c>
      <c r="X154" s="23">
        <v>0</v>
      </c>
      <c r="Y154" s="21">
        <v>1</v>
      </c>
      <c r="Z154" s="21">
        <v>1</v>
      </c>
      <c r="AA154" s="23">
        <v>0</v>
      </c>
      <c r="AB154" s="21">
        <v>1</v>
      </c>
      <c r="AC154" s="21">
        <v>1</v>
      </c>
      <c r="AD154" s="21">
        <v>1</v>
      </c>
      <c r="AE154" s="86">
        <v>1</v>
      </c>
      <c r="AF154" s="23">
        <v>0</v>
      </c>
      <c r="AG154" s="23">
        <v>0</v>
      </c>
      <c r="AH154" s="23">
        <v>0</v>
      </c>
      <c r="AI154" s="108">
        <f>SUM(D154:AH154)</f>
        <v>17</v>
      </c>
      <c r="AJ154" s="119">
        <v>4</v>
      </c>
      <c r="AK154" s="81">
        <v>0</v>
      </c>
      <c r="AL154" s="81">
        <f>SUM(AI154:AK154)</f>
        <v>21</v>
      </c>
      <c r="AM154" s="81">
        <f>C154*AL154</f>
        <v>6774.1935483870966</v>
      </c>
      <c r="AN154" s="179">
        <v>8000</v>
      </c>
      <c r="AO154" s="533">
        <f>AM154+AM155</f>
        <v>7741.9354838709678</v>
      </c>
      <c r="AP154" s="671">
        <v>7500</v>
      </c>
    </row>
    <row r="155" spans="1:43" ht="17.25" customHeight="1" thickBot="1">
      <c r="A155" s="98">
        <f>C154/8</f>
        <v>40.322580645161288</v>
      </c>
      <c r="B155" s="147">
        <v>10000</v>
      </c>
      <c r="C155" s="116">
        <f>C154/8*1.5</f>
        <v>60.483870967741936</v>
      </c>
      <c r="D155" s="151">
        <v>0</v>
      </c>
      <c r="E155" s="151">
        <v>0</v>
      </c>
      <c r="F155" s="151">
        <v>0</v>
      </c>
      <c r="G155" s="151">
        <v>0</v>
      </c>
      <c r="H155" s="151">
        <v>0</v>
      </c>
      <c r="I155" s="151">
        <v>0</v>
      </c>
      <c r="J155" s="15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124">
        <v>8</v>
      </c>
      <c r="R155" s="151">
        <v>0</v>
      </c>
      <c r="S155" s="21">
        <v>0</v>
      </c>
      <c r="T155" s="21">
        <v>0</v>
      </c>
      <c r="U155" s="21">
        <v>0</v>
      </c>
      <c r="V155" s="21">
        <v>0</v>
      </c>
      <c r="W155" s="86">
        <v>0</v>
      </c>
      <c r="X155" s="15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86">
        <v>8</v>
      </c>
      <c r="AF155" s="21">
        <v>0</v>
      </c>
      <c r="AG155" s="21">
        <v>0</v>
      </c>
      <c r="AH155" s="151">
        <v>0</v>
      </c>
      <c r="AI155" s="108">
        <f t="shared" ref="AI155" si="51">SUM(D155:AH155)</f>
        <v>16</v>
      </c>
      <c r="AJ155" s="120">
        <v>0</v>
      </c>
      <c r="AK155" s="21">
        <v>0</v>
      </c>
      <c r="AL155" s="81">
        <f t="shared" ref="AL155" si="52">SUM(AI155:AK155)</f>
        <v>16</v>
      </c>
      <c r="AM155" s="81">
        <f>C155*AL155</f>
        <v>967.74193548387098</v>
      </c>
      <c r="AN155" s="20">
        <v>0</v>
      </c>
      <c r="AO155" s="528"/>
      <c r="AP155" s="672"/>
    </row>
    <row r="156" spans="1:43" ht="15.75" thickBot="1">
      <c r="A156" s="101"/>
      <c r="B156" s="571" t="s">
        <v>30</v>
      </c>
      <c r="C156" s="572"/>
      <c r="D156" s="149">
        <f>D144+D146+D148+D150+D152+D154</f>
        <v>5</v>
      </c>
      <c r="E156" s="149">
        <f t="shared" ref="E156:N156" si="53">E144+E146+E148+E150+E152+E154</f>
        <v>5</v>
      </c>
      <c r="F156" s="149">
        <f t="shared" si="53"/>
        <v>5</v>
      </c>
      <c r="G156" s="149">
        <f t="shared" si="53"/>
        <v>4</v>
      </c>
      <c r="H156" s="149">
        <f t="shared" si="53"/>
        <v>5</v>
      </c>
      <c r="I156" s="149">
        <f t="shared" si="53"/>
        <v>5</v>
      </c>
      <c r="J156" s="149">
        <f t="shared" si="53"/>
        <v>2</v>
      </c>
      <c r="K156" s="149">
        <f t="shared" si="53"/>
        <v>6</v>
      </c>
      <c r="L156" s="149">
        <f t="shared" si="53"/>
        <v>6</v>
      </c>
      <c r="M156" s="149">
        <f t="shared" si="53"/>
        <v>6</v>
      </c>
      <c r="N156" s="149">
        <f t="shared" si="53"/>
        <v>6</v>
      </c>
      <c r="O156" s="149">
        <f>O144+O146+O148+O150+O152+O154</f>
        <v>6</v>
      </c>
      <c r="P156" s="149">
        <f>P144+P146+P148+P150+P152+P154</f>
        <v>6</v>
      </c>
      <c r="Q156" s="149">
        <f t="shared" ref="Q156:AN156" si="54">Q144+Q146+Q148+Q150+Q152+Q154</f>
        <v>4</v>
      </c>
      <c r="R156" s="149">
        <f t="shared" si="54"/>
        <v>0</v>
      </c>
      <c r="S156" s="149">
        <f t="shared" si="54"/>
        <v>6</v>
      </c>
      <c r="T156" s="149">
        <f t="shared" si="54"/>
        <v>6</v>
      </c>
      <c r="U156" s="149">
        <f t="shared" si="54"/>
        <v>6</v>
      </c>
      <c r="V156" s="149">
        <f t="shared" si="54"/>
        <v>6</v>
      </c>
      <c r="W156" s="149">
        <f t="shared" si="54"/>
        <v>0</v>
      </c>
      <c r="X156" s="149">
        <f t="shared" si="54"/>
        <v>5</v>
      </c>
      <c r="Y156" s="149">
        <f t="shared" si="54"/>
        <v>6</v>
      </c>
      <c r="Z156" s="149">
        <f t="shared" si="54"/>
        <v>6</v>
      </c>
      <c r="AA156" s="149">
        <f t="shared" si="54"/>
        <v>4.5</v>
      </c>
      <c r="AB156" s="149">
        <f t="shared" si="54"/>
        <v>6</v>
      </c>
      <c r="AC156" s="149">
        <f t="shared" si="54"/>
        <v>5.5</v>
      </c>
      <c r="AD156" s="149">
        <f t="shared" si="54"/>
        <v>5</v>
      </c>
      <c r="AE156" s="149">
        <f t="shared" si="54"/>
        <v>4</v>
      </c>
      <c r="AF156" s="149">
        <f t="shared" si="54"/>
        <v>4</v>
      </c>
      <c r="AG156" s="149">
        <f t="shared" si="54"/>
        <v>2.5</v>
      </c>
      <c r="AH156" s="149">
        <f t="shared" si="54"/>
        <v>2</v>
      </c>
      <c r="AI156" s="149">
        <f t="shared" si="54"/>
        <v>145.5</v>
      </c>
      <c r="AJ156" s="149">
        <f t="shared" si="54"/>
        <v>15</v>
      </c>
      <c r="AK156" s="149">
        <f t="shared" si="54"/>
        <v>0</v>
      </c>
      <c r="AL156" s="149">
        <f t="shared" si="54"/>
        <v>160.5</v>
      </c>
      <c r="AM156" s="149">
        <f t="shared" si="54"/>
        <v>71145.161290322576</v>
      </c>
      <c r="AN156" s="311">
        <f t="shared" si="54"/>
        <v>71500</v>
      </c>
      <c r="AO156" s="575">
        <f>AM156+AM157</f>
        <v>73564.516129032258</v>
      </c>
      <c r="AP156" s="542">
        <f>SUM(AP144:AP155)</f>
        <v>17500</v>
      </c>
    </row>
    <row r="157" spans="1:43" ht="15.75" thickBot="1">
      <c r="A157" s="102"/>
      <c r="B157" s="544" t="s">
        <v>31</v>
      </c>
      <c r="C157" s="545"/>
      <c r="D157" s="150">
        <f>D145+D147+D149+D151+D153+D155</f>
        <v>0</v>
      </c>
      <c r="E157" s="150">
        <f t="shared" ref="E157:AN157" si="55">E145+E147+E149+E151+E153+E155</f>
        <v>0</v>
      </c>
      <c r="F157" s="150">
        <f t="shared" si="55"/>
        <v>2</v>
      </c>
      <c r="G157" s="150">
        <f t="shared" si="55"/>
        <v>0</v>
      </c>
      <c r="H157" s="150">
        <f t="shared" si="55"/>
        <v>2</v>
      </c>
      <c r="I157" s="150">
        <f t="shared" si="55"/>
        <v>2</v>
      </c>
      <c r="J157" s="150">
        <f t="shared" si="55"/>
        <v>16</v>
      </c>
      <c r="K157" s="150">
        <f t="shared" si="55"/>
        <v>2</v>
      </c>
      <c r="L157" s="150">
        <f t="shared" si="55"/>
        <v>2</v>
      </c>
      <c r="M157" s="150">
        <f t="shared" si="55"/>
        <v>0</v>
      </c>
      <c r="N157" s="150">
        <f t="shared" si="55"/>
        <v>0</v>
      </c>
      <c r="O157" s="150">
        <f t="shared" si="55"/>
        <v>2</v>
      </c>
      <c r="P157" s="150">
        <f t="shared" si="55"/>
        <v>2</v>
      </c>
      <c r="Q157" s="150">
        <f t="shared" si="55"/>
        <v>32</v>
      </c>
      <c r="R157" s="150">
        <f t="shared" si="55"/>
        <v>0</v>
      </c>
      <c r="S157" s="150">
        <f t="shared" si="55"/>
        <v>2</v>
      </c>
      <c r="T157" s="150">
        <f t="shared" si="55"/>
        <v>0</v>
      </c>
      <c r="U157" s="150">
        <f t="shared" si="55"/>
        <v>2</v>
      </c>
      <c r="V157" s="150">
        <f t="shared" si="55"/>
        <v>2</v>
      </c>
      <c r="W157" s="150">
        <f t="shared" si="55"/>
        <v>0</v>
      </c>
      <c r="X157" s="150">
        <f t="shared" si="55"/>
        <v>0</v>
      </c>
      <c r="Y157" s="150">
        <f t="shared" si="55"/>
        <v>0</v>
      </c>
      <c r="Z157" s="150">
        <f t="shared" si="55"/>
        <v>0</v>
      </c>
      <c r="AA157" s="150">
        <f t="shared" si="55"/>
        <v>2</v>
      </c>
      <c r="AB157" s="150">
        <f t="shared" si="55"/>
        <v>2</v>
      </c>
      <c r="AC157" s="150">
        <f t="shared" si="55"/>
        <v>0</v>
      </c>
      <c r="AD157" s="150">
        <f t="shared" si="55"/>
        <v>0</v>
      </c>
      <c r="AE157" s="150">
        <f t="shared" si="55"/>
        <v>32</v>
      </c>
      <c r="AF157" s="150">
        <f t="shared" si="55"/>
        <v>0</v>
      </c>
      <c r="AG157" s="150">
        <f t="shared" si="55"/>
        <v>0</v>
      </c>
      <c r="AH157" s="150">
        <f t="shared" si="55"/>
        <v>16</v>
      </c>
      <c r="AI157" s="150">
        <f t="shared" si="55"/>
        <v>120</v>
      </c>
      <c r="AJ157" s="150">
        <f t="shared" si="55"/>
        <v>0</v>
      </c>
      <c r="AK157" s="150">
        <f t="shared" si="55"/>
        <v>0</v>
      </c>
      <c r="AL157" s="150">
        <f t="shared" si="55"/>
        <v>120</v>
      </c>
      <c r="AM157" s="150">
        <f t="shared" si="55"/>
        <v>2419.3548387096771</v>
      </c>
      <c r="AN157" s="312">
        <f t="shared" si="55"/>
        <v>0</v>
      </c>
      <c r="AO157" s="576"/>
      <c r="AP157" s="670"/>
    </row>
    <row r="159" spans="1:43" ht="21.75" thickBot="1"/>
    <row r="160" spans="1:43" ht="27" thickBot="1">
      <c r="A160" s="585" t="s">
        <v>0</v>
      </c>
      <c r="B160" s="587" t="s">
        <v>1</v>
      </c>
      <c r="C160" s="588"/>
      <c r="D160" s="591" t="s">
        <v>92</v>
      </c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2"/>
      <c r="P160" s="592"/>
      <c r="Q160" s="592"/>
      <c r="R160" s="592"/>
      <c r="S160" s="592"/>
      <c r="T160" s="592"/>
      <c r="U160" s="592"/>
      <c r="V160" s="592"/>
      <c r="W160" s="592"/>
      <c r="X160" s="592"/>
      <c r="Y160" s="592"/>
      <c r="Z160" s="592"/>
      <c r="AA160" s="592"/>
      <c r="AB160" s="592"/>
      <c r="AC160" s="592"/>
      <c r="AD160" s="592"/>
      <c r="AE160" s="592"/>
      <c r="AF160" s="593"/>
      <c r="AG160" s="594">
        <v>30</v>
      </c>
      <c r="AH160" s="595"/>
      <c r="AI160" s="596" t="s">
        <v>3</v>
      </c>
      <c r="AJ160" s="580" t="s">
        <v>4</v>
      </c>
      <c r="AK160" s="580" t="s">
        <v>5</v>
      </c>
      <c r="AL160" s="580" t="s">
        <v>6</v>
      </c>
      <c r="AM160" s="580" t="s">
        <v>7</v>
      </c>
      <c r="AN160" s="578" t="s">
        <v>8</v>
      </c>
      <c r="AO160" s="578" t="s">
        <v>7</v>
      </c>
      <c r="AP160" s="580" t="s">
        <v>33</v>
      </c>
      <c r="AQ160" s="676" t="s">
        <v>93</v>
      </c>
    </row>
    <row r="161" spans="1:43" ht="15.75" thickBot="1">
      <c r="A161" s="586"/>
      <c r="B161" s="589"/>
      <c r="C161" s="590"/>
      <c r="D161" s="156">
        <v>1</v>
      </c>
      <c r="E161" s="157">
        <v>2</v>
      </c>
      <c r="F161" s="157">
        <v>3</v>
      </c>
      <c r="G161" s="157">
        <v>4</v>
      </c>
      <c r="H161" s="157">
        <v>5</v>
      </c>
      <c r="I161" s="157">
        <v>6</v>
      </c>
      <c r="J161" s="157">
        <v>7</v>
      </c>
      <c r="K161" s="157">
        <v>8</v>
      </c>
      <c r="L161" s="157">
        <v>9</v>
      </c>
      <c r="M161" s="157">
        <v>10</v>
      </c>
      <c r="N161" s="157">
        <v>11</v>
      </c>
      <c r="O161" s="157">
        <v>12</v>
      </c>
      <c r="P161" s="157">
        <v>13</v>
      </c>
      <c r="Q161" s="157">
        <v>14</v>
      </c>
      <c r="R161" s="157">
        <v>15</v>
      </c>
      <c r="S161" s="157">
        <v>16</v>
      </c>
      <c r="T161" s="157">
        <v>17</v>
      </c>
      <c r="U161" s="157">
        <v>18</v>
      </c>
      <c r="V161" s="157">
        <v>19</v>
      </c>
      <c r="W161" s="157">
        <v>20</v>
      </c>
      <c r="X161" s="157">
        <v>21</v>
      </c>
      <c r="Y161" s="157">
        <v>22</v>
      </c>
      <c r="Z161" s="157">
        <v>23</v>
      </c>
      <c r="AA161" s="157">
        <v>24</v>
      </c>
      <c r="AB161" s="157">
        <v>25</v>
      </c>
      <c r="AC161" s="157">
        <v>26</v>
      </c>
      <c r="AD161" s="157">
        <v>27</v>
      </c>
      <c r="AE161" s="157">
        <v>28</v>
      </c>
      <c r="AF161" s="157">
        <v>29</v>
      </c>
      <c r="AG161" s="157">
        <v>30</v>
      </c>
      <c r="AH161" s="155">
        <v>31</v>
      </c>
      <c r="AI161" s="597"/>
      <c r="AJ161" s="581"/>
      <c r="AK161" s="581"/>
      <c r="AL161" s="581"/>
      <c r="AM161" s="581"/>
      <c r="AN161" s="579"/>
      <c r="AO161" s="579"/>
      <c r="AP161" s="581"/>
      <c r="AQ161" s="677"/>
    </row>
    <row r="162" spans="1:43" ht="16.5" customHeight="1">
      <c r="A162" s="160">
        <v>1</v>
      </c>
      <c r="B162" s="95" t="s">
        <v>27</v>
      </c>
      <c r="C162" s="116">
        <f>B163/AG160</f>
        <v>333.33333333333331</v>
      </c>
      <c r="D162" s="21">
        <v>1</v>
      </c>
      <c r="E162" s="21">
        <v>1</v>
      </c>
      <c r="F162" s="21">
        <v>1</v>
      </c>
      <c r="G162" s="86">
        <v>0</v>
      </c>
      <c r="H162" s="21">
        <v>1</v>
      </c>
      <c r="I162" s="21">
        <v>1</v>
      </c>
      <c r="J162" s="21">
        <v>1</v>
      </c>
      <c r="K162" s="21">
        <v>1</v>
      </c>
      <c r="L162" s="21">
        <v>1</v>
      </c>
      <c r="M162" s="21">
        <v>1</v>
      </c>
      <c r="N162" s="86">
        <v>0</v>
      </c>
      <c r="O162" s="23">
        <v>0</v>
      </c>
      <c r="P162" s="23">
        <v>0</v>
      </c>
      <c r="Q162" s="23">
        <v>0</v>
      </c>
      <c r="R162" s="21">
        <v>1</v>
      </c>
      <c r="S162" s="21">
        <v>1</v>
      </c>
      <c r="T162" s="163">
        <v>0</v>
      </c>
      <c r="U162" s="162">
        <v>1</v>
      </c>
      <c r="V162" s="21">
        <v>1</v>
      </c>
      <c r="W162" s="21">
        <v>1</v>
      </c>
      <c r="X162" s="21">
        <v>1</v>
      </c>
      <c r="Y162" s="21">
        <v>1</v>
      </c>
      <c r="Z162" s="21">
        <v>1</v>
      </c>
      <c r="AA162" s="21">
        <v>1</v>
      </c>
      <c r="AB162" s="86">
        <v>0</v>
      </c>
      <c r="AC162" s="21">
        <v>1</v>
      </c>
      <c r="AD162" s="21">
        <v>1</v>
      </c>
      <c r="AE162" s="21">
        <v>1</v>
      </c>
      <c r="AF162" s="21">
        <v>1</v>
      </c>
      <c r="AG162" s="21">
        <v>1</v>
      </c>
      <c r="AH162" s="123">
        <v>0</v>
      </c>
      <c r="AI162" s="108">
        <f>SUM(D162:AH162)</f>
        <v>23</v>
      </c>
      <c r="AJ162" s="119">
        <v>4</v>
      </c>
      <c r="AK162" s="81">
        <v>0</v>
      </c>
      <c r="AL162" s="81">
        <f>SUM(AI162:AK162)</f>
        <v>27</v>
      </c>
      <c r="AM162" s="81">
        <f>C162*AL162</f>
        <v>9000</v>
      </c>
      <c r="AN162" s="179">
        <v>0</v>
      </c>
      <c r="AO162" s="574">
        <f>AM162+AM163</f>
        <v>10937.5</v>
      </c>
      <c r="AP162" s="583">
        <f>AO162-677</f>
        <v>10260.5</v>
      </c>
      <c r="AQ162" s="674">
        <f>1000-323</f>
        <v>677</v>
      </c>
    </row>
    <row r="163" spans="1:43" ht="16.5" customHeight="1">
      <c r="A163" s="78">
        <f>C162/8</f>
        <v>41.666666666666664</v>
      </c>
      <c r="B163" s="147">
        <v>10000</v>
      </c>
      <c r="C163" s="116">
        <f>C162/8*1.5</f>
        <v>62.5</v>
      </c>
      <c r="D163" s="21">
        <v>0</v>
      </c>
      <c r="E163" s="21">
        <v>0</v>
      </c>
      <c r="F163" s="21">
        <v>0</v>
      </c>
      <c r="G163" s="86">
        <v>0</v>
      </c>
      <c r="H163" s="21">
        <v>2</v>
      </c>
      <c r="I163" s="21">
        <v>0</v>
      </c>
      <c r="J163" s="21">
        <v>0</v>
      </c>
      <c r="K163" s="21">
        <v>0</v>
      </c>
      <c r="L163" s="21">
        <v>2</v>
      </c>
      <c r="M163" s="21">
        <v>1</v>
      </c>
      <c r="N163" s="86">
        <v>0</v>
      </c>
      <c r="O163" s="21">
        <v>0</v>
      </c>
      <c r="P163" s="21">
        <v>0</v>
      </c>
      <c r="Q163" s="21">
        <v>0</v>
      </c>
      <c r="R163" s="21">
        <v>2</v>
      </c>
      <c r="S163" s="21">
        <v>2</v>
      </c>
      <c r="T163" s="21">
        <v>0</v>
      </c>
      <c r="U163" s="86">
        <v>0</v>
      </c>
      <c r="V163" s="21">
        <v>2</v>
      </c>
      <c r="W163" s="21">
        <v>2</v>
      </c>
      <c r="X163" s="21">
        <v>0</v>
      </c>
      <c r="Y163" s="21">
        <v>2</v>
      </c>
      <c r="Z163" s="21">
        <v>2</v>
      </c>
      <c r="AA163" s="21">
        <v>0</v>
      </c>
      <c r="AB163" s="86">
        <v>6</v>
      </c>
      <c r="AC163" s="21">
        <v>2</v>
      </c>
      <c r="AD163" s="21">
        <v>2</v>
      </c>
      <c r="AE163" s="21">
        <v>0</v>
      </c>
      <c r="AF163" s="21">
        <v>2</v>
      </c>
      <c r="AG163" s="21">
        <v>2</v>
      </c>
      <c r="AH163" s="123">
        <v>0</v>
      </c>
      <c r="AI163" s="108">
        <f t="shared" ref="AI163:AI171" si="56">SUM(D163:AH163)</f>
        <v>31</v>
      </c>
      <c r="AJ163" s="120">
        <v>0</v>
      </c>
      <c r="AK163" s="21">
        <v>0</v>
      </c>
      <c r="AL163" s="81">
        <f t="shared" ref="AL163:AL171" si="57">SUM(AI163:AK163)</f>
        <v>31</v>
      </c>
      <c r="AM163" s="179">
        <f>C163*AL163</f>
        <v>1937.5</v>
      </c>
      <c r="AN163" s="20">
        <v>0</v>
      </c>
      <c r="AO163" s="582"/>
      <c r="AP163" s="584"/>
      <c r="AQ163" s="675"/>
    </row>
    <row r="164" spans="1:43" ht="15">
      <c r="A164" s="160">
        <v>2</v>
      </c>
      <c r="B164" s="95" t="s">
        <v>85</v>
      </c>
      <c r="C164" s="116">
        <f>B165/AG160</f>
        <v>500</v>
      </c>
      <c r="D164" s="23">
        <v>0</v>
      </c>
      <c r="E164" s="23">
        <v>0</v>
      </c>
      <c r="F164" s="21">
        <v>1</v>
      </c>
      <c r="G164" s="86">
        <v>0</v>
      </c>
      <c r="H164" s="21">
        <v>1</v>
      </c>
      <c r="I164" s="21">
        <v>1</v>
      </c>
      <c r="J164" s="21">
        <v>1</v>
      </c>
      <c r="K164" s="21">
        <v>1</v>
      </c>
      <c r="L164" s="21">
        <v>1</v>
      </c>
      <c r="M164" s="21">
        <v>1</v>
      </c>
      <c r="N164" s="86">
        <v>1</v>
      </c>
      <c r="O164" s="21">
        <v>1</v>
      </c>
      <c r="P164" s="21">
        <v>1</v>
      </c>
      <c r="Q164" s="21">
        <v>1</v>
      </c>
      <c r="R164" s="21">
        <v>1</v>
      </c>
      <c r="S164" s="21">
        <v>1</v>
      </c>
      <c r="T164" s="164">
        <v>0</v>
      </c>
      <c r="U164" s="165">
        <v>0</v>
      </c>
      <c r="V164" s="21">
        <v>1</v>
      </c>
      <c r="W164" s="21">
        <v>1</v>
      </c>
      <c r="X164" s="21">
        <v>1</v>
      </c>
      <c r="Y164" s="21">
        <v>1</v>
      </c>
      <c r="Z164" s="21">
        <v>1</v>
      </c>
      <c r="AA164" s="21">
        <v>1</v>
      </c>
      <c r="AB164" s="86">
        <v>0</v>
      </c>
      <c r="AC164" s="21">
        <v>1</v>
      </c>
      <c r="AD164" s="21">
        <v>1</v>
      </c>
      <c r="AE164" s="21">
        <v>1</v>
      </c>
      <c r="AF164" s="21">
        <v>1</v>
      </c>
      <c r="AG164" s="21">
        <v>1</v>
      </c>
      <c r="AH164" s="123">
        <v>0</v>
      </c>
      <c r="AI164" s="108">
        <f t="shared" si="56"/>
        <v>24</v>
      </c>
      <c r="AJ164" s="120">
        <v>4</v>
      </c>
      <c r="AK164" s="81">
        <v>0</v>
      </c>
      <c r="AL164" s="81">
        <f t="shared" si="57"/>
        <v>28</v>
      </c>
      <c r="AM164" s="81">
        <f t="shared" ref="AM164:AM171" si="58">C164*AL164</f>
        <v>14000</v>
      </c>
      <c r="AN164" s="20">
        <v>0</v>
      </c>
      <c r="AO164" s="574">
        <f>AM164+AM165</f>
        <v>14000</v>
      </c>
      <c r="AP164" s="583">
        <v>14000</v>
      </c>
      <c r="AQ164" s="674">
        <v>0</v>
      </c>
    </row>
    <row r="165" spans="1:43" ht="15">
      <c r="A165" s="78">
        <f>C164/10</f>
        <v>50</v>
      </c>
      <c r="B165" s="147">
        <v>15000</v>
      </c>
      <c r="C165" s="116">
        <v>0</v>
      </c>
      <c r="D165" s="21">
        <v>0</v>
      </c>
      <c r="E165" s="21">
        <v>0</v>
      </c>
      <c r="F165" s="21">
        <v>0</v>
      </c>
      <c r="G165" s="86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124">
        <v>8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86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86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123">
        <v>0</v>
      </c>
      <c r="AI165" s="108">
        <f t="shared" si="56"/>
        <v>8</v>
      </c>
      <c r="AJ165" s="120">
        <v>0</v>
      </c>
      <c r="AK165" s="21">
        <v>0</v>
      </c>
      <c r="AL165" s="81">
        <f t="shared" si="57"/>
        <v>8</v>
      </c>
      <c r="AM165" s="81">
        <f t="shared" si="58"/>
        <v>0</v>
      </c>
      <c r="AN165" s="20">
        <v>0</v>
      </c>
      <c r="AO165" s="582"/>
      <c r="AP165" s="584"/>
      <c r="AQ165" s="675"/>
    </row>
    <row r="166" spans="1:43" ht="16.5" customHeight="1">
      <c r="A166" s="160">
        <v>3</v>
      </c>
      <c r="B166" s="95" t="s">
        <v>86</v>
      </c>
      <c r="C166" s="116">
        <v>500</v>
      </c>
      <c r="D166" s="21">
        <v>1</v>
      </c>
      <c r="E166" s="154">
        <v>0.5</v>
      </c>
      <c r="F166" s="23">
        <v>0</v>
      </c>
      <c r="G166" s="86">
        <v>0</v>
      </c>
      <c r="H166" s="21">
        <v>1</v>
      </c>
      <c r="I166" s="21">
        <v>1</v>
      </c>
      <c r="J166" s="21">
        <v>1</v>
      </c>
      <c r="K166" s="21">
        <v>1</v>
      </c>
      <c r="L166" s="21">
        <v>1</v>
      </c>
      <c r="M166" s="21">
        <v>1</v>
      </c>
      <c r="N166" s="86">
        <v>1</v>
      </c>
      <c r="O166" s="21">
        <v>1</v>
      </c>
      <c r="P166" s="21">
        <v>1</v>
      </c>
      <c r="Q166" s="21">
        <v>1</v>
      </c>
      <c r="R166" s="21">
        <v>1</v>
      </c>
      <c r="S166" s="21">
        <v>1</v>
      </c>
      <c r="T166" s="161">
        <v>0</v>
      </c>
      <c r="U166" s="162">
        <v>1</v>
      </c>
      <c r="V166" s="21">
        <v>1</v>
      </c>
      <c r="W166" s="21">
        <v>1</v>
      </c>
      <c r="X166" s="21">
        <v>1</v>
      </c>
      <c r="Y166" s="21">
        <v>1</v>
      </c>
      <c r="Z166" s="21">
        <v>1</v>
      </c>
      <c r="AA166" s="21">
        <v>1</v>
      </c>
      <c r="AB166" s="86">
        <v>0</v>
      </c>
      <c r="AC166" s="21">
        <v>1</v>
      </c>
      <c r="AD166" s="21">
        <v>1</v>
      </c>
      <c r="AE166" s="21">
        <v>1</v>
      </c>
      <c r="AF166" s="21">
        <v>1</v>
      </c>
      <c r="AG166" s="21">
        <v>1</v>
      </c>
      <c r="AH166" s="123">
        <v>0</v>
      </c>
      <c r="AI166" s="108">
        <f t="shared" si="56"/>
        <v>25.5</v>
      </c>
      <c r="AJ166" s="120">
        <v>0</v>
      </c>
      <c r="AK166" s="81">
        <v>0</v>
      </c>
      <c r="AL166" s="81">
        <f t="shared" si="57"/>
        <v>25.5</v>
      </c>
      <c r="AM166" s="81">
        <f t="shared" si="58"/>
        <v>12750</v>
      </c>
      <c r="AN166" s="20">
        <v>0</v>
      </c>
      <c r="AO166" s="574">
        <f>AM166+AM167</f>
        <v>12750</v>
      </c>
      <c r="AP166" s="584">
        <v>12750</v>
      </c>
      <c r="AQ166" s="674">
        <v>0</v>
      </c>
    </row>
    <row r="167" spans="1:43" ht="16.5" customHeight="1">
      <c r="A167" s="78">
        <f>C166/10</f>
        <v>50</v>
      </c>
      <c r="B167" s="147"/>
      <c r="C167" s="116">
        <v>0</v>
      </c>
      <c r="D167" s="21">
        <v>0</v>
      </c>
      <c r="E167" s="21">
        <v>0</v>
      </c>
      <c r="F167" s="21">
        <v>0</v>
      </c>
      <c r="G167" s="86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124">
        <v>8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86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86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123">
        <v>0</v>
      </c>
      <c r="AI167" s="108">
        <f t="shared" si="56"/>
        <v>8</v>
      </c>
      <c r="AJ167" s="120">
        <v>0</v>
      </c>
      <c r="AK167" s="21">
        <v>0</v>
      </c>
      <c r="AL167" s="81">
        <f t="shared" si="57"/>
        <v>8</v>
      </c>
      <c r="AM167" s="81">
        <f t="shared" si="58"/>
        <v>0</v>
      </c>
      <c r="AN167" s="20">
        <v>0</v>
      </c>
      <c r="AO167" s="582"/>
      <c r="AP167" s="584"/>
      <c r="AQ167" s="675"/>
    </row>
    <row r="168" spans="1:43" ht="16.5" customHeight="1">
      <c r="A168" s="160">
        <v>4</v>
      </c>
      <c r="B168" s="95" t="s">
        <v>87</v>
      </c>
      <c r="C168" s="116">
        <v>500</v>
      </c>
      <c r="D168" s="21">
        <v>1</v>
      </c>
      <c r="E168" s="21">
        <v>1</v>
      </c>
      <c r="F168" s="21">
        <v>1</v>
      </c>
      <c r="G168" s="86">
        <v>0</v>
      </c>
      <c r="H168" s="21">
        <v>1</v>
      </c>
      <c r="I168" s="21">
        <v>1</v>
      </c>
      <c r="J168" s="21">
        <v>1</v>
      </c>
      <c r="K168" s="21">
        <v>1</v>
      </c>
      <c r="L168" s="21">
        <v>1</v>
      </c>
      <c r="M168" s="21">
        <v>1</v>
      </c>
      <c r="N168" s="86">
        <v>1</v>
      </c>
      <c r="O168" s="21">
        <v>1</v>
      </c>
      <c r="P168" s="21">
        <v>1</v>
      </c>
      <c r="Q168" s="23">
        <v>0</v>
      </c>
      <c r="R168" s="21">
        <v>1</v>
      </c>
      <c r="S168" s="21">
        <v>1</v>
      </c>
      <c r="T168" s="161">
        <v>0</v>
      </c>
      <c r="U168" s="162">
        <v>1</v>
      </c>
      <c r="V168" s="21">
        <v>1</v>
      </c>
      <c r="W168" s="21">
        <v>1</v>
      </c>
      <c r="X168" s="21">
        <v>1</v>
      </c>
      <c r="Y168" s="21">
        <v>1</v>
      </c>
      <c r="Z168" s="21">
        <v>1</v>
      </c>
      <c r="AA168" s="21">
        <v>1</v>
      </c>
      <c r="AB168" s="86">
        <v>1</v>
      </c>
      <c r="AC168" s="21">
        <v>1</v>
      </c>
      <c r="AD168" s="21">
        <v>1</v>
      </c>
      <c r="AE168" s="21">
        <v>1</v>
      </c>
      <c r="AF168" s="21">
        <v>1</v>
      </c>
      <c r="AG168" s="21">
        <v>1</v>
      </c>
      <c r="AH168" s="123">
        <v>0</v>
      </c>
      <c r="AI168" s="108">
        <f t="shared" si="56"/>
        <v>27</v>
      </c>
      <c r="AJ168" s="120">
        <v>0</v>
      </c>
      <c r="AK168" s="21">
        <v>0</v>
      </c>
      <c r="AL168" s="81">
        <f t="shared" si="57"/>
        <v>27</v>
      </c>
      <c r="AM168" s="81">
        <f t="shared" si="58"/>
        <v>13500</v>
      </c>
      <c r="AN168" s="20">
        <v>0</v>
      </c>
      <c r="AO168" s="574">
        <f>AM168+AM169</f>
        <v>13500</v>
      </c>
      <c r="AP168" s="584">
        <v>13000</v>
      </c>
      <c r="AQ168" s="674">
        <v>500</v>
      </c>
    </row>
    <row r="169" spans="1:43" ht="16.5" customHeight="1">
      <c r="A169" s="78">
        <f>C168/10</f>
        <v>50</v>
      </c>
      <c r="B169" s="147"/>
      <c r="C169" s="116">
        <v>0</v>
      </c>
      <c r="D169" s="21">
        <v>0</v>
      </c>
      <c r="E169" s="21">
        <v>0</v>
      </c>
      <c r="F169" s="21">
        <v>0</v>
      </c>
      <c r="G169" s="86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124">
        <v>8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86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124">
        <v>8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123">
        <v>0</v>
      </c>
      <c r="AI169" s="108">
        <f t="shared" si="56"/>
        <v>16</v>
      </c>
      <c r="AJ169" s="120">
        <v>0</v>
      </c>
      <c r="AK169" s="21">
        <v>0</v>
      </c>
      <c r="AL169" s="81">
        <f t="shared" si="57"/>
        <v>16</v>
      </c>
      <c r="AM169" s="81">
        <f t="shared" si="58"/>
        <v>0</v>
      </c>
      <c r="AN169" s="20">
        <v>0</v>
      </c>
      <c r="AO169" s="582"/>
      <c r="AP169" s="584"/>
      <c r="AQ169" s="675"/>
    </row>
    <row r="170" spans="1:43" ht="16.5" customHeight="1">
      <c r="A170" s="160">
        <v>5</v>
      </c>
      <c r="B170" s="95" t="s">
        <v>88</v>
      </c>
      <c r="C170" s="116">
        <v>500</v>
      </c>
      <c r="D170" s="23">
        <v>0</v>
      </c>
      <c r="E170" s="21">
        <v>1</v>
      </c>
      <c r="F170" s="21">
        <v>1</v>
      </c>
      <c r="G170" s="86">
        <v>0</v>
      </c>
      <c r="H170" s="21">
        <v>1</v>
      </c>
      <c r="I170" s="21">
        <v>1</v>
      </c>
      <c r="J170" s="21">
        <v>1</v>
      </c>
      <c r="K170" s="21">
        <v>1</v>
      </c>
      <c r="L170" s="21">
        <v>1</v>
      </c>
      <c r="M170" s="21">
        <v>1</v>
      </c>
      <c r="N170" s="86">
        <v>1</v>
      </c>
      <c r="O170" s="21">
        <v>1</v>
      </c>
      <c r="P170" s="21">
        <v>1</v>
      </c>
      <c r="Q170" s="21">
        <v>1</v>
      </c>
      <c r="R170" s="21">
        <v>1</v>
      </c>
      <c r="S170" s="21">
        <v>1</v>
      </c>
      <c r="T170" s="23">
        <v>0</v>
      </c>
      <c r="U170" s="86">
        <v>1</v>
      </c>
      <c r="V170" s="21">
        <v>1</v>
      </c>
      <c r="W170" s="21">
        <v>1</v>
      </c>
      <c r="X170" s="21">
        <v>1</v>
      </c>
      <c r="Y170" s="21">
        <v>1</v>
      </c>
      <c r="Z170" s="21">
        <v>1</v>
      </c>
      <c r="AA170" s="21">
        <v>1</v>
      </c>
      <c r="AB170" s="86">
        <v>0</v>
      </c>
      <c r="AC170" s="21">
        <v>1</v>
      </c>
      <c r="AD170" s="21">
        <v>1</v>
      </c>
      <c r="AE170" s="21">
        <v>1</v>
      </c>
      <c r="AF170" s="21">
        <v>1</v>
      </c>
      <c r="AG170" s="21">
        <v>1</v>
      </c>
      <c r="AH170" s="123">
        <v>0</v>
      </c>
      <c r="AI170" s="108">
        <f t="shared" si="56"/>
        <v>26</v>
      </c>
      <c r="AJ170" s="120">
        <v>0</v>
      </c>
      <c r="AK170" s="21">
        <v>0</v>
      </c>
      <c r="AL170" s="81">
        <f t="shared" si="57"/>
        <v>26</v>
      </c>
      <c r="AM170" s="81">
        <f t="shared" si="58"/>
        <v>13000</v>
      </c>
      <c r="AN170" s="20">
        <v>0</v>
      </c>
      <c r="AO170" s="574">
        <f>AM170+AM171</f>
        <v>13000</v>
      </c>
      <c r="AP170" s="584">
        <v>13000</v>
      </c>
      <c r="AQ170" s="674">
        <v>0</v>
      </c>
    </row>
    <row r="171" spans="1:43" ht="16.5" customHeight="1">
      <c r="A171" s="78">
        <f>C170/10</f>
        <v>50</v>
      </c>
      <c r="B171" s="147"/>
      <c r="C171" s="116">
        <v>0</v>
      </c>
      <c r="D171" s="21">
        <v>0</v>
      </c>
      <c r="E171" s="21">
        <v>0</v>
      </c>
      <c r="F171" s="21">
        <v>0</v>
      </c>
      <c r="G171" s="86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124">
        <v>8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86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86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123">
        <v>0</v>
      </c>
      <c r="AI171" s="108">
        <f t="shared" si="56"/>
        <v>8</v>
      </c>
      <c r="AJ171" s="28">
        <v>0</v>
      </c>
      <c r="AK171" s="21">
        <v>0</v>
      </c>
      <c r="AL171" s="81">
        <f t="shared" si="57"/>
        <v>8</v>
      </c>
      <c r="AM171" s="81">
        <f t="shared" si="58"/>
        <v>0</v>
      </c>
      <c r="AN171" s="20">
        <v>0</v>
      </c>
      <c r="AO171" s="582"/>
      <c r="AP171" s="584"/>
      <c r="AQ171" s="675"/>
    </row>
    <row r="172" spans="1:43" ht="15">
      <c r="A172" s="160">
        <v>6</v>
      </c>
      <c r="B172" s="95" t="s">
        <v>90</v>
      </c>
      <c r="C172" s="116">
        <f>B173/AG160</f>
        <v>333.33333333333331</v>
      </c>
      <c r="D172" s="23">
        <v>0</v>
      </c>
      <c r="E172" s="21">
        <v>1</v>
      </c>
      <c r="F172" s="21">
        <v>1</v>
      </c>
      <c r="G172" s="86">
        <v>0</v>
      </c>
      <c r="H172" s="23">
        <v>0</v>
      </c>
      <c r="I172" s="23">
        <v>0</v>
      </c>
      <c r="J172" s="21">
        <v>1</v>
      </c>
      <c r="K172" s="21">
        <v>1</v>
      </c>
      <c r="L172" s="154">
        <v>0.5</v>
      </c>
      <c r="M172" s="21">
        <v>1</v>
      </c>
      <c r="N172" s="86">
        <v>0</v>
      </c>
      <c r="O172" s="21">
        <v>1</v>
      </c>
      <c r="P172" s="21">
        <v>1</v>
      </c>
      <c r="Q172" s="21">
        <v>1</v>
      </c>
      <c r="R172" s="21">
        <v>1</v>
      </c>
      <c r="S172" s="21">
        <v>1</v>
      </c>
      <c r="T172" s="21">
        <v>1</v>
      </c>
      <c r="U172" s="162">
        <v>1</v>
      </c>
      <c r="V172" s="163">
        <v>0</v>
      </c>
      <c r="W172" s="21">
        <v>1</v>
      </c>
      <c r="X172" s="21">
        <v>1</v>
      </c>
      <c r="Y172" s="21">
        <v>1</v>
      </c>
      <c r="Z172" s="21">
        <v>1</v>
      </c>
      <c r="AA172" s="21">
        <v>1</v>
      </c>
      <c r="AB172" s="86">
        <v>0</v>
      </c>
      <c r="AC172" s="21">
        <v>1</v>
      </c>
      <c r="AD172" s="21">
        <v>1</v>
      </c>
      <c r="AE172" s="21">
        <v>1</v>
      </c>
      <c r="AF172" s="23">
        <v>0</v>
      </c>
      <c r="AG172" s="21">
        <v>1</v>
      </c>
      <c r="AH172" s="123">
        <v>0</v>
      </c>
      <c r="AI172" s="108">
        <f>SUM(D172:AH172)</f>
        <v>21.5</v>
      </c>
      <c r="AJ172" s="119">
        <v>4</v>
      </c>
      <c r="AK172" s="81">
        <v>0</v>
      </c>
      <c r="AL172" s="81">
        <f>SUM(AI172:AK172)</f>
        <v>25.5</v>
      </c>
      <c r="AM172" s="81">
        <f>C172*AL172</f>
        <v>8500</v>
      </c>
      <c r="AN172" s="179">
        <v>0</v>
      </c>
      <c r="AO172" s="574">
        <f>AM172+AM173</f>
        <v>8500</v>
      </c>
      <c r="AP172" s="583">
        <v>8500</v>
      </c>
      <c r="AQ172" s="674">
        <v>0</v>
      </c>
    </row>
    <row r="173" spans="1:43" ht="15.75" thickBot="1">
      <c r="A173" s="78">
        <f>C172/8</f>
        <v>41.666666666666664</v>
      </c>
      <c r="B173" s="147">
        <v>10000</v>
      </c>
      <c r="C173" s="116">
        <f>C172/8*1.5</f>
        <v>62.5</v>
      </c>
      <c r="D173" s="21">
        <v>0</v>
      </c>
      <c r="E173" s="21">
        <v>0</v>
      </c>
      <c r="F173" s="21">
        <v>0</v>
      </c>
      <c r="G173" s="86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86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86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86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123">
        <v>0</v>
      </c>
      <c r="AI173" s="108">
        <f t="shared" ref="AI173" si="59">SUM(D173:AH173)</f>
        <v>0</v>
      </c>
      <c r="AJ173" s="120">
        <v>0</v>
      </c>
      <c r="AK173" s="21">
        <v>0</v>
      </c>
      <c r="AL173" s="81">
        <f t="shared" ref="AL173" si="60">SUM(AI173:AK173)</f>
        <v>0</v>
      </c>
      <c r="AM173" s="81">
        <f>C173*AL173</f>
        <v>0</v>
      </c>
      <c r="AN173" s="20">
        <v>0</v>
      </c>
      <c r="AO173" s="582"/>
      <c r="AP173" s="584"/>
      <c r="AQ173" s="675"/>
    </row>
    <row r="174" spans="1:43" ht="17.25" customHeight="1" thickBot="1">
      <c r="A174" s="89"/>
      <c r="B174" s="571" t="s">
        <v>30</v>
      </c>
      <c r="C174" s="572"/>
      <c r="D174" s="158">
        <f>D162+D164+D166+D168+D170+D172</f>
        <v>3</v>
      </c>
      <c r="E174" s="158">
        <f>E162+E164+E166+E168+E170+E172</f>
        <v>4.5</v>
      </c>
      <c r="F174" s="158">
        <f t="shared" ref="F174:N174" si="61">F162+F164+F166+F168+F170+F172</f>
        <v>5</v>
      </c>
      <c r="G174" s="158">
        <f t="shared" si="61"/>
        <v>0</v>
      </c>
      <c r="H174" s="158">
        <f t="shared" si="61"/>
        <v>5</v>
      </c>
      <c r="I174" s="158">
        <f t="shared" si="61"/>
        <v>5</v>
      </c>
      <c r="J174" s="158">
        <f t="shared" si="61"/>
        <v>6</v>
      </c>
      <c r="K174" s="158">
        <f t="shared" si="61"/>
        <v>6</v>
      </c>
      <c r="L174" s="158">
        <f t="shared" si="61"/>
        <v>5.5</v>
      </c>
      <c r="M174" s="158">
        <f t="shared" si="61"/>
        <v>6</v>
      </c>
      <c r="N174" s="158">
        <f t="shared" si="61"/>
        <v>4</v>
      </c>
      <c r="O174" s="158">
        <f>O162+O164+O166+O168+O170+O172</f>
        <v>5</v>
      </c>
      <c r="P174" s="158">
        <f>P162+P164+P166+P168+P170+P172</f>
        <v>5</v>
      </c>
      <c r="Q174" s="158">
        <f t="shared" ref="Q174:AN174" si="62">Q162+Q164+Q166+Q168+Q170+Q172</f>
        <v>4</v>
      </c>
      <c r="R174" s="158">
        <f t="shared" si="62"/>
        <v>6</v>
      </c>
      <c r="S174" s="158">
        <f t="shared" si="62"/>
        <v>6</v>
      </c>
      <c r="T174" s="158">
        <f t="shared" si="62"/>
        <v>1</v>
      </c>
      <c r="U174" s="158">
        <f t="shared" si="62"/>
        <v>5</v>
      </c>
      <c r="V174" s="158">
        <f t="shared" si="62"/>
        <v>5</v>
      </c>
      <c r="W174" s="158">
        <f t="shared" si="62"/>
        <v>6</v>
      </c>
      <c r="X174" s="158">
        <f t="shared" si="62"/>
        <v>6</v>
      </c>
      <c r="Y174" s="158">
        <f t="shared" si="62"/>
        <v>6</v>
      </c>
      <c r="Z174" s="158">
        <f t="shared" si="62"/>
        <v>6</v>
      </c>
      <c r="AA174" s="158">
        <f t="shared" si="62"/>
        <v>6</v>
      </c>
      <c r="AB174" s="158">
        <f t="shared" si="62"/>
        <v>1</v>
      </c>
      <c r="AC174" s="158">
        <f t="shared" si="62"/>
        <v>6</v>
      </c>
      <c r="AD174" s="158">
        <f t="shared" si="62"/>
        <v>6</v>
      </c>
      <c r="AE174" s="158">
        <f t="shared" si="62"/>
        <v>6</v>
      </c>
      <c r="AF174" s="158">
        <f t="shared" si="62"/>
        <v>5</v>
      </c>
      <c r="AG174" s="158">
        <f t="shared" si="62"/>
        <v>6</v>
      </c>
      <c r="AH174" s="158">
        <f t="shared" si="62"/>
        <v>0</v>
      </c>
      <c r="AI174" s="158">
        <f t="shared" si="62"/>
        <v>147</v>
      </c>
      <c r="AJ174" s="158">
        <f t="shared" si="62"/>
        <v>12</v>
      </c>
      <c r="AK174" s="158">
        <f t="shared" si="62"/>
        <v>0</v>
      </c>
      <c r="AL174" s="158">
        <f t="shared" si="62"/>
        <v>159</v>
      </c>
      <c r="AM174" s="158">
        <f t="shared" si="62"/>
        <v>70750</v>
      </c>
      <c r="AN174" s="311">
        <f t="shared" si="62"/>
        <v>0</v>
      </c>
      <c r="AO174" s="575">
        <f>AM174+AM175</f>
        <v>72687.5</v>
      </c>
      <c r="AP174" s="540">
        <f>SUM(AP162:AP173)</f>
        <v>71510.5</v>
      </c>
      <c r="AQ174" s="678">
        <f>SUM(AQ162:AQ173)</f>
        <v>1177</v>
      </c>
    </row>
    <row r="175" spans="1:43" ht="17.25" customHeight="1" thickBot="1">
      <c r="A175" s="90"/>
      <c r="B175" s="544" t="s">
        <v>31</v>
      </c>
      <c r="C175" s="545"/>
      <c r="D175" s="159">
        <f>D163+D165+D167+D169+D171+D173</f>
        <v>0</v>
      </c>
      <c r="E175" s="159">
        <f t="shared" ref="E175:AN175" si="63">E163+E165+E167+E169+E171+E173</f>
        <v>0</v>
      </c>
      <c r="F175" s="159">
        <f t="shared" si="63"/>
        <v>0</v>
      </c>
      <c r="G175" s="159">
        <f t="shared" si="63"/>
        <v>0</v>
      </c>
      <c r="H175" s="159">
        <f t="shared" si="63"/>
        <v>2</v>
      </c>
      <c r="I175" s="159">
        <f t="shared" si="63"/>
        <v>0</v>
      </c>
      <c r="J175" s="159">
        <f t="shared" si="63"/>
        <v>0</v>
      </c>
      <c r="K175" s="159">
        <f t="shared" si="63"/>
        <v>0</v>
      </c>
      <c r="L175" s="159">
        <f t="shared" si="63"/>
        <v>2</v>
      </c>
      <c r="M175" s="159">
        <f t="shared" si="63"/>
        <v>1</v>
      </c>
      <c r="N175" s="159">
        <f t="shared" si="63"/>
        <v>32</v>
      </c>
      <c r="O175" s="159">
        <f t="shared" si="63"/>
        <v>0</v>
      </c>
      <c r="P175" s="159">
        <f t="shared" si="63"/>
        <v>0</v>
      </c>
      <c r="Q175" s="159">
        <f t="shared" si="63"/>
        <v>0</v>
      </c>
      <c r="R175" s="159">
        <f t="shared" si="63"/>
        <v>2</v>
      </c>
      <c r="S175" s="159">
        <f t="shared" si="63"/>
        <v>2</v>
      </c>
      <c r="T175" s="159">
        <f t="shared" si="63"/>
        <v>0</v>
      </c>
      <c r="U175" s="159">
        <f t="shared" si="63"/>
        <v>0</v>
      </c>
      <c r="V175" s="159">
        <f t="shared" si="63"/>
        <v>2</v>
      </c>
      <c r="W175" s="159">
        <f t="shared" si="63"/>
        <v>2</v>
      </c>
      <c r="X175" s="159">
        <f t="shared" si="63"/>
        <v>0</v>
      </c>
      <c r="Y175" s="159">
        <f t="shared" si="63"/>
        <v>2</v>
      </c>
      <c r="Z175" s="159">
        <f t="shared" si="63"/>
        <v>2</v>
      </c>
      <c r="AA175" s="159">
        <f t="shared" si="63"/>
        <v>0</v>
      </c>
      <c r="AB175" s="159">
        <f t="shared" si="63"/>
        <v>14</v>
      </c>
      <c r="AC175" s="159">
        <f t="shared" si="63"/>
        <v>2</v>
      </c>
      <c r="AD175" s="159">
        <f t="shared" si="63"/>
        <v>2</v>
      </c>
      <c r="AE175" s="159">
        <f t="shared" si="63"/>
        <v>0</v>
      </c>
      <c r="AF175" s="159">
        <f t="shared" si="63"/>
        <v>2</v>
      </c>
      <c r="AG175" s="159">
        <f t="shared" si="63"/>
        <v>2</v>
      </c>
      <c r="AH175" s="159">
        <f t="shared" si="63"/>
        <v>0</v>
      </c>
      <c r="AI175" s="159">
        <f t="shared" si="63"/>
        <v>71</v>
      </c>
      <c r="AJ175" s="159">
        <f t="shared" si="63"/>
        <v>0</v>
      </c>
      <c r="AK175" s="159">
        <f t="shared" si="63"/>
        <v>0</v>
      </c>
      <c r="AL175" s="159">
        <f t="shared" si="63"/>
        <v>71</v>
      </c>
      <c r="AM175" s="159">
        <f t="shared" si="63"/>
        <v>1937.5</v>
      </c>
      <c r="AN175" s="312">
        <f t="shared" si="63"/>
        <v>0</v>
      </c>
      <c r="AO175" s="576"/>
      <c r="AP175" s="577"/>
      <c r="AQ175" s="679"/>
    </row>
    <row r="177" spans="1:44" ht="21.75" thickBot="1"/>
    <row r="178" spans="1:44" ht="27" thickBot="1">
      <c r="A178" s="680" t="s">
        <v>0</v>
      </c>
      <c r="B178" s="682" t="s">
        <v>1</v>
      </c>
      <c r="C178" s="683"/>
      <c r="D178" s="686" t="s">
        <v>94</v>
      </c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7"/>
      <c r="P178" s="687"/>
      <c r="Q178" s="687"/>
      <c r="R178" s="687"/>
      <c r="S178" s="687"/>
      <c r="T178" s="687"/>
      <c r="U178" s="687"/>
      <c r="V178" s="687"/>
      <c r="W178" s="687"/>
      <c r="X178" s="687"/>
      <c r="Y178" s="687"/>
      <c r="Z178" s="687"/>
      <c r="AA178" s="687"/>
      <c r="AB178" s="687"/>
      <c r="AC178" s="687"/>
      <c r="AD178" s="687"/>
      <c r="AE178" s="687"/>
      <c r="AF178" s="688"/>
      <c r="AG178" s="689">
        <v>31</v>
      </c>
      <c r="AH178" s="690"/>
      <c r="AI178" s="691" t="s">
        <v>3</v>
      </c>
      <c r="AJ178" s="693" t="s">
        <v>4</v>
      </c>
      <c r="AK178" s="693" t="s">
        <v>5</v>
      </c>
      <c r="AL178" s="693" t="s">
        <v>6</v>
      </c>
      <c r="AM178" s="695" t="s">
        <v>7</v>
      </c>
      <c r="AN178" s="697" t="s">
        <v>8</v>
      </c>
      <c r="AO178" s="697" t="s">
        <v>7</v>
      </c>
      <c r="AP178" s="695" t="s">
        <v>33</v>
      </c>
      <c r="AQ178" s="699" t="s">
        <v>93</v>
      </c>
    </row>
    <row r="179" spans="1:44" ht="15.75" thickBot="1">
      <c r="A179" s="681"/>
      <c r="B179" s="684"/>
      <c r="C179" s="685"/>
      <c r="D179" s="168">
        <v>1</v>
      </c>
      <c r="E179" s="169">
        <v>2</v>
      </c>
      <c r="F179" s="169">
        <v>3</v>
      </c>
      <c r="G179" s="169">
        <v>4</v>
      </c>
      <c r="H179" s="169">
        <v>5</v>
      </c>
      <c r="I179" s="169">
        <v>6</v>
      </c>
      <c r="J179" s="169">
        <v>7</v>
      </c>
      <c r="K179" s="169">
        <v>8</v>
      </c>
      <c r="L179" s="169">
        <v>9</v>
      </c>
      <c r="M179" s="169">
        <v>10</v>
      </c>
      <c r="N179" s="169">
        <v>11</v>
      </c>
      <c r="O179" s="169">
        <v>12</v>
      </c>
      <c r="P179" s="169">
        <v>13</v>
      </c>
      <c r="Q179" s="169">
        <v>14</v>
      </c>
      <c r="R179" s="169">
        <v>15</v>
      </c>
      <c r="S179" s="169">
        <v>16</v>
      </c>
      <c r="T179" s="169">
        <v>17</v>
      </c>
      <c r="U179" s="169">
        <v>18</v>
      </c>
      <c r="V179" s="169">
        <v>19</v>
      </c>
      <c r="W179" s="169">
        <v>20</v>
      </c>
      <c r="X179" s="169">
        <v>21</v>
      </c>
      <c r="Y179" s="169">
        <v>22</v>
      </c>
      <c r="Z179" s="169">
        <v>23</v>
      </c>
      <c r="AA179" s="169">
        <v>24</v>
      </c>
      <c r="AB179" s="169">
        <v>25</v>
      </c>
      <c r="AC179" s="169">
        <v>26</v>
      </c>
      <c r="AD179" s="169">
        <v>27</v>
      </c>
      <c r="AE179" s="169">
        <v>28</v>
      </c>
      <c r="AF179" s="169">
        <v>29</v>
      </c>
      <c r="AG179" s="169">
        <v>30</v>
      </c>
      <c r="AH179" s="169">
        <v>31</v>
      </c>
      <c r="AI179" s="692"/>
      <c r="AJ179" s="694"/>
      <c r="AK179" s="694"/>
      <c r="AL179" s="694"/>
      <c r="AM179" s="696"/>
      <c r="AN179" s="698"/>
      <c r="AO179" s="698"/>
      <c r="AP179" s="696"/>
      <c r="AQ179" s="700"/>
    </row>
    <row r="180" spans="1:44" ht="15">
      <c r="A180" s="160">
        <v>1</v>
      </c>
      <c r="B180" s="95" t="s">
        <v>27</v>
      </c>
      <c r="C180" s="116">
        <f>B181/AG178</f>
        <v>322.58064516129031</v>
      </c>
      <c r="D180" s="21">
        <v>1</v>
      </c>
      <c r="E180" s="86">
        <v>0</v>
      </c>
      <c r="F180" s="21">
        <v>1</v>
      </c>
      <c r="G180" s="21">
        <v>1</v>
      </c>
      <c r="H180" s="131">
        <v>0</v>
      </c>
      <c r="I180" s="21">
        <v>1</v>
      </c>
      <c r="J180" s="21">
        <v>1</v>
      </c>
      <c r="K180" s="21">
        <v>1</v>
      </c>
      <c r="L180" s="86">
        <v>0</v>
      </c>
      <c r="M180" s="21">
        <v>1</v>
      </c>
      <c r="N180" s="21">
        <v>1</v>
      </c>
      <c r="O180" s="21">
        <v>1</v>
      </c>
      <c r="P180" s="23">
        <v>0</v>
      </c>
      <c r="Q180" s="21">
        <v>1</v>
      </c>
      <c r="R180" s="21">
        <v>1</v>
      </c>
      <c r="S180" s="86">
        <v>0</v>
      </c>
      <c r="T180" s="21">
        <v>1</v>
      </c>
      <c r="U180" s="21">
        <v>1</v>
      </c>
      <c r="V180" s="21">
        <v>1</v>
      </c>
      <c r="W180" s="21">
        <v>1</v>
      </c>
      <c r="X180" s="21">
        <v>1</v>
      </c>
      <c r="Y180" s="21">
        <v>1</v>
      </c>
      <c r="Z180" s="86">
        <v>0</v>
      </c>
      <c r="AA180" s="131">
        <v>0</v>
      </c>
      <c r="AB180" s="23">
        <v>0</v>
      </c>
      <c r="AC180" s="21">
        <v>1</v>
      </c>
      <c r="AD180" s="21">
        <v>1</v>
      </c>
      <c r="AE180" s="21">
        <v>1</v>
      </c>
      <c r="AF180" s="23">
        <v>0.5</v>
      </c>
      <c r="AG180" s="86">
        <v>0</v>
      </c>
      <c r="AH180" s="21">
        <v>1</v>
      </c>
      <c r="AI180" s="108">
        <f>SUM(D180:AH180)</f>
        <v>21.5</v>
      </c>
      <c r="AJ180" s="119">
        <v>7</v>
      </c>
      <c r="AK180" s="81">
        <v>0</v>
      </c>
      <c r="AL180" s="81">
        <f>SUM(AI180:AK180)</f>
        <v>28.5</v>
      </c>
      <c r="AM180" s="81">
        <f>C180*AL180</f>
        <v>9193.5483870967746</v>
      </c>
      <c r="AN180" s="179">
        <v>0</v>
      </c>
      <c r="AO180" s="533">
        <f>AM180+AM181</f>
        <v>10645.161290322581</v>
      </c>
      <c r="AP180" s="673">
        <v>10000</v>
      </c>
      <c r="AQ180" s="701">
        <v>645</v>
      </c>
      <c r="AR180" s="570">
        <v>2000</v>
      </c>
    </row>
    <row r="181" spans="1:44" ht="15">
      <c r="A181" s="78">
        <f>C180/8</f>
        <v>40.322580645161288</v>
      </c>
      <c r="B181" s="147">
        <v>10000</v>
      </c>
      <c r="C181" s="116">
        <f>C180/8*1.5</f>
        <v>60.483870967741936</v>
      </c>
      <c r="D181" s="21">
        <v>0</v>
      </c>
      <c r="E181" s="86">
        <v>0</v>
      </c>
      <c r="F181" s="21">
        <v>0</v>
      </c>
      <c r="G181" s="21">
        <v>2</v>
      </c>
      <c r="H181" s="131">
        <v>0</v>
      </c>
      <c r="I181" s="21">
        <v>2</v>
      </c>
      <c r="J181" s="21">
        <v>2</v>
      </c>
      <c r="K181" s="21">
        <v>0</v>
      </c>
      <c r="L181" s="86">
        <v>0</v>
      </c>
      <c r="M181" s="21">
        <v>0</v>
      </c>
      <c r="N181" s="21">
        <v>2</v>
      </c>
      <c r="O181" s="21">
        <v>0</v>
      </c>
      <c r="P181" s="21">
        <v>0</v>
      </c>
      <c r="Q181" s="21">
        <v>2</v>
      </c>
      <c r="R181" s="21">
        <v>0</v>
      </c>
      <c r="S181" s="86">
        <v>0</v>
      </c>
      <c r="T181" s="21">
        <v>2</v>
      </c>
      <c r="U181" s="21">
        <v>2</v>
      </c>
      <c r="V181" s="21">
        <v>0</v>
      </c>
      <c r="W181" s="21">
        <v>2</v>
      </c>
      <c r="X181" s="21">
        <v>2</v>
      </c>
      <c r="Y181" s="21">
        <v>0</v>
      </c>
      <c r="Z181" s="86">
        <v>0</v>
      </c>
      <c r="AA181" s="131">
        <v>0</v>
      </c>
      <c r="AB181" s="21">
        <v>0</v>
      </c>
      <c r="AC181" s="21">
        <v>0</v>
      </c>
      <c r="AD181" s="21">
        <v>2</v>
      </c>
      <c r="AE181" s="21">
        <v>2</v>
      </c>
      <c r="AF181" s="21">
        <v>0</v>
      </c>
      <c r="AG181" s="86">
        <v>0</v>
      </c>
      <c r="AH181" s="21">
        <v>2</v>
      </c>
      <c r="AI181" s="108">
        <f t="shared" ref="AI181:AI189" si="64">SUM(D181:AH181)</f>
        <v>24</v>
      </c>
      <c r="AJ181" s="120">
        <v>0</v>
      </c>
      <c r="AK181" s="21">
        <v>0</v>
      </c>
      <c r="AL181" s="81">
        <f t="shared" ref="AL181:AL189" si="65">SUM(AI181:AK181)</f>
        <v>24</v>
      </c>
      <c r="AM181" s="81">
        <f>C181*AL181</f>
        <v>1451.6129032258063</v>
      </c>
      <c r="AN181" s="20">
        <v>0</v>
      </c>
      <c r="AO181" s="528"/>
      <c r="AP181" s="529"/>
      <c r="AQ181" s="702"/>
      <c r="AR181" s="570"/>
    </row>
    <row r="182" spans="1:44" ht="15">
      <c r="A182" s="160">
        <v>2</v>
      </c>
      <c r="B182" s="95" t="s">
        <v>85</v>
      </c>
      <c r="C182" s="116">
        <f>B183/AG178</f>
        <v>483.87096774193549</v>
      </c>
      <c r="D182" s="21">
        <v>1</v>
      </c>
      <c r="E182" s="86">
        <v>0</v>
      </c>
      <c r="F182" s="21">
        <v>1</v>
      </c>
      <c r="G182" s="21">
        <v>1</v>
      </c>
      <c r="H182" s="131">
        <v>0</v>
      </c>
      <c r="I182" s="21">
        <v>1</v>
      </c>
      <c r="J182" s="21">
        <v>1</v>
      </c>
      <c r="K182" s="21">
        <v>1</v>
      </c>
      <c r="L182" s="86">
        <v>0</v>
      </c>
      <c r="M182" s="21">
        <v>1</v>
      </c>
      <c r="N182" s="21">
        <v>1</v>
      </c>
      <c r="O182" s="21">
        <v>1</v>
      </c>
      <c r="P182" s="21">
        <v>1</v>
      </c>
      <c r="Q182" s="21">
        <v>1</v>
      </c>
      <c r="R182" s="21">
        <v>1</v>
      </c>
      <c r="S182" s="86">
        <v>0</v>
      </c>
      <c r="T182" s="23">
        <v>0.5</v>
      </c>
      <c r="U182" s="21">
        <v>1</v>
      </c>
      <c r="V182" s="21">
        <v>1</v>
      </c>
      <c r="W182" s="21">
        <v>1</v>
      </c>
      <c r="X182" s="21">
        <v>1</v>
      </c>
      <c r="Y182" s="23">
        <v>0</v>
      </c>
      <c r="Z182" s="86">
        <v>0</v>
      </c>
      <c r="AA182" s="131">
        <v>0</v>
      </c>
      <c r="AB182" s="23">
        <v>0</v>
      </c>
      <c r="AC182" s="23">
        <v>0.5</v>
      </c>
      <c r="AD182" s="21">
        <v>1</v>
      </c>
      <c r="AE182" s="23">
        <v>0</v>
      </c>
      <c r="AF182" s="23">
        <v>0</v>
      </c>
      <c r="AG182" s="86">
        <v>0</v>
      </c>
      <c r="AH182" s="21">
        <v>1</v>
      </c>
      <c r="AI182" s="108">
        <f t="shared" si="64"/>
        <v>19</v>
      </c>
      <c r="AJ182" s="120">
        <v>7</v>
      </c>
      <c r="AK182" s="81">
        <v>0</v>
      </c>
      <c r="AL182" s="81">
        <f t="shared" si="65"/>
        <v>26</v>
      </c>
      <c r="AM182" s="81">
        <f t="shared" ref="AM182:AM189" si="66">C182*AL182</f>
        <v>12580.645161290322</v>
      </c>
      <c r="AN182" s="20">
        <v>0</v>
      </c>
      <c r="AO182" s="533">
        <f>AM182+AM183</f>
        <v>12580.645161290322</v>
      </c>
      <c r="AP182" s="546">
        <v>13000</v>
      </c>
      <c r="AQ182" s="701">
        <v>0</v>
      </c>
    </row>
    <row r="183" spans="1:44" ht="15">
      <c r="A183" s="78">
        <f>C182/10</f>
        <v>48.387096774193552</v>
      </c>
      <c r="B183" s="147">
        <v>15000</v>
      </c>
      <c r="C183" s="116">
        <v>0</v>
      </c>
      <c r="D183" s="21">
        <v>0</v>
      </c>
      <c r="E183" s="86">
        <v>0</v>
      </c>
      <c r="F183" s="21">
        <v>0</v>
      </c>
      <c r="G183" s="21">
        <v>0</v>
      </c>
      <c r="H183" s="131">
        <v>0</v>
      </c>
      <c r="I183" s="21">
        <v>0</v>
      </c>
      <c r="J183" s="21">
        <v>0</v>
      </c>
      <c r="K183" s="21">
        <v>0</v>
      </c>
      <c r="L183" s="86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86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86">
        <v>0</v>
      </c>
      <c r="AA183" s="131">
        <v>0</v>
      </c>
      <c r="AB183" s="21">
        <v>0</v>
      </c>
      <c r="AC183" s="21">
        <v>0</v>
      </c>
      <c r="AD183" s="21">
        <v>0</v>
      </c>
      <c r="AE183" s="21">
        <v>0</v>
      </c>
      <c r="AF183" s="21">
        <v>0</v>
      </c>
      <c r="AG183" s="86">
        <v>0</v>
      </c>
      <c r="AH183" s="21">
        <v>0</v>
      </c>
      <c r="AI183" s="108">
        <f t="shared" si="64"/>
        <v>0</v>
      </c>
      <c r="AJ183" s="120">
        <v>0</v>
      </c>
      <c r="AK183" s="21">
        <v>0</v>
      </c>
      <c r="AL183" s="81">
        <f t="shared" si="65"/>
        <v>0</v>
      </c>
      <c r="AM183" s="81">
        <f t="shared" si="66"/>
        <v>0</v>
      </c>
      <c r="AN183" s="20">
        <v>0</v>
      </c>
      <c r="AO183" s="528"/>
      <c r="AP183" s="703"/>
      <c r="AQ183" s="702"/>
    </row>
    <row r="184" spans="1:44" ht="15">
      <c r="A184" s="160">
        <v>3</v>
      </c>
      <c r="B184" s="95" t="s">
        <v>86</v>
      </c>
      <c r="C184" s="116">
        <v>500</v>
      </c>
      <c r="D184" s="21">
        <v>1</v>
      </c>
      <c r="E184" s="86">
        <v>0</v>
      </c>
      <c r="F184" s="21">
        <v>1</v>
      </c>
      <c r="G184" s="21">
        <v>1</v>
      </c>
      <c r="H184" s="131">
        <v>0</v>
      </c>
      <c r="I184" s="21">
        <v>1</v>
      </c>
      <c r="J184" s="21">
        <v>1</v>
      </c>
      <c r="K184" s="21">
        <v>1</v>
      </c>
      <c r="L184" s="86">
        <v>0</v>
      </c>
      <c r="M184" s="23">
        <v>0</v>
      </c>
      <c r="N184" s="21">
        <v>1</v>
      </c>
      <c r="O184" s="170">
        <v>2</v>
      </c>
      <c r="P184" s="170">
        <v>2</v>
      </c>
      <c r="Q184" s="170">
        <v>1.5</v>
      </c>
      <c r="R184" s="21">
        <v>1</v>
      </c>
      <c r="S184" s="86">
        <v>0</v>
      </c>
      <c r="T184" s="21">
        <v>1</v>
      </c>
      <c r="U184" s="21">
        <v>1</v>
      </c>
      <c r="V184" s="21">
        <v>1</v>
      </c>
      <c r="W184" s="21">
        <v>1</v>
      </c>
      <c r="X184" s="21">
        <v>1</v>
      </c>
      <c r="Y184" s="21">
        <v>1</v>
      </c>
      <c r="Z184" s="86">
        <v>0</v>
      </c>
      <c r="AA184" s="131">
        <v>0</v>
      </c>
      <c r="AB184" s="21">
        <v>1</v>
      </c>
      <c r="AC184" s="21">
        <v>1</v>
      </c>
      <c r="AD184" s="21">
        <v>1</v>
      </c>
      <c r="AE184" s="21">
        <v>1</v>
      </c>
      <c r="AF184" s="21">
        <v>1</v>
      </c>
      <c r="AG184" s="86">
        <v>1</v>
      </c>
      <c r="AH184" s="21">
        <v>1</v>
      </c>
      <c r="AI184" s="108">
        <f t="shared" si="64"/>
        <v>26.5</v>
      </c>
      <c r="AJ184" s="120">
        <v>0</v>
      </c>
      <c r="AK184" s="81">
        <v>0</v>
      </c>
      <c r="AL184" s="81">
        <f t="shared" si="65"/>
        <v>26.5</v>
      </c>
      <c r="AM184" s="81">
        <f t="shared" si="66"/>
        <v>13250</v>
      </c>
      <c r="AN184" s="20">
        <v>0</v>
      </c>
      <c r="AO184" s="533">
        <f>AM184+AM185</f>
        <v>13250</v>
      </c>
      <c r="AP184" s="703">
        <v>13250</v>
      </c>
      <c r="AQ184" s="701">
        <v>0</v>
      </c>
    </row>
    <row r="185" spans="1:44" ht="15">
      <c r="A185" s="78">
        <f>C184/10</f>
        <v>50</v>
      </c>
      <c r="B185" s="147"/>
      <c r="C185" s="116">
        <v>0</v>
      </c>
      <c r="D185" s="21">
        <v>0</v>
      </c>
      <c r="E185" s="86">
        <v>0</v>
      </c>
      <c r="F185" s="21">
        <v>0</v>
      </c>
      <c r="G185" s="21">
        <v>0</v>
      </c>
      <c r="H185" s="131">
        <v>0</v>
      </c>
      <c r="I185" s="21">
        <v>0</v>
      </c>
      <c r="J185" s="21">
        <v>0</v>
      </c>
      <c r="K185" s="21">
        <v>0</v>
      </c>
      <c r="L185" s="86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86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0</v>
      </c>
      <c r="Z185" s="86">
        <v>0</v>
      </c>
      <c r="AA185" s="131">
        <v>0</v>
      </c>
      <c r="AB185" s="21">
        <v>0</v>
      </c>
      <c r="AC185" s="21">
        <v>0</v>
      </c>
      <c r="AD185" s="21">
        <v>0</v>
      </c>
      <c r="AE185" s="21">
        <v>0</v>
      </c>
      <c r="AF185" s="21">
        <v>0</v>
      </c>
      <c r="AG185" s="124">
        <v>8</v>
      </c>
      <c r="AH185" s="21">
        <v>0</v>
      </c>
      <c r="AI185" s="108">
        <f t="shared" si="64"/>
        <v>8</v>
      </c>
      <c r="AJ185" s="120">
        <v>0</v>
      </c>
      <c r="AK185" s="21">
        <v>0</v>
      </c>
      <c r="AL185" s="81">
        <f t="shared" si="65"/>
        <v>8</v>
      </c>
      <c r="AM185" s="81">
        <f t="shared" si="66"/>
        <v>0</v>
      </c>
      <c r="AN185" s="20">
        <v>0</v>
      </c>
      <c r="AO185" s="528"/>
      <c r="AP185" s="703"/>
      <c r="AQ185" s="702"/>
    </row>
    <row r="186" spans="1:44" ht="16.5" customHeight="1">
      <c r="A186" s="160">
        <v>4</v>
      </c>
      <c r="B186" s="95" t="s">
        <v>87</v>
      </c>
      <c r="C186" s="116">
        <v>500</v>
      </c>
      <c r="D186" s="21">
        <v>1</v>
      </c>
      <c r="E186" s="86">
        <v>0</v>
      </c>
      <c r="F186" s="21">
        <v>1</v>
      </c>
      <c r="G186" s="21">
        <v>1</v>
      </c>
      <c r="H186" s="131">
        <v>0</v>
      </c>
      <c r="I186" s="21">
        <v>1</v>
      </c>
      <c r="J186" s="21">
        <v>1</v>
      </c>
      <c r="K186" s="21">
        <v>1</v>
      </c>
      <c r="L186" s="86">
        <v>0</v>
      </c>
      <c r="M186" s="21">
        <v>1</v>
      </c>
      <c r="N186" s="21">
        <v>1</v>
      </c>
      <c r="O186" s="21">
        <v>1</v>
      </c>
      <c r="P186" s="21">
        <v>1</v>
      </c>
      <c r="Q186" s="21">
        <v>1</v>
      </c>
      <c r="R186" s="21">
        <v>1</v>
      </c>
      <c r="S186" s="86">
        <v>0</v>
      </c>
      <c r="T186" s="21">
        <v>1</v>
      </c>
      <c r="U186" s="21">
        <v>1</v>
      </c>
      <c r="V186" s="21">
        <v>1</v>
      </c>
      <c r="W186" s="21">
        <v>1</v>
      </c>
      <c r="X186" s="21">
        <v>1</v>
      </c>
      <c r="Y186" s="21">
        <v>1</v>
      </c>
      <c r="Z186" s="86">
        <v>0</v>
      </c>
      <c r="AA186" s="131">
        <v>0</v>
      </c>
      <c r="AB186" s="21">
        <v>1</v>
      </c>
      <c r="AC186" s="21">
        <v>1</v>
      </c>
      <c r="AD186" s="21">
        <v>1</v>
      </c>
      <c r="AE186" s="21">
        <v>1</v>
      </c>
      <c r="AF186" s="21">
        <v>1</v>
      </c>
      <c r="AG186" s="86">
        <v>1</v>
      </c>
      <c r="AH186" s="21">
        <v>1</v>
      </c>
      <c r="AI186" s="108">
        <f t="shared" si="64"/>
        <v>25</v>
      </c>
      <c r="AJ186" s="120">
        <v>0</v>
      </c>
      <c r="AK186" s="21">
        <v>0</v>
      </c>
      <c r="AL186" s="81">
        <f t="shared" si="65"/>
        <v>25</v>
      </c>
      <c r="AM186" s="81">
        <f t="shared" si="66"/>
        <v>12500</v>
      </c>
      <c r="AN186" s="20">
        <v>0</v>
      </c>
      <c r="AO186" s="533">
        <f>AM186+AM187</f>
        <v>12500</v>
      </c>
      <c r="AP186" s="703">
        <v>12500</v>
      </c>
      <c r="AQ186" s="701">
        <v>0</v>
      </c>
    </row>
    <row r="187" spans="1:44" ht="16.5" customHeight="1">
      <c r="A187" s="78">
        <f>C186/10</f>
        <v>50</v>
      </c>
      <c r="B187" s="147"/>
      <c r="C187" s="116">
        <v>0</v>
      </c>
      <c r="D187" s="21">
        <v>0</v>
      </c>
      <c r="E187" s="86">
        <v>0</v>
      </c>
      <c r="F187" s="21">
        <v>0</v>
      </c>
      <c r="G187" s="21">
        <v>0</v>
      </c>
      <c r="H187" s="131">
        <v>0</v>
      </c>
      <c r="I187" s="21">
        <v>0</v>
      </c>
      <c r="J187" s="21">
        <v>0</v>
      </c>
      <c r="K187" s="21">
        <v>0</v>
      </c>
      <c r="L187" s="86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86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0</v>
      </c>
      <c r="Z187" s="86">
        <v>0</v>
      </c>
      <c r="AA187" s="13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0</v>
      </c>
      <c r="AG187" s="124">
        <v>8</v>
      </c>
      <c r="AH187" s="21">
        <v>0</v>
      </c>
      <c r="AI187" s="108">
        <f t="shared" si="64"/>
        <v>8</v>
      </c>
      <c r="AJ187" s="120">
        <v>0</v>
      </c>
      <c r="AK187" s="21">
        <v>0</v>
      </c>
      <c r="AL187" s="81">
        <f t="shared" si="65"/>
        <v>8</v>
      </c>
      <c r="AM187" s="81">
        <f t="shared" si="66"/>
        <v>0</v>
      </c>
      <c r="AN187" s="20">
        <v>0</v>
      </c>
      <c r="AO187" s="528"/>
      <c r="AP187" s="703"/>
      <c r="AQ187" s="702"/>
    </row>
    <row r="188" spans="1:44" ht="15">
      <c r="A188" s="160">
        <v>5</v>
      </c>
      <c r="B188" s="95" t="s">
        <v>88</v>
      </c>
      <c r="C188" s="116">
        <v>500</v>
      </c>
      <c r="D188" s="21">
        <v>1</v>
      </c>
      <c r="E188" s="86">
        <v>0</v>
      </c>
      <c r="F188" s="21">
        <v>1</v>
      </c>
      <c r="G188" s="21">
        <v>1</v>
      </c>
      <c r="H188" s="131">
        <v>0</v>
      </c>
      <c r="I188" s="21">
        <v>1</v>
      </c>
      <c r="J188" s="21">
        <v>1</v>
      </c>
      <c r="K188" s="21">
        <v>1</v>
      </c>
      <c r="L188" s="86">
        <v>0</v>
      </c>
      <c r="M188" s="21">
        <v>1</v>
      </c>
      <c r="N188" s="21">
        <v>1</v>
      </c>
      <c r="O188" s="170">
        <v>2</v>
      </c>
      <c r="P188" s="170">
        <v>2</v>
      </c>
      <c r="Q188" s="170">
        <v>1.5</v>
      </c>
      <c r="R188" s="21">
        <v>1</v>
      </c>
      <c r="S188" s="86">
        <v>0</v>
      </c>
      <c r="T188" s="21">
        <v>1</v>
      </c>
      <c r="U188" s="21">
        <v>1</v>
      </c>
      <c r="V188" s="21">
        <v>1</v>
      </c>
      <c r="W188" s="21">
        <v>1</v>
      </c>
      <c r="X188" s="21">
        <v>1</v>
      </c>
      <c r="Y188" s="21">
        <v>1</v>
      </c>
      <c r="Z188" s="86">
        <v>0</v>
      </c>
      <c r="AA188" s="131">
        <v>0</v>
      </c>
      <c r="AB188" s="21">
        <v>1</v>
      </c>
      <c r="AC188" s="21">
        <v>1</v>
      </c>
      <c r="AD188" s="21">
        <v>1</v>
      </c>
      <c r="AE188" s="21">
        <v>1</v>
      </c>
      <c r="AF188" s="21">
        <v>1</v>
      </c>
      <c r="AG188" s="86">
        <v>1</v>
      </c>
      <c r="AH188" s="21">
        <v>1</v>
      </c>
      <c r="AI188" s="108">
        <f t="shared" si="64"/>
        <v>27.5</v>
      </c>
      <c r="AJ188" s="120">
        <v>0</v>
      </c>
      <c r="AK188" s="21">
        <v>0</v>
      </c>
      <c r="AL188" s="81">
        <f t="shared" si="65"/>
        <v>27.5</v>
      </c>
      <c r="AM188" s="81">
        <f t="shared" si="66"/>
        <v>13750</v>
      </c>
      <c r="AN188" s="20">
        <v>0</v>
      </c>
      <c r="AO188" s="533">
        <f>AM188+AM189</f>
        <v>13750</v>
      </c>
      <c r="AP188" s="703">
        <v>13750</v>
      </c>
      <c r="AQ188" s="701">
        <v>0</v>
      </c>
    </row>
    <row r="189" spans="1:44" ht="15">
      <c r="A189" s="78">
        <f>C188/10</f>
        <v>50</v>
      </c>
      <c r="B189" s="147"/>
      <c r="C189" s="116">
        <v>0</v>
      </c>
      <c r="D189" s="21">
        <v>0</v>
      </c>
      <c r="E189" s="86">
        <v>0</v>
      </c>
      <c r="F189" s="21">
        <v>0</v>
      </c>
      <c r="G189" s="21">
        <v>0</v>
      </c>
      <c r="H189" s="131">
        <v>0</v>
      </c>
      <c r="I189" s="21">
        <v>0</v>
      </c>
      <c r="J189" s="21">
        <v>0</v>
      </c>
      <c r="K189" s="21">
        <v>0</v>
      </c>
      <c r="L189" s="86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86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86">
        <v>0</v>
      </c>
      <c r="AA189" s="13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124">
        <v>8</v>
      </c>
      <c r="AH189" s="21">
        <v>0</v>
      </c>
      <c r="AI189" s="108">
        <f t="shared" si="64"/>
        <v>8</v>
      </c>
      <c r="AJ189" s="28">
        <v>0</v>
      </c>
      <c r="AK189" s="21">
        <v>0</v>
      </c>
      <c r="AL189" s="81">
        <f t="shared" si="65"/>
        <v>8</v>
      </c>
      <c r="AM189" s="81">
        <f t="shared" si="66"/>
        <v>0</v>
      </c>
      <c r="AN189" s="20">
        <v>0</v>
      </c>
      <c r="AO189" s="528"/>
      <c r="AP189" s="703"/>
      <c r="AQ189" s="702"/>
    </row>
    <row r="190" spans="1:44" ht="15">
      <c r="A190" s="160">
        <v>6</v>
      </c>
      <c r="B190" s="95" t="s">
        <v>90</v>
      </c>
      <c r="C190" s="116">
        <f>B191/AG178</f>
        <v>322.58064516129031</v>
      </c>
      <c r="D190" s="21">
        <v>1</v>
      </c>
      <c r="E190" s="86">
        <v>0</v>
      </c>
      <c r="F190" s="21">
        <v>1</v>
      </c>
      <c r="G190" s="21">
        <v>1</v>
      </c>
      <c r="H190" s="131">
        <v>0</v>
      </c>
      <c r="I190" s="21">
        <v>1</v>
      </c>
      <c r="J190" s="21">
        <v>1</v>
      </c>
      <c r="K190" s="23">
        <v>0</v>
      </c>
      <c r="L190" s="86">
        <v>0</v>
      </c>
      <c r="M190" s="21">
        <v>1</v>
      </c>
      <c r="N190" s="21">
        <v>1</v>
      </c>
      <c r="O190" s="21">
        <v>1</v>
      </c>
      <c r="P190" s="21">
        <v>1</v>
      </c>
      <c r="Q190" s="21">
        <v>1</v>
      </c>
      <c r="R190" s="21">
        <v>1</v>
      </c>
      <c r="S190" s="86">
        <v>0</v>
      </c>
      <c r="T190" s="21">
        <v>1</v>
      </c>
      <c r="U190" s="21">
        <v>1</v>
      </c>
      <c r="V190" s="21">
        <v>1</v>
      </c>
      <c r="W190" s="21">
        <v>1</v>
      </c>
      <c r="X190" s="21">
        <v>1</v>
      </c>
      <c r="Y190" s="21">
        <v>1</v>
      </c>
      <c r="Z190" s="86">
        <v>0</v>
      </c>
      <c r="AA190" s="131">
        <v>0</v>
      </c>
      <c r="AB190" s="23">
        <v>0</v>
      </c>
      <c r="AC190" s="23">
        <v>0</v>
      </c>
      <c r="AD190" s="23">
        <v>0</v>
      </c>
      <c r="AE190" s="23">
        <v>0</v>
      </c>
      <c r="AF190" s="23">
        <v>0</v>
      </c>
      <c r="AG190" s="23">
        <v>0</v>
      </c>
      <c r="AH190" s="23">
        <v>0</v>
      </c>
      <c r="AI190" s="108">
        <f>SUM(D190:AH190)</f>
        <v>17</v>
      </c>
      <c r="AJ190" s="119">
        <v>4</v>
      </c>
      <c r="AK190" s="81">
        <v>0</v>
      </c>
      <c r="AL190" s="81">
        <f>SUM(AI190:AK190)</f>
        <v>21</v>
      </c>
      <c r="AM190" s="81">
        <f>C190*AL190</f>
        <v>6774.1935483870966</v>
      </c>
      <c r="AN190" s="179">
        <v>0</v>
      </c>
      <c r="AO190" s="533">
        <f>AM190+AM191</f>
        <v>6774.1935483870966</v>
      </c>
      <c r="AP190" s="673">
        <v>7000</v>
      </c>
      <c r="AQ190" s="701">
        <v>0</v>
      </c>
    </row>
    <row r="191" spans="1:44" ht="15.75" thickBot="1">
      <c r="A191" s="78">
        <f>C190/8</f>
        <v>40.322580645161288</v>
      </c>
      <c r="B191" s="147">
        <v>10000</v>
      </c>
      <c r="C191" s="116">
        <f>C190/8*1.5</f>
        <v>60.483870967741936</v>
      </c>
      <c r="D191" s="21">
        <v>0</v>
      </c>
      <c r="E191" s="86">
        <v>0</v>
      </c>
      <c r="F191" s="21">
        <v>0</v>
      </c>
      <c r="G191" s="21">
        <v>0</v>
      </c>
      <c r="H191" s="131">
        <v>0</v>
      </c>
      <c r="I191" s="21">
        <v>0</v>
      </c>
      <c r="J191" s="21">
        <v>0</v>
      </c>
      <c r="K191" s="21">
        <v>0</v>
      </c>
      <c r="L191" s="86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86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0</v>
      </c>
      <c r="Z191" s="86">
        <v>0</v>
      </c>
      <c r="AA191" s="13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0</v>
      </c>
      <c r="AG191" s="86">
        <v>0</v>
      </c>
      <c r="AH191" s="21">
        <v>0</v>
      </c>
      <c r="AI191" s="108">
        <f t="shared" ref="AI191" si="67">SUM(D191:AH191)</f>
        <v>0</v>
      </c>
      <c r="AJ191" s="120">
        <v>0</v>
      </c>
      <c r="AK191" s="21">
        <v>0</v>
      </c>
      <c r="AL191" s="81">
        <f t="shared" ref="AL191" si="68">SUM(AI191:AK191)</f>
        <v>0</v>
      </c>
      <c r="AM191" s="81">
        <f>C191*AL191</f>
        <v>0</v>
      </c>
      <c r="AN191" s="20">
        <v>0</v>
      </c>
      <c r="AO191" s="528"/>
      <c r="AP191" s="529"/>
      <c r="AQ191" s="702"/>
    </row>
    <row r="192" spans="1:44" ht="15.75" thickBot="1">
      <c r="A192" s="89"/>
      <c r="B192" s="571" t="s">
        <v>30</v>
      </c>
      <c r="C192" s="572"/>
      <c r="D192" s="166">
        <f>D180+D182+D184+D186+D188+D190</f>
        <v>6</v>
      </c>
      <c r="E192" s="166">
        <f>E180+E182+E184+E186+E188+E190</f>
        <v>0</v>
      </c>
      <c r="F192" s="166">
        <f t="shared" ref="F192:N192" si="69">F180+F182+F184+F186+F188+F190</f>
        <v>6</v>
      </c>
      <c r="G192" s="166">
        <f t="shared" si="69"/>
        <v>6</v>
      </c>
      <c r="H192" s="166">
        <f t="shared" si="69"/>
        <v>0</v>
      </c>
      <c r="I192" s="166">
        <f t="shared" si="69"/>
        <v>6</v>
      </c>
      <c r="J192" s="166">
        <f t="shared" si="69"/>
        <v>6</v>
      </c>
      <c r="K192" s="166">
        <f t="shared" si="69"/>
        <v>5</v>
      </c>
      <c r="L192" s="166">
        <f t="shared" si="69"/>
        <v>0</v>
      </c>
      <c r="M192" s="166">
        <f t="shared" si="69"/>
        <v>5</v>
      </c>
      <c r="N192" s="166">
        <f t="shared" si="69"/>
        <v>6</v>
      </c>
      <c r="O192" s="166">
        <f>O180+O182+O184+O186+O188+O190</f>
        <v>8</v>
      </c>
      <c r="P192" s="166">
        <f>P180+P182+P184+P186+P188+P190</f>
        <v>7</v>
      </c>
      <c r="Q192" s="166">
        <f t="shared" ref="Q192:AN192" si="70">Q180+Q182+Q184+Q186+Q188+Q190</f>
        <v>7</v>
      </c>
      <c r="R192" s="166">
        <f t="shared" si="70"/>
        <v>6</v>
      </c>
      <c r="S192" s="166">
        <f t="shared" si="70"/>
        <v>0</v>
      </c>
      <c r="T192" s="166">
        <f t="shared" si="70"/>
        <v>5.5</v>
      </c>
      <c r="U192" s="166">
        <f t="shared" si="70"/>
        <v>6</v>
      </c>
      <c r="V192" s="166">
        <f t="shared" si="70"/>
        <v>6</v>
      </c>
      <c r="W192" s="166">
        <f t="shared" si="70"/>
        <v>6</v>
      </c>
      <c r="X192" s="166">
        <f t="shared" si="70"/>
        <v>6</v>
      </c>
      <c r="Y192" s="166">
        <f t="shared" si="70"/>
        <v>5</v>
      </c>
      <c r="Z192" s="166">
        <f t="shared" si="70"/>
        <v>0</v>
      </c>
      <c r="AA192" s="166">
        <f t="shared" si="70"/>
        <v>0</v>
      </c>
      <c r="AB192" s="166">
        <f t="shared" si="70"/>
        <v>3</v>
      </c>
      <c r="AC192" s="166">
        <f t="shared" si="70"/>
        <v>4.5</v>
      </c>
      <c r="AD192" s="171">
        <f t="shared" ref="AD192" si="71">AD180+AD182+AD184+AD186+AD188+AD190</f>
        <v>5</v>
      </c>
      <c r="AE192" s="166">
        <f t="shared" si="70"/>
        <v>4</v>
      </c>
      <c r="AF192" s="171">
        <f t="shared" ref="AF192" si="72">AF180+AF182+AF184+AF186+AF188+AF190</f>
        <v>3.5</v>
      </c>
      <c r="AG192" s="166">
        <f t="shared" si="70"/>
        <v>3</v>
      </c>
      <c r="AH192" s="166">
        <f t="shared" si="70"/>
        <v>5</v>
      </c>
      <c r="AI192" s="166">
        <f t="shared" si="70"/>
        <v>136.5</v>
      </c>
      <c r="AJ192" s="166">
        <f t="shared" si="70"/>
        <v>18</v>
      </c>
      <c r="AK192" s="166">
        <f t="shared" si="70"/>
        <v>0</v>
      </c>
      <c r="AL192" s="166">
        <f t="shared" si="70"/>
        <v>154.5</v>
      </c>
      <c r="AM192" s="166">
        <f t="shared" si="70"/>
        <v>68048.387096774197</v>
      </c>
      <c r="AN192" s="311">
        <f t="shared" si="70"/>
        <v>0</v>
      </c>
      <c r="AO192" s="575">
        <f>AM192+AM193</f>
        <v>69500</v>
      </c>
      <c r="AP192" s="540">
        <f>SUM(AP180:AP191)</f>
        <v>69500</v>
      </c>
      <c r="AQ192" s="678">
        <f>SUM(AQ180:AQ191)</f>
        <v>645</v>
      </c>
    </row>
    <row r="193" spans="1:44" ht="15.75" thickBot="1">
      <c r="A193" s="90"/>
      <c r="B193" s="544" t="s">
        <v>31</v>
      </c>
      <c r="C193" s="545"/>
      <c r="D193" s="167">
        <f>D181+D183+D185+D187+D189+D191</f>
        <v>0</v>
      </c>
      <c r="E193" s="167">
        <f t="shared" ref="E193:AN193" si="73">E181+E183+E185+E187+E189+E191</f>
        <v>0</v>
      </c>
      <c r="F193" s="167">
        <f t="shared" si="73"/>
        <v>0</v>
      </c>
      <c r="G193" s="167">
        <f t="shared" si="73"/>
        <v>2</v>
      </c>
      <c r="H193" s="167">
        <f t="shared" si="73"/>
        <v>0</v>
      </c>
      <c r="I193" s="167">
        <f t="shared" si="73"/>
        <v>2</v>
      </c>
      <c r="J193" s="167">
        <f t="shared" si="73"/>
        <v>2</v>
      </c>
      <c r="K193" s="167">
        <f t="shared" si="73"/>
        <v>0</v>
      </c>
      <c r="L193" s="167">
        <f t="shared" si="73"/>
        <v>0</v>
      </c>
      <c r="M193" s="167">
        <f t="shared" si="73"/>
        <v>0</v>
      </c>
      <c r="N193" s="167">
        <f t="shared" si="73"/>
        <v>2</v>
      </c>
      <c r="O193" s="167">
        <f t="shared" si="73"/>
        <v>0</v>
      </c>
      <c r="P193" s="167">
        <f t="shared" si="73"/>
        <v>0</v>
      </c>
      <c r="Q193" s="167">
        <f t="shared" si="73"/>
        <v>2</v>
      </c>
      <c r="R193" s="167">
        <f t="shared" si="73"/>
        <v>0</v>
      </c>
      <c r="S193" s="167">
        <f t="shared" si="73"/>
        <v>0</v>
      </c>
      <c r="T193" s="167">
        <f t="shared" si="73"/>
        <v>2</v>
      </c>
      <c r="U193" s="167">
        <f t="shared" si="73"/>
        <v>2</v>
      </c>
      <c r="V193" s="167">
        <f t="shared" si="73"/>
        <v>0</v>
      </c>
      <c r="W193" s="167">
        <f t="shared" si="73"/>
        <v>2</v>
      </c>
      <c r="X193" s="167">
        <f t="shared" si="73"/>
        <v>2</v>
      </c>
      <c r="Y193" s="167">
        <f t="shared" si="73"/>
        <v>0</v>
      </c>
      <c r="Z193" s="167">
        <f t="shared" si="73"/>
        <v>0</v>
      </c>
      <c r="AA193" s="167">
        <f t="shared" si="73"/>
        <v>0</v>
      </c>
      <c r="AB193" s="167">
        <f t="shared" si="73"/>
        <v>0</v>
      </c>
      <c r="AC193" s="167">
        <f t="shared" si="73"/>
        <v>0</v>
      </c>
      <c r="AD193" s="172">
        <f t="shared" ref="AD193" si="74">AD181+AD183+AD185+AD187+AD189+AD191</f>
        <v>2</v>
      </c>
      <c r="AE193" s="167">
        <f t="shared" si="73"/>
        <v>2</v>
      </c>
      <c r="AF193" s="172">
        <f t="shared" ref="AF193" si="75">AF181+AF183+AF185+AF187+AF189+AF191</f>
        <v>0</v>
      </c>
      <c r="AG193" s="167">
        <f t="shared" si="73"/>
        <v>24</v>
      </c>
      <c r="AH193" s="167">
        <f t="shared" si="73"/>
        <v>2</v>
      </c>
      <c r="AI193" s="167">
        <f t="shared" si="73"/>
        <v>48</v>
      </c>
      <c r="AJ193" s="167">
        <f t="shared" si="73"/>
        <v>0</v>
      </c>
      <c r="AK193" s="167">
        <f t="shared" si="73"/>
        <v>0</v>
      </c>
      <c r="AL193" s="167">
        <f t="shared" si="73"/>
        <v>48</v>
      </c>
      <c r="AM193" s="167">
        <f t="shared" si="73"/>
        <v>1451.6129032258063</v>
      </c>
      <c r="AN193" s="312">
        <f t="shared" si="73"/>
        <v>0</v>
      </c>
      <c r="AO193" s="576"/>
      <c r="AP193" s="577"/>
      <c r="AQ193" s="679"/>
    </row>
    <row r="195" spans="1:44" ht="21.75" thickBot="1">
      <c r="AC195" s="177" t="s">
        <v>54</v>
      </c>
    </row>
    <row r="196" spans="1:44" ht="30.75" customHeight="1" thickBot="1">
      <c r="A196" s="553" t="s">
        <v>0</v>
      </c>
      <c r="B196" s="555" t="s">
        <v>1</v>
      </c>
      <c r="C196" s="556"/>
      <c r="D196" s="559" t="s">
        <v>96</v>
      </c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  <c r="AC196" s="560"/>
      <c r="AD196" s="560"/>
      <c r="AE196" s="560"/>
      <c r="AF196" s="561"/>
      <c r="AG196" s="562">
        <v>30</v>
      </c>
      <c r="AH196" s="563"/>
      <c r="AI196" s="564" t="s">
        <v>3</v>
      </c>
      <c r="AJ196" s="566" t="s">
        <v>4</v>
      </c>
      <c r="AK196" s="566" t="s">
        <v>5</v>
      </c>
      <c r="AL196" s="566" t="s">
        <v>6</v>
      </c>
      <c r="AM196" s="568" t="s">
        <v>7</v>
      </c>
      <c r="AN196" s="547" t="s">
        <v>97</v>
      </c>
      <c r="AO196" s="547" t="s">
        <v>33</v>
      </c>
      <c r="AP196" s="549" t="s">
        <v>93</v>
      </c>
    </row>
    <row r="197" spans="1:44" ht="17.25" customHeight="1" thickBot="1">
      <c r="A197" s="554"/>
      <c r="B197" s="557"/>
      <c r="C197" s="558"/>
      <c r="D197" s="156">
        <v>1</v>
      </c>
      <c r="E197" s="157">
        <v>2</v>
      </c>
      <c r="F197" s="157">
        <v>3</v>
      </c>
      <c r="G197" s="157">
        <v>4</v>
      </c>
      <c r="H197" s="157">
        <v>5</v>
      </c>
      <c r="I197" s="157">
        <v>6</v>
      </c>
      <c r="J197" s="157">
        <v>7</v>
      </c>
      <c r="K197" s="157">
        <v>8</v>
      </c>
      <c r="L197" s="157">
        <v>9</v>
      </c>
      <c r="M197" s="157">
        <v>10</v>
      </c>
      <c r="N197" s="157">
        <v>11</v>
      </c>
      <c r="O197" s="157">
        <v>12</v>
      </c>
      <c r="P197" s="157">
        <v>13</v>
      </c>
      <c r="Q197" s="157">
        <v>14</v>
      </c>
      <c r="R197" s="157">
        <v>15</v>
      </c>
      <c r="S197" s="157">
        <v>16</v>
      </c>
      <c r="T197" s="157">
        <v>17</v>
      </c>
      <c r="U197" s="157">
        <v>18</v>
      </c>
      <c r="V197" s="157">
        <v>19</v>
      </c>
      <c r="W197" s="157">
        <v>20</v>
      </c>
      <c r="X197" s="157">
        <v>21</v>
      </c>
      <c r="Y197" s="157">
        <v>22</v>
      </c>
      <c r="Z197" s="157">
        <v>23</v>
      </c>
      <c r="AA197" s="157">
        <v>24</v>
      </c>
      <c r="AB197" s="157">
        <v>25</v>
      </c>
      <c r="AC197" s="157">
        <v>26</v>
      </c>
      <c r="AD197" s="157">
        <v>27</v>
      </c>
      <c r="AE197" s="157">
        <v>28</v>
      </c>
      <c r="AF197" s="157">
        <v>29</v>
      </c>
      <c r="AG197" s="157">
        <v>30</v>
      </c>
      <c r="AH197" s="157">
        <v>31</v>
      </c>
      <c r="AI197" s="565"/>
      <c r="AJ197" s="567"/>
      <c r="AK197" s="567"/>
      <c r="AL197" s="567"/>
      <c r="AM197" s="569"/>
      <c r="AN197" s="548"/>
      <c r="AO197" s="548"/>
      <c r="AP197" s="550"/>
      <c r="AR197" s="157" t="s">
        <v>101</v>
      </c>
    </row>
    <row r="198" spans="1:44" ht="16.5" customHeight="1">
      <c r="A198" s="160">
        <v>1</v>
      </c>
      <c r="B198" s="95" t="s">
        <v>27</v>
      </c>
      <c r="C198" s="116">
        <f>B199/AG196</f>
        <v>333.33333333333331</v>
      </c>
      <c r="D198" s="21">
        <v>1</v>
      </c>
      <c r="E198" s="21">
        <v>1</v>
      </c>
      <c r="F198" s="21">
        <v>1</v>
      </c>
      <c r="G198" s="21">
        <v>1</v>
      </c>
      <c r="H198" s="21">
        <v>1</v>
      </c>
      <c r="I198" s="86">
        <v>0</v>
      </c>
      <c r="J198" s="23">
        <v>0.5</v>
      </c>
      <c r="K198" s="21">
        <v>1</v>
      </c>
      <c r="L198" s="21">
        <v>1</v>
      </c>
      <c r="M198" s="21">
        <v>1</v>
      </c>
      <c r="N198" s="21">
        <v>1</v>
      </c>
      <c r="O198" s="23">
        <v>0</v>
      </c>
      <c r="P198" s="86">
        <v>0</v>
      </c>
      <c r="Q198" s="21">
        <v>1</v>
      </c>
      <c r="R198" s="21">
        <v>1</v>
      </c>
      <c r="S198" s="21">
        <v>1</v>
      </c>
      <c r="T198" s="21">
        <v>1</v>
      </c>
      <c r="U198" s="21">
        <v>1</v>
      </c>
      <c r="V198" s="176">
        <v>1</v>
      </c>
      <c r="W198" s="86">
        <v>0</v>
      </c>
      <c r="X198" s="23">
        <v>0</v>
      </c>
      <c r="Y198" s="21">
        <v>1</v>
      </c>
      <c r="Z198" s="21">
        <v>1</v>
      </c>
      <c r="AA198" s="21">
        <v>1</v>
      </c>
      <c r="AB198" s="21">
        <v>1</v>
      </c>
      <c r="AC198" s="21">
        <v>1</v>
      </c>
      <c r="AD198" s="86">
        <v>0</v>
      </c>
      <c r="AE198" s="21">
        <v>1</v>
      </c>
      <c r="AF198" s="21">
        <v>1</v>
      </c>
      <c r="AG198" s="21">
        <v>1</v>
      </c>
      <c r="AH198" s="72"/>
      <c r="AI198" s="108">
        <f>SUM(D198:AH198)</f>
        <v>23.5</v>
      </c>
      <c r="AJ198" s="119">
        <v>4</v>
      </c>
      <c r="AK198" s="81">
        <v>0</v>
      </c>
      <c r="AL198" s="81">
        <f>SUM(AI198:AK198)</f>
        <v>27.5</v>
      </c>
      <c r="AM198" s="81">
        <f>C198*AL198</f>
        <v>9166.6666666666661</v>
      </c>
      <c r="AN198" s="551">
        <f>AM198+AM199</f>
        <v>11166.666666666666</v>
      </c>
      <c r="AO198" s="552">
        <v>11000</v>
      </c>
      <c r="AP198" s="530">
        <v>167</v>
      </c>
      <c r="AQ198" s="530">
        <f>1355+400</f>
        <v>1755</v>
      </c>
      <c r="AR198" s="530">
        <f>AQ198-AP198</f>
        <v>1588</v>
      </c>
    </row>
    <row r="199" spans="1:44" ht="16.5" customHeight="1">
      <c r="A199" s="78">
        <f>C198/8</f>
        <v>41.666666666666664</v>
      </c>
      <c r="B199" s="147">
        <v>10000</v>
      </c>
      <c r="C199" s="116">
        <f>A199*1.5</f>
        <v>62.5</v>
      </c>
      <c r="D199" s="21">
        <v>2</v>
      </c>
      <c r="E199" s="21">
        <v>0</v>
      </c>
      <c r="F199" s="21">
        <v>2</v>
      </c>
      <c r="G199" s="21">
        <v>2</v>
      </c>
      <c r="H199" s="21">
        <v>0</v>
      </c>
      <c r="I199" s="86">
        <v>0</v>
      </c>
      <c r="J199" s="21">
        <v>2</v>
      </c>
      <c r="K199" s="21">
        <v>0</v>
      </c>
      <c r="L199" s="21">
        <v>2</v>
      </c>
      <c r="M199" s="21">
        <v>2</v>
      </c>
      <c r="N199" s="21">
        <v>0</v>
      </c>
      <c r="O199" s="21">
        <v>0</v>
      </c>
      <c r="P199" s="86">
        <v>0</v>
      </c>
      <c r="Q199" s="21">
        <v>2</v>
      </c>
      <c r="R199" s="21">
        <v>2</v>
      </c>
      <c r="S199" s="21">
        <v>0</v>
      </c>
      <c r="T199" s="21">
        <v>2</v>
      </c>
      <c r="U199" s="21">
        <v>2</v>
      </c>
      <c r="V199" s="21">
        <v>0</v>
      </c>
      <c r="W199" s="86">
        <v>0</v>
      </c>
      <c r="X199" s="21">
        <v>0</v>
      </c>
      <c r="Y199" s="21">
        <v>2</v>
      </c>
      <c r="Z199" s="21">
        <v>2</v>
      </c>
      <c r="AA199" s="21">
        <v>2</v>
      </c>
      <c r="AB199" s="21">
        <v>2</v>
      </c>
      <c r="AC199" s="21">
        <v>0</v>
      </c>
      <c r="AD199" s="86">
        <v>0</v>
      </c>
      <c r="AE199" s="21">
        <v>2</v>
      </c>
      <c r="AF199" s="21">
        <v>2</v>
      </c>
      <c r="AG199" s="21">
        <v>0</v>
      </c>
      <c r="AH199" s="72"/>
      <c r="AI199" s="108">
        <f t="shared" ref="AI199:AI209" si="76">SUM(D199:AH199)</f>
        <v>32</v>
      </c>
      <c r="AJ199" s="120">
        <v>0</v>
      </c>
      <c r="AK199" s="21">
        <v>0</v>
      </c>
      <c r="AL199" s="81">
        <f t="shared" ref="AL199:AL207" si="77">SUM(AI199:AK199)</f>
        <v>32</v>
      </c>
      <c r="AM199" s="81">
        <f>C199*AL199</f>
        <v>2000</v>
      </c>
      <c r="AN199" s="533"/>
      <c r="AO199" s="546"/>
      <c r="AP199" s="531"/>
      <c r="AQ199" s="531"/>
      <c r="AR199" s="531"/>
    </row>
    <row r="200" spans="1:44" ht="16.5" customHeight="1">
      <c r="A200" s="160">
        <v>2</v>
      </c>
      <c r="B200" s="95" t="s">
        <v>85</v>
      </c>
      <c r="C200" s="116">
        <f>B201/AG196</f>
        <v>500</v>
      </c>
      <c r="D200" s="175">
        <v>1</v>
      </c>
      <c r="E200" s="21">
        <v>1</v>
      </c>
      <c r="F200" s="21">
        <v>1</v>
      </c>
      <c r="G200" s="21">
        <v>1</v>
      </c>
      <c r="H200" s="21">
        <v>1</v>
      </c>
      <c r="I200" s="86">
        <v>1</v>
      </c>
      <c r="J200" s="21">
        <v>1</v>
      </c>
      <c r="K200" s="21">
        <v>1</v>
      </c>
      <c r="L200" s="21">
        <v>1</v>
      </c>
      <c r="M200" s="21">
        <v>1</v>
      </c>
      <c r="N200" s="21">
        <v>1</v>
      </c>
      <c r="O200" s="21">
        <v>1</v>
      </c>
      <c r="P200" s="86">
        <v>0</v>
      </c>
      <c r="Q200" s="175">
        <v>1</v>
      </c>
      <c r="R200" s="21">
        <v>1</v>
      </c>
      <c r="S200" s="21">
        <v>1</v>
      </c>
      <c r="T200" s="21">
        <v>1</v>
      </c>
      <c r="U200" s="21">
        <v>1</v>
      </c>
      <c r="V200" s="176">
        <v>1</v>
      </c>
      <c r="W200" s="86">
        <v>0</v>
      </c>
      <c r="X200" s="21">
        <v>1</v>
      </c>
      <c r="Y200" s="175">
        <v>1</v>
      </c>
      <c r="Z200" s="21">
        <v>1</v>
      </c>
      <c r="AA200" s="21">
        <v>1</v>
      </c>
      <c r="AB200" s="21">
        <v>1</v>
      </c>
      <c r="AC200" s="175">
        <v>0.5</v>
      </c>
      <c r="AD200" s="86">
        <v>0</v>
      </c>
      <c r="AE200" s="21">
        <v>1</v>
      </c>
      <c r="AF200" s="21">
        <v>1</v>
      </c>
      <c r="AG200" s="21">
        <v>1</v>
      </c>
      <c r="AH200" s="72"/>
      <c r="AI200" s="108">
        <f t="shared" si="76"/>
        <v>26.5</v>
      </c>
      <c r="AJ200" s="120">
        <v>4</v>
      </c>
      <c r="AK200" s="81">
        <v>0</v>
      </c>
      <c r="AL200" s="81">
        <f t="shared" si="77"/>
        <v>30.5</v>
      </c>
      <c r="AM200" s="81">
        <f t="shared" ref="AM200:AM207" si="78">C200*AL200</f>
        <v>15250</v>
      </c>
      <c r="AN200" s="573">
        <f>AM200+AM201</f>
        <v>15250</v>
      </c>
      <c r="AO200" s="706">
        <v>15000</v>
      </c>
      <c r="AP200" s="536">
        <v>0</v>
      </c>
    </row>
    <row r="201" spans="1:44" ht="16.5" customHeight="1">
      <c r="A201" s="78">
        <f>C200/10</f>
        <v>50</v>
      </c>
      <c r="B201" s="147">
        <v>15000</v>
      </c>
      <c r="C201" s="116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124">
        <v>8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86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86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86">
        <v>0</v>
      </c>
      <c r="AE201" s="21">
        <v>0</v>
      </c>
      <c r="AF201" s="21">
        <v>0</v>
      </c>
      <c r="AG201" s="21">
        <v>0</v>
      </c>
      <c r="AH201" s="72"/>
      <c r="AI201" s="108">
        <f t="shared" si="76"/>
        <v>8</v>
      </c>
      <c r="AJ201" s="120">
        <v>0</v>
      </c>
      <c r="AK201" s="21">
        <v>0</v>
      </c>
      <c r="AL201" s="81">
        <f t="shared" si="77"/>
        <v>8</v>
      </c>
      <c r="AM201" s="81">
        <f t="shared" si="78"/>
        <v>0</v>
      </c>
      <c r="AN201" s="574"/>
      <c r="AO201" s="583"/>
      <c r="AP201" s="531"/>
    </row>
    <row r="202" spans="1:44" ht="16.5" customHeight="1">
      <c r="A202" s="160">
        <v>3</v>
      </c>
      <c r="B202" s="95" t="s">
        <v>87</v>
      </c>
      <c r="C202" s="116">
        <v>500</v>
      </c>
      <c r="D202" s="21">
        <v>1</v>
      </c>
      <c r="E202" s="21">
        <v>1</v>
      </c>
      <c r="F202" s="21">
        <v>1</v>
      </c>
      <c r="G202" s="21">
        <v>1</v>
      </c>
      <c r="H202" s="21">
        <v>1</v>
      </c>
      <c r="I202" s="86">
        <v>1</v>
      </c>
      <c r="J202" s="21">
        <v>1</v>
      </c>
      <c r="K202" s="21">
        <v>1</v>
      </c>
      <c r="L202" s="21">
        <v>1</v>
      </c>
      <c r="M202" s="21">
        <v>1</v>
      </c>
      <c r="N202" s="21">
        <v>1</v>
      </c>
      <c r="O202" s="21">
        <v>1</v>
      </c>
      <c r="P202" s="86">
        <v>1</v>
      </c>
      <c r="Q202" s="21">
        <v>1</v>
      </c>
      <c r="R202" s="21">
        <v>1</v>
      </c>
      <c r="S202" s="21">
        <v>1</v>
      </c>
      <c r="T202" s="21">
        <v>1</v>
      </c>
      <c r="U202" s="21">
        <v>1</v>
      </c>
      <c r="V202" s="23">
        <v>0</v>
      </c>
      <c r="W202" s="86">
        <v>1</v>
      </c>
      <c r="X202" s="21">
        <v>1</v>
      </c>
      <c r="Y202" s="21">
        <v>1</v>
      </c>
      <c r="Z202" s="21">
        <v>1</v>
      </c>
      <c r="AA202" s="21">
        <v>1</v>
      </c>
      <c r="AB202" s="21">
        <v>1</v>
      </c>
      <c r="AC202" s="21">
        <v>1</v>
      </c>
      <c r="AD202" s="86">
        <v>0</v>
      </c>
      <c r="AE202" s="21">
        <v>1</v>
      </c>
      <c r="AF202" s="21">
        <v>1</v>
      </c>
      <c r="AG202" s="21">
        <v>1</v>
      </c>
      <c r="AH202" s="72"/>
      <c r="AI202" s="108">
        <f t="shared" si="76"/>
        <v>28</v>
      </c>
      <c r="AJ202" s="120">
        <v>0</v>
      </c>
      <c r="AK202" s="81">
        <v>0</v>
      </c>
      <c r="AL202" s="81">
        <f t="shared" si="77"/>
        <v>28</v>
      </c>
      <c r="AM202" s="81">
        <f t="shared" si="78"/>
        <v>14000</v>
      </c>
      <c r="AN202" s="532">
        <f>AM202+AM203</f>
        <v>14000</v>
      </c>
      <c r="AO202" s="534">
        <v>14000</v>
      </c>
      <c r="AP202" s="536">
        <v>0</v>
      </c>
    </row>
    <row r="203" spans="1:44" ht="16.5" customHeight="1">
      <c r="A203" s="78">
        <f>C202/10</f>
        <v>50</v>
      </c>
      <c r="B203" s="147"/>
      <c r="C203" s="116">
        <v>0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124">
        <v>8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124">
        <v>8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124">
        <v>0</v>
      </c>
      <c r="X203" s="21">
        <v>0</v>
      </c>
      <c r="Y203" s="21">
        <v>0</v>
      </c>
      <c r="Z203" s="21">
        <v>0</v>
      </c>
      <c r="AA203" s="21">
        <v>0</v>
      </c>
      <c r="AB203" s="21">
        <v>0</v>
      </c>
      <c r="AC203" s="21">
        <v>0</v>
      </c>
      <c r="AD203" s="86">
        <v>0</v>
      </c>
      <c r="AE203" s="21">
        <v>0</v>
      </c>
      <c r="AF203" s="21">
        <v>0</v>
      </c>
      <c r="AG203" s="21">
        <v>0</v>
      </c>
      <c r="AH203" s="72"/>
      <c r="AI203" s="108">
        <f t="shared" si="76"/>
        <v>16</v>
      </c>
      <c r="AJ203" s="120">
        <v>0</v>
      </c>
      <c r="AK203" s="21">
        <v>0</v>
      </c>
      <c r="AL203" s="81">
        <f t="shared" si="77"/>
        <v>16</v>
      </c>
      <c r="AM203" s="81">
        <f t="shared" si="78"/>
        <v>0</v>
      </c>
      <c r="AN203" s="533"/>
      <c r="AO203" s="546"/>
      <c r="AP203" s="531"/>
    </row>
    <row r="204" spans="1:44" ht="16.5" customHeight="1">
      <c r="A204" s="160">
        <v>4</v>
      </c>
      <c r="B204" s="95" t="s">
        <v>95</v>
      </c>
      <c r="C204" s="116">
        <v>500</v>
      </c>
      <c r="D204" s="21">
        <v>1</v>
      </c>
      <c r="E204" s="21">
        <v>1</v>
      </c>
      <c r="F204" s="21">
        <v>1</v>
      </c>
      <c r="G204" s="21">
        <v>1</v>
      </c>
      <c r="H204" s="21">
        <v>1</v>
      </c>
      <c r="I204" s="86">
        <v>1</v>
      </c>
      <c r="J204" s="21">
        <v>1</v>
      </c>
      <c r="K204" s="21">
        <v>1</v>
      </c>
      <c r="L204" s="21">
        <v>1</v>
      </c>
      <c r="M204" s="21">
        <v>1</v>
      </c>
      <c r="N204" s="21">
        <v>1</v>
      </c>
      <c r="O204" s="21">
        <v>1</v>
      </c>
      <c r="P204" s="86">
        <v>0</v>
      </c>
      <c r="Q204" s="21">
        <v>1</v>
      </c>
      <c r="R204" s="21">
        <v>1</v>
      </c>
      <c r="S204" s="21">
        <v>1</v>
      </c>
      <c r="T204" s="21">
        <v>1</v>
      </c>
      <c r="U204" s="21">
        <v>1</v>
      </c>
      <c r="V204" s="23">
        <v>0</v>
      </c>
      <c r="W204" s="86">
        <v>1</v>
      </c>
      <c r="X204" s="21">
        <v>1</v>
      </c>
      <c r="Y204" s="21">
        <v>1</v>
      </c>
      <c r="Z204" s="21">
        <v>1</v>
      </c>
      <c r="AA204" s="21">
        <v>1</v>
      </c>
      <c r="AB204" s="21">
        <v>1</v>
      </c>
      <c r="AC204" s="21">
        <v>1</v>
      </c>
      <c r="AD204" s="86">
        <v>1</v>
      </c>
      <c r="AE204" s="21">
        <v>1</v>
      </c>
      <c r="AF204" s="21">
        <v>1</v>
      </c>
      <c r="AG204" s="21">
        <v>1</v>
      </c>
      <c r="AH204" s="72"/>
      <c r="AI204" s="108">
        <f t="shared" si="76"/>
        <v>28</v>
      </c>
      <c r="AJ204" s="120">
        <v>0</v>
      </c>
      <c r="AK204" s="21">
        <v>0</v>
      </c>
      <c r="AL204" s="81">
        <f t="shared" si="77"/>
        <v>28</v>
      </c>
      <c r="AM204" s="81">
        <f t="shared" si="78"/>
        <v>14000</v>
      </c>
      <c r="AN204" s="532">
        <f>AM204+AM205</f>
        <v>14000</v>
      </c>
      <c r="AO204" s="534">
        <v>14000</v>
      </c>
      <c r="AP204" s="536">
        <v>0</v>
      </c>
    </row>
    <row r="205" spans="1:44" ht="16.5" customHeight="1">
      <c r="A205" s="78">
        <f>C204/10</f>
        <v>50</v>
      </c>
      <c r="B205" s="147"/>
      <c r="C205" s="116">
        <v>0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124">
        <v>8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86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124">
        <v>0</v>
      </c>
      <c r="X205" s="21">
        <v>0</v>
      </c>
      <c r="Y205" s="21">
        <v>0</v>
      </c>
      <c r="Z205" s="21">
        <v>0</v>
      </c>
      <c r="AA205" s="21">
        <v>0</v>
      </c>
      <c r="AB205" s="21">
        <v>0</v>
      </c>
      <c r="AC205" s="21">
        <v>0</v>
      </c>
      <c r="AD205" s="124">
        <v>0</v>
      </c>
      <c r="AE205" s="21">
        <v>0</v>
      </c>
      <c r="AF205" s="21">
        <v>0</v>
      </c>
      <c r="AG205" s="21">
        <v>0</v>
      </c>
      <c r="AH205" s="72"/>
      <c r="AI205" s="108">
        <f t="shared" si="76"/>
        <v>8</v>
      </c>
      <c r="AJ205" s="120">
        <v>0</v>
      </c>
      <c r="AK205" s="21">
        <v>0</v>
      </c>
      <c r="AL205" s="81">
        <f t="shared" si="77"/>
        <v>8</v>
      </c>
      <c r="AM205" s="81">
        <f t="shared" si="78"/>
        <v>0</v>
      </c>
      <c r="AN205" s="533"/>
      <c r="AO205" s="546"/>
      <c r="AP205" s="531"/>
    </row>
    <row r="206" spans="1:44" ht="16.5" customHeight="1">
      <c r="A206" s="160">
        <v>5</v>
      </c>
      <c r="B206" s="95" t="s">
        <v>98</v>
      </c>
      <c r="C206" s="116">
        <v>500</v>
      </c>
      <c r="D206" s="21">
        <v>1</v>
      </c>
      <c r="E206" s="21">
        <v>1</v>
      </c>
      <c r="F206" s="21">
        <v>1</v>
      </c>
      <c r="G206" s="21">
        <v>1</v>
      </c>
      <c r="H206" s="21">
        <v>1</v>
      </c>
      <c r="I206" s="86">
        <v>1</v>
      </c>
      <c r="J206" s="21">
        <v>1</v>
      </c>
      <c r="K206" s="21">
        <v>1</v>
      </c>
      <c r="L206" s="21">
        <v>1</v>
      </c>
      <c r="M206" s="21">
        <v>1</v>
      </c>
      <c r="N206" s="21">
        <v>1</v>
      </c>
      <c r="O206" s="23">
        <v>0</v>
      </c>
      <c r="P206" s="86">
        <v>0</v>
      </c>
      <c r="Q206" s="21">
        <v>1</v>
      </c>
      <c r="R206" s="21">
        <v>1</v>
      </c>
      <c r="S206" s="21">
        <v>1</v>
      </c>
      <c r="T206" s="21">
        <v>1</v>
      </c>
      <c r="U206" s="21">
        <v>1</v>
      </c>
      <c r="V206" s="176">
        <v>1</v>
      </c>
      <c r="W206" s="86">
        <v>1</v>
      </c>
      <c r="X206" s="21">
        <v>1</v>
      </c>
      <c r="Y206" s="21">
        <v>1</v>
      </c>
      <c r="Z206" s="21">
        <v>1</v>
      </c>
      <c r="AA206" s="21">
        <v>1</v>
      </c>
      <c r="AB206" s="23">
        <v>0</v>
      </c>
      <c r="AC206" s="21">
        <v>1</v>
      </c>
      <c r="AD206" s="86">
        <v>1</v>
      </c>
      <c r="AE206" s="21">
        <v>1</v>
      </c>
      <c r="AF206" s="21">
        <v>1</v>
      </c>
      <c r="AG206" s="21">
        <v>1</v>
      </c>
      <c r="AH206" s="72"/>
      <c r="AI206" s="108">
        <f t="shared" si="76"/>
        <v>27</v>
      </c>
      <c r="AJ206" s="120">
        <v>0</v>
      </c>
      <c r="AK206" s="21">
        <v>0</v>
      </c>
      <c r="AL206" s="81">
        <f t="shared" si="77"/>
        <v>27</v>
      </c>
      <c r="AM206" s="81">
        <f t="shared" si="78"/>
        <v>13500</v>
      </c>
      <c r="AN206" s="532">
        <f>AM206+AM207</f>
        <v>13500</v>
      </c>
      <c r="AO206" s="534">
        <v>13000</v>
      </c>
      <c r="AP206" s="536">
        <v>0</v>
      </c>
    </row>
    <row r="207" spans="1:44" ht="16.5" customHeight="1">
      <c r="A207" s="78">
        <f>C206/10</f>
        <v>50</v>
      </c>
      <c r="B207" s="147"/>
      <c r="C207" s="116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124">
        <v>8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86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124">
        <v>0</v>
      </c>
      <c r="X207" s="21">
        <v>0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124">
        <v>0</v>
      </c>
      <c r="AE207" s="21">
        <v>0</v>
      </c>
      <c r="AF207" s="21">
        <v>0</v>
      </c>
      <c r="AG207" s="21">
        <v>0</v>
      </c>
      <c r="AH207" s="72"/>
      <c r="AI207" s="108">
        <f t="shared" si="76"/>
        <v>8</v>
      </c>
      <c r="AJ207" s="120">
        <v>0</v>
      </c>
      <c r="AK207" s="21">
        <v>0</v>
      </c>
      <c r="AL207" s="81">
        <f t="shared" si="77"/>
        <v>8</v>
      </c>
      <c r="AM207" s="81">
        <f t="shared" si="78"/>
        <v>0</v>
      </c>
      <c r="AN207" s="533"/>
      <c r="AO207" s="546"/>
      <c r="AP207" s="531"/>
    </row>
    <row r="208" spans="1:44" ht="16.5" customHeight="1">
      <c r="A208" s="160">
        <v>6</v>
      </c>
      <c r="B208" s="95" t="s">
        <v>99</v>
      </c>
      <c r="C208" s="116">
        <v>500</v>
      </c>
      <c r="D208" s="21"/>
      <c r="E208" s="21"/>
      <c r="F208" s="21"/>
      <c r="G208" s="21"/>
      <c r="H208" s="21"/>
      <c r="I208" s="86">
        <v>0</v>
      </c>
      <c r="J208" s="21"/>
      <c r="K208" s="21"/>
      <c r="L208" s="21"/>
      <c r="M208" s="21"/>
      <c r="N208" s="21"/>
      <c r="O208" s="21"/>
      <c r="P208" s="86">
        <v>0</v>
      </c>
      <c r="Q208" s="21"/>
      <c r="R208" s="21">
        <v>1</v>
      </c>
      <c r="S208" s="21">
        <v>1</v>
      </c>
      <c r="T208" s="21">
        <v>1</v>
      </c>
      <c r="U208" s="21">
        <v>1</v>
      </c>
      <c r="V208" s="176">
        <v>1</v>
      </c>
      <c r="W208" s="86">
        <v>1</v>
      </c>
      <c r="X208" s="21">
        <v>1</v>
      </c>
      <c r="Y208" s="21">
        <v>1</v>
      </c>
      <c r="Z208" s="21">
        <v>1</v>
      </c>
      <c r="AA208" s="21">
        <v>1</v>
      </c>
      <c r="AB208" s="21">
        <v>1</v>
      </c>
      <c r="AC208" s="21">
        <v>1</v>
      </c>
      <c r="AD208" s="86">
        <v>1</v>
      </c>
      <c r="AE208" s="21">
        <v>1</v>
      </c>
      <c r="AF208" s="21">
        <v>1</v>
      </c>
      <c r="AG208" s="21">
        <v>1</v>
      </c>
      <c r="AH208" s="72"/>
      <c r="AI208" s="108">
        <f t="shared" si="76"/>
        <v>16</v>
      </c>
      <c r="AJ208" s="120">
        <v>0</v>
      </c>
      <c r="AK208" s="81">
        <v>0</v>
      </c>
      <c r="AL208" s="81">
        <f>SUM(AI208:AK208)</f>
        <v>16</v>
      </c>
      <c r="AM208" s="81">
        <f>C208*AL208</f>
        <v>8000</v>
      </c>
      <c r="AN208" s="532">
        <f>AM208+AM209</f>
        <v>8000</v>
      </c>
      <c r="AO208" s="534">
        <v>8000</v>
      </c>
      <c r="AP208" s="536">
        <v>0</v>
      </c>
    </row>
    <row r="209" spans="1:43" ht="17.25" customHeight="1" thickBot="1">
      <c r="A209" s="78"/>
      <c r="B209" s="147"/>
      <c r="C209" s="116">
        <v>0</v>
      </c>
      <c r="D209" s="21"/>
      <c r="E209" s="21"/>
      <c r="F209" s="21"/>
      <c r="G209" s="21"/>
      <c r="H209" s="21"/>
      <c r="I209" s="86">
        <v>0</v>
      </c>
      <c r="J209" s="21"/>
      <c r="K209" s="21"/>
      <c r="L209" s="21"/>
      <c r="M209" s="21"/>
      <c r="N209" s="21"/>
      <c r="O209" s="21"/>
      <c r="P209" s="86">
        <v>0</v>
      </c>
      <c r="Q209" s="21"/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124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124">
        <v>0</v>
      </c>
      <c r="AE209" s="21">
        <v>0</v>
      </c>
      <c r="AF209" s="21">
        <v>0</v>
      </c>
      <c r="AG209" s="21">
        <v>0</v>
      </c>
      <c r="AH209" s="72"/>
      <c r="AI209" s="108">
        <f t="shared" si="76"/>
        <v>0</v>
      </c>
      <c r="AJ209" s="120">
        <v>0</v>
      </c>
      <c r="AK209" s="21">
        <v>0</v>
      </c>
      <c r="AL209" s="81">
        <f t="shared" ref="AL209" si="79">SUM(AI209:AK209)</f>
        <v>0</v>
      </c>
      <c r="AM209" s="81">
        <f>C209*AL209</f>
        <v>0</v>
      </c>
      <c r="AN209" s="533"/>
      <c r="AO209" s="535"/>
      <c r="AP209" s="537"/>
    </row>
    <row r="210" spans="1:43" ht="17.25" customHeight="1" thickBot="1">
      <c r="A210" s="89"/>
      <c r="B210" s="571" t="s">
        <v>30</v>
      </c>
      <c r="C210" s="572"/>
      <c r="D210" s="173">
        <f>D198+D200+D202+D204+D206+D208</f>
        <v>5</v>
      </c>
      <c r="E210" s="173">
        <f>E198+E200+E202+E204+E206+E208</f>
        <v>5</v>
      </c>
      <c r="F210" s="173">
        <f t="shared" ref="F210:N210" si="80">F198+F200+F202+F204+F206+F208</f>
        <v>5</v>
      </c>
      <c r="G210" s="173">
        <f t="shared" si="80"/>
        <v>5</v>
      </c>
      <c r="H210" s="173">
        <f t="shared" si="80"/>
        <v>5</v>
      </c>
      <c r="I210" s="173">
        <f t="shared" si="80"/>
        <v>4</v>
      </c>
      <c r="J210" s="173">
        <f t="shared" si="80"/>
        <v>4.5</v>
      </c>
      <c r="K210" s="173">
        <f t="shared" si="80"/>
        <v>5</v>
      </c>
      <c r="L210" s="173">
        <f t="shared" si="80"/>
        <v>5</v>
      </c>
      <c r="M210" s="173">
        <f t="shared" si="80"/>
        <v>5</v>
      </c>
      <c r="N210" s="173">
        <f t="shared" si="80"/>
        <v>5</v>
      </c>
      <c r="O210" s="173">
        <f>O198+O200+O202+O204+O206+O208</f>
        <v>3</v>
      </c>
      <c r="P210" s="173">
        <f>P198+P200+P202+P204+P206+P208</f>
        <v>1</v>
      </c>
      <c r="Q210" s="173">
        <f t="shared" ref="Q210:AM211" si="81">Q198+Q200+Q202+Q204+Q206+Q208</f>
        <v>5</v>
      </c>
      <c r="R210" s="173">
        <f t="shared" si="81"/>
        <v>6</v>
      </c>
      <c r="S210" s="173">
        <f t="shared" si="81"/>
        <v>6</v>
      </c>
      <c r="T210" s="173">
        <f t="shared" si="81"/>
        <v>6</v>
      </c>
      <c r="U210" s="173">
        <f t="shared" si="81"/>
        <v>6</v>
      </c>
      <c r="V210" s="173">
        <f t="shared" si="81"/>
        <v>4</v>
      </c>
      <c r="W210" s="173">
        <f t="shared" si="81"/>
        <v>4</v>
      </c>
      <c r="X210" s="173">
        <f t="shared" si="81"/>
        <v>5</v>
      </c>
      <c r="Y210" s="173">
        <f t="shared" si="81"/>
        <v>6</v>
      </c>
      <c r="Z210" s="173">
        <f t="shared" si="81"/>
        <v>6</v>
      </c>
      <c r="AA210" s="173">
        <f t="shared" si="81"/>
        <v>6</v>
      </c>
      <c r="AB210" s="173">
        <f t="shared" si="81"/>
        <v>5</v>
      </c>
      <c r="AC210" s="173">
        <f t="shared" si="81"/>
        <v>5.5</v>
      </c>
      <c r="AD210" s="173">
        <f t="shared" si="81"/>
        <v>3</v>
      </c>
      <c r="AE210" s="173">
        <f t="shared" si="81"/>
        <v>6</v>
      </c>
      <c r="AF210" s="173">
        <f t="shared" si="81"/>
        <v>6</v>
      </c>
      <c r="AG210" s="173">
        <f t="shared" si="81"/>
        <v>6</v>
      </c>
      <c r="AH210" s="173">
        <f t="shared" si="81"/>
        <v>0</v>
      </c>
      <c r="AI210" s="173">
        <f t="shared" si="81"/>
        <v>149</v>
      </c>
      <c r="AJ210" s="173">
        <f t="shared" si="81"/>
        <v>8</v>
      </c>
      <c r="AK210" s="173">
        <f t="shared" si="81"/>
        <v>0</v>
      </c>
      <c r="AL210" s="173">
        <f t="shared" si="81"/>
        <v>157</v>
      </c>
      <c r="AM210" s="173">
        <f t="shared" si="81"/>
        <v>73916.666666666657</v>
      </c>
      <c r="AN210" s="540">
        <f>AM210+AM211</f>
        <v>75916.666666666657</v>
      </c>
      <c r="AO210" s="540">
        <f>SUM(AO198:AO209)</f>
        <v>75000</v>
      </c>
      <c r="AP210" s="542">
        <f>SUM(AP198:AP209)</f>
        <v>167</v>
      </c>
    </row>
    <row r="211" spans="1:43" ht="17.25" customHeight="1" thickBot="1">
      <c r="A211" s="90"/>
      <c r="B211" s="544" t="s">
        <v>31</v>
      </c>
      <c r="C211" s="545"/>
      <c r="D211" s="174">
        <f>D199+D201+D203+D205+D207+D209</f>
        <v>2</v>
      </c>
      <c r="E211" s="174">
        <f t="shared" ref="E211:AC211" si="82">E199+E201+E203+E205+E207+E209</f>
        <v>0</v>
      </c>
      <c r="F211" s="174">
        <f t="shared" si="82"/>
        <v>2</v>
      </c>
      <c r="G211" s="174">
        <f t="shared" si="82"/>
        <v>2</v>
      </c>
      <c r="H211" s="174">
        <f t="shared" si="82"/>
        <v>0</v>
      </c>
      <c r="I211" s="174">
        <f t="shared" si="82"/>
        <v>32</v>
      </c>
      <c r="J211" s="174">
        <f t="shared" si="82"/>
        <v>2</v>
      </c>
      <c r="K211" s="174">
        <f t="shared" si="82"/>
        <v>0</v>
      </c>
      <c r="L211" s="174">
        <f t="shared" si="82"/>
        <v>2</v>
      </c>
      <c r="M211" s="174">
        <f t="shared" si="82"/>
        <v>2</v>
      </c>
      <c r="N211" s="174">
        <f t="shared" si="82"/>
        <v>0</v>
      </c>
      <c r="O211" s="174">
        <f t="shared" si="82"/>
        <v>0</v>
      </c>
      <c r="P211" s="174">
        <f t="shared" si="82"/>
        <v>8</v>
      </c>
      <c r="Q211" s="174">
        <f t="shared" si="82"/>
        <v>2</v>
      </c>
      <c r="R211" s="174">
        <f t="shared" si="82"/>
        <v>2</v>
      </c>
      <c r="S211" s="174">
        <f t="shared" si="82"/>
        <v>0</v>
      </c>
      <c r="T211" s="174">
        <f t="shared" si="82"/>
        <v>2</v>
      </c>
      <c r="U211" s="174">
        <f t="shared" si="82"/>
        <v>2</v>
      </c>
      <c r="V211" s="174">
        <f t="shared" si="82"/>
        <v>0</v>
      </c>
      <c r="W211" s="174">
        <f t="shared" si="82"/>
        <v>0</v>
      </c>
      <c r="X211" s="174">
        <f t="shared" si="82"/>
        <v>0</v>
      </c>
      <c r="Y211" s="174">
        <f t="shared" si="82"/>
        <v>2</v>
      </c>
      <c r="Z211" s="174">
        <f t="shared" si="82"/>
        <v>2</v>
      </c>
      <c r="AA211" s="174">
        <f t="shared" si="82"/>
        <v>2</v>
      </c>
      <c r="AB211" s="174">
        <f t="shared" si="82"/>
        <v>2</v>
      </c>
      <c r="AC211" s="174">
        <f t="shared" si="82"/>
        <v>0</v>
      </c>
      <c r="AD211" s="174">
        <f t="shared" si="81"/>
        <v>0</v>
      </c>
      <c r="AE211" s="174">
        <f t="shared" si="81"/>
        <v>2</v>
      </c>
      <c r="AF211" s="174">
        <f t="shared" si="81"/>
        <v>2</v>
      </c>
      <c r="AG211" s="174">
        <f t="shared" si="81"/>
        <v>0</v>
      </c>
      <c r="AH211" s="174">
        <f t="shared" si="81"/>
        <v>0</v>
      </c>
      <c r="AI211" s="174">
        <f t="shared" si="81"/>
        <v>72</v>
      </c>
      <c r="AJ211" s="174">
        <f t="shared" si="81"/>
        <v>0</v>
      </c>
      <c r="AK211" s="174">
        <f t="shared" si="81"/>
        <v>0</v>
      </c>
      <c r="AL211" s="174">
        <f t="shared" si="81"/>
        <v>72</v>
      </c>
      <c r="AM211" s="174">
        <f t="shared" si="81"/>
        <v>2000</v>
      </c>
      <c r="AN211" s="541"/>
      <c r="AO211" s="541"/>
      <c r="AP211" s="543"/>
    </row>
    <row r="213" spans="1:43" ht="21.75" thickBot="1"/>
    <row r="214" spans="1:43" ht="27" thickBot="1">
      <c r="A214" s="553" t="s">
        <v>0</v>
      </c>
      <c r="B214" s="555" t="s">
        <v>1</v>
      </c>
      <c r="C214" s="556"/>
      <c r="D214" s="559" t="s">
        <v>100</v>
      </c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  <c r="AC214" s="560"/>
      <c r="AD214" s="560"/>
      <c r="AE214" s="560"/>
      <c r="AF214" s="561"/>
      <c r="AG214" s="562">
        <v>31</v>
      </c>
      <c r="AH214" s="563"/>
      <c r="AI214" s="564" t="s">
        <v>3</v>
      </c>
      <c r="AJ214" s="566" t="s">
        <v>4</v>
      </c>
      <c r="AK214" s="566" t="s">
        <v>5</v>
      </c>
      <c r="AL214" s="566" t="s">
        <v>6</v>
      </c>
      <c r="AM214" s="568" t="s">
        <v>7</v>
      </c>
      <c r="AN214" s="547" t="s">
        <v>97</v>
      </c>
      <c r="AO214" s="547" t="s">
        <v>33</v>
      </c>
      <c r="AP214" s="549" t="s">
        <v>93</v>
      </c>
    </row>
    <row r="215" spans="1:43" ht="15.75" thickBot="1">
      <c r="A215" s="554"/>
      <c r="B215" s="557"/>
      <c r="C215" s="558"/>
      <c r="D215" s="156">
        <v>1</v>
      </c>
      <c r="E215" s="157">
        <v>2</v>
      </c>
      <c r="F215" s="157">
        <v>3</v>
      </c>
      <c r="G215" s="157">
        <v>4</v>
      </c>
      <c r="H215" s="157">
        <v>5</v>
      </c>
      <c r="I215" s="157">
        <v>6</v>
      </c>
      <c r="J215" s="157">
        <v>7</v>
      </c>
      <c r="K215" s="157">
        <v>8</v>
      </c>
      <c r="L215" s="157">
        <v>9</v>
      </c>
      <c r="M215" s="157">
        <v>10</v>
      </c>
      <c r="N215" s="157">
        <v>11</v>
      </c>
      <c r="O215" s="157">
        <v>12</v>
      </c>
      <c r="P215" s="157">
        <v>13</v>
      </c>
      <c r="Q215" s="157">
        <v>14</v>
      </c>
      <c r="R215" s="157">
        <v>15</v>
      </c>
      <c r="S215" s="157">
        <v>16</v>
      </c>
      <c r="T215" s="157">
        <v>17</v>
      </c>
      <c r="U215" s="157">
        <v>18</v>
      </c>
      <c r="V215" s="157">
        <v>19</v>
      </c>
      <c r="W215" s="157">
        <v>20</v>
      </c>
      <c r="X215" s="157">
        <v>21</v>
      </c>
      <c r="Y215" s="157">
        <v>22</v>
      </c>
      <c r="Z215" s="157">
        <v>23</v>
      </c>
      <c r="AA215" s="157">
        <v>24</v>
      </c>
      <c r="AB215" s="157">
        <v>25</v>
      </c>
      <c r="AC215" s="157">
        <v>26</v>
      </c>
      <c r="AD215" s="157">
        <v>27</v>
      </c>
      <c r="AE215" s="157">
        <v>28</v>
      </c>
      <c r="AF215" s="157">
        <v>29</v>
      </c>
      <c r="AG215" s="157">
        <v>30</v>
      </c>
      <c r="AH215" s="157">
        <v>31</v>
      </c>
      <c r="AI215" s="565"/>
      <c r="AJ215" s="567"/>
      <c r="AK215" s="567"/>
      <c r="AL215" s="567"/>
      <c r="AM215" s="569"/>
      <c r="AN215" s="548"/>
      <c r="AO215" s="548"/>
      <c r="AP215" s="550"/>
    </row>
    <row r="216" spans="1:43" ht="15">
      <c r="A216" s="160">
        <v>1</v>
      </c>
      <c r="B216" s="95" t="s">
        <v>27</v>
      </c>
      <c r="C216" s="116">
        <f>B217/AG214</f>
        <v>322.58064516129031</v>
      </c>
      <c r="D216" s="21">
        <v>1</v>
      </c>
      <c r="E216" s="21">
        <v>1</v>
      </c>
      <c r="F216" s="21">
        <v>1</v>
      </c>
      <c r="G216" s="86">
        <v>0</v>
      </c>
      <c r="H216" s="21">
        <v>1</v>
      </c>
      <c r="I216" s="21">
        <v>1</v>
      </c>
      <c r="J216" s="21">
        <v>1</v>
      </c>
      <c r="K216" s="21">
        <v>1</v>
      </c>
      <c r="L216" s="21">
        <v>1</v>
      </c>
      <c r="M216" s="21">
        <v>1</v>
      </c>
      <c r="N216" s="86">
        <v>0</v>
      </c>
      <c r="O216" s="178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  <c r="X216" s="21">
        <v>1</v>
      </c>
      <c r="Y216" s="21">
        <v>1</v>
      </c>
      <c r="Z216" s="21">
        <v>1</v>
      </c>
      <c r="AA216" s="21">
        <v>1</v>
      </c>
      <c r="AB216" s="86">
        <v>0</v>
      </c>
      <c r="AC216" s="21">
        <v>1</v>
      </c>
      <c r="AD216" s="21">
        <v>1</v>
      </c>
      <c r="AE216" s="21">
        <v>1</v>
      </c>
      <c r="AF216" s="21">
        <v>1</v>
      </c>
      <c r="AG216" s="21">
        <v>1</v>
      </c>
      <c r="AH216" s="21">
        <v>1</v>
      </c>
      <c r="AI216" s="108">
        <f>SUM(D216:AH216)</f>
        <v>19</v>
      </c>
      <c r="AJ216" s="119">
        <v>3</v>
      </c>
      <c r="AK216" s="81">
        <v>0</v>
      </c>
      <c r="AL216" s="81">
        <f>SUM(AI216:AK216)</f>
        <v>22</v>
      </c>
      <c r="AM216" s="81">
        <f>C216*AL216</f>
        <v>7096.7741935483864</v>
      </c>
      <c r="AN216" s="551">
        <f>AM216+AM217</f>
        <v>7338.7096774193542</v>
      </c>
      <c r="AO216" s="552">
        <v>7500</v>
      </c>
      <c r="AP216" s="530">
        <v>1588</v>
      </c>
      <c r="AQ216" s="704">
        <f>AN216-AP216</f>
        <v>5750.7096774193542</v>
      </c>
    </row>
    <row r="217" spans="1:43" ht="15">
      <c r="A217" s="78">
        <f>C216/8</f>
        <v>40.322580645161288</v>
      </c>
      <c r="B217" s="147">
        <v>10000</v>
      </c>
      <c r="C217" s="116">
        <f>C216/8*1.5</f>
        <v>60.483870967741936</v>
      </c>
      <c r="D217" s="21">
        <v>2</v>
      </c>
      <c r="E217" s="21">
        <v>2</v>
      </c>
      <c r="F217" s="21">
        <v>0</v>
      </c>
      <c r="G217" s="86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86">
        <v>0</v>
      </c>
      <c r="O217" s="178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86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21">
        <v>0</v>
      </c>
      <c r="AB217" s="86">
        <v>0</v>
      </c>
      <c r="AC217" s="21">
        <v>0</v>
      </c>
      <c r="AD217" s="21">
        <v>0</v>
      </c>
      <c r="AE217" s="21">
        <v>0</v>
      </c>
      <c r="AF217" s="21">
        <v>0</v>
      </c>
      <c r="AG217" s="21">
        <v>0</v>
      </c>
      <c r="AH217" s="21">
        <v>0</v>
      </c>
      <c r="AI217" s="108">
        <f t="shared" ref="AI217:AI227" si="83">SUM(D217:AH217)</f>
        <v>4</v>
      </c>
      <c r="AJ217" s="120">
        <v>0</v>
      </c>
      <c r="AK217" s="21">
        <v>0</v>
      </c>
      <c r="AL217" s="81">
        <f t="shared" ref="AL217:AL225" si="84">SUM(AI217:AK217)</f>
        <v>4</v>
      </c>
      <c r="AM217" s="81">
        <f>C217*AL217</f>
        <v>241.93548387096774</v>
      </c>
      <c r="AN217" s="533"/>
      <c r="AO217" s="546"/>
      <c r="AP217" s="531"/>
      <c r="AQ217" s="705"/>
    </row>
    <row r="218" spans="1:43" ht="15">
      <c r="A218" s="160">
        <v>2</v>
      </c>
      <c r="B218" s="95" t="s">
        <v>85</v>
      </c>
      <c r="C218" s="116">
        <v>400</v>
      </c>
      <c r="D218" s="21">
        <v>1</v>
      </c>
      <c r="E218" s="21">
        <v>1</v>
      </c>
      <c r="F218" s="21">
        <v>1</v>
      </c>
      <c r="G218" s="86">
        <v>0</v>
      </c>
      <c r="H218" s="175">
        <v>1</v>
      </c>
      <c r="I218" s="21">
        <v>1</v>
      </c>
      <c r="J218" s="175">
        <v>1</v>
      </c>
      <c r="K218" s="175">
        <v>1</v>
      </c>
      <c r="L218" s="175">
        <v>1</v>
      </c>
      <c r="M218" s="175">
        <v>1</v>
      </c>
      <c r="N218" s="86">
        <v>0</v>
      </c>
      <c r="O218" s="178">
        <v>0</v>
      </c>
      <c r="P218" s="175">
        <v>1</v>
      </c>
      <c r="Q218" s="175">
        <v>1</v>
      </c>
      <c r="R218" s="175">
        <v>1</v>
      </c>
      <c r="S218" s="175">
        <v>1</v>
      </c>
      <c r="T218" s="23">
        <v>0</v>
      </c>
      <c r="U218" s="86">
        <v>0</v>
      </c>
      <c r="V218" s="175">
        <v>1</v>
      </c>
      <c r="W218" s="175">
        <v>1</v>
      </c>
      <c r="X218" s="175">
        <v>1</v>
      </c>
      <c r="Y218" s="175">
        <v>1</v>
      </c>
      <c r="Z218" s="175">
        <v>1</v>
      </c>
      <c r="AA218" s="180">
        <v>0.5</v>
      </c>
      <c r="AB218" s="86">
        <v>0</v>
      </c>
      <c r="AC218" s="175">
        <v>1</v>
      </c>
      <c r="AD218" s="175">
        <v>1</v>
      </c>
      <c r="AE218" s="175">
        <v>1</v>
      </c>
      <c r="AF218" s="175">
        <v>1</v>
      </c>
      <c r="AG218" s="175">
        <v>1</v>
      </c>
      <c r="AH218" s="175">
        <v>1</v>
      </c>
      <c r="AI218" s="108">
        <f t="shared" si="83"/>
        <v>24.5</v>
      </c>
      <c r="AJ218" s="120">
        <v>4</v>
      </c>
      <c r="AK218" s="81">
        <v>0</v>
      </c>
      <c r="AL218" s="81">
        <f t="shared" si="84"/>
        <v>28.5</v>
      </c>
      <c r="AM218" s="81">
        <f t="shared" ref="AM218:AM225" si="85">C218*AL218</f>
        <v>11400</v>
      </c>
      <c r="AN218" s="532">
        <f>AM218+AM219</f>
        <v>11400</v>
      </c>
      <c r="AO218" s="534">
        <v>12000</v>
      </c>
      <c r="AP218" s="536">
        <v>0</v>
      </c>
    </row>
    <row r="219" spans="1:43" ht="15">
      <c r="A219" s="78">
        <f>C218/10</f>
        <v>40</v>
      </c>
      <c r="B219" s="147">
        <v>15000</v>
      </c>
      <c r="C219" s="116">
        <v>0</v>
      </c>
      <c r="D219" s="21">
        <v>0</v>
      </c>
      <c r="E219" s="21">
        <v>0</v>
      </c>
      <c r="F219" s="21">
        <v>0</v>
      </c>
      <c r="G219" s="86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86">
        <v>0</v>
      </c>
      <c r="O219" s="178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86">
        <v>0</v>
      </c>
      <c r="V219" s="21">
        <v>0</v>
      </c>
      <c r="W219" s="21">
        <v>0</v>
      </c>
      <c r="X219" s="21">
        <v>0</v>
      </c>
      <c r="Y219" s="21">
        <v>0</v>
      </c>
      <c r="Z219" s="21">
        <v>0</v>
      </c>
      <c r="AA219" s="21">
        <v>0</v>
      </c>
      <c r="AB219" s="86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108">
        <f t="shared" si="83"/>
        <v>0</v>
      </c>
      <c r="AJ219" s="120">
        <v>0</v>
      </c>
      <c r="AK219" s="21">
        <v>0</v>
      </c>
      <c r="AL219" s="81">
        <f t="shared" si="84"/>
        <v>0</v>
      </c>
      <c r="AM219" s="81">
        <f t="shared" si="85"/>
        <v>0</v>
      </c>
      <c r="AN219" s="533"/>
      <c r="AO219" s="546"/>
      <c r="AP219" s="531"/>
    </row>
    <row r="220" spans="1:43" ht="15">
      <c r="A220" s="160">
        <v>3</v>
      </c>
      <c r="B220" s="95" t="s">
        <v>87</v>
      </c>
      <c r="C220" s="116">
        <v>400</v>
      </c>
      <c r="D220" s="21">
        <v>1</v>
      </c>
      <c r="E220" s="21">
        <v>1</v>
      </c>
      <c r="F220" s="21">
        <v>1</v>
      </c>
      <c r="G220" s="86">
        <v>0</v>
      </c>
      <c r="H220" s="175">
        <v>1</v>
      </c>
      <c r="I220" s="21">
        <v>1</v>
      </c>
      <c r="J220" s="175">
        <v>1</v>
      </c>
      <c r="K220" s="175">
        <v>1</v>
      </c>
      <c r="L220" s="175">
        <v>1</v>
      </c>
      <c r="M220" s="175">
        <v>1</v>
      </c>
      <c r="N220" s="86">
        <v>0</v>
      </c>
      <c r="O220" s="178">
        <v>0</v>
      </c>
      <c r="P220" s="175">
        <v>1</v>
      </c>
      <c r="Q220" s="175">
        <v>1</v>
      </c>
      <c r="R220" s="175">
        <v>1</v>
      </c>
      <c r="S220" s="175">
        <v>1</v>
      </c>
      <c r="T220" s="175">
        <v>1</v>
      </c>
      <c r="U220" s="86">
        <v>1</v>
      </c>
      <c r="V220" s="175">
        <v>1</v>
      </c>
      <c r="W220" s="175">
        <v>1</v>
      </c>
      <c r="X220" s="175">
        <v>1</v>
      </c>
      <c r="Y220" s="175">
        <v>1</v>
      </c>
      <c r="Z220" s="175">
        <v>1</v>
      </c>
      <c r="AA220" s="180">
        <v>0.5</v>
      </c>
      <c r="AB220" s="86">
        <v>0</v>
      </c>
      <c r="AC220" s="175">
        <v>1</v>
      </c>
      <c r="AD220" s="175">
        <v>1</v>
      </c>
      <c r="AE220" s="23">
        <v>0</v>
      </c>
      <c r="AF220" s="175">
        <v>1</v>
      </c>
      <c r="AG220" s="175">
        <v>1</v>
      </c>
      <c r="AH220" s="175">
        <v>1</v>
      </c>
      <c r="AI220" s="108">
        <f t="shared" si="83"/>
        <v>25.5</v>
      </c>
      <c r="AJ220" s="120">
        <v>0</v>
      </c>
      <c r="AK220" s="81">
        <v>0</v>
      </c>
      <c r="AL220" s="81">
        <f t="shared" si="84"/>
        <v>25.5</v>
      </c>
      <c r="AM220" s="81">
        <f t="shared" si="85"/>
        <v>10200</v>
      </c>
      <c r="AN220" s="532">
        <f>AM220+AM221</f>
        <v>10200</v>
      </c>
      <c r="AO220" s="534">
        <v>11000</v>
      </c>
      <c r="AP220" s="536">
        <v>0</v>
      </c>
    </row>
    <row r="221" spans="1:43" ht="15">
      <c r="A221" s="78">
        <f>C220/10</f>
        <v>40</v>
      </c>
      <c r="B221" s="147"/>
      <c r="C221" s="116">
        <v>0</v>
      </c>
      <c r="D221" s="21">
        <v>0</v>
      </c>
      <c r="E221" s="21">
        <v>0</v>
      </c>
      <c r="F221" s="21">
        <v>0</v>
      </c>
      <c r="G221" s="86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86">
        <v>0</v>
      </c>
      <c r="O221" s="178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124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86">
        <v>0</v>
      </c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108">
        <f t="shared" si="83"/>
        <v>0</v>
      </c>
      <c r="AJ221" s="120">
        <v>0</v>
      </c>
      <c r="AK221" s="21">
        <v>0</v>
      </c>
      <c r="AL221" s="81">
        <f t="shared" si="84"/>
        <v>0</v>
      </c>
      <c r="AM221" s="81">
        <f t="shared" si="85"/>
        <v>0</v>
      </c>
      <c r="AN221" s="533"/>
      <c r="AO221" s="546"/>
      <c r="AP221" s="531"/>
    </row>
    <row r="222" spans="1:43" ht="15">
      <c r="A222" s="160">
        <v>4</v>
      </c>
      <c r="B222" s="95" t="s">
        <v>95</v>
      </c>
      <c r="C222" s="116">
        <v>400</v>
      </c>
      <c r="D222" s="21">
        <v>1</v>
      </c>
      <c r="E222" s="175">
        <v>1</v>
      </c>
      <c r="F222" s="23">
        <v>0</v>
      </c>
      <c r="G222" s="86">
        <v>0</v>
      </c>
      <c r="H222" s="175">
        <v>1</v>
      </c>
      <c r="I222" s="21">
        <v>1</v>
      </c>
      <c r="J222" s="175">
        <v>1</v>
      </c>
      <c r="K222" s="175">
        <v>1</v>
      </c>
      <c r="L222" s="175">
        <v>1</v>
      </c>
      <c r="M222" s="175">
        <v>1</v>
      </c>
      <c r="N222" s="86">
        <v>0</v>
      </c>
      <c r="O222" s="178">
        <v>0</v>
      </c>
      <c r="P222" s="175">
        <v>1</v>
      </c>
      <c r="Q222" s="175">
        <v>1</v>
      </c>
      <c r="R222" s="175">
        <v>1</v>
      </c>
      <c r="S222" s="175">
        <v>1</v>
      </c>
      <c r="T222" s="175">
        <v>1</v>
      </c>
      <c r="U222" s="86">
        <v>1</v>
      </c>
      <c r="V222" s="175">
        <v>1</v>
      </c>
      <c r="W222" s="175">
        <v>1</v>
      </c>
      <c r="X222" s="175">
        <v>1</v>
      </c>
      <c r="Y222" s="175">
        <v>1</v>
      </c>
      <c r="Z222" s="175">
        <v>1</v>
      </c>
      <c r="AA222" s="180">
        <v>0.5</v>
      </c>
      <c r="AB222" s="86">
        <v>0</v>
      </c>
      <c r="AC222" s="175">
        <v>1</v>
      </c>
      <c r="AD222" s="175">
        <v>1</v>
      </c>
      <c r="AE222" s="175">
        <v>1</v>
      </c>
      <c r="AF222" s="175">
        <v>1</v>
      </c>
      <c r="AG222" s="175">
        <v>1</v>
      </c>
      <c r="AH222" s="175">
        <v>1</v>
      </c>
      <c r="AI222" s="108">
        <f t="shared" si="83"/>
        <v>25.5</v>
      </c>
      <c r="AJ222" s="120">
        <v>0</v>
      </c>
      <c r="AK222" s="21">
        <v>0</v>
      </c>
      <c r="AL222" s="81">
        <f t="shared" si="84"/>
        <v>25.5</v>
      </c>
      <c r="AM222" s="81">
        <f t="shared" si="85"/>
        <v>10200</v>
      </c>
      <c r="AN222" s="532">
        <f>AM222+AM223</f>
        <v>10200</v>
      </c>
      <c r="AO222" s="534">
        <v>11000</v>
      </c>
      <c r="AP222" s="536">
        <v>0</v>
      </c>
    </row>
    <row r="223" spans="1:43" ht="15">
      <c r="A223" s="78">
        <f>C222/10</f>
        <v>40</v>
      </c>
      <c r="B223" s="147"/>
      <c r="C223" s="116">
        <v>0</v>
      </c>
      <c r="D223" s="21">
        <v>0</v>
      </c>
      <c r="E223" s="21">
        <v>0</v>
      </c>
      <c r="F223" s="21">
        <v>0</v>
      </c>
      <c r="G223" s="86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86">
        <v>0</v>
      </c>
      <c r="O223" s="178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124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86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108">
        <f t="shared" si="83"/>
        <v>0</v>
      </c>
      <c r="AJ223" s="120">
        <v>0</v>
      </c>
      <c r="AK223" s="21">
        <v>0</v>
      </c>
      <c r="AL223" s="81">
        <f t="shared" si="84"/>
        <v>0</v>
      </c>
      <c r="AM223" s="81">
        <f t="shared" si="85"/>
        <v>0</v>
      </c>
      <c r="AN223" s="533"/>
      <c r="AO223" s="546"/>
      <c r="AP223" s="531"/>
    </row>
    <row r="224" spans="1:43" ht="15">
      <c r="A224" s="160">
        <v>5</v>
      </c>
      <c r="B224" s="95" t="s">
        <v>102</v>
      </c>
      <c r="C224" s="116">
        <v>400</v>
      </c>
      <c r="D224" s="21">
        <v>1</v>
      </c>
      <c r="E224" s="21">
        <v>1</v>
      </c>
      <c r="F224" s="21">
        <v>1</v>
      </c>
      <c r="G224" s="86">
        <v>0</v>
      </c>
      <c r="H224" s="23">
        <v>0</v>
      </c>
      <c r="I224" s="21">
        <v>1</v>
      </c>
      <c r="J224" s="175">
        <v>1</v>
      </c>
      <c r="K224" s="175">
        <v>1</v>
      </c>
      <c r="L224" s="175">
        <v>1</v>
      </c>
      <c r="M224" s="175">
        <v>1</v>
      </c>
      <c r="N224" s="86">
        <v>0</v>
      </c>
      <c r="O224" s="178">
        <v>0</v>
      </c>
      <c r="P224" s="175">
        <v>1</v>
      </c>
      <c r="Q224" s="175">
        <v>1</v>
      </c>
      <c r="R224" s="175">
        <v>1</v>
      </c>
      <c r="S224" s="175">
        <v>1</v>
      </c>
      <c r="T224" s="175">
        <v>1</v>
      </c>
      <c r="U224" s="86">
        <v>0</v>
      </c>
      <c r="V224" s="175">
        <v>1</v>
      </c>
      <c r="W224" s="23">
        <v>0</v>
      </c>
      <c r="X224" s="175">
        <v>1</v>
      </c>
      <c r="Y224" s="175">
        <v>1</v>
      </c>
      <c r="Z224" s="175">
        <v>1</v>
      </c>
      <c r="AA224" s="180">
        <v>0.5</v>
      </c>
      <c r="AB224" s="86">
        <v>0</v>
      </c>
      <c r="AC224" s="175">
        <v>1</v>
      </c>
      <c r="AD224" s="175">
        <v>1</v>
      </c>
      <c r="AE224" s="175">
        <v>1</v>
      </c>
      <c r="AF224" s="175">
        <v>1</v>
      </c>
      <c r="AG224" s="175">
        <v>1</v>
      </c>
      <c r="AH224" s="175">
        <v>1</v>
      </c>
      <c r="AI224" s="108">
        <f t="shared" si="83"/>
        <v>23.5</v>
      </c>
      <c r="AJ224" s="120">
        <v>0</v>
      </c>
      <c r="AK224" s="21">
        <v>0</v>
      </c>
      <c r="AL224" s="81">
        <f t="shared" si="84"/>
        <v>23.5</v>
      </c>
      <c r="AM224" s="81">
        <f t="shared" si="85"/>
        <v>9400</v>
      </c>
      <c r="AN224" s="532">
        <f>AM224+AM225</f>
        <v>9400</v>
      </c>
      <c r="AO224" s="534">
        <v>10000</v>
      </c>
      <c r="AP224" s="536">
        <v>0</v>
      </c>
    </row>
    <row r="225" spans="1:42" ht="15">
      <c r="A225" s="78">
        <f>C224/10</f>
        <v>40</v>
      </c>
      <c r="B225" s="147"/>
      <c r="C225" s="116">
        <v>0</v>
      </c>
      <c r="D225" s="21">
        <v>0</v>
      </c>
      <c r="E225" s="21">
        <v>0</v>
      </c>
      <c r="F225" s="21">
        <v>0</v>
      </c>
      <c r="G225" s="86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86">
        <v>0</v>
      </c>
      <c r="O225" s="178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86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86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108">
        <f t="shared" si="83"/>
        <v>0</v>
      </c>
      <c r="AJ225" s="120">
        <v>0</v>
      </c>
      <c r="AK225" s="21">
        <v>0</v>
      </c>
      <c r="AL225" s="81">
        <f t="shared" si="84"/>
        <v>0</v>
      </c>
      <c r="AM225" s="81">
        <f t="shared" si="85"/>
        <v>0</v>
      </c>
      <c r="AN225" s="533"/>
      <c r="AO225" s="546"/>
      <c r="AP225" s="531"/>
    </row>
    <row r="226" spans="1:42" ht="15">
      <c r="A226" s="160">
        <v>6</v>
      </c>
      <c r="B226" s="95" t="s">
        <v>99</v>
      </c>
      <c r="C226" s="116">
        <v>400</v>
      </c>
      <c r="D226" s="21">
        <v>1</v>
      </c>
      <c r="E226" s="21">
        <v>1</v>
      </c>
      <c r="F226" s="21">
        <v>1</v>
      </c>
      <c r="G226" s="86">
        <v>0</v>
      </c>
      <c r="H226" s="175">
        <v>1</v>
      </c>
      <c r="I226" s="21">
        <v>1</v>
      </c>
      <c r="J226" s="175">
        <v>1</v>
      </c>
      <c r="K226" s="175">
        <v>1</v>
      </c>
      <c r="L226" s="175">
        <v>1</v>
      </c>
      <c r="M226" s="175">
        <v>1</v>
      </c>
      <c r="N226" s="86">
        <v>0</v>
      </c>
      <c r="O226" s="178">
        <v>0</v>
      </c>
      <c r="P226" s="175">
        <v>1</v>
      </c>
      <c r="Q226" s="175">
        <v>1</v>
      </c>
      <c r="R226" s="175">
        <v>1</v>
      </c>
      <c r="S226" s="175">
        <v>1</v>
      </c>
      <c r="T226" s="175">
        <v>1</v>
      </c>
      <c r="U226" s="86">
        <v>0</v>
      </c>
      <c r="V226" s="175">
        <v>1</v>
      </c>
      <c r="W226" s="175">
        <v>1</v>
      </c>
      <c r="X226" s="175">
        <v>1</v>
      </c>
      <c r="Y226" s="175">
        <v>1</v>
      </c>
      <c r="Z226" s="175">
        <v>1</v>
      </c>
      <c r="AA226" s="180">
        <v>0.5</v>
      </c>
      <c r="AB226" s="86">
        <v>0</v>
      </c>
      <c r="AC226" s="175">
        <v>1</v>
      </c>
      <c r="AD226" s="175">
        <v>1</v>
      </c>
      <c r="AE226" s="175">
        <v>1</v>
      </c>
      <c r="AF226" s="175">
        <v>1</v>
      </c>
      <c r="AG226" s="175">
        <v>1</v>
      </c>
      <c r="AH226" s="175">
        <v>1</v>
      </c>
      <c r="AI226" s="108">
        <f t="shared" si="83"/>
        <v>25.5</v>
      </c>
      <c r="AJ226" s="120">
        <v>0</v>
      </c>
      <c r="AK226" s="81">
        <v>0</v>
      </c>
      <c r="AL226" s="81">
        <f>SUM(AI226:AK226)</f>
        <v>25.5</v>
      </c>
      <c r="AM226" s="81">
        <f>C226*AL226</f>
        <v>10200</v>
      </c>
      <c r="AN226" s="532">
        <f>AM226+AM227</f>
        <v>10200</v>
      </c>
      <c r="AO226" s="534">
        <v>10000</v>
      </c>
      <c r="AP226" s="536">
        <v>0</v>
      </c>
    </row>
    <row r="227" spans="1:42" ht="15.75" thickBot="1">
      <c r="A227" s="78"/>
      <c r="B227" s="147"/>
      <c r="C227" s="116">
        <v>0</v>
      </c>
      <c r="D227" s="21">
        <v>0</v>
      </c>
      <c r="E227" s="21">
        <v>0</v>
      </c>
      <c r="F227" s="21">
        <v>0</v>
      </c>
      <c r="G227" s="86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86">
        <v>0</v>
      </c>
      <c r="O227" s="178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86">
        <v>0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21">
        <v>0</v>
      </c>
      <c r="AB227" s="86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108">
        <f t="shared" si="83"/>
        <v>0</v>
      </c>
      <c r="AJ227" s="120">
        <v>0</v>
      </c>
      <c r="AK227" s="21">
        <v>0</v>
      </c>
      <c r="AL227" s="81">
        <f t="shared" ref="AL227" si="86">SUM(AI227:AK227)</f>
        <v>0</v>
      </c>
      <c r="AM227" s="81">
        <f>C227*AL227</f>
        <v>0</v>
      </c>
      <c r="AN227" s="533"/>
      <c r="AO227" s="535"/>
      <c r="AP227" s="537"/>
    </row>
    <row r="228" spans="1:42" ht="15.75" thickBot="1">
      <c r="A228" s="89"/>
      <c r="B228" s="538" t="s">
        <v>30</v>
      </c>
      <c r="C228" s="539"/>
      <c r="D228" s="181">
        <f>D216+D218+D220+D222+D224+D226</f>
        <v>6</v>
      </c>
      <c r="E228" s="181">
        <f>E216+E218+E220+E222+E224+E226</f>
        <v>6</v>
      </c>
      <c r="F228" s="181">
        <f t="shared" ref="F228:N228" si="87">F216+F218+F220+F222+F224+F226</f>
        <v>5</v>
      </c>
      <c r="G228" s="181">
        <f t="shared" si="87"/>
        <v>0</v>
      </c>
      <c r="H228" s="181">
        <f t="shared" si="87"/>
        <v>5</v>
      </c>
      <c r="I228" s="181">
        <f t="shared" si="87"/>
        <v>6</v>
      </c>
      <c r="J228" s="181">
        <f t="shared" si="87"/>
        <v>6</v>
      </c>
      <c r="K228" s="181">
        <f t="shared" si="87"/>
        <v>6</v>
      </c>
      <c r="L228" s="181">
        <f t="shared" si="87"/>
        <v>6</v>
      </c>
      <c r="M228" s="181">
        <f t="shared" si="87"/>
        <v>6</v>
      </c>
      <c r="N228" s="181">
        <f t="shared" si="87"/>
        <v>0</v>
      </c>
      <c r="O228" s="181">
        <f>O216+O218+O220+O222+O224+O226</f>
        <v>0</v>
      </c>
      <c r="P228" s="181">
        <f>P216+P218+P220+P222+P224+P226</f>
        <v>5</v>
      </c>
      <c r="Q228" s="181">
        <f t="shared" ref="Q228:AM228" si="88">Q216+Q218+Q220+Q222+Q224+Q226</f>
        <v>5</v>
      </c>
      <c r="R228" s="181">
        <f t="shared" si="88"/>
        <v>5</v>
      </c>
      <c r="S228" s="181">
        <f t="shared" si="88"/>
        <v>5</v>
      </c>
      <c r="T228" s="181">
        <f t="shared" si="88"/>
        <v>4</v>
      </c>
      <c r="U228" s="181">
        <f t="shared" si="88"/>
        <v>2</v>
      </c>
      <c r="V228" s="181">
        <f t="shared" si="88"/>
        <v>5</v>
      </c>
      <c r="W228" s="181">
        <f t="shared" si="88"/>
        <v>4</v>
      </c>
      <c r="X228" s="181">
        <f t="shared" si="88"/>
        <v>6</v>
      </c>
      <c r="Y228" s="181">
        <f t="shared" si="88"/>
        <v>6</v>
      </c>
      <c r="Z228" s="181">
        <f t="shared" si="88"/>
        <v>6</v>
      </c>
      <c r="AA228" s="181">
        <f t="shared" si="88"/>
        <v>3.5</v>
      </c>
      <c r="AB228" s="181">
        <f t="shared" si="88"/>
        <v>0</v>
      </c>
      <c r="AC228" s="181">
        <f t="shared" si="88"/>
        <v>6</v>
      </c>
      <c r="AD228" s="181">
        <f t="shared" si="88"/>
        <v>6</v>
      </c>
      <c r="AE228" s="181">
        <f t="shared" si="88"/>
        <v>5</v>
      </c>
      <c r="AF228" s="181">
        <f t="shared" si="88"/>
        <v>6</v>
      </c>
      <c r="AG228" s="181">
        <f t="shared" si="88"/>
        <v>6</v>
      </c>
      <c r="AH228" s="181">
        <f t="shared" si="88"/>
        <v>6</v>
      </c>
      <c r="AI228" s="181">
        <f t="shared" si="88"/>
        <v>143.5</v>
      </c>
      <c r="AJ228" s="181">
        <f t="shared" si="88"/>
        <v>7</v>
      </c>
      <c r="AK228" s="181">
        <f t="shared" si="88"/>
        <v>0</v>
      </c>
      <c r="AL228" s="181">
        <f t="shared" si="88"/>
        <v>150.5</v>
      </c>
      <c r="AM228" s="181">
        <f t="shared" si="88"/>
        <v>58496.774193548386</v>
      </c>
      <c r="AN228" s="540">
        <f>AM228+AM229</f>
        <v>58738.709677419356</v>
      </c>
      <c r="AO228" s="540">
        <f>SUM(AO216:AO227)</f>
        <v>61500</v>
      </c>
      <c r="AP228" s="542">
        <f>SUM(AP216:AP227)</f>
        <v>1588</v>
      </c>
    </row>
    <row r="229" spans="1:42" ht="15.75" thickBot="1">
      <c r="A229" s="90"/>
      <c r="B229" s="544" t="s">
        <v>31</v>
      </c>
      <c r="C229" s="545"/>
      <c r="D229" s="182">
        <f>D217+D219+D221+D223+D225+D227</f>
        <v>2</v>
      </c>
      <c r="E229" s="182">
        <f t="shared" ref="E229:AM229" si="89">E217+E219+E221+E223+E225+E227</f>
        <v>2</v>
      </c>
      <c r="F229" s="182">
        <f t="shared" si="89"/>
        <v>0</v>
      </c>
      <c r="G229" s="182">
        <f t="shared" si="89"/>
        <v>0</v>
      </c>
      <c r="H229" s="182">
        <f t="shared" si="89"/>
        <v>0</v>
      </c>
      <c r="I229" s="182">
        <f t="shared" si="89"/>
        <v>0</v>
      </c>
      <c r="J229" s="182">
        <f t="shared" si="89"/>
        <v>0</v>
      </c>
      <c r="K229" s="182">
        <f t="shared" si="89"/>
        <v>0</v>
      </c>
      <c r="L229" s="182">
        <f t="shared" si="89"/>
        <v>0</v>
      </c>
      <c r="M229" s="182">
        <f t="shared" si="89"/>
        <v>0</v>
      </c>
      <c r="N229" s="182">
        <f t="shared" si="89"/>
        <v>0</v>
      </c>
      <c r="O229" s="182">
        <f t="shared" si="89"/>
        <v>0</v>
      </c>
      <c r="P229" s="182">
        <f t="shared" si="89"/>
        <v>0</v>
      </c>
      <c r="Q229" s="182">
        <f t="shared" si="89"/>
        <v>0</v>
      </c>
      <c r="R229" s="182">
        <f t="shared" si="89"/>
        <v>0</v>
      </c>
      <c r="S229" s="182">
        <f t="shared" si="89"/>
        <v>0</v>
      </c>
      <c r="T229" s="182">
        <f t="shared" si="89"/>
        <v>0</v>
      </c>
      <c r="U229" s="182">
        <f t="shared" si="89"/>
        <v>0</v>
      </c>
      <c r="V229" s="182">
        <f t="shared" si="89"/>
        <v>0</v>
      </c>
      <c r="W229" s="182">
        <f t="shared" si="89"/>
        <v>0</v>
      </c>
      <c r="X229" s="182">
        <f t="shared" si="89"/>
        <v>0</v>
      </c>
      <c r="Y229" s="182">
        <f t="shared" si="89"/>
        <v>0</v>
      </c>
      <c r="Z229" s="182">
        <f t="shared" si="89"/>
        <v>0</v>
      </c>
      <c r="AA229" s="182">
        <f t="shared" si="89"/>
        <v>0</v>
      </c>
      <c r="AB229" s="182">
        <f t="shared" si="89"/>
        <v>0</v>
      </c>
      <c r="AC229" s="182">
        <f t="shared" si="89"/>
        <v>0</v>
      </c>
      <c r="AD229" s="182">
        <f t="shared" si="89"/>
        <v>0</v>
      </c>
      <c r="AE229" s="182">
        <f t="shared" si="89"/>
        <v>0</v>
      </c>
      <c r="AF229" s="182">
        <f t="shared" si="89"/>
        <v>0</v>
      </c>
      <c r="AG229" s="182">
        <f t="shared" si="89"/>
        <v>0</v>
      </c>
      <c r="AH229" s="182">
        <f>AH217+AH219+AH221+AH223+AH225+AH227</f>
        <v>0</v>
      </c>
      <c r="AI229" s="182">
        <f t="shared" si="89"/>
        <v>4</v>
      </c>
      <c r="AJ229" s="182">
        <f t="shared" si="89"/>
        <v>0</v>
      </c>
      <c r="AK229" s="182">
        <f t="shared" si="89"/>
        <v>0</v>
      </c>
      <c r="AL229" s="182">
        <f t="shared" si="89"/>
        <v>4</v>
      </c>
      <c r="AM229" s="182">
        <f t="shared" si="89"/>
        <v>241.93548387096774</v>
      </c>
      <c r="AN229" s="541"/>
      <c r="AO229" s="541"/>
      <c r="AP229" s="543"/>
    </row>
  </sheetData>
  <mergeCells count="403">
    <mergeCell ref="AQ216:AQ217"/>
    <mergeCell ref="AO190:AO191"/>
    <mergeCell ref="AP190:AP191"/>
    <mergeCell ref="AQ190:AQ191"/>
    <mergeCell ref="B192:C192"/>
    <mergeCell ref="AO192:AO193"/>
    <mergeCell ref="AP192:AP193"/>
    <mergeCell ref="AQ192:AQ193"/>
    <mergeCell ref="B193:C193"/>
    <mergeCell ref="AP198:AP199"/>
    <mergeCell ref="AO200:AO201"/>
    <mergeCell ref="AP200:AP201"/>
    <mergeCell ref="AP216:AP217"/>
    <mergeCell ref="AQ198:AQ199"/>
    <mergeCell ref="AO184:AO185"/>
    <mergeCell ref="AP184:AP185"/>
    <mergeCell ref="AQ184:AQ185"/>
    <mergeCell ref="AO186:AO187"/>
    <mergeCell ref="AP186:AP187"/>
    <mergeCell ref="AQ186:AQ187"/>
    <mergeCell ref="AO188:AO189"/>
    <mergeCell ref="AP188:AP189"/>
    <mergeCell ref="AQ188:AQ189"/>
    <mergeCell ref="AN178:AN179"/>
    <mergeCell ref="AO178:AO179"/>
    <mergeCell ref="AP178:AP179"/>
    <mergeCell ref="AQ178:AQ179"/>
    <mergeCell ref="AO180:AO181"/>
    <mergeCell ref="AP180:AP181"/>
    <mergeCell ref="AQ180:AQ181"/>
    <mergeCell ref="AO182:AO183"/>
    <mergeCell ref="AP182:AP183"/>
    <mergeCell ref="AQ182:AQ183"/>
    <mergeCell ref="A178:A179"/>
    <mergeCell ref="B178:C179"/>
    <mergeCell ref="D178:AF178"/>
    <mergeCell ref="AG178:AH178"/>
    <mergeCell ref="AI178:AI179"/>
    <mergeCell ref="AJ178:AJ179"/>
    <mergeCell ref="AK178:AK179"/>
    <mergeCell ref="AL178:AL179"/>
    <mergeCell ref="AM178:AM179"/>
    <mergeCell ref="AQ162:AQ163"/>
    <mergeCell ref="AQ160:AQ161"/>
    <mergeCell ref="AQ164:AQ165"/>
    <mergeCell ref="AQ166:AQ167"/>
    <mergeCell ref="AQ168:AQ169"/>
    <mergeCell ref="AQ170:AQ171"/>
    <mergeCell ref="AQ172:AQ173"/>
    <mergeCell ref="AQ174:AQ175"/>
    <mergeCell ref="AO150:AO151"/>
    <mergeCell ref="AP150:AP151"/>
    <mergeCell ref="AO152:AO153"/>
    <mergeCell ref="AP152:AP153"/>
    <mergeCell ref="AO154:AO155"/>
    <mergeCell ref="AP154:AP155"/>
    <mergeCell ref="AO168:AO169"/>
    <mergeCell ref="AP168:AP169"/>
    <mergeCell ref="AO170:AO171"/>
    <mergeCell ref="AP170:AP171"/>
    <mergeCell ref="AO172:AO173"/>
    <mergeCell ref="AP172:AP173"/>
    <mergeCell ref="B156:C156"/>
    <mergeCell ref="AO156:AO157"/>
    <mergeCell ref="AP156:AP157"/>
    <mergeCell ref="B157:C157"/>
    <mergeCell ref="AN142:AN143"/>
    <mergeCell ref="AO142:AO143"/>
    <mergeCell ref="AP142:AP143"/>
    <mergeCell ref="AO144:AO145"/>
    <mergeCell ref="AP144:AP145"/>
    <mergeCell ref="AO146:AO147"/>
    <mergeCell ref="AP146:AP147"/>
    <mergeCell ref="AO148:AO149"/>
    <mergeCell ref="AP148:AP149"/>
    <mergeCell ref="A142:A143"/>
    <mergeCell ref="B142:C143"/>
    <mergeCell ref="D142:AF142"/>
    <mergeCell ref="AG142:AH142"/>
    <mergeCell ref="AI142:AI143"/>
    <mergeCell ref="AJ142:AJ143"/>
    <mergeCell ref="AK142:AK143"/>
    <mergeCell ref="AL142:AL143"/>
    <mergeCell ref="AM142:AM143"/>
    <mergeCell ref="AO132:AO133"/>
    <mergeCell ref="AP132:AP133"/>
    <mergeCell ref="AO134:AO135"/>
    <mergeCell ref="AP134:AP135"/>
    <mergeCell ref="AO136:AO137"/>
    <mergeCell ref="AP136:AP137"/>
    <mergeCell ref="B138:C138"/>
    <mergeCell ref="AO138:AO139"/>
    <mergeCell ref="AP138:AP139"/>
    <mergeCell ref="B139:C139"/>
    <mergeCell ref="AN124:AN125"/>
    <mergeCell ref="AO124:AO125"/>
    <mergeCell ref="AP124:AP125"/>
    <mergeCell ref="AO126:AO127"/>
    <mergeCell ref="AP126:AP127"/>
    <mergeCell ref="AO128:AO129"/>
    <mergeCell ref="AP128:AP129"/>
    <mergeCell ref="AO130:AO131"/>
    <mergeCell ref="AP130:AP131"/>
    <mergeCell ref="A124:A125"/>
    <mergeCell ref="B124:C125"/>
    <mergeCell ref="D124:AF124"/>
    <mergeCell ref="AG124:AH124"/>
    <mergeCell ref="AI124:AI125"/>
    <mergeCell ref="AJ124:AJ125"/>
    <mergeCell ref="AK124:AK125"/>
    <mergeCell ref="AL124:AL125"/>
    <mergeCell ref="AM124:AM125"/>
    <mergeCell ref="B120:C120"/>
    <mergeCell ref="AO120:AO121"/>
    <mergeCell ref="AP120:AP121"/>
    <mergeCell ref="B121:C121"/>
    <mergeCell ref="AN106:AN107"/>
    <mergeCell ref="AO106:AO107"/>
    <mergeCell ref="AP106:AP107"/>
    <mergeCell ref="AO108:AO109"/>
    <mergeCell ref="AP108:AP109"/>
    <mergeCell ref="AO110:AO111"/>
    <mergeCell ref="AP110:AP111"/>
    <mergeCell ref="AO112:AO113"/>
    <mergeCell ref="AP112:AP113"/>
    <mergeCell ref="AO114:AO115"/>
    <mergeCell ref="AP114:AP115"/>
    <mergeCell ref="AO116:AO117"/>
    <mergeCell ref="AP116:AP117"/>
    <mergeCell ref="AO118:AO119"/>
    <mergeCell ref="AP118:AP119"/>
    <mergeCell ref="A106:A107"/>
    <mergeCell ref="B106:C107"/>
    <mergeCell ref="D106:AF106"/>
    <mergeCell ref="AG106:AH106"/>
    <mergeCell ref="AI106:AI107"/>
    <mergeCell ref="AJ106:AJ107"/>
    <mergeCell ref="AK106:AK107"/>
    <mergeCell ref="AL106:AL107"/>
    <mergeCell ref="AM106:AM107"/>
    <mergeCell ref="AQ68:AQ69"/>
    <mergeCell ref="AO61:AO62"/>
    <mergeCell ref="AP61:AP62"/>
    <mergeCell ref="B62:C62"/>
    <mergeCell ref="AI63:AJ63"/>
    <mergeCell ref="AO59:AO60"/>
    <mergeCell ref="AP59:AP60"/>
    <mergeCell ref="A45:A46"/>
    <mergeCell ref="B45:C46"/>
    <mergeCell ref="D45:AF45"/>
    <mergeCell ref="AG45:AH45"/>
    <mergeCell ref="AI45:AI46"/>
    <mergeCell ref="AJ45:AJ46"/>
    <mergeCell ref="AK45:AK46"/>
    <mergeCell ref="AL45:AL46"/>
    <mergeCell ref="AM45:AM46"/>
    <mergeCell ref="AO51:AO52"/>
    <mergeCell ref="AP51:AP52"/>
    <mergeCell ref="AO55:AO56"/>
    <mergeCell ref="AP55:AP56"/>
    <mergeCell ref="AO53:AO54"/>
    <mergeCell ref="AP53:AP54"/>
    <mergeCell ref="AO57:AO58"/>
    <mergeCell ref="AP57:AP58"/>
    <mergeCell ref="AQ6:AQ7"/>
    <mergeCell ref="AQ8:AQ9"/>
    <mergeCell ref="AQ10:AQ11"/>
    <mergeCell ref="AP2:AP3"/>
    <mergeCell ref="A2:A3"/>
    <mergeCell ref="B2:C3"/>
    <mergeCell ref="D2:AF2"/>
    <mergeCell ref="AG2:AH2"/>
    <mergeCell ref="AI2:AI3"/>
    <mergeCell ref="AJ2:AJ3"/>
    <mergeCell ref="AK2:AK3"/>
    <mergeCell ref="AL2:AL3"/>
    <mergeCell ref="AM2:AM3"/>
    <mergeCell ref="AN2:AN3"/>
    <mergeCell ref="AO2:AO3"/>
    <mergeCell ref="AO4:AO5"/>
    <mergeCell ref="AP4:AP5"/>
    <mergeCell ref="AO6:AO7"/>
    <mergeCell ref="AP6:AP7"/>
    <mergeCell ref="AO8:AO9"/>
    <mergeCell ref="AP8:AP9"/>
    <mergeCell ref="AO10:AO11"/>
    <mergeCell ref="AP10:AP11"/>
    <mergeCell ref="AO12:AO13"/>
    <mergeCell ref="AP12:AP13"/>
    <mergeCell ref="AI20:AJ20"/>
    <mergeCell ref="AO16:AO17"/>
    <mergeCell ref="AP16:AP17"/>
    <mergeCell ref="B18:C18"/>
    <mergeCell ref="AO18:AO19"/>
    <mergeCell ref="AP18:AP19"/>
    <mergeCell ref="B19:C19"/>
    <mergeCell ref="AO14:AO15"/>
    <mergeCell ref="AP14:AP15"/>
    <mergeCell ref="A23:A24"/>
    <mergeCell ref="B23:C24"/>
    <mergeCell ref="D23:AF23"/>
    <mergeCell ref="AG23:AH23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O25:AO26"/>
    <mergeCell ref="AP25:AP26"/>
    <mergeCell ref="B39:C39"/>
    <mergeCell ref="AO39:AO40"/>
    <mergeCell ref="AP39:AP40"/>
    <mergeCell ref="B40:C40"/>
    <mergeCell ref="AO29:AO30"/>
    <mergeCell ref="AP29:AP30"/>
    <mergeCell ref="AO31:AO32"/>
    <mergeCell ref="AP31:AP32"/>
    <mergeCell ref="AO33:AO34"/>
    <mergeCell ref="AP33:AP34"/>
    <mergeCell ref="A66:A67"/>
    <mergeCell ref="B66:C67"/>
    <mergeCell ref="D66:AF66"/>
    <mergeCell ref="AG66:AH66"/>
    <mergeCell ref="AI66:AI67"/>
    <mergeCell ref="AQ49:AQ50"/>
    <mergeCell ref="AQ51:AQ52"/>
    <mergeCell ref="AQ27:AQ28"/>
    <mergeCell ref="AQ29:AQ30"/>
    <mergeCell ref="AI41:AJ41"/>
    <mergeCell ref="AO35:AO36"/>
    <mergeCell ref="AP35:AP36"/>
    <mergeCell ref="AO37:AO38"/>
    <mergeCell ref="AP37:AP38"/>
    <mergeCell ref="AN45:AN46"/>
    <mergeCell ref="AO45:AO46"/>
    <mergeCell ref="AP45:AP46"/>
    <mergeCell ref="AO47:AO48"/>
    <mergeCell ref="AP47:AP48"/>
    <mergeCell ref="AO49:AO50"/>
    <mergeCell ref="AP49:AP50"/>
    <mergeCell ref="AO27:AO28"/>
    <mergeCell ref="AP27:AP28"/>
    <mergeCell ref="B61:C61"/>
    <mergeCell ref="AO66:AO67"/>
    <mergeCell ref="AP66:AP67"/>
    <mergeCell ref="AO68:AO69"/>
    <mergeCell ref="AP68:AP69"/>
    <mergeCell ref="AO70:AO71"/>
    <mergeCell ref="AP70:AP71"/>
    <mergeCell ref="AJ66:AJ67"/>
    <mergeCell ref="AK66:AK67"/>
    <mergeCell ref="AL66:AL67"/>
    <mergeCell ref="AM66:AM67"/>
    <mergeCell ref="AN66:AN67"/>
    <mergeCell ref="AQ70:AQ71"/>
    <mergeCell ref="AQ72:AQ73"/>
    <mergeCell ref="AI84:AJ84"/>
    <mergeCell ref="AO78:AO79"/>
    <mergeCell ref="AP78:AP79"/>
    <mergeCell ref="AO80:AO81"/>
    <mergeCell ref="AP80:AP81"/>
    <mergeCell ref="B82:C82"/>
    <mergeCell ref="AO82:AO83"/>
    <mergeCell ref="AP82:AP83"/>
    <mergeCell ref="B83:C83"/>
    <mergeCell ref="AO72:AO73"/>
    <mergeCell ref="AP72:AP73"/>
    <mergeCell ref="AO74:AO75"/>
    <mergeCell ref="AP74:AP75"/>
    <mergeCell ref="AO76:AO77"/>
    <mergeCell ref="AP76:AP77"/>
    <mergeCell ref="AN86:AN87"/>
    <mergeCell ref="AO86:AO87"/>
    <mergeCell ref="AP86:AP87"/>
    <mergeCell ref="AO88:AO89"/>
    <mergeCell ref="AP88:AP89"/>
    <mergeCell ref="AO90:AO91"/>
    <mergeCell ref="AP90:AP91"/>
    <mergeCell ref="AQ90:AQ91"/>
    <mergeCell ref="A86:A87"/>
    <mergeCell ref="B86:C87"/>
    <mergeCell ref="D86:AF86"/>
    <mergeCell ref="AG86:AH86"/>
    <mergeCell ref="AI86:AI87"/>
    <mergeCell ref="AJ86:AJ87"/>
    <mergeCell ref="AK86:AK87"/>
    <mergeCell ref="AL86:AL87"/>
    <mergeCell ref="AM86:AM87"/>
    <mergeCell ref="AQ88:AQ89"/>
    <mergeCell ref="AO92:AO93"/>
    <mergeCell ref="AP92:AP93"/>
    <mergeCell ref="AQ92:AQ93"/>
    <mergeCell ref="AO94:AO95"/>
    <mergeCell ref="AP94:AP95"/>
    <mergeCell ref="AO96:AO97"/>
    <mergeCell ref="AP96:AP97"/>
    <mergeCell ref="AO98:AO99"/>
    <mergeCell ref="AP98:AP99"/>
    <mergeCell ref="AR114:AR115"/>
    <mergeCell ref="AR116:AR117"/>
    <mergeCell ref="AO100:AO101"/>
    <mergeCell ref="AP100:AP101"/>
    <mergeCell ref="B102:C102"/>
    <mergeCell ref="AO102:AO103"/>
    <mergeCell ref="AP102:AP103"/>
    <mergeCell ref="B103:C103"/>
    <mergeCell ref="AQ116:AQ117"/>
    <mergeCell ref="AQ114:AQ115"/>
    <mergeCell ref="AR112:AR113"/>
    <mergeCell ref="AQ112:AQ113"/>
    <mergeCell ref="A160:A161"/>
    <mergeCell ref="B160:C161"/>
    <mergeCell ref="D160:AF160"/>
    <mergeCell ref="AG160:AH160"/>
    <mergeCell ref="AI160:AI161"/>
    <mergeCell ref="AJ160:AJ161"/>
    <mergeCell ref="AK160:AK161"/>
    <mergeCell ref="AL160:AL161"/>
    <mergeCell ref="AM160:AM161"/>
    <mergeCell ref="B174:C174"/>
    <mergeCell ref="AO174:AO175"/>
    <mergeCell ref="AP174:AP175"/>
    <mergeCell ref="B175:C175"/>
    <mergeCell ref="AN160:AN161"/>
    <mergeCell ref="AO160:AO161"/>
    <mergeCell ref="AP160:AP161"/>
    <mergeCell ref="AO162:AO163"/>
    <mergeCell ref="AP162:AP163"/>
    <mergeCell ref="AO164:AO165"/>
    <mergeCell ref="AP164:AP165"/>
    <mergeCell ref="AO166:AO167"/>
    <mergeCell ref="AP166:AP167"/>
    <mergeCell ref="A196:A197"/>
    <mergeCell ref="B196:C197"/>
    <mergeCell ref="D196:AF196"/>
    <mergeCell ref="AG196:AH196"/>
    <mergeCell ref="AI196:AI197"/>
    <mergeCell ref="AJ196:AJ197"/>
    <mergeCell ref="AK196:AK197"/>
    <mergeCell ref="AL196:AL197"/>
    <mergeCell ref="AM196:AM197"/>
    <mergeCell ref="AR180:AR181"/>
    <mergeCell ref="AO208:AO209"/>
    <mergeCell ref="AP208:AP209"/>
    <mergeCell ref="B210:C210"/>
    <mergeCell ref="AO210:AO211"/>
    <mergeCell ref="AP210:AP211"/>
    <mergeCell ref="B211:C211"/>
    <mergeCell ref="AN198:AN199"/>
    <mergeCell ref="AN200:AN201"/>
    <mergeCell ref="AN202:AN203"/>
    <mergeCell ref="AN204:AN205"/>
    <mergeCell ref="AN206:AN207"/>
    <mergeCell ref="AN208:AN209"/>
    <mergeCell ref="AN210:AN211"/>
    <mergeCell ref="AO202:AO203"/>
    <mergeCell ref="AP202:AP203"/>
    <mergeCell ref="AO204:AO205"/>
    <mergeCell ref="AP204:AP205"/>
    <mergeCell ref="AO206:AO207"/>
    <mergeCell ref="AP206:AP207"/>
    <mergeCell ref="AN196:AN197"/>
    <mergeCell ref="AO196:AO197"/>
    <mergeCell ref="AP196:AP197"/>
    <mergeCell ref="AO198:AO199"/>
    <mergeCell ref="AO218:AO219"/>
    <mergeCell ref="AP218:AP219"/>
    <mergeCell ref="A214:A215"/>
    <mergeCell ref="B214:C215"/>
    <mergeCell ref="D214:AF214"/>
    <mergeCell ref="AG214:AH214"/>
    <mergeCell ref="AI214:AI215"/>
    <mergeCell ref="AJ214:AJ215"/>
    <mergeCell ref="AK214:AK215"/>
    <mergeCell ref="AL214:AL215"/>
    <mergeCell ref="AM214:AM215"/>
    <mergeCell ref="AR198:AR199"/>
    <mergeCell ref="AN226:AN227"/>
    <mergeCell ref="AO226:AO227"/>
    <mergeCell ref="AP226:AP227"/>
    <mergeCell ref="B228:C228"/>
    <mergeCell ref="AN228:AN229"/>
    <mergeCell ref="AO228:AO229"/>
    <mergeCell ref="AP228:AP229"/>
    <mergeCell ref="B229:C229"/>
    <mergeCell ref="AN220:AN221"/>
    <mergeCell ref="AO220:AO221"/>
    <mergeCell ref="AP220:AP221"/>
    <mergeCell ref="AN222:AN223"/>
    <mergeCell ref="AO222:AO223"/>
    <mergeCell ref="AP222:AP223"/>
    <mergeCell ref="AN224:AN225"/>
    <mergeCell ref="AO224:AO225"/>
    <mergeCell ref="AP224:AP225"/>
    <mergeCell ref="AN214:AN215"/>
    <mergeCell ref="AO214:AO215"/>
    <mergeCell ref="AP214:AP215"/>
    <mergeCell ref="AN216:AN217"/>
    <mergeCell ref="AO216:AO217"/>
    <mergeCell ref="AN218:AN219"/>
  </mergeCells>
  <printOptions horizontalCentered="1" verticalCentered="1"/>
  <pageMargins left="0" right="0" top="0" bottom="0" header="0" footer="0"/>
  <pageSetup orientation="portrait" horizontalDpi="0" verticalDpi="0" r:id="rId1"/>
  <ignoredErrors>
    <ignoredError sqref="AI183:AI189 AI201:AI207 AI219:AI227" formulaRange="1"/>
    <ignoredError sqref="AH229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/>
  </sheetPr>
  <dimension ref="A1:AV229"/>
  <sheetViews>
    <sheetView topLeftCell="A211" workbookViewId="0">
      <selection activeCell="AL226" sqref="AL226"/>
    </sheetView>
  </sheetViews>
  <sheetFormatPr defaultRowHeight="16.5"/>
  <cols>
    <col min="1" max="1" width="4.140625" style="183" customWidth="1"/>
    <col min="2" max="2" width="7.7109375" style="183" customWidth="1"/>
    <col min="3" max="3" width="3.7109375" style="183" customWidth="1"/>
    <col min="4" max="34" width="3.28515625" style="183" customWidth="1"/>
    <col min="35" max="38" width="5.42578125" style="183" customWidth="1"/>
    <col min="39" max="40" width="5.85546875" style="183" customWidth="1"/>
    <col min="41" max="41" width="4.85546875" style="183" customWidth="1"/>
    <col min="42" max="42" width="6" style="183" customWidth="1"/>
    <col min="43" max="44" width="5.42578125" style="183" customWidth="1"/>
    <col min="45" max="16384" width="9.140625" style="183"/>
  </cols>
  <sheetData>
    <row r="1" spans="1:44" ht="31.5" customHeight="1">
      <c r="A1" s="750" t="s">
        <v>113</v>
      </c>
      <c r="B1" s="753" t="s">
        <v>1</v>
      </c>
      <c r="C1" s="753"/>
      <c r="D1" s="752" t="s">
        <v>110</v>
      </c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2"/>
      <c r="AD1" s="752"/>
      <c r="AE1" s="752"/>
      <c r="AF1" s="752"/>
      <c r="AG1" s="749">
        <v>31</v>
      </c>
      <c r="AH1" s="749"/>
      <c r="AI1" s="751" t="s">
        <v>107</v>
      </c>
      <c r="AJ1" s="751" t="s">
        <v>45</v>
      </c>
      <c r="AK1" s="751" t="s">
        <v>108</v>
      </c>
      <c r="AL1" s="751" t="s">
        <v>112</v>
      </c>
      <c r="AM1" s="750" t="s">
        <v>7</v>
      </c>
      <c r="AN1" s="750"/>
      <c r="AO1" s="751" t="s">
        <v>93</v>
      </c>
      <c r="AP1" s="751" t="s">
        <v>109</v>
      </c>
      <c r="AQ1" s="751" t="s">
        <v>33</v>
      </c>
      <c r="AR1" s="751" t="s">
        <v>111</v>
      </c>
    </row>
    <row r="2" spans="1:44" ht="19.5" customHeight="1">
      <c r="A2" s="750"/>
      <c r="B2" s="753"/>
      <c r="C2" s="753"/>
      <c r="D2" s="192">
        <v>1</v>
      </c>
      <c r="E2" s="192">
        <v>2</v>
      </c>
      <c r="F2" s="192">
        <v>3</v>
      </c>
      <c r="G2" s="192">
        <v>4</v>
      </c>
      <c r="H2" s="192">
        <v>5</v>
      </c>
      <c r="I2" s="192">
        <v>6</v>
      </c>
      <c r="J2" s="192">
        <v>7</v>
      </c>
      <c r="K2" s="192">
        <v>8</v>
      </c>
      <c r="L2" s="192">
        <v>9</v>
      </c>
      <c r="M2" s="192">
        <v>10</v>
      </c>
      <c r="N2" s="192">
        <v>11</v>
      </c>
      <c r="O2" s="192">
        <v>12</v>
      </c>
      <c r="P2" s="192">
        <v>13</v>
      </c>
      <c r="Q2" s="192">
        <v>14</v>
      </c>
      <c r="R2" s="192">
        <v>15</v>
      </c>
      <c r="S2" s="192">
        <v>16</v>
      </c>
      <c r="T2" s="192">
        <v>17</v>
      </c>
      <c r="U2" s="192">
        <v>18</v>
      </c>
      <c r="V2" s="192">
        <v>19</v>
      </c>
      <c r="W2" s="192">
        <v>20</v>
      </c>
      <c r="X2" s="192">
        <v>21</v>
      </c>
      <c r="Y2" s="192">
        <v>22</v>
      </c>
      <c r="Z2" s="192">
        <v>23</v>
      </c>
      <c r="AA2" s="192">
        <v>24</v>
      </c>
      <c r="AB2" s="192">
        <v>25</v>
      </c>
      <c r="AC2" s="192">
        <v>26</v>
      </c>
      <c r="AD2" s="192">
        <v>27</v>
      </c>
      <c r="AE2" s="192">
        <v>28</v>
      </c>
      <c r="AF2" s="192">
        <v>29</v>
      </c>
      <c r="AG2" s="192">
        <v>30</v>
      </c>
      <c r="AH2" s="192">
        <v>31</v>
      </c>
      <c r="AI2" s="751"/>
      <c r="AJ2" s="751"/>
      <c r="AK2" s="751"/>
      <c r="AL2" s="751"/>
      <c r="AM2" s="750"/>
      <c r="AN2" s="750"/>
      <c r="AO2" s="751"/>
      <c r="AP2" s="751"/>
      <c r="AQ2" s="751"/>
      <c r="AR2" s="751"/>
    </row>
    <row r="3" spans="1:44">
      <c r="A3" s="188">
        <v>1</v>
      </c>
      <c r="B3" s="184" t="s">
        <v>27</v>
      </c>
      <c r="C3" s="184">
        <f>B4/AG1</f>
        <v>322.58064516129031</v>
      </c>
      <c r="D3" s="189"/>
      <c r="E3" s="185">
        <v>1</v>
      </c>
      <c r="F3" s="190">
        <v>0.5</v>
      </c>
      <c r="G3" s="190">
        <v>0.5</v>
      </c>
      <c r="H3" s="190">
        <v>0</v>
      </c>
      <c r="I3" s="185">
        <v>1</v>
      </c>
      <c r="J3" s="185">
        <v>1</v>
      </c>
      <c r="K3" s="189"/>
      <c r="L3" s="185">
        <v>1</v>
      </c>
      <c r="M3" s="185">
        <v>1</v>
      </c>
      <c r="N3" s="190">
        <v>0</v>
      </c>
      <c r="O3" s="185">
        <v>1</v>
      </c>
      <c r="P3" s="185">
        <v>1</v>
      </c>
      <c r="Q3" s="185">
        <v>1</v>
      </c>
      <c r="R3" s="189"/>
      <c r="S3" s="189"/>
      <c r="T3" s="189"/>
      <c r="U3" s="185">
        <v>1</v>
      </c>
      <c r="V3" s="185">
        <v>1</v>
      </c>
      <c r="W3" s="190">
        <v>0</v>
      </c>
      <c r="X3" s="190">
        <v>0</v>
      </c>
      <c r="Y3" s="189"/>
      <c r="Z3" s="185">
        <v>1</v>
      </c>
      <c r="AA3" s="185">
        <v>1</v>
      </c>
      <c r="AB3" s="185">
        <v>1</v>
      </c>
      <c r="AC3" s="189"/>
      <c r="AD3" s="185">
        <v>1</v>
      </c>
      <c r="AE3" s="185">
        <v>1</v>
      </c>
      <c r="AF3" s="189"/>
      <c r="AG3" s="185">
        <v>1</v>
      </c>
      <c r="AH3" s="185">
        <v>1</v>
      </c>
      <c r="AI3" s="185">
        <f>SUM(D3:AH3)</f>
        <v>18</v>
      </c>
      <c r="AJ3" s="185">
        <v>8</v>
      </c>
      <c r="AK3" s="185">
        <v>5</v>
      </c>
      <c r="AL3" s="185">
        <f>AG1-AI3+AJ3+AK3</f>
        <v>26</v>
      </c>
      <c r="AM3" s="185">
        <f>AL3*C3</f>
        <v>8387.0967741935474</v>
      </c>
      <c r="AN3" s="734">
        <f>AM3+AM4</f>
        <v>8387.0967741935474</v>
      </c>
      <c r="AO3" s="735">
        <f>1588+500</f>
        <v>2088</v>
      </c>
      <c r="AP3" s="734">
        <f>AN3-AO3</f>
        <v>6299.0967741935474</v>
      </c>
      <c r="AQ3" s="734">
        <v>8500</v>
      </c>
      <c r="AR3" s="734">
        <v>8000</v>
      </c>
    </row>
    <row r="4" spans="1:44">
      <c r="A4" s="188">
        <f>C3/8</f>
        <v>40.322580645161288</v>
      </c>
      <c r="B4" s="184">
        <v>10000</v>
      </c>
      <c r="C4" s="188">
        <f>A4*1.5</f>
        <v>60.483870967741936</v>
      </c>
      <c r="D4" s="189"/>
      <c r="E4" s="185">
        <v>0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9"/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9"/>
      <c r="S4" s="189"/>
      <c r="T4" s="189"/>
      <c r="U4" s="185">
        <v>0</v>
      </c>
      <c r="V4" s="185">
        <v>0</v>
      </c>
      <c r="W4" s="185">
        <v>0</v>
      </c>
      <c r="X4" s="185">
        <v>0</v>
      </c>
      <c r="Y4" s="189"/>
      <c r="Z4" s="185">
        <v>0</v>
      </c>
      <c r="AA4" s="185">
        <v>0</v>
      </c>
      <c r="AB4" s="185">
        <v>0</v>
      </c>
      <c r="AC4" s="189"/>
      <c r="AD4" s="185">
        <v>0</v>
      </c>
      <c r="AE4" s="185">
        <v>0</v>
      </c>
      <c r="AF4" s="189"/>
      <c r="AG4" s="185">
        <v>0</v>
      </c>
      <c r="AH4" s="185">
        <v>0</v>
      </c>
      <c r="AI4" s="185">
        <f t="shared" ref="AI4:AI15" si="0">SUM(D4:AH4)</f>
        <v>0</v>
      </c>
      <c r="AJ4" s="185">
        <v>0</v>
      </c>
      <c r="AK4" s="185">
        <v>0</v>
      </c>
      <c r="AL4" s="185">
        <f t="shared" ref="AL4:AL14" si="1">AI4+AJ4-AK4</f>
        <v>0</v>
      </c>
      <c r="AM4" s="188">
        <f>AL4*C4</f>
        <v>0</v>
      </c>
      <c r="AN4" s="734"/>
      <c r="AO4" s="735"/>
      <c r="AP4" s="734"/>
      <c r="AQ4" s="734"/>
      <c r="AR4" s="734"/>
    </row>
    <row r="5" spans="1:44">
      <c r="A5" s="188">
        <v>2</v>
      </c>
      <c r="B5" s="184" t="s">
        <v>104</v>
      </c>
      <c r="C5" s="184">
        <v>400</v>
      </c>
      <c r="D5" s="189"/>
      <c r="E5" s="185">
        <v>1</v>
      </c>
      <c r="F5" s="185">
        <v>1</v>
      </c>
      <c r="G5" s="185">
        <v>1</v>
      </c>
      <c r="H5" s="185">
        <v>1</v>
      </c>
      <c r="I5" s="185">
        <v>1</v>
      </c>
      <c r="J5" s="185">
        <v>1</v>
      </c>
      <c r="K5" s="189"/>
      <c r="L5" s="185">
        <v>1</v>
      </c>
      <c r="M5" s="190">
        <v>0</v>
      </c>
      <c r="N5" s="185">
        <v>1</v>
      </c>
      <c r="O5" s="185">
        <v>1</v>
      </c>
      <c r="P5" s="190">
        <v>0</v>
      </c>
      <c r="Q5" s="185">
        <v>1</v>
      </c>
      <c r="R5" s="189"/>
      <c r="S5" s="189"/>
      <c r="T5" s="189"/>
      <c r="U5" s="190">
        <v>0</v>
      </c>
      <c r="V5" s="190">
        <v>0</v>
      </c>
      <c r="W5" s="190">
        <v>0</v>
      </c>
      <c r="X5" s="190">
        <v>0</v>
      </c>
      <c r="Y5" s="189"/>
      <c r="Z5" s="190">
        <v>0</v>
      </c>
      <c r="AA5" s="190">
        <v>0</v>
      </c>
      <c r="AB5" s="190">
        <v>0</v>
      </c>
      <c r="AC5" s="189"/>
      <c r="AD5" s="190">
        <v>0</v>
      </c>
      <c r="AE5" s="190">
        <v>0</v>
      </c>
      <c r="AF5" s="189"/>
      <c r="AG5" s="190">
        <v>0</v>
      </c>
      <c r="AH5" s="190">
        <v>0</v>
      </c>
      <c r="AI5" s="185">
        <f>SUM(D5:AH5)</f>
        <v>10</v>
      </c>
      <c r="AJ5" s="185">
        <v>2</v>
      </c>
      <c r="AK5" s="185">
        <v>19</v>
      </c>
      <c r="AL5" s="185">
        <f>AG3-AI5+AJ5+AK5</f>
        <v>12</v>
      </c>
      <c r="AM5" s="185">
        <f t="shared" ref="AM5:AM14" si="2">AL5*C5</f>
        <v>4800</v>
      </c>
      <c r="AN5" s="734">
        <f>AM5+AM6</f>
        <v>4800</v>
      </c>
      <c r="AO5" s="735">
        <v>0</v>
      </c>
      <c r="AP5" s="734">
        <f t="shared" ref="AP5" si="3">AN5-AO5</f>
        <v>4800</v>
      </c>
      <c r="AQ5" s="734">
        <v>4800</v>
      </c>
      <c r="AR5" s="734"/>
    </row>
    <row r="6" spans="1:44">
      <c r="A6" s="188">
        <f>C5/10</f>
        <v>40</v>
      </c>
      <c r="B6" s="184">
        <v>15000</v>
      </c>
      <c r="C6" s="188">
        <v>50</v>
      </c>
      <c r="D6" s="189"/>
      <c r="E6" s="185">
        <v>0</v>
      </c>
      <c r="F6" s="185">
        <v>0</v>
      </c>
      <c r="G6" s="185">
        <v>0</v>
      </c>
      <c r="H6" s="185">
        <v>0</v>
      </c>
      <c r="I6" s="185">
        <v>0</v>
      </c>
      <c r="J6" s="185">
        <v>0</v>
      </c>
      <c r="K6" s="189"/>
      <c r="L6" s="185">
        <v>0</v>
      </c>
      <c r="M6" s="185">
        <v>0</v>
      </c>
      <c r="N6" s="185">
        <v>0</v>
      </c>
      <c r="O6" s="185">
        <v>0</v>
      </c>
      <c r="P6" s="185">
        <v>0</v>
      </c>
      <c r="Q6" s="185">
        <v>0</v>
      </c>
      <c r="R6" s="189"/>
      <c r="S6" s="189"/>
      <c r="T6" s="189"/>
      <c r="U6" s="185">
        <v>0</v>
      </c>
      <c r="V6" s="185">
        <v>0</v>
      </c>
      <c r="W6" s="185">
        <v>0</v>
      </c>
      <c r="X6" s="185">
        <v>0</v>
      </c>
      <c r="Y6" s="189"/>
      <c r="Z6" s="185">
        <v>0</v>
      </c>
      <c r="AA6" s="185">
        <v>0</v>
      </c>
      <c r="AB6" s="185">
        <v>0</v>
      </c>
      <c r="AC6" s="189"/>
      <c r="AD6" s="185">
        <v>0</v>
      </c>
      <c r="AE6" s="185">
        <v>0</v>
      </c>
      <c r="AF6" s="189"/>
      <c r="AG6" s="185">
        <v>0</v>
      </c>
      <c r="AH6" s="185">
        <v>0</v>
      </c>
      <c r="AI6" s="185">
        <f t="shared" si="0"/>
        <v>0</v>
      </c>
      <c r="AJ6" s="185">
        <v>0</v>
      </c>
      <c r="AK6" s="185">
        <v>0</v>
      </c>
      <c r="AL6" s="185">
        <f t="shared" si="1"/>
        <v>0</v>
      </c>
      <c r="AM6" s="188">
        <f t="shared" si="2"/>
        <v>0</v>
      </c>
      <c r="AN6" s="734"/>
      <c r="AO6" s="735"/>
      <c r="AP6" s="734"/>
      <c r="AQ6" s="734"/>
      <c r="AR6" s="734"/>
    </row>
    <row r="7" spans="1:44">
      <c r="A7" s="188">
        <v>3</v>
      </c>
      <c r="B7" s="184" t="s">
        <v>105</v>
      </c>
      <c r="C7" s="184">
        <v>400</v>
      </c>
      <c r="D7" s="189"/>
      <c r="E7" s="190">
        <v>0</v>
      </c>
      <c r="F7" s="185">
        <v>1</v>
      </c>
      <c r="G7" s="185">
        <v>1</v>
      </c>
      <c r="H7" s="185">
        <v>1</v>
      </c>
      <c r="I7" s="185">
        <v>1</v>
      </c>
      <c r="J7" s="185">
        <v>1</v>
      </c>
      <c r="K7" s="189"/>
      <c r="L7" s="185">
        <v>1</v>
      </c>
      <c r="M7" s="185">
        <v>1</v>
      </c>
      <c r="N7" s="185">
        <v>1</v>
      </c>
      <c r="O7" s="190">
        <v>0</v>
      </c>
      <c r="P7" s="185">
        <v>1</v>
      </c>
      <c r="Q7" s="185">
        <v>1</v>
      </c>
      <c r="R7" s="189"/>
      <c r="S7" s="189"/>
      <c r="T7" s="189"/>
      <c r="U7" s="190">
        <v>0</v>
      </c>
      <c r="V7" s="190">
        <v>0</v>
      </c>
      <c r="W7" s="190">
        <v>0</v>
      </c>
      <c r="X7" s="190">
        <v>0</v>
      </c>
      <c r="Y7" s="189"/>
      <c r="Z7" s="190">
        <v>0</v>
      </c>
      <c r="AA7" s="190">
        <v>0</v>
      </c>
      <c r="AB7" s="190">
        <v>0</v>
      </c>
      <c r="AC7" s="189"/>
      <c r="AD7" s="190">
        <v>0</v>
      </c>
      <c r="AE7" s="190">
        <v>0</v>
      </c>
      <c r="AF7" s="189"/>
      <c r="AG7" s="190">
        <v>0</v>
      </c>
      <c r="AH7" s="190">
        <v>0</v>
      </c>
      <c r="AI7" s="185">
        <f t="shared" si="0"/>
        <v>10</v>
      </c>
      <c r="AJ7" s="185">
        <v>0</v>
      </c>
      <c r="AK7" s="185">
        <v>0</v>
      </c>
      <c r="AL7" s="185">
        <f t="shared" si="1"/>
        <v>10</v>
      </c>
      <c r="AM7" s="185">
        <f t="shared" si="2"/>
        <v>4000</v>
      </c>
      <c r="AN7" s="734">
        <f>AM7+AM8</f>
        <v>4000</v>
      </c>
      <c r="AO7" s="735">
        <v>0</v>
      </c>
      <c r="AP7" s="734">
        <f t="shared" ref="AP7" si="4">AN7-AO7</f>
        <v>4000</v>
      </c>
      <c r="AQ7" s="734">
        <v>4000</v>
      </c>
      <c r="AR7" s="734"/>
    </row>
    <row r="8" spans="1:44">
      <c r="A8" s="191"/>
      <c r="B8" s="184"/>
      <c r="C8" s="185">
        <v>50</v>
      </c>
      <c r="D8" s="189"/>
      <c r="E8" s="185">
        <v>0</v>
      </c>
      <c r="F8" s="185">
        <v>0</v>
      </c>
      <c r="G8" s="185">
        <v>0</v>
      </c>
      <c r="H8" s="185">
        <v>0</v>
      </c>
      <c r="I8" s="185">
        <v>0</v>
      </c>
      <c r="J8" s="185">
        <v>0</v>
      </c>
      <c r="K8" s="189"/>
      <c r="L8" s="185">
        <v>0</v>
      </c>
      <c r="M8" s="185">
        <v>0</v>
      </c>
      <c r="N8" s="185">
        <v>0</v>
      </c>
      <c r="O8" s="185">
        <v>0</v>
      </c>
      <c r="P8" s="185">
        <v>0</v>
      </c>
      <c r="Q8" s="185">
        <v>0</v>
      </c>
      <c r="R8" s="189"/>
      <c r="S8" s="189"/>
      <c r="T8" s="189"/>
      <c r="U8" s="185">
        <v>0</v>
      </c>
      <c r="V8" s="185">
        <v>0</v>
      </c>
      <c r="W8" s="185">
        <v>0</v>
      </c>
      <c r="X8" s="185">
        <v>0</v>
      </c>
      <c r="Y8" s="189"/>
      <c r="Z8" s="185">
        <v>0</v>
      </c>
      <c r="AA8" s="185">
        <v>0</v>
      </c>
      <c r="AB8" s="185">
        <v>0</v>
      </c>
      <c r="AC8" s="189"/>
      <c r="AD8" s="185">
        <v>0</v>
      </c>
      <c r="AE8" s="185">
        <v>0</v>
      </c>
      <c r="AF8" s="189"/>
      <c r="AG8" s="185">
        <v>0</v>
      </c>
      <c r="AH8" s="185">
        <v>0</v>
      </c>
      <c r="AI8" s="185">
        <f t="shared" si="0"/>
        <v>0</v>
      </c>
      <c r="AJ8" s="185">
        <v>0</v>
      </c>
      <c r="AK8" s="185">
        <v>0</v>
      </c>
      <c r="AL8" s="185">
        <f t="shared" si="1"/>
        <v>0</v>
      </c>
      <c r="AM8" s="188">
        <f t="shared" si="2"/>
        <v>0</v>
      </c>
      <c r="AN8" s="734"/>
      <c r="AO8" s="735"/>
      <c r="AP8" s="734"/>
      <c r="AQ8" s="734"/>
      <c r="AR8" s="734"/>
    </row>
    <row r="9" spans="1:44">
      <c r="A9" s="188">
        <v>4</v>
      </c>
      <c r="B9" s="184" t="s">
        <v>102</v>
      </c>
      <c r="C9" s="185">
        <v>400</v>
      </c>
      <c r="D9" s="189"/>
      <c r="E9" s="185">
        <v>1</v>
      </c>
      <c r="F9" s="185">
        <v>1</v>
      </c>
      <c r="G9" s="185">
        <v>1</v>
      </c>
      <c r="H9" s="185">
        <v>1</v>
      </c>
      <c r="I9" s="185">
        <v>1</v>
      </c>
      <c r="J9" s="185">
        <v>1</v>
      </c>
      <c r="K9" s="189"/>
      <c r="L9" s="185">
        <v>1</v>
      </c>
      <c r="M9" s="185">
        <v>1</v>
      </c>
      <c r="N9" s="185">
        <v>1</v>
      </c>
      <c r="O9" s="185">
        <v>1</v>
      </c>
      <c r="P9" s="185">
        <v>1</v>
      </c>
      <c r="Q9" s="185">
        <v>1</v>
      </c>
      <c r="R9" s="189"/>
      <c r="S9" s="189"/>
      <c r="T9" s="189"/>
      <c r="U9" s="185">
        <v>1</v>
      </c>
      <c r="V9" s="185">
        <v>1</v>
      </c>
      <c r="W9" s="185">
        <v>1</v>
      </c>
      <c r="X9" s="185">
        <v>1</v>
      </c>
      <c r="Y9" s="189"/>
      <c r="Z9" s="185">
        <v>1</v>
      </c>
      <c r="AA9" s="185">
        <v>1</v>
      </c>
      <c r="AB9" s="185">
        <v>1</v>
      </c>
      <c r="AC9" s="189"/>
      <c r="AD9" s="185">
        <v>1</v>
      </c>
      <c r="AE9" s="185">
        <v>1</v>
      </c>
      <c r="AF9" s="189">
        <v>1</v>
      </c>
      <c r="AG9" s="185">
        <v>1</v>
      </c>
      <c r="AH9" s="185">
        <v>1</v>
      </c>
      <c r="AI9" s="185">
        <f t="shared" si="0"/>
        <v>24</v>
      </c>
      <c r="AJ9" s="185">
        <v>0</v>
      </c>
      <c r="AK9" s="185">
        <v>0</v>
      </c>
      <c r="AL9" s="185">
        <f t="shared" si="1"/>
        <v>24</v>
      </c>
      <c r="AM9" s="185">
        <f t="shared" si="2"/>
        <v>9600</v>
      </c>
      <c r="AN9" s="734">
        <f>AM9+AM10</f>
        <v>10000</v>
      </c>
      <c r="AO9" s="735">
        <v>0</v>
      </c>
      <c r="AP9" s="734">
        <f t="shared" ref="AP9" si="5">AN9-AO9</f>
        <v>10000</v>
      </c>
      <c r="AQ9" s="734">
        <v>10000</v>
      </c>
      <c r="AR9" s="734"/>
    </row>
    <row r="10" spans="1:44">
      <c r="A10" s="191"/>
      <c r="B10" s="184"/>
      <c r="C10" s="185">
        <v>50</v>
      </c>
      <c r="D10" s="189"/>
      <c r="E10" s="185">
        <v>0</v>
      </c>
      <c r="F10" s="185">
        <v>0</v>
      </c>
      <c r="G10" s="185">
        <v>0</v>
      </c>
      <c r="H10" s="185">
        <v>0</v>
      </c>
      <c r="I10" s="185">
        <v>0</v>
      </c>
      <c r="J10" s="185">
        <v>0</v>
      </c>
      <c r="K10" s="189"/>
      <c r="L10" s="185">
        <v>0</v>
      </c>
      <c r="M10" s="185">
        <v>0</v>
      </c>
      <c r="N10" s="185">
        <v>0</v>
      </c>
      <c r="O10" s="185">
        <v>0</v>
      </c>
      <c r="P10" s="185">
        <v>0</v>
      </c>
      <c r="Q10" s="185">
        <v>0</v>
      </c>
      <c r="R10" s="189"/>
      <c r="S10" s="189"/>
      <c r="T10" s="189"/>
      <c r="U10" s="185">
        <v>0</v>
      </c>
      <c r="V10" s="185">
        <v>0</v>
      </c>
      <c r="W10" s="185">
        <v>0</v>
      </c>
      <c r="X10" s="185">
        <v>0</v>
      </c>
      <c r="Y10" s="189"/>
      <c r="Z10" s="185">
        <v>0</v>
      </c>
      <c r="AA10" s="185">
        <v>0</v>
      </c>
      <c r="AB10" s="185">
        <v>0</v>
      </c>
      <c r="AC10" s="189"/>
      <c r="AD10" s="193">
        <v>2</v>
      </c>
      <c r="AE10" s="193">
        <v>2</v>
      </c>
      <c r="AF10" s="189"/>
      <c r="AG10" s="193">
        <v>2</v>
      </c>
      <c r="AH10" s="193">
        <v>2</v>
      </c>
      <c r="AI10" s="185">
        <f t="shared" si="0"/>
        <v>8</v>
      </c>
      <c r="AJ10" s="185">
        <v>0</v>
      </c>
      <c r="AK10" s="185">
        <v>0</v>
      </c>
      <c r="AL10" s="185">
        <f t="shared" si="1"/>
        <v>8</v>
      </c>
      <c r="AM10" s="188">
        <f t="shared" si="2"/>
        <v>400</v>
      </c>
      <c r="AN10" s="734"/>
      <c r="AO10" s="735"/>
      <c r="AP10" s="734"/>
      <c r="AQ10" s="734"/>
      <c r="AR10" s="734"/>
    </row>
    <row r="11" spans="1:44">
      <c r="A11" s="188">
        <v>5</v>
      </c>
      <c r="B11" s="184" t="s">
        <v>99</v>
      </c>
      <c r="C11" s="185">
        <v>400</v>
      </c>
      <c r="D11" s="189"/>
      <c r="E11" s="185">
        <v>1</v>
      </c>
      <c r="F11" s="185">
        <v>1</v>
      </c>
      <c r="G11" s="185">
        <v>1</v>
      </c>
      <c r="H11" s="185">
        <v>1</v>
      </c>
      <c r="I11" s="185">
        <v>1</v>
      </c>
      <c r="J11" s="185">
        <v>1</v>
      </c>
      <c r="K11" s="189"/>
      <c r="L11" s="185">
        <v>1</v>
      </c>
      <c r="M11" s="185">
        <v>1</v>
      </c>
      <c r="N11" s="185">
        <v>1</v>
      </c>
      <c r="O11" s="185">
        <v>1</v>
      </c>
      <c r="P11" s="185">
        <v>1</v>
      </c>
      <c r="Q11" s="185">
        <v>1</v>
      </c>
      <c r="R11" s="189"/>
      <c r="S11" s="189"/>
      <c r="T11" s="189"/>
      <c r="U11" s="185">
        <v>1</v>
      </c>
      <c r="V11" s="185">
        <v>1</v>
      </c>
      <c r="W11" s="185">
        <v>1</v>
      </c>
      <c r="X11" s="185">
        <v>1</v>
      </c>
      <c r="Y11" s="189"/>
      <c r="Z11" s="185">
        <v>1</v>
      </c>
      <c r="AA11" s="185">
        <v>1</v>
      </c>
      <c r="AB11" s="185">
        <v>1</v>
      </c>
      <c r="AC11" s="189"/>
      <c r="AD11" s="185">
        <v>1</v>
      </c>
      <c r="AE11" s="185">
        <v>1</v>
      </c>
      <c r="AF11" s="189">
        <v>1</v>
      </c>
      <c r="AG11" s="185">
        <v>1</v>
      </c>
      <c r="AH11" s="185">
        <v>1</v>
      </c>
      <c r="AI11" s="185">
        <f t="shared" si="0"/>
        <v>24</v>
      </c>
      <c r="AJ11" s="185">
        <v>0</v>
      </c>
      <c r="AK11" s="185">
        <v>0</v>
      </c>
      <c r="AL11" s="185">
        <f t="shared" si="1"/>
        <v>24</v>
      </c>
      <c r="AM11" s="185">
        <f t="shared" si="2"/>
        <v>9600</v>
      </c>
      <c r="AN11" s="734">
        <f>AM11+AM12</f>
        <v>10000</v>
      </c>
      <c r="AO11" s="735">
        <v>0</v>
      </c>
      <c r="AP11" s="734">
        <f t="shared" ref="AP11" si="6">AN11-AO11</f>
        <v>10000</v>
      </c>
      <c r="AQ11" s="734">
        <v>10000</v>
      </c>
      <c r="AR11" s="734"/>
    </row>
    <row r="12" spans="1:44">
      <c r="A12" s="191"/>
      <c r="B12" s="184"/>
      <c r="C12" s="185">
        <v>50</v>
      </c>
      <c r="D12" s="189"/>
      <c r="E12" s="185">
        <v>0</v>
      </c>
      <c r="F12" s="185">
        <v>0</v>
      </c>
      <c r="G12" s="185">
        <v>0</v>
      </c>
      <c r="H12" s="185">
        <v>0</v>
      </c>
      <c r="I12" s="185">
        <v>0</v>
      </c>
      <c r="J12" s="185">
        <v>0</v>
      </c>
      <c r="K12" s="189"/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9"/>
      <c r="S12" s="189"/>
      <c r="T12" s="189"/>
      <c r="U12" s="185">
        <v>0</v>
      </c>
      <c r="V12" s="185">
        <v>0</v>
      </c>
      <c r="W12" s="185">
        <v>0</v>
      </c>
      <c r="X12" s="185">
        <v>0</v>
      </c>
      <c r="Y12" s="189"/>
      <c r="Z12" s="185">
        <v>0</v>
      </c>
      <c r="AA12" s="185">
        <v>0</v>
      </c>
      <c r="AB12" s="185">
        <v>0</v>
      </c>
      <c r="AC12" s="189"/>
      <c r="AD12" s="193">
        <v>2</v>
      </c>
      <c r="AE12" s="193">
        <v>2</v>
      </c>
      <c r="AF12" s="189"/>
      <c r="AG12" s="193">
        <v>2</v>
      </c>
      <c r="AH12" s="193">
        <v>2</v>
      </c>
      <c r="AI12" s="185">
        <f t="shared" si="0"/>
        <v>8</v>
      </c>
      <c r="AJ12" s="185">
        <v>0</v>
      </c>
      <c r="AK12" s="185">
        <v>0</v>
      </c>
      <c r="AL12" s="185">
        <f t="shared" si="1"/>
        <v>8</v>
      </c>
      <c r="AM12" s="188">
        <f t="shared" si="2"/>
        <v>400</v>
      </c>
      <c r="AN12" s="734"/>
      <c r="AO12" s="735"/>
      <c r="AP12" s="734"/>
      <c r="AQ12" s="734"/>
      <c r="AR12" s="734"/>
    </row>
    <row r="13" spans="1:44">
      <c r="A13" s="188">
        <v>6</v>
      </c>
      <c r="B13" s="184" t="s">
        <v>114</v>
      </c>
      <c r="C13" s="185">
        <v>400</v>
      </c>
      <c r="D13" s="189"/>
      <c r="E13" s="185">
        <v>0</v>
      </c>
      <c r="F13" s="185">
        <v>0</v>
      </c>
      <c r="G13" s="185">
        <v>0</v>
      </c>
      <c r="H13" s="185">
        <v>0</v>
      </c>
      <c r="I13" s="185">
        <v>0</v>
      </c>
      <c r="J13" s="185">
        <v>0</v>
      </c>
      <c r="K13" s="189"/>
      <c r="L13" s="185">
        <v>1</v>
      </c>
      <c r="M13" s="185">
        <v>1</v>
      </c>
      <c r="N13" s="185">
        <v>1</v>
      </c>
      <c r="O13" s="185">
        <v>1</v>
      </c>
      <c r="P13" s="185">
        <v>1</v>
      </c>
      <c r="Q13" s="185">
        <v>1</v>
      </c>
      <c r="R13" s="189"/>
      <c r="S13" s="189"/>
      <c r="T13" s="189"/>
      <c r="U13" s="185">
        <v>1</v>
      </c>
      <c r="V13" s="185">
        <v>1</v>
      </c>
      <c r="W13" s="185">
        <v>1</v>
      </c>
      <c r="X13" s="185">
        <v>1</v>
      </c>
      <c r="Y13" s="189"/>
      <c r="Z13" s="185">
        <v>1</v>
      </c>
      <c r="AA13" s="185">
        <v>1</v>
      </c>
      <c r="AB13" s="185">
        <v>1</v>
      </c>
      <c r="AC13" s="189"/>
      <c r="AD13" s="190">
        <v>0</v>
      </c>
      <c r="AE13" s="190">
        <v>0</v>
      </c>
      <c r="AF13" s="189"/>
      <c r="AG13" s="185">
        <v>1</v>
      </c>
      <c r="AH13" s="185">
        <v>1</v>
      </c>
      <c r="AI13" s="185">
        <f t="shared" si="0"/>
        <v>15</v>
      </c>
      <c r="AJ13" s="185">
        <v>0</v>
      </c>
      <c r="AK13" s="185">
        <v>0</v>
      </c>
      <c r="AL13" s="185">
        <f t="shared" si="1"/>
        <v>15</v>
      </c>
      <c r="AM13" s="185">
        <f t="shared" si="2"/>
        <v>6000</v>
      </c>
      <c r="AN13" s="734">
        <f>AM13+AM14</f>
        <v>6200</v>
      </c>
      <c r="AO13" s="735">
        <v>0</v>
      </c>
      <c r="AP13" s="734">
        <f t="shared" ref="AP13" si="7">AN13-AO13</f>
        <v>6200</v>
      </c>
      <c r="AQ13" s="734">
        <v>6200</v>
      </c>
      <c r="AR13" s="734"/>
    </row>
    <row r="14" spans="1:44">
      <c r="A14" s="191"/>
      <c r="B14" s="184"/>
      <c r="C14" s="185">
        <v>50</v>
      </c>
      <c r="D14" s="189"/>
      <c r="E14" s="185">
        <v>0</v>
      </c>
      <c r="F14" s="185">
        <v>0</v>
      </c>
      <c r="G14" s="185">
        <v>0</v>
      </c>
      <c r="H14" s="185">
        <v>0</v>
      </c>
      <c r="I14" s="185">
        <v>0</v>
      </c>
      <c r="J14" s="185">
        <v>0</v>
      </c>
      <c r="K14" s="189"/>
      <c r="L14" s="185">
        <v>0</v>
      </c>
      <c r="M14" s="185">
        <v>0</v>
      </c>
      <c r="N14" s="185">
        <v>0</v>
      </c>
      <c r="O14" s="185">
        <v>0</v>
      </c>
      <c r="P14" s="185">
        <v>0</v>
      </c>
      <c r="Q14" s="185">
        <v>0</v>
      </c>
      <c r="R14" s="189"/>
      <c r="S14" s="189"/>
      <c r="T14" s="189"/>
      <c r="U14" s="185">
        <v>0</v>
      </c>
      <c r="V14" s="185">
        <v>0</v>
      </c>
      <c r="W14" s="185">
        <v>0</v>
      </c>
      <c r="X14" s="185">
        <v>0</v>
      </c>
      <c r="Y14" s="189"/>
      <c r="Z14" s="185">
        <v>0</v>
      </c>
      <c r="AA14" s="185">
        <v>0</v>
      </c>
      <c r="AB14" s="185">
        <v>0</v>
      </c>
      <c r="AC14" s="189"/>
      <c r="AD14" s="185">
        <v>0</v>
      </c>
      <c r="AE14" s="185">
        <v>0</v>
      </c>
      <c r="AF14" s="189"/>
      <c r="AG14" s="193">
        <v>2</v>
      </c>
      <c r="AH14" s="193">
        <v>2</v>
      </c>
      <c r="AI14" s="185">
        <f t="shared" si="0"/>
        <v>4</v>
      </c>
      <c r="AJ14" s="185">
        <v>0</v>
      </c>
      <c r="AK14" s="185">
        <v>0</v>
      </c>
      <c r="AL14" s="185">
        <f t="shared" si="1"/>
        <v>4</v>
      </c>
      <c r="AM14" s="188">
        <f t="shared" si="2"/>
        <v>200</v>
      </c>
      <c r="AN14" s="734"/>
      <c r="AO14" s="735"/>
      <c r="AP14" s="734"/>
      <c r="AQ14" s="734"/>
      <c r="AR14" s="734"/>
    </row>
    <row r="15" spans="1:44">
      <c r="A15" s="741" t="s">
        <v>103</v>
      </c>
      <c r="B15" s="741"/>
      <c r="C15" s="186"/>
      <c r="D15" s="186">
        <f>D3+D5+D7+D9+D11+D13</f>
        <v>0</v>
      </c>
      <c r="E15" s="186">
        <f t="shared" ref="E15:AH15" si="8">E3+E5+E7+E9+E11+E13</f>
        <v>4</v>
      </c>
      <c r="F15" s="186">
        <f t="shared" si="8"/>
        <v>4.5</v>
      </c>
      <c r="G15" s="186">
        <f t="shared" si="8"/>
        <v>4.5</v>
      </c>
      <c r="H15" s="186">
        <f t="shared" si="8"/>
        <v>4</v>
      </c>
      <c r="I15" s="186">
        <f t="shared" si="8"/>
        <v>5</v>
      </c>
      <c r="J15" s="186">
        <f t="shared" si="8"/>
        <v>5</v>
      </c>
      <c r="K15" s="186">
        <f t="shared" si="8"/>
        <v>0</v>
      </c>
      <c r="L15" s="186">
        <f t="shared" si="8"/>
        <v>6</v>
      </c>
      <c r="M15" s="186">
        <f t="shared" si="8"/>
        <v>5</v>
      </c>
      <c r="N15" s="186">
        <f t="shared" si="8"/>
        <v>5</v>
      </c>
      <c r="O15" s="186">
        <f t="shared" si="8"/>
        <v>5</v>
      </c>
      <c r="P15" s="186">
        <f t="shared" si="8"/>
        <v>5</v>
      </c>
      <c r="Q15" s="186">
        <f t="shared" si="8"/>
        <v>6</v>
      </c>
      <c r="R15" s="186">
        <f t="shared" si="8"/>
        <v>0</v>
      </c>
      <c r="S15" s="186">
        <f t="shared" si="8"/>
        <v>0</v>
      </c>
      <c r="T15" s="186">
        <f t="shared" si="8"/>
        <v>0</v>
      </c>
      <c r="U15" s="186">
        <f t="shared" si="8"/>
        <v>4</v>
      </c>
      <c r="V15" s="186">
        <f t="shared" si="8"/>
        <v>4</v>
      </c>
      <c r="W15" s="186">
        <f t="shared" si="8"/>
        <v>3</v>
      </c>
      <c r="X15" s="186">
        <f t="shared" si="8"/>
        <v>3</v>
      </c>
      <c r="Y15" s="186">
        <f t="shared" si="8"/>
        <v>0</v>
      </c>
      <c r="Z15" s="186">
        <f t="shared" si="8"/>
        <v>4</v>
      </c>
      <c r="AA15" s="186">
        <f t="shared" si="8"/>
        <v>4</v>
      </c>
      <c r="AB15" s="186">
        <f t="shared" si="8"/>
        <v>4</v>
      </c>
      <c r="AC15" s="186">
        <f t="shared" si="8"/>
        <v>0</v>
      </c>
      <c r="AD15" s="186">
        <f t="shared" si="8"/>
        <v>3</v>
      </c>
      <c r="AE15" s="186">
        <f t="shared" si="8"/>
        <v>3</v>
      </c>
      <c r="AF15" s="186">
        <f t="shared" si="8"/>
        <v>2</v>
      </c>
      <c r="AG15" s="186">
        <f t="shared" si="8"/>
        <v>4</v>
      </c>
      <c r="AH15" s="186">
        <f t="shared" si="8"/>
        <v>4</v>
      </c>
      <c r="AI15" s="186">
        <f t="shared" si="0"/>
        <v>101</v>
      </c>
      <c r="AJ15" s="186">
        <f t="shared" ref="AJ15:AK15" si="9">AJ3+AJ5+AJ7+AJ9+AJ11+AJ13</f>
        <v>10</v>
      </c>
      <c r="AK15" s="186">
        <f t="shared" si="9"/>
        <v>24</v>
      </c>
      <c r="AL15" s="186">
        <f t="shared" ref="AL15:AM15" si="10">AL3+AL5+AL7+AL9+AL11+AL13</f>
        <v>111</v>
      </c>
      <c r="AM15" s="186">
        <f t="shared" si="10"/>
        <v>42387.096774193546</v>
      </c>
      <c r="AN15" s="186">
        <f t="shared" ref="AN15" si="11">AN3+AN5+AN7+AN9+AN11+AN13</f>
        <v>43387.096774193546</v>
      </c>
      <c r="AO15" s="186">
        <f t="shared" ref="AO15:AQ15" si="12">AO3+AO5+AO7+AO9+AO11+AO13</f>
        <v>2088</v>
      </c>
      <c r="AP15" s="186">
        <f t="shared" si="12"/>
        <v>41299.096774193546</v>
      </c>
      <c r="AQ15" s="186">
        <f t="shared" si="12"/>
        <v>43500</v>
      </c>
      <c r="AR15" s="186">
        <f t="shared" ref="AR15" si="13">AR3+AR5+AR7+AR9+AR11+AR13</f>
        <v>8000</v>
      </c>
    </row>
    <row r="16" spans="1:44">
      <c r="A16" s="742" t="s">
        <v>106</v>
      </c>
      <c r="B16" s="742"/>
      <c r="C16" s="187"/>
      <c r="D16" s="187">
        <f>D4+D6+D8+D10+D12+D14</f>
        <v>0</v>
      </c>
      <c r="E16" s="187">
        <f t="shared" ref="E16:AH16" si="14">E4+E6+E8+E10+E12+E14</f>
        <v>0</v>
      </c>
      <c r="F16" s="187">
        <f t="shared" si="14"/>
        <v>0</v>
      </c>
      <c r="G16" s="187">
        <f t="shared" si="14"/>
        <v>0</v>
      </c>
      <c r="H16" s="187">
        <f t="shared" si="14"/>
        <v>0</v>
      </c>
      <c r="I16" s="187">
        <f t="shared" si="14"/>
        <v>0</v>
      </c>
      <c r="J16" s="187">
        <f t="shared" si="14"/>
        <v>0</v>
      </c>
      <c r="K16" s="187">
        <f t="shared" si="14"/>
        <v>0</v>
      </c>
      <c r="L16" s="187">
        <f t="shared" si="14"/>
        <v>0</v>
      </c>
      <c r="M16" s="187">
        <f t="shared" si="14"/>
        <v>0</v>
      </c>
      <c r="N16" s="187">
        <f t="shared" si="14"/>
        <v>0</v>
      </c>
      <c r="O16" s="187">
        <f t="shared" si="14"/>
        <v>0</v>
      </c>
      <c r="P16" s="187">
        <f t="shared" si="14"/>
        <v>0</v>
      </c>
      <c r="Q16" s="187">
        <f t="shared" si="14"/>
        <v>0</v>
      </c>
      <c r="R16" s="187">
        <f t="shared" si="14"/>
        <v>0</v>
      </c>
      <c r="S16" s="187">
        <f t="shared" si="14"/>
        <v>0</v>
      </c>
      <c r="T16" s="187">
        <f t="shared" si="14"/>
        <v>0</v>
      </c>
      <c r="U16" s="187">
        <f t="shared" si="14"/>
        <v>0</v>
      </c>
      <c r="V16" s="187">
        <f t="shared" si="14"/>
        <v>0</v>
      </c>
      <c r="W16" s="187">
        <f t="shared" si="14"/>
        <v>0</v>
      </c>
      <c r="X16" s="187">
        <f t="shared" si="14"/>
        <v>0</v>
      </c>
      <c r="Y16" s="187">
        <f t="shared" si="14"/>
        <v>0</v>
      </c>
      <c r="Z16" s="187">
        <f t="shared" si="14"/>
        <v>0</v>
      </c>
      <c r="AA16" s="187">
        <f t="shared" si="14"/>
        <v>0</v>
      </c>
      <c r="AB16" s="187">
        <f t="shared" si="14"/>
        <v>0</v>
      </c>
      <c r="AC16" s="187">
        <f t="shared" si="14"/>
        <v>0</v>
      </c>
      <c r="AD16" s="187">
        <f t="shared" si="14"/>
        <v>4</v>
      </c>
      <c r="AE16" s="187">
        <f t="shared" si="14"/>
        <v>4</v>
      </c>
      <c r="AF16" s="187">
        <f t="shared" si="14"/>
        <v>0</v>
      </c>
      <c r="AG16" s="187">
        <f t="shared" si="14"/>
        <v>6</v>
      </c>
      <c r="AH16" s="187">
        <f t="shared" si="14"/>
        <v>6</v>
      </c>
      <c r="AI16" s="187">
        <f>SUM(D16:AH16)</f>
        <v>20</v>
      </c>
      <c r="AJ16" s="187">
        <f t="shared" ref="AJ16:AK16" si="15">AJ4+AJ6+AJ8+AJ10+AJ12+AJ14</f>
        <v>0</v>
      </c>
      <c r="AK16" s="187">
        <f t="shared" si="15"/>
        <v>0</v>
      </c>
      <c r="AL16" s="187">
        <f t="shared" ref="AL16:AM16" si="16">AL4+AL6+AL8+AL10+AL12+AL14</f>
        <v>20</v>
      </c>
      <c r="AM16" s="187">
        <f t="shared" si="16"/>
        <v>1000</v>
      </c>
      <c r="AN16" s="187">
        <f t="shared" ref="AN16" si="17">AN4+AN6+AN8+AN10+AN12+AN14</f>
        <v>0</v>
      </c>
      <c r="AO16" s="187">
        <f t="shared" ref="AO16:AQ16" si="18">AO4+AO6+AO8+AO10+AO12+AO14</f>
        <v>0</v>
      </c>
      <c r="AP16" s="187">
        <f t="shared" si="18"/>
        <v>0</v>
      </c>
      <c r="AQ16" s="187">
        <f t="shared" si="18"/>
        <v>0</v>
      </c>
      <c r="AR16" s="187">
        <f t="shared" ref="AR16" si="19">AR4+AR6+AR8+AR10+AR12+AR14</f>
        <v>0</v>
      </c>
    </row>
    <row r="18" spans="1:44" ht="23.25">
      <c r="A18" s="744" t="s">
        <v>0</v>
      </c>
      <c r="B18" s="745" t="s">
        <v>1</v>
      </c>
      <c r="C18" s="745"/>
      <c r="D18" s="748" t="s">
        <v>115</v>
      </c>
      <c r="E18" s="748"/>
      <c r="F18" s="748"/>
      <c r="G18" s="748"/>
      <c r="H18" s="748"/>
      <c r="I18" s="748"/>
      <c r="J18" s="748"/>
      <c r="K18" s="748"/>
      <c r="L18" s="748"/>
      <c r="M18" s="748"/>
      <c r="N18" s="748"/>
      <c r="O18" s="748"/>
      <c r="P18" s="748"/>
      <c r="Q18" s="748"/>
      <c r="R18" s="748"/>
      <c r="S18" s="748"/>
      <c r="T18" s="748"/>
      <c r="U18" s="748"/>
      <c r="V18" s="748"/>
      <c r="W18" s="748"/>
      <c r="X18" s="748"/>
      <c r="Y18" s="748"/>
      <c r="Z18" s="748"/>
      <c r="AA18" s="748"/>
      <c r="AB18" s="748"/>
      <c r="AC18" s="748"/>
      <c r="AD18" s="748"/>
      <c r="AE18" s="748"/>
      <c r="AF18" s="748"/>
      <c r="AG18" s="749">
        <v>28</v>
      </c>
      <c r="AH18" s="749"/>
      <c r="AI18" s="743" t="s">
        <v>107</v>
      </c>
      <c r="AJ18" s="743" t="s">
        <v>45</v>
      </c>
      <c r="AK18" s="743" t="s">
        <v>108</v>
      </c>
      <c r="AL18" s="743" t="s">
        <v>112</v>
      </c>
      <c r="AM18" s="744" t="s">
        <v>7</v>
      </c>
      <c r="AN18" s="744"/>
      <c r="AO18" s="743" t="s">
        <v>93</v>
      </c>
      <c r="AP18" s="743" t="s">
        <v>109</v>
      </c>
      <c r="AQ18" s="743" t="s">
        <v>33</v>
      </c>
      <c r="AR18" s="743" t="s">
        <v>111</v>
      </c>
    </row>
    <row r="19" spans="1:44">
      <c r="A19" s="744"/>
      <c r="B19" s="745"/>
      <c r="C19" s="745"/>
      <c r="D19" s="198">
        <v>1</v>
      </c>
      <c r="E19" s="198">
        <v>2</v>
      </c>
      <c r="F19" s="198">
        <v>3</v>
      </c>
      <c r="G19" s="198">
        <v>4</v>
      </c>
      <c r="H19" s="198">
        <v>5</v>
      </c>
      <c r="I19" s="198">
        <v>6</v>
      </c>
      <c r="J19" s="198">
        <v>7</v>
      </c>
      <c r="K19" s="198">
        <v>8</v>
      </c>
      <c r="L19" s="198">
        <v>9</v>
      </c>
      <c r="M19" s="198">
        <v>10</v>
      </c>
      <c r="N19" s="198">
        <v>11</v>
      </c>
      <c r="O19" s="198">
        <v>12</v>
      </c>
      <c r="P19" s="198">
        <v>13</v>
      </c>
      <c r="Q19" s="198">
        <v>14</v>
      </c>
      <c r="R19" s="198">
        <v>15</v>
      </c>
      <c r="S19" s="198">
        <v>16</v>
      </c>
      <c r="T19" s="198">
        <v>17</v>
      </c>
      <c r="U19" s="198">
        <v>18</v>
      </c>
      <c r="V19" s="198">
        <v>19</v>
      </c>
      <c r="W19" s="198">
        <v>20</v>
      </c>
      <c r="X19" s="198">
        <v>21</v>
      </c>
      <c r="Y19" s="198">
        <v>22</v>
      </c>
      <c r="Z19" s="198">
        <v>23</v>
      </c>
      <c r="AA19" s="198">
        <v>24</v>
      </c>
      <c r="AB19" s="198">
        <v>25</v>
      </c>
      <c r="AC19" s="198">
        <v>26</v>
      </c>
      <c r="AD19" s="198">
        <v>27</v>
      </c>
      <c r="AE19" s="198">
        <v>28</v>
      </c>
      <c r="AF19" s="198">
        <v>29</v>
      </c>
      <c r="AG19" s="198">
        <v>30</v>
      </c>
      <c r="AH19" s="198">
        <v>31</v>
      </c>
      <c r="AI19" s="743"/>
      <c r="AJ19" s="743"/>
      <c r="AK19" s="743"/>
      <c r="AL19" s="743"/>
      <c r="AM19" s="744"/>
      <c r="AN19" s="744"/>
      <c r="AO19" s="743"/>
      <c r="AP19" s="743"/>
      <c r="AQ19" s="743"/>
      <c r="AR19" s="743"/>
    </row>
    <row r="20" spans="1:44">
      <c r="A20" s="188">
        <v>1</v>
      </c>
      <c r="B20" s="184" t="s">
        <v>27</v>
      </c>
      <c r="C20" s="184">
        <f>B21/AG18</f>
        <v>357.14285714285717</v>
      </c>
      <c r="D20" s="185">
        <v>1</v>
      </c>
      <c r="E20" s="185">
        <v>1</v>
      </c>
      <c r="F20" s="185">
        <v>1</v>
      </c>
      <c r="G20" s="185">
        <v>1</v>
      </c>
      <c r="H20" s="189"/>
      <c r="I20" s="185">
        <v>1</v>
      </c>
      <c r="J20" s="185">
        <v>1</v>
      </c>
      <c r="K20" s="185">
        <v>1</v>
      </c>
      <c r="L20" s="185">
        <v>1</v>
      </c>
      <c r="M20" s="185">
        <v>1</v>
      </c>
      <c r="N20" s="190">
        <v>0</v>
      </c>
      <c r="O20" s="189"/>
      <c r="P20" s="190">
        <v>0</v>
      </c>
      <c r="Q20" s="190">
        <v>0</v>
      </c>
      <c r="R20" s="190">
        <v>0</v>
      </c>
      <c r="S20" s="190">
        <v>0</v>
      </c>
      <c r="T20" s="190">
        <v>0</v>
      </c>
      <c r="U20" s="190">
        <v>0</v>
      </c>
      <c r="V20" s="189"/>
      <c r="W20" s="190">
        <v>0</v>
      </c>
      <c r="X20" s="190">
        <v>0</v>
      </c>
      <c r="Y20" s="190">
        <v>0</v>
      </c>
      <c r="Z20" s="190">
        <v>0</v>
      </c>
      <c r="AA20" s="190">
        <v>0</v>
      </c>
      <c r="AB20" s="190">
        <v>0</v>
      </c>
      <c r="AC20" s="189"/>
      <c r="AD20" s="190">
        <v>0</v>
      </c>
      <c r="AE20" s="190">
        <v>0</v>
      </c>
      <c r="AF20" s="197"/>
      <c r="AG20" s="197"/>
      <c r="AH20" s="197"/>
      <c r="AI20" s="185">
        <f>SUM(D20:AH20)</f>
        <v>9</v>
      </c>
      <c r="AJ20" s="185">
        <v>1</v>
      </c>
      <c r="AK20" s="185">
        <v>0</v>
      </c>
      <c r="AL20" s="185">
        <f>AI20+AJ20-AK20</f>
        <v>10</v>
      </c>
      <c r="AM20" s="185">
        <f>AL20*C20</f>
        <v>3571.4285714285716</v>
      </c>
      <c r="AN20" s="734">
        <f>AM20+AM21</f>
        <v>3705.3571428571431</v>
      </c>
      <c r="AO20" s="735">
        <f>2088-387</f>
        <v>1701</v>
      </c>
      <c r="AP20" s="734">
        <f>AN20-AO20</f>
        <v>2004.3571428571431</v>
      </c>
      <c r="AQ20" s="734">
        <v>2350</v>
      </c>
      <c r="AR20" s="734"/>
    </row>
    <row r="21" spans="1:44">
      <c r="A21" s="188">
        <f>C20/8</f>
        <v>44.642857142857146</v>
      </c>
      <c r="B21" s="184">
        <v>10000</v>
      </c>
      <c r="C21" s="188">
        <f>A21*1.5</f>
        <v>66.964285714285722</v>
      </c>
      <c r="D21" s="185">
        <v>0</v>
      </c>
      <c r="E21" s="185">
        <v>0</v>
      </c>
      <c r="F21" s="185">
        <v>0</v>
      </c>
      <c r="G21" s="185">
        <v>0</v>
      </c>
      <c r="H21" s="189"/>
      <c r="I21" s="185">
        <v>0</v>
      </c>
      <c r="J21" s="185">
        <v>0</v>
      </c>
      <c r="K21" s="193">
        <v>2</v>
      </c>
      <c r="L21" s="185">
        <v>0</v>
      </c>
      <c r="M21" s="185">
        <v>0</v>
      </c>
      <c r="N21" s="185">
        <v>0</v>
      </c>
      <c r="O21" s="189"/>
      <c r="P21" s="185">
        <v>0</v>
      </c>
      <c r="Q21" s="185">
        <v>0</v>
      </c>
      <c r="R21" s="185">
        <v>0</v>
      </c>
      <c r="S21" s="185">
        <v>0</v>
      </c>
      <c r="T21" s="185">
        <v>0</v>
      </c>
      <c r="U21" s="185">
        <v>0</v>
      </c>
      <c r="V21" s="189"/>
      <c r="W21" s="185">
        <v>0</v>
      </c>
      <c r="X21" s="185">
        <v>0</v>
      </c>
      <c r="Y21" s="185">
        <v>0</v>
      </c>
      <c r="Z21" s="185">
        <v>0</v>
      </c>
      <c r="AA21" s="185">
        <v>0</v>
      </c>
      <c r="AB21" s="185">
        <v>0</v>
      </c>
      <c r="AC21" s="189"/>
      <c r="AD21" s="185">
        <v>0</v>
      </c>
      <c r="AE21" s="185">
        <v>0</v>
      </c>
      <c r="AF21" s="197"/>
      <c r="AG21" s="197"/>
      <c r="AH21" s="197"/>
      <c r="AI21" s="185">
        <f t="shared" ref="AI21:AI33" si="20">SUM(D21:AH21)</f>
        <v>2</v>
      </c>
      <c r="AJ21" s="185">
        <v>0</v>
      </c>
      <c r="AK21" s="185">
        <v>0</v>
      </c>
      <c r="AL21" s="185">
        <f t="shared" ref="AL21" si="21">AI21+AJ21-AK21</f>
        <v>2</v>
      </c>
      <c r="AM21" s="188">
        <f>AL21*C21</f>
        <v>133.92857142857144</v>
      </c>
      <c r="AN21" s="734"/>
      <c r="AO21" s="735"/>
      <c r="AP21" s="734"/>
      <c r="AQ21" s="734"/>
      <c r="AR21" s="734"/>
    </row>
    <row r="22" spans="1:44">
      <c r="A22" s="188">
        <v>2</v>
      </c>
      <c r="B22" s="184" t="s">
        <v>104</v>
      </c>
      <c r="C22" s="184">
        <v>400</v>
      </c>
      <c r="D22" s="190">
        <v>0</v>
      </c>
      <c r="E22" s="190">
        <v>0</v>
      </c>
      <c r="F22" s="190">
        <v>0</v>
      </c>
      <c r="G22" s="190">
        <v>0</v>
      </c>
      <c r="H22" s="189"/>
      <c r="I22" s="190">
        <v>0</v>
      </c>
      <c r="J22" s="190">
        <v>0</v>
      </c>
      <c r="K22" s="190">
        <v>0</v>
      </c>
      <c r="L22" s="190">
        <v>0</v>
      </c>
      <c r="M22" s="190">
        <v>0</v>
      </c>
      <c r="N22" s="190">
        <v>0</v>
      </c>
      <c r="O22" s="189"/>
      <c r="P22" s="190">
        <v>0</v>
      </c>
      <c r="Q22" s="190">
        <v>0</v>
      </c>
      <c r="R22" s="190">
        <v>0</v>
      </c>
      <c r="S22" s="190">
        <v>0</v>
      </c>
      <c r="T22" s="190">
        <v>0</v>
      </c>
      <c r="U22" s="190">
        <v>0</v>
      </c>
      <c r="V22" s="189"/>
      <c r="W22" s="190">
        <v>0</v>
      </c>
      <c r="X22" s="190">
        <v>0</v>
      </c>
      <c r="Y22" s="190">
        <v>0</v>
      </c>
      <c r="Z22" s="190">
        <v>0</v>
      </c>
      <c r="AA22" s="190">
        <v>0</v>
      </c>
      <c r="AB22" s="190">
        <v>0</v>
      </c>
      <c r="AC22" s="189"/>
      <c r="AD22" s="190">
        <v>0</v>
      </c>
      <c r="AE22" s="190">
        <v>0</v>
      </c>
      <c r="AF22" s="197"/>
      <c r="AG22" s="197"/>
      <c r="AH22" s="197"/>
      <c r="AI22" s="185">
        <f t="shared" si="20"/>
        <v>0</v>
      </c>
      <c r="AJ22" s="185">
        <v>0</v>
      </c>
      <c r="AK22" s="185">
        <v>0</v>
      </c>
      <c r="AL22" s="185">
        <f>AI22+AJ22-AK22</f>
        <v>0</v>
      </c>
      <c r="AM22" s="185">
        <f t="shared" ref="AM22:AM33" si="22">AL22*C22</f>
        <v>0</v>
      </c>
      <c r="AN22" s="734">
        <f>AM22+AM23</f>
        <v>0</v>
      </c>
      <c r="AO22" s="735">
        <v>0</v>
      </c>
      <c r="AP22" s="734">
        <f t="shared" ref="AP22" si="23">AN22-AO22</f>
        <v>0</v>
      </c>
      <c r="AQ22" s="734">
        <v>0</v>
      </c>
      <c r="AR22" s="734"/>
    </row>
    <row r="23" spans="1:44">
      <c r="A23" s="188">
        <f>C22/10</f>
        <v>40</v>
      </c>
      <c r="B23" s="184">
        <v>15000</v>
      </c>
      <c r="C23" s="188">
        <v>50</v>
      </c>
      <c r="D23" s="185">
        <v>0</v>
      </c>
      <c r="E23" s="185">
        <v>0</v>
      </c>
      <c r="F23" s="185">
        <v>0</v>
      </c>
      <c r="G23" s="185">
        <v>0</v>
      </c>
      <c r="H23" s="189"/>
      <c r="I23" s="185">
        <v>0</v>
      </c>
      <c r="J23" s="185">
        <v>0</v>
      </c>
      <c r="K23" s="185">
        <v>0</v>
      </c>
      <c r="L23" s="185">
        <v>0</v>
      </c>
      <c r="M23" s="185">
        <v>0</v>
      </c>
      <c r="N23" s="185">
        <v>0</v>
      </c>
      <c r="O23" s="189"/>
      <c r="P23" s="185">
        <v>0</v>
      </c>
      <c r="Q23" s="185">
        <v>0</v>
      </c>
      <c r="R23" s="185">
        <v>0</v>
      </c>
      <c r="S23" s="185">
        <v>0</v>
      </c>
      <c r="T23" s="185">
        <v>0</v>
      </c>
      <c r="U23" s="185">
        <v>0</v>
      </c>
      <c r="V23" s="189"/>
      <c r="W23" s="185">
        <v>0</v>
      </c>
      <c r="X23" s="185">
        <v>0</v>
      </c>
      <c r="Y23" s="185">
        <v>0</v>
      </c>
      <c r="Z23" s="185">
        <v>0</v>
      </c>
      <c r="AA23" s="185">
        <v>0</v>
      </c>
      <c r="AB23" s="185">
        <v>0</v>
      </c>
      <c r="AC23" s="189"/>
      <c r="AD23" s="185">
        <v>0</v>
      </c>
      <c r="AE23" s="185">
        <v>0</v>
      </c>
      <c r="AF23" s="197"/>
      <c r="AG23" s="197"/>
      <c r="AH23" s="197"/>
      <c r="AI23" s="185">
        <f t="shared" si="20"/>
        <v>0</v>
      </c>
      <c r="AJ23" s="185">
        <v>0</v>
      </c>
      <c r="AK23" s="185">
        <v>0</v>
      </c>
      <c r="AL23" s="185">
        <f t="shared" ref="AL23:AL33" si="24">AI23+AJ23-AK23</f>
        <v>0</v>
      </c>
      <c r="AM23" s="188">
        <f t="shared" si="22"/>
        <v>0</v>
      </c>
      <c r="AN23" s="734"/>
      <c r="AO23" s="735"/>
      <c r="AP23" s="734"/>
      <c r="AQ23" s="734"/>
      <c r="AR23" s="734"/>
    </row>
    <row r="24" spans="1:44">
      <c r="A24" s="188">
        <v>3</v>
      </c>
      <c r="B24" s="184" t="s">
        <v>102</v>
      </c>
      <c r="C24" s="184">
        <v>400</v>
      </c>
      <c r="D24" s="185">
        <v>1</v>
      </c>
      <c r="E24" s="190">
        <v>0</v>
      </c>
      <c r="F24" s="190">
        <v>0</v>
      </c>
      <c r="G24" s="185">
        <v>1</v>
      </c>
      <c r="H24" s="189"/>
      <c r="I24" s="185">
        <v>1</v>
      </c>
      <c r="J24" s="190">
        <v>0.5</v>
      </c>
      <c r="K24" s="185">
        <v>1</v>
      </c>
      <c r="L24" s="190">
        <v>0</v>
      </c>
      <c r="M24" s="185">
        <v>1</v>
      </c>
      <c r="N24" s="190">
        <v>0</v>
      </c>
      <c r="O24" s="189"/>
      <c r="P24" s="190">
        <v>0</v>
      </c>
      <c r="Q24" s="185">
        <v>1</v>
      </c>
      <c r="R24" s="185">
        <v>1</v>
      </c>
      <c r="S24" s="190">
        <v>0.5</v>
      </c>
      <c r="T24" s="185">
        <v>1</v>
      </c>
      <c r="U24" s="185">
        <v>1</v>
      </c>
      <c r="V24" s="189"/>
      <c r="W24" s="185">
        <v>1</v>
      </c>
      <c r="X24" s="185">
        <v>1</v>
      </c>
      <c r="Y24" s="185">
        <v>1</v>
      </c>
      <c r="Z24" s="190">
        <v>0</v>
      </c>
      <c r="AA24" s="185">
        <v>1</v>
      </c>
      <c r="AB24" s="185">
        <v>1</v>
      </c>
      <c r="AC24" s="189"/>
      <c r="AD24" s="185">
        <v>1</v>
      </c>
      <c r="AE24" s="185">
        <v>1</v>
      </c>
      <c r="AF24" s="197"/>
      <c r="AG24" s="197"/>
      <c r="AH24" s="197"/>
      <c r="AI24" s="185">
        <f>SUM(D24:AH24)</f>
        <v>17</v>
      </c>
      <c r="AJ24" s="185">
        <v>0</v>
      </c>
      <c r="AK24" s="185">
        <v>0</v>
      </c>
      <c r="AL24" s="185">
        <f>AI24+AJ24-AK24</f>
        <v>17</v>
      </c>
      <c r="AM24" s="185">
        <f t="shared" si="22"/>
        <v>6800</v>
      </c>
      <c r="AN24" s="734">
        <f>AM24+AM25</f>
        <v>8300</v>
      </c>
      <c r="AO24" s="735">
        <v>0</v>
      </c>
      <c r="AP24" s="734">
        <f t="shared" ref="AP24" si="25">AN24-AO24</f>
        <v>8300</v>
      </c>
      <c r="AQ24" s="734">
        <v>8300</v>
      </c>
      <c r="AR24" s="734"/>
    </row>
    <row r="25" spans="1:44">
      <c r="A25" s="191"/>
      <c r="B25" s="184"/>
      <c r="C25" s="185">
        <v>50</v>
      </c>
      <c r="D25" s="185">
        <v>0</v>
      </c>
      <c r="E25" s="185">
        <v>0</v>
      </c>
      <c r="F25" s="185">
        <v>0</v>
      </c>
      <c r="G25" s="185">
        <v>0</v>
      </c>
      <c r="H25" s="189"/>
      <c r="I25" s="185">
        <v>0</v>
      </c>
      <c r="J25" s="185">
        <v>0</v>
      </c>
      <c r="K25" s="185">
        <v>0</v>
      </c>
      <c r="L25" s="185">
        <v>0</v>
      </c>
      <c r="M25" s="185">
        <v>0</v>
      </c>
      <c r="N25" s="185">
        <v>0</v>
      </c>
      <c r="O25" s="189"/>
      <c r="P25" s="185">
        <v>0</v>
      </c>
      <c r="Q25" s="193">
        <v>2</v>
      </c>
      <c r="R25" s="193">
        <v>2</v>
      </c>
      <c r="S25" s="185">
        <v>0</v>
      </c>
      <c r="T25" s="193">
        <v>2</v>
      </c>
      <c r="U25" s="193">
        <v>2</v>
      </c>
      <c r="V25" s="189"/>
      <c r="W25" s="193">
        <v>2</v>
      </c>
      <c r="X25" s="193">
        <v>2</v>
      </c>
      <c r="Y25" s="193">
        <v>2</v>
      </c>
      <c r="Z25" s="185">
        <v>0</v>
      </c>
      <c r="AA25" s="193">
        <v>2</v>
      </c>
      <c r="AB25" s="193">
        <v>2</v>
      </c>
      <c r="AC25" s="193">
        <v>8</v>
      </c>
      <c r="AD25" s="193">
        <v>2</v>
      </c>
      <c r="AE25" s="193">
        <v>2</v>
      </c>
      <c r="AF25" s="197"/>
      <c r="AG25" s="197"/>
      <c r="AH25" s="197"/>
      <c r="AI25" s="185">
        <f t="shared" si="20"/>
        <v>30</v>
      </c>
      <c r="AJ25" s="185">
        <v>0</v>
      </c>
      <c r="AK25" s="185">
        <v>0</v>
      </c>
      <c r="AL25" s="185">
        <f t="shared" si="24"/>
        <v>30</v>
      </c>
      <c r="AM25" s="188">
        <f t="shared" si="22"/>
        <v>1500</v>
      </c>
      <c r="AN25" s="734"/>
      <c r="AO25" s="735"/>
      <c r="AP25" s="734"/>
      <c r="AQ25" s="734"/>
      <c r="AR25" s="734"/>
    </row>
    <row r="26" spans="1:44">
      <c r="A26" s="188">
        <v>4</v>
      </c>
      <c r="B26" s="184" t="s">
        <v>99</v>
      </c>
      <c r="C26" s="185">
        <v>400</v>
      </c>
      <c r="D26" s="185">
        <v>1</v>
      </c>
      <c r="E26" s="185">
        <v>1</v>
      </c>
      <c r="F26" s="185">
        <v>1</v>
      </c>
      <c r="G26" s="185">
        <v>1</v>
      </c>
      <c r="H26" s="189"/>
      <c r="I26" s="185">
        <v>1</v>
      </c>
      <c r="J26" s="185">
        <v>1</v>
      </c>
      <c r="K26" s="185">
        <v>1</v>
      </c>
      <c r="L26" s="185">
        <v>1</v>
      </c>
      <c r="M26" s="185">
        <v>1</v>
      </c>
      <c r="N26" s="185">
        <v>1</v>
      </c>
      <c r="O26" s="189"/>
      <c r="P26" s="185">
        <v>1</v>
      </c>
      <c r="Q26" s="185">
        <v>1</v>
      </c>
      <c r="R26" s="185">
        <v>1</v>
      </c>
      <c r="S26" s="185">
        <v>1</v>
      </c>
      <c r="T26" s="185">
        <v>1</v>
      </c>
      <c r="U26" s="185">
        <v>1</v>
      </c>
      <c r="V26" s="189"/>
      <c r="W26" s="185">
        <v>1</v>
      </c>
      <c r="X26" s="185">
        <v>1</v>
      </c>
      <c r="Y26" s="185">
        <v>1</v>
      </c>
      <c r="Z26" s="185">
        <v>1</v>
      </c>
      <c r="AA26" s="185">
        <v>1</v>
      </c>
      <c r="AB26" s="185">
        <v>1</v>
      </c>
      <c r="AC26" s="189"/>
      <c r="AD26" s="185">
        <v>1</v>
      </c>
      <c r="AE26" s="185">
        <v>1</v>
      </c>
      <c r="AF26" s="197"/>
      <c r="AG26" s="197"/>
      <c r="AH26" s="197"/>
      <c r="AI26" s="185">
        <f t="shared" si="20"/>
        <v>24</v>
      </c>
      <c r="AJ26" s="185">
        <v>0</v>
      </c>
      <c r="AK26" s="185">
        <v>0</v>
      </c>
      <c r="AL26" s="185">
        <f>AI26+AJ26-AK26</f>
        <v>24</v>
      </c>
      <c r="AM26" s="185">
        <f t="shared" si="22"/>
        <v>9600</v>
      </c>
      <c r="AN26" s="734">
        <f>AM26+AM27</f>
        <v>12550</v>
      </c>
      <c r="AO26" s="735">
        <v>0</v>
      </c>
      <c r="AP26" s="734">
        <f t="shared" ref="AP26" si="26">AN26-AO26</f>
        <v>12550</v>
      </c>
      <c r="AQ26" s="734">
        <v>12550</v>
      </c>
      <c r="AR26" s="734"/>
    </row>
    <row r="27" spans="1:44">
      <c r="A27" s="191"/>
      <c r="B27" s="184"/>
      <c r="C27" s="185">
        <v>50</v>
      </c>
      <c r="D27" s="185">
        <v>0</v>
      </c>
      <c r="E27" s="185">
        <v>0</v>
      </c>
      <c r="F27" s="185">
        <v>0</v>
      </c>
      <c r="G27" s="185">
        <v>0</v>
      </c>
      <c r="H27" s="189"/>
      <c r="I27" s="185">
        <v>0</v>
      </c>
      <c r="J27" s="185">
        <v>0</v>
      </c>
      <c r="K27" s="193">
        <v>2</v>
      </c>
      <c r="L27" s="193">
        <v>2</v>
      </c>
      <c r="M27" s="193">
        <v>2</v>
      </c>
      <c r="N27" s="193">
        <v>2</v>
      </c>
      <c r="O27" s="193">
        <v>8</v>
      </c>
      <c r="P27" s="193">
        <v>2</v>
      </c>
      <c r="Q27" s="193">
        <v>2</v>
      </c>
      <c r="R27" s="193">
        <v>2</v>
      </c>
      <c r="S27" s="193">
        <v>2</v>
      </c>
      <c r="T27" s="193">
        <v>3</v>
      </c>
      <c r="U27" s="193">
        <v>0</v>
      </c>
      <c r="V27" s="193">
        <v>8</v>
      </c>
      <c r="W27" s="193">
        <v>2</v>
      </c>
      <c r="X27" s="193">
        <v>2</v>
      </c>
      <c r="Y27" s="193">
        <v>2</v>
      </c>
      <c r="Z27" s="193">
        <v>2</v>
      </c>
      <c r="AA27" s="193">
        <v>2</v>
      </c>
      <c r="AB27" s="193">
        <v>2</v>
      </c>
      <c r="AC27" s="193">
        <v>8</v>
      </c>
      <c r="AD27" s="193">
        <v>2</v>
      </c>
      <c r="AE27" s="193">
        <v>2</v>
      </c>
      <c r="AF27" s="197"/>
      <c r="AG27" s="197"/>
      <c r="AH27" s="197"/>
      <c r="AI27" s="185">
        <f t="shared" si="20"/>
        <v>59</v>
      </c>
      <c r="AJ27" s="185">
        <v>0</v>
      </c>
      <c r="AK27" s="185">
        <v>0</v>
      </c>
      <c r="AL27" s="185">
        <f t="shared" si="24"/>
        <v>59</v>
      </c>
      <c r="AM27" s="188">
        <f t="shared" si="22"/>
        <v>2950</v>
      </c>
      <c r="AN27" s="734"/>
      <c r="AO27" s="735"/>
      <c r="AP27" s="734"/>
      <c r="AQ27" s="734"/>
      <c r="AR27" s="734"/>
    </row>
    <row r="28" spans="1:44">
      <c r="A28" s="188">
        <v>5</v>
      </c>
      <c r="B28" s="184" t="s">
        <v>114</v>
      </c>
      <c r="C28" s="185">
        <v>400</v>
      </c>
      <c r="D28" s="185">
        <v>1</v>
      </c>
      <c r="E28" s="185">
        <v>1</v>
      </c>
      <c r="F28" s="185">
        <v>1</v>
      </c>
      <c r="G28" s="185">
        <v>1</v>
      </c>
      <c r="H28" s="189"/>
      <c r="I28" s="185">
        <v>1</v>
      </c>
      <c r="J28" s="185">
        <v>1</v>
      </c>
      <c r="K28" s="185">
        <v>1</v>
      </c>
      <c r="L28" s="185">
        <v>1</v>
      </c>
      <c r="M28" s="185">
        <v>1</v>
      </c>
      <c r="N28" s="185">
        <v>1</v>
      </c>
      <c r="O28" s="189"/>
      <c r="P28" s="185">
        <v>1</v>
      </c>
      <c r="Q28" s="185">
        <v>1</v>
      </c>
      <c r="R28" s="185">
        <v>1</v>
      </c>
      <c r="S28" s="185">
        <v>1</v>
      </c>
      <c r="T28" s="185">
        <v>1</v>
      </c>
      <c r="U28" s="185">
        <v>1</v>
      </c>
      <c r="V28" s="189"/>
      <c r="W28" s="185">
        <v>1</v>
      </c>
      <c r="X28" s="185">
        <v>1</v>
      </c>
      <c r="Y28" s="185">
        <v>1</v>
      </c>
      <c r="Z28" s="185">
        <v>1</v>
      </c>
      <c r="AA28" s="185">
        <v>1</v>
      </c>
      <c r="AB28" s="185">
        <v>1</v>
      </c>
      <c r="AC28" s="189"/>
      <c r="AD28" s="185">
        <v>1</v>
      </c>
      <c r="AE28" s="185">
        <v>1</v>
      </c>
      <c r="AF28" s="197"/>
      <c r="AG28" s="197"/>
      <c r="AH28" s="197"/>
      <c r="AI28" s="185">
        <f t="shared" si="20"/>
        <v>24</v>
      </c>
      <c r="AJ28" s="185">
        <v>0</v>
      </c>
      <c r="AK28" s="185">
        <v>0</v>
      </c>
      <c r="AL28" s="185">
        <f>AI28+AJ28-AK28</f>
        <v>24</v>
      </c>
      <c r="AM28" s="185">
        <f t="shared" si="22"/>
        <v>9600</v>
      </c>
      <c r="AN28" s="734">
        <f>AM28+AM29</f>
        <v>12500</v>
      </c>
      <c r="AO28" s="735">
        <v>0</v>
      </c>
      <c r="AP28" s="734">
        <f t="shared" ref="AP28" si="27">AN28-AO28</f>
        <v>12500</v>
      </c>
      <c r="AQ28" s="734">
        <v>12500</v>
      </c>
      <c r="AR28" s="734"/>
    </row>
    <row r="29" spans="1:44">
      <c r="A29" s="191"/>
      <c r="B29" s="184"/>
      <c r="C29" s="185">
        <v>50</v>
      </c>
      <c r="D29" s="185">
        <v>0</v>
      </c>
      <c r="E29" s="185">
        <v>0</v>
      </c>
      <c r="F29" s="185">
        <v>0</v>
      </c>
      <c r="G29" s="185">
        <v>0</v>
      </c>
      <c r="H29" s="189"/>
      <c r="I29" s="185">
        <v>0</v>
      </c>
      <c r="J29" s="185">
        <v>0</v>
      </c>
      <c r="K29" s="193">
        <v>2</v>
      </c>
      <c r="L29" s="193">
        <v>2</v>
      </c>
      <c r="M29" s="193">
        <v>2</v>
      </c>
      <c r="N29" s="193">
        <v>2</v>
      </c>
      <c r="O29" s="193">
        <v>8</v>
      </c>
      <c r="P29" s="193">
        <v>2</v>
      </c>
      <c r="Q29" s="193">
        <v>2</v>
      </c>
      <c r="R29" s="193">
        <v>2</v>
      </c>
      <c r="S29" s="193">
        <v>2</v>
      </c>
      <c r="T29" s="193">
        <v>2</v>
      </c>
      <c r="U29" s="193">
        <v>2</v>
      </c>
      <c r="V29" s="193">
        <v>8</v>
      </c>
      <c r="W29" s="193">
        <v>2</v>
      </c>
      <c r="X29" s="193">
        <v>2</v>
      </c>
      <c r="Y29" s="193">
        <v>0</v>
      </c>
      <c r="Z29" s="193">
        <v>2</v>
      </c>
      <c r="AA29" s="193">
        <v>2</v>
      </c>
      <c r="AB29" s="193">
        <v>2</v>
      </c>
      <c r="AC29" s="193">
        <v>8</v>
      </c>
      <c r="AD29" s="193">
        <v>2</v>
      </c>
      <c r="AE29" s="193">
        <v>2</v>
      </c>
      <c r="AF29" s="197"/>
      <c r="AG29" s="197"/>
      <c r="AH29" s="197"/>
      <c r="AI29" s="185">
        <f t="shared" si="20"/>
        <v>58</v>
      </c>
      <c r="AJ29" s="185">
        <v>0</v>
      </c>
      <c r="AK29" s="185">
        <v>0</v>
      </c>
      <c r="AL29" s="185">
        <f t="shared" si="24"/>
        <v>58</v>
      </c>
      <c r="AM29" s="188">
        <f t="shared" si="22"/>
        <v>2900</v>
      </c>
      <c r="AN29" s="734"/>
      <c r="AO29" s="735"/>
      <c r="AP29" s="734"/>
      <c r="AQ29" s="734"/>
      <c r="AR29" s="734"/>
    </row>
    <row r="30" spans="1:44">
      <c r="A30" s="188">
        <v>6</v>
      </c>
      <c r="B30" s="184" t="s">
        <v>116</v>
      </c>
      <c r="C30" s="185">
        <v>400</v>
      </c>
      <c r="D30" s="185">
        <v>0</v>
      </c>
      <c r="E30" s="185">
        <v>0</v>
      </c>
      <c r="F30" s="185">
        <v>0</v>
      </c>
      <c r="G30" s="185">
        <v>0</v>
      </c>
      <c r="H30" s="189"/>
      <c r="I30" s="185">
        <v>0</v>
      </c>
      <c r="J30" s="185">
        <v>0</v>
      </c>
      <c r="K30" s="185">
        <v>0</v>
      </c>
      <c r="L30" s="185">
        <v>0</v>
      </c>
      <c r="M30" s="185">
        <v>0</v>
      </c>
      <c r="N30" s="185">
        <v>0</v>
      </c>
      <c r="O30" s="189"/>
      <c r="P30" s="185">
        <v>1</v>
      </c>
      <c r="Q30" s="185">
        <v>1</v>
      </c>
      <c r="R30" s="185">
        <v>1</v>
      </c>
      <c r="S30" s="185">
        <v>1</v>
      </c>
      <c r="T30" s="185">
        <v>1</v>
      </c>
      <c r="U30" s="185">
        <v>1</v>
      </c>
      <c r="V30" s="189"/>
      <c r="W30" s="185">
        <v>1</v>
      </c>
      <c r="X30" s="185">
        <v>1</v>
      </c>
      <c r="Y30" s="185">
        <v>1</v>
      </c>
      <c r="Z30" s="185">
        <v>1</v>
      </c>
      <c r="AA30" s="185">
        <v>1</v>
      </c>
      <c r="AB30" s="185">
        <v>1</v>
      </c>
      <c r="AC30" s="189"/>
      <c r="AD30" s="185">
        <v>1</v>
      </c>
      <c r="AE30" s="185">
        <v>1</v>
      </c>
      <c r="AF30" s="197"/>
      <c r="AG30" s="197"/>
      <c r="AH30" s="197"/>
      <c r="AI30" s="185">
        <f t="shared" ref="AI30:AI31" si="28">SUM(D30:AH30)</f>
        <v>14</v>
      </c>
      <c r="AJ30" s="185">
        <v>0</v>
      </c>
      <c r="AK30" s="185">
        <v>0</v>
      </c>
      <c r="AL30" s="185">
        <f>AI30+AJ30-AK30</f>
        <v>14</v>
      </c>
      <c r="AM30" s="185">
        <f t="shared" ref="AM30:AM31" si="29">AL30*C30</f>
        <v>5600</v>
      </c>
      <c r="AN30" s="734">
        <f>AM30+AM31</f>
        <v>6900</v>
      </c>
      <c r="AO30" s="735">
        <v>0</v>
      </c>
      <c r="AP30" s="734">
        <f t="shared" ref="AP30" si="30">AN30-AO30</f>
        <v>6900</v>
      </c>
      <c r="AQ30" s="734">
        <v>6900</v>
      </c>
      <c r="AR30" s="734"/>
    </row>
    <row r="31" spans="1:44">
      <c r="A31" s="191"/>
      <c r="B31" s="184"/>
      <c r="C31" s="185">
        <v>50</v>
      </c>
      <c r="D31" s="185">
        <v>0</v>
      </c>
      <c r="E31" s="185">
        <v>0</v>
      </c>
      <c r="F31" s="185">
        <v>0</v>
      </c>
      <c r="G31" s="185">
        <v>0</v>
      </c>
      <c r="H31" s="189"/>
      <c r="I31" s="185">
        <v>0</v>
      </c>
      <c r="J31" s="185">
        <v>0</v>
      </c>
      <c r="K31" s="185">
        <v>0</v>
      </c>
      <c r="L31" s="185">
        <v>0</v>
      </c>
      <c r="M31" s="185">
        <v>0</v>
      </c>
      <c r="N31" s="185">
        <v>0</v>
      </c>
      <c r="O31" s="193"/>
      <c r="P31" s="193">
        <v>2</v>
      </c>
      <c r="Q31" s="193">
        <v>2</v>
      </c>
      <c r="R31" s="193">
        <v>2</v>
      </c>
      <c r="S31" s="193">
        <v>2</v>
      </c>
      <c r="T31" s="193">
        <v>2</v>
      </c>
      <c r="U31" s="193">
        <v>0</v>
      </c>
      <c r="V31" s="189"/>
      <c r="W31" s="193">
        <v>2</v>
      </c>
      <c r="X31" s="193">
        <v>2</v>
      </c>
      <c r="Y31" s="193">
        <v>2</v>
      </c>
      <c r="Z31" s="193">
        <v>2</v>
      </c>
      <c r="AA31" s="193">
        <v>2</v>
      </c>
      <c r="AB31" s="193">
        <v>2</v>
      </c>
      <c r="AC31" s="189"/>
      <c r="AD31" s="193">
        <v>2</v>
      </c>
      <c r="AE31" s="193">
        <v>2</v>
      </c>
      <c r="AF31" s="197"/>
      <c r="AG31" s="197"/>
      <c r="AH31" s="197"/>
      <c r="AI31" s="185">
        <f t="shared" si="28"/>
        <v>26</v>
      </c>
      <c r="AJ31" s="185">
        <v>0</v>
      </c>
      <c r="AK31" s="185">
        <v>0</v>
      </c>
      <c r="AL31" s="185">
        <f t="shared" ref="AL31" si="31">AI31+AJ31-AK31</f>
        <v>26</v>
      </c>
      <c r="AM31" s="188">
        <f t="shared" si="29"/>
        <v>1300</v>
      </c>
      <c r="AN31" s="734"/>
      <c r="AO31" s="735"/>
      <c r="AP31" s="734"/>
      <c r="AQ31" s="734"/>
      <c r="AR31" s="734"/>
    </row>
    <row r="32" spans="1:44">
      <c r="A32" s="188">
        <v>7</v>
      </c>
      <c r="B32" s="184" t="s">
        <v>9</v>
      </c>
      <c r="C32" s="185">
        <v>350</v>
      </c>
      <c r="D32" s="185">
        <v>0</v>
      </c>
      <c r="E32" s="185">
        <v>0</v>
      </c>
      <c r="F32" s="185">
        <v>0</v>
      </c>
      <c r="G32" s="185">
        <v>0</v>
      </c>
      <c r="H32" s="189"/>
      <c r="I32" s="185">
        <v>1</v>
      </c>
      <c r="J32" s="185">
        <v>1</v>
      </c>
      <c r="K32" s="185">
        <v>1</v>
      </c>
      <c r="L32" s="190">
        <v>0</v>
      </c>
      <c r="M32" s="190">
        <v>0</v>
      </c>
      <c r="N32" s="185">
        <v>1</v>
      </c>
      <c r="O32" s="189"/>
      <c r="P32" s="185">
        <v>1</v>
      </c>
      <c r="Q32" s="185">
        <v>1</v>
      </c>
      <c r="R32" s="190">
        <v>0</v>
      </c>
      <c r="S32" s="190">
        <v>0</v>
      </c>
      <c r="T32" s="190">
        <v>0</v>
      </c>
      <c r="U32" s="190">
        <v>0</v>
      </c>
      <c r="V32" s="189"/>
      <c r="W32" s="190">
        <v>0</v>
      </c>
      <c r="X32" s="190">
        <v>0</v>
      </c>
      <c r="Y32" s="190">
        <v>0</v>
      </c>
      <c r="Z32" s="190">
        <v>0</v>
      </c>
      <c r="AA32" s="190">
        <v>0</v>
      </c>
      <c r="AB32" s="190">
        <v>0</v>
      </c>
      <c r="AC32" s="189"/>
      <c r="AD32" s="190">
        <v>0</v>
      </c>
      <c r="AE32" s="190">
        <v>0</v>
      </c>
      <c r="AF32" s="197"/>
      <c r="AG32" s="197"/>
      <c r="AH32" s="197"/>
      <c r="AI32" s="185">
        <f t="shared" si="20"/>
        <v>6</v>
      </c>
      <c r="AJ32" s="185">
        <v>0</v>
      </c>
      <c r="AK32" s="185">
        <v>0</v>
      </c>
      <c r="AL32" s="185">
        <f>AI32+AJ32-AK32</f>
        <v>6</v>
      </c>
      <c r="AM32" s="185">
        <f t="shared" si="22"/>
        <v>2100</v>
      </c>
      <c r="AN32" s="734">
        <f>AM32+AM33</f>
        <v>2100</v>
      </c>
      <c r="AO32" s="735">
        <v>0</v>
      </c>
      <c r="AP32" s="734">
        <f t="shared" ref="AP32" si="32">AN32-AO32</f>
        <v>2100</v>
      </c>
      <c r="AQ32" s="734">
        <v>2400</v>
      </c>
      <c r="AR32" s="734"/>
    </row>
    <row r="33" spans="1:44">
      <c r="A33" s="191"/>
      <c r="B33" s="184"/>
      <c r="C33" s="185">
        <v>50</v>
      </c>
      <c r="D33" s="185">
        <v>0</v>
      </c>
      <c r="E33" s="185">
        <v>0</v>
      </c>
      <c r="F33" s="185">
        <v>0</v>
      </c>
      <c r="G33" s="185">
        <v>0</v>
      </c>
      <c r="H33" s="189"/>
      <c r="I33" s="185">
        <v>0</v>
      </c>
      <c r="J33" s="185">
        <v>0</v>
      </c>
      <c r="K33" s="185">
        <v>0</v>
      </c>
      <c r="L33" s="185">
        <v>0</v>
      </c>
      <c r="M33" s="185">
        <v>0</v>
      </c>
      <c r="N33" s="185">
        <v>0</v>
      </c>
      <c r="O33" s="189"/>
      <c r="P33" s="185">
        <v>0</v>
      </c>
      <c r="Q33" s="185">
        <v>0</v>
      </c>
      <c r="R33" s="185">
        <v>0</v>
      </c>
      <c r="S33" s="185">
        <v>0</v>
      </c>
      <c r="T33" s="185">
        <v>0</v>
      </c>
      <c r="U33" s="185">
        <v>0</v>
      </c>
      <c r="V33" s="189"/>
      <c r="W33" s="185">
        <v>0</v>
      </c>
      <c r="X33" s="185">
        <v>0</v>
      </c>
      <c r="Y33" s="185">
        <v>0</v>
      </c>
      <c r="Z33" s="185">
        <v>0</v>
      </c>
      <c r="AA33" s="185">
        <v>0</v>
      </c>
      <c r="AB33" s="185">
        <v>0</v>
      </c>
      <c r="AC33" s="189"/>
      <c r="AD33" s="185">
        <v>0</v>
      </c>
      <c r="AE33" s="185">
        <v>0</v>
      </c>
      <c r="AF33" s="197"/>
      <c r="AG33" s="197"/>
      <c r="AH33" s="197"/>
      <c r="AI33" s="185">
        <f t="shared" si="20"/>
        <v>0</v>
      </c>
      <c r="AJ33" s="185">
        <v>0</v>
      </c>
      <c r="AK33" s="185">
        <v>0</v>
      </c>
      <c r="AL33" s="185">
        <f t="shared" si="24"/>
        <v>0</v>
      </c>
      <c r="AM33" s="188">
        <f t="shared" si="22"/>
        <v>0</v>
      </c>
      <c r="AN33" s="734"/>
      <c r="AO33" s="735"/>
      <c r="AP33" s="734"/>
      <c r="AQ33" s="734"/>
      <c r="AR33" s="734"/>
    </row>
    <row r="34" spans="1:44">
      <c r="A34" s="741" t="s">
        <v>103</v>
      </c>
      <c r="B34" s="741"/>
      <c r="C34" s="194"/>
      <c r="D34" s="194">
        <f>D20+D22+D24+D26+D28+D30+D32</f>
        <v>4</v>
      </c>
      <c r="E34" s="199">
        <f t="shared" ref="E34:AR34" si="33">E20+E22+E24+E26+E28+E30+E32</f>
        <v>3</v>
      </c>
      <c r="F34" s="199">
        <f t="shared" si="33"/>
        <v>3</v>
      </c>
      <c r="G34" s="199">
        <f t="shared" si="33"/>
        <v>4</v>
      </c>
      <c r="H34" s="199">
        <f t="shared" si="33"/>
        <v>0</v>
      </c>
      <c r="I34" s="199">
        <f t="shared" si="33"/>
        <v>5</v>
      </c>
      <c r="J34" s="199">
        <f t="shared" si="33"/>
        <v>4.5</v>
      </c>
      <c r="K34" s="199">
        <f t="shared" si="33"/>
        <v>5</v>
      </c>
      <c r="L34" s="199">
        <f t="shared" si="33"/>
        <v>3</v>
      </c>
      <c r="M34" s="199">
        <f t="shared" si="33"/>
        <v>4</v>
      </c>
      <c r="N34" s="199">
        <f t="shared" si="33"/>
        <v>3</v>
      </c>
      <c r="O34" s="199">
        <f t="shared" si="33"/>
        <v>0</v>
      </c>
      <c r="P34" s="199">
        <f t="shared" si="33"/>
        <v>4</v>
      </c>
      <c r="Q34" s="199">
        <f t="shared" si="33"/>
        <v>5</v>
      </c>
      <c r="R34" s="199">
        <f t="shared" si="33"/>
        <v>4</v>
      </c>
      <c r="S34" s="199">
        <f t="shared" si="33"/>
        <v>3.5</v>
      </c>
      <c r="T34" s="199">
        <f t="shared" si="33"/>
        <v>4</v>
      </c>
      <c r="U34" s="199">
        <f t="shared" si="33"/>
        <v>4</v>
      </c>
      <c r="V34" s="199">
        <f t="shared" si="33"/>
        <v>0</v>
      </c>
      <c r="W34" s="199">
        <f t="shared" si="33"/>
        <v>4</v>
      </c>
      <c r="X34" s="199">
        <f t="shared" si="33"/>
        <v>4</v>
      </c>
      <c r="Y34" s="199">
        <f t="shared" si="33"/>
        <v>4</v>
      </c>
      <c r="Z34" s="199">
        <f t="shared" si="33"/>
        <v>3</v>
      </c>
      <c r="AA34" s="199">
        <f t="shared" si="33"/>
        <v>4</v>
      </c>
      <c r="AB34" s="199">
        <f t="shared" si="33"/>
        <v>4</v>
      </c>
      <c r="AC34" s="199">
        <f t="shared" si="33"/>
        <v>0</v>
      </c>
      <c r="AD34" s="199">
        <f t="shared" si="33"/>
        <v>4</v>
      </c>
      <c r="AE34" s="199">
        <f t="shared" si="33"/>
        <v>4</v>
      </c>
      <c r="AF34" s="199">
        <f t="shared" si="33"/>
        <v>0</v>
      </c>
      <c r="AG34" s="199">
        <f t="shared" si="33"/>
        <v>0</v>
      </c>
      <c r="AH34" s="199">
        <f t="shared" si="33"/>
        <v>0</v>
      </c>
      <c r="AI34" s="199">
        <f t="shared" si="33"/>
        <v>94</v>
      </c>
      <c r="AJ34" s="199">
        <f t="shared" si="33"/>
        <v>1</v>
      </c>
      <c r="AK34" s="199">
        <f t="shared" si="33"/>
        <v>0</v>
      </c>
      <c r="AL34" s="199">
        <f t="shared" si="33"/>
        <v>95</v>
      </c>
      <c r="AM34" s="199">
        <f>AM20+AM22+AM24+AM26+AM28+AM30+AM32</f>
        <v>37271.428571428572</v>
      </c>
      <c r="AN34" s="199">
        <f t="shared" si="33"/>
        <v>46055.357142857145</v>
      </c>
      <c r="AO34" s="199">
        <f t="shared" si="33"/>
        <v>1701</v>
      </c>
      <c r="AP34" s="199">
        <f t="shared" si="33"/>
        <v>44354.357142857145</v>
      </c>
      <c r="AQ34" s="199">
        <f t="shared" si="33"/>
        <v>45000</v>
      </c>
      <c r="AR34" s="199">
        <f t="shared" si="33"/>
        <v>0</v>
      </c>
    </row>
    <row r="35" spans="1:44">
      <c r="A35" s="742" t="s">
        <v>106</v>
      </c>
      <c r="B35" s="742"/>
      <c r="C35" s="195"/>
      <c r="D35" s="195">
        <f>D21+D23+D25+D27+D29++D31+D33</f>
        <v>0</v>
      </c>
      <c r="E35" s="200">
        <f t="shared" ref="E35:AR35" si="34">E21+E23+E25+E27+E29++E31+E33</f>
        <v>0</v>
      </c>
      <c r="F35" s="200">
        <f t="shared" si="34"/>
        <v>0</v>
      </c>
      <c r="G35" s="200">
        <f t="shared" si="34"/>
        <v>0</v>
      </c>
      <c r="H35" s="200">
        <f t="shared" si="34"/>
        <v>0</v>
      </c>
      <c r="I35" s="200">
        <f t="shared" si="34"/>
        <v>0</v>
      </c>
      <c r="J35" s="200">
        <f t="shared" si="34"/>
        <v>0</v>
      </c>
      <c r="K35" s="200">
        <f t="shared" si="34"/>
        <v>6</v>
      </c>
      <c r="L35" s="200">
        <f t="shared" si="34"/>
        <v>4</v>
      </c>
      <c r="M35" s="200">
        <f t="shared" si="34"/>
        <v>4</v>
      </c>
      <c r="N35" s="200">
        <f t="shared" si="34"/>
        <v>4</v>
      </c>
      <c r="O35" s="200">
        <f t="shared" si="34"/>
        <v>16</v>
      </c>
      <c r="P35" s="200">
        <f t="shared" si="34"/>
        <v>6</v>
      </c>
      <c r="Q35" s="200">
        <f t="shared" si="34"/>
        <v>8</v>
      </c>
      <c r="R35" s="200">
        <f t="shared" si="34"/>
        <v>8</v>
      </c>
      <c r="S35" s="200">
        <f t="shared" si="34"/>
        <v>6</v>
      </c>
      <c r="T35" s="200">
        <f t="shared" si="34"/>
        <v>9</v>
      </c>
      <c r="U35" s="200">
        <f t="shared" si="34"/>
        <v>4</v>
      </c>
      <c r="V35" s="200">
        <f t="shared" si="34"/>
        <v>16</v>
      </c>
      <c r="W35" s="200">
        <f t="shared" si="34"/>
        <v>8</v>
      </c>
      <c r="X35" s="200">
        <f t="shared" si="34"/>
        <v>8</v>
      </c>
      <c r="Y35" s="200">
        <f t="shared" si="34"/>
        <v>6</v>
      </c>
      <c r="Z35" s="200">
        <f t="shared" si="34"/>
        <v>6</v>
      </c>
      <c r="AA35" s="200">
        <f t="shared" si="34"/>
        <v>8</v>
      </c>
      <c r="AB35" s="200">
        <f t="shared" si="34"/>
        <v>8</v>
      </c>
      <c r="AC35" s="200">
        <f t="shared" si="34"/>
        <v>24</v>
      </c>
      <c r="AD35" s="200">
        <f t="shared" si="34"/>
        <v>8</v>
      </c>
      <c r="AE35" s="200">
        <f t="shared" si="34"/>
        <v>8</v>
      </c>
      <c r="AF35" s="200">
        <f t="shared" si="34"/>
        <v>0</v>
      </c>
      <c r="AG35" s="200">
        <f t="shared" si="34"/>
        <v>0</v>
      </c>
      <c r="AH35" s="200">
        <f t="shared" si="34"/>
        <v>0</v>
      </c>
      <c r="AI35" s="200">
        <f t="shared" si="34"/>
        <v>175</v>
      </c>
      <c r="AJ35" s="200">
        <f t="shared" si="34"/>
        <v>0</v>
      </c>
      <c r="AK35" s="200">
        <f t="shared" si="34"/>
        <v>0</v>
      </c>
      <c r="AL35" s="200">
        <f t="shared" si="34"/>
        <v>175</v>
      </c>
      <c r="AM35" s="200">
        <f t="shared" si="34"/>
        <v>8783.9285714285725</v>
      </c>
      <c r="AN35" s="200">
        <f t="shared" si="34"/>
        <v>0</v>
      </c>
      <c r="AO35" s="200">
        <f t="shared" si="34"/>
        <v>0</v>
      </c>
      <c r="AP35" s="200">
        <f t="shared" si="34"/>
        <v>0</v>
      </c>
      <c r="AQ35" s="200">
        <f t="shared" si="34"/>
        <v>0</v>
      </c>
      <c r="AR35" s="200">
        <f t="shared" si="34"/>
        <v>0</v>
      </c>
    </row>
    <row r="37" spans="1:44" ht="23.25">
      <c r="A37" s="744" t="s">
        <v>0</v>
      </c>
      <c r="B37" s="745" t="s">
        <v>1</v>
      </c>
      <c r="C37" s="745"/>
      <c r="D37" s="746" t="s">
        <v>117</v>
      </c>
      <c r="E37" s="746"/>
      <c r="F37" s="746"/>
      <c r="G37" s="746"/>
      <c r="H37" s="746"/>
      <c r="I37" s="746"/>
      <c r="J37" s="746"/>
      <c r="K37" s="746"/>
      <c r="L37" s="746"/>
      <c r="M37" s="746"/>
      <c r="N37" s="746"/>
      <c r="O37" s="746"/>
      <c r="P37" s="746"/>
      <c r="Q37" s="746"/>
      <c r="R37" s="746"/>
      <c r="S37" s="746"/>
      <c r="T37" s="746"/>
      <c r="U37" s="746"/>
      <c r="V37" s="746"/>
      <c r="W37" s="746"/>
      <c r="X37" s="746"/>
      <c r="Y37" s="746"/>
      <c r="Z37" s="746"/>
      <c r="AA37" s="746"/>
      <c r="AB37" s="746"/>
      <c r="AC37" s="746"/>
      <c r="AD37" s="746"/>
      <c r="AE37" s="746"/>
      <c r="AF37" s="746"/>
      <c r="AG37" s="747">
        <v>31</v>
      </c>
      <c r="AH37" s="747"/>
      <c r="AI37" s="743" t="s">
        <v>107</v>
      </c>
      <c r="AJ37" s="743" t="s">
        <v>45</v>
      </c>
      <c r="AK37" s="743" t="s">
        <v>108</v>
      </c>
      <c r="AL37" s="743" t="s">
        <v>112</v>
      </c>
      <c r="AM37" s="744" t="s">
        <v>7</v>
      </c>
      <c r="AN37" s="744"/>
      <c r="AO37" s="743" t="s">
        <v>93</v>
      </c>
      <c r="AP37" s="743" t="s">
        <v>109</v>
      </c>
      <c r="AQ37" s="743" t="s">
        <v>33</v>
      </c>
      <c r="AR37" s="743" t="s">
        <v>111</v>
      </c>
    </row>
    <row r="38" spans="1:44">
      <c r="A38" s="744"/>
      <c r="B38" s="745"/>
      <c r="C38" s="745"/>
      <c r="D38" s="198">
        <v>1</v>
      </c>
      <c r="E38" s="198">
        <v>2</v>
      </c>
      <c r="F38" s="198">
        <v>3</v>
      </c>
      <c r="G38" s="198">
        <v>4</v>
      </c>
      <c r="H38" s="198">
        <v>5</v>
      </c>
      <c r="I38" s="198">
        <v>6</v>
      </c>
      <c r="J38" s="198">
        <v>7</v>
      </c>
      <c r="K38" s="198">
        <v>8</v>
      </c>
      <c r="L38" s="198">
        <v>9</v>
      </c>
      <c r="M38" s="198">
        <v>10</v>
      </c>
      <c r="N38" s="198">
        <v>11</v>
      </c>
      <c r="O38" s="198">
        <v>12</v>
      </c>
      <c r="P38" s="198">
        <v>13</v>
      </c>
      <c r="Q38" s="198">
        <v>14</v>
      </c>
      <c r="R38" s="198">
        <v>15</v>
      </c>
      <c r="S38" s="198">
        <v>16</v>
      </c>
      <c r="T38" s="198">
        <v>17</v>
      </c>
      <c r="U38" s="198">
        <v>18</v>
      </c>
      <c r="V38" s="198">
        <v>19</v>
      </c>
      <c r="W38" s="198">
        <v>20</v>
      </c>
      <c r="X38" s="198">
        <v>21</v>
      </c>
      <c r="Y38" s="198">
        <v>22</v>
      </c>
      <c r="Z38" s="198">
        <v>23</v>
      </c>
      <c r="AA38" s="198">
        <v>24</v>
      </c>
      <c r="AB38" s="198">
        <v>25</v>
      </c>
      <c r="AC38" s="198">
        <v>26</v>
      </c>
      <c r="AD38" s="198">
        <v>27</v>
      </c>
      <c r="AE38" s="198">
        <v>28</v>
      </c>
      <c r="AF38" s="198">
        <v>29</v>
      </c>
      <c r="AG38" s="198">
        <v>30</v>
      </c>
      <c r="AH38" s="198">
        <v>31</v>
      </c>
      <c r="AI38" s="743"/>
      <c r="AJ38" s="743"/>
      <c r="AK38" s="743"/>
      <c r="AL38" s="743"/>
      <c r="AM38" s="744"/>
      <c r="AN38" s="744"/>
      <c r="AO38" s="743"/>
      <c r="AP38" s="743"/>
      <c r="AQ38" s="743"/>
      <c r="AR38" s="743"/>
    </row>
    <row r="39" spans="1:44">
      <c r="A39" s="188">
        <v>1</v>
      </c>
      <c r="B39" s="184" t="s">
        <v>118</v>
      </c>
      <c r="C39" s="184">
        <f>B40/AG37</f>
        <v>451.61290322580646</v>
      </c>
      <c r="D39" s="190">
        <v>0</v>
      </c>
      <c r="E39" s="185">
        <v>1</v>
      </c>
      <c r="F39" s="185">
        <v>1</v>
      </c>
      <c r="G39" s="185">
        <v>1</v>
      </c>
      <c r="H39" s="198"/>
      <c r="I39" s="185">
        <v>1</v>
      </c>
      <c r="J39" s="185">
        <v>1</v>
      </c>
      <c r="K39" s="185">
        <v>1</v>
      </c>
      <c r="L39" s="185">
        <v>1</v>
      </c>
      <c r="M39" s="185">
        <v>1</v>
      </c>
      <c r="N39" s="185">
        <v>1</v>
      </c>
      <c r="O39" s="198"/>
      <c r="P39" s="185">
        <v>1</v>
      </c>
      <c r="Q39" s="185">
        <v>1</v>
      </c>
      <c r="R39" s="185">
        <v>1</v>
      </c>
      <c r="S39" s="185">
        <v>1</v>
      </c>
      <c r="T39" s="185">
        <v>1</v>
      </c>
      <c r="U39" s="185">
        <v>1</v>
      </c>
      <c r="V39" s="198"/>
      <c r="W39" s="185">
        <v>1</v>
      </c>
      <c r="X39" s="190">
        <v>0</v>
      </c>
      <c r="Y39" s="185">
        <v>1</v>
      </c>
      <c r="Z39" s="185">
        <v>1</v>
      </c>
      <c r="AA39" s="185">
        <v>1</v>
      </c>
      <c r="AB39" s="185">
        <v>1</v>
      </c>
      <c r="AC39" s="198"/>
      <c r="AD39" s="185">
        <v>1</v>
      </c>
      <c r="AE39" s="185">
        <v>1</v>
      </c>
      <c r="AF39" s="185">
        <v>1</v>
      </c>
      <c r="AG39" s="185">
        <v>1</v>
      </c>
      <c r="AH39" s="185">
        <v>1</v>
      </c>
      <c r="AI39" s="185">
        <f>SUM(D39:AH39)</f>
        <v>25</v>
      </c>
      <c r="AJ39" s="185">
        <v>4</v>
      </c>
      <c r="AK39" s="185">
        <v>0</v>
      </c>
      <c r="AL39" s="185">
        <f>AI39+AJ39-AK39</f>
        <v>29</v>
      </c>
      <c r="AM39" s="185">
        <f>AL39*C39</f>
        <v>13096.774193548388</v>
      </c>
      <c r="AN39" s="734">
        <f>AM39+AM40</f>
        <v>13638.709677419356</v>
      </c>
      <c r="AO39" s="735">
        <v>0</v>
      </c>
      <c r="AP39" s="734">
        <f>AN39-AO39</f>
        <v>13638.709677419356</v>
      </c>
      <c r="AQ39" s="734">
        <v>13650</v>
      </c>
      <c r="AR39" s="734"/>
    </row>
    <row r="40" spans="1:44">
      <c r="A40" s="188">
        <f>C39/10</f>
        <v>45.161290322580648</v>
      </c>
      <c r="B40" s="184">
        <v>14000</v>
      </c>
      <c r="C40" s="188">
        <f>A40*1.5</f>
        <v>67.741935483870975</v>
      </c>
      <c r="D40" s="185">
        <v>0</v>
      </c>
      <c r="E40" s="185">
        <v>0</v>
      </c>
      <c r="F40" s="185">
        <v>0</v>
      </c>
      <c r="G40" s="185">
        <v>0</v>
      </c>
      <c r="H40" s="198"/>
      <c r="I40" s="185">
        <v>0</v>
      </c>
      <c r="J40" s="185">
        <v>0</v>
      </c>
      <c r="K40" s="185">
        <v>0</v>
      </c>
      <c r="L40" s="185">
        <v>0</v>
      </c>
      <c r="M40" s="185">
        <v>0</v>
      </c>
      <c r="N40" s="185">
        <v>0</v>
      </c>
      <c r="O40" s="198"/>
      <c r="P40" s="185">
        <v>0</v>
      </c>
      <c r="Q40" s="185">
        <v>0</v>
      </c>
      <c r="R40" s="185">
        <v>0</v>
      </c>
      <c r="S40" s="185">
        <v>0</v>
      </c>
      <c r="T40" s="185">
        <v>0</v>
      </c>
      <c r="U40" s="185">
        <v>0</v>
      </c>
      <c r="V40" s="193">
        <v>8</v>
      </c>
      <c r="W40" s="185">
        <v>0</v>
      </c>
      <c r="X40" s="185">
        <v>0</v>
      </c>
      <c r="Y40" s="185">
        <v>0</v>
      </c>
      <c r="Z40" s="185">
        <v>0</v>
      </c>
      <c r="AA40" s="185">
        <v>0</v>
      </c>
      <c r="AB40" s="185">
        <v>0</v>
      </c>
      <c r="AC40" s="198"/>
      <c r="AD40" s="185">
        <v>0</v>
      </c>
      <c r="AE40" s="185">
        <v>0</v>
      </c>
      <c r="AF40" s="185">
        <v>0</v>
      </c>
      <c r="AG40" s="185">
        <v>0</v>
      </c>
      <c r="AH40" s="185">
        <v>0</v>
      </c>
      <c r="AI40" s="185">
        <f t="shared" ref="AI40" si="35">SUM(D40:AH40)</f>
        <v>8</v>
      </c>
      <c r="AJ40" s="185">
        <v>0</v>
      </c>
      <c r="AK40" s="185">
        <v>0</v>
      </c>
      <c r="AL40" s="185">
        <f t="shared" ref="AL40" si="36">AI40+AJ40-AK40</f>
        <v>8</v>
      </c>
      <c r="AM40" s="188">
        <f>AL40*C40</f>
        <v>541.9354838709678</v>
      </c>
      <c r="AN40" s="734"/>
      <c r="AO40" s="735"/>
      <c r="AP40" s="734"/>
      <c r="AQ40" s="734"/>
      <c r="AR40" s="734"/>
    </row>
    <row r="41" spans="1:44">
      <c r="A41" s="188">
        <v>2</v>
      </c>
      <c r="B41" s="184" t="s">
        <v>104</v>
      </c>
      <c r="C41" s="184">
        <v>400</v>
      </c>
      <c r="D41" s="190">
        <v>0</v>
      </c>
      <c r="E41" s="185">
        <v>1</v>
      </c>
      <c r="F41" s="185">
        <v>1</v>
      </c>
      <c r="G41" s="185">
        <v>1</v>
      </c>
      <c r="H41" s="198"/>
      <c r="I41" s="190">
        <v>0</v>
      </c>
      <c r="J41" s="185">
        <v>1</v>
      </c>
      <c r="K41" s="185">
        <v>1</v>
      </c>
      <c r="L41" s="185">
        <v>1</v>
      </c>
      <c r="M41" s="185">
        <v>1</v>
      </c>
      <c r="N41" s="185">
        <v>1</v>
      </c>
      <c r="O41" s="198"/>
      <c r="P41" s="185">
        <v>1</v>
      </c>
      <c r="Q41" s="185">
        <v>1</v>
      </c>
      <c r="R41" s="185">
        <v>1</v>
      </c>
      <c r="S41" s="185">
        <v>1</v>
      </c>
      <c r="T41" s="185">
        <v>1</v>
      </c>
      <c r="U41" s="185">
        <v>1</v>
      </c>
      <c r="V41" s="198">
        <v>0</v>
      </c>
      <c r="W41" s="190">
        <v>0</v>
      </c>
      <c r="X41" s="185">
        <v>1</v>
      </c>
      <c r="Y41" s="185">
        <v>1</v>
      </c>
      <c r="Z41" s="185">
        <v>1</v>
      </c>
      <c r="AA41" s="185">
        <v>1</v>
      </c>
      <c r="AB41" s="185">
        <v>1</v>
      </c>
      <c r="AC41" s="198"/>
      <c r="AD41" s="185">
        <v>1</v>
      </c>
      <c r="AE41" s="185">
        <v>1</v>
      </c>
      <c r="AF41" s="190">
        <v>0</v>
      </c>
      <c r="AG41" s="185">
        <v>1</v>
      </c>
      <c r="AH41" s="185">
        <v>1</v>
      </c>
      <c r="AI41" s="185">
        <f>SUM(D41:AH41)</f>
        <v>23</v>
      </c>
      <c r="AJ41" s="185">
        <v>4</v>
      </c>
      <c r="AK41" s="185">
        <v>0</v>
      </c>
      <c r="AL41" s="185">
        <f>AI41+AJ41-AK41</f>
        <v>27</v>
      </c>
      <c r="AM41" s="185">
        <f t="shared" ref="AM41:AM52" si="37">AL41*C41</f>
        <v>10800</v>
      </c>
      <c r="AN41" s="734">
        <f>AM41+AM42</f>
        <v>14000</v>
      </c>
      <c r="AO41" s="735">
        <v>0</v>
      </c>
      <c r="AP41" s="734">
        <f t="shared" ref="AP41" si="38">AN41-AO41</f>
        <v>14000</v>
      </c>
      <c r="AQ41" s="734">
        <v>14000</v>
      </c>
      <c r="AR41" s="734"/>
    </row>
    <row r="42" spans="1:44">
      <c r="A42" s="188">
        <f>C41/10</f>
        <v>40</v>
      </c>
      <c r="B42" s="184">
        <v>15000</v>
      </c>
      <c r="C42" s="188">
        <v>50</v>
      </c>
      <c r="D42" s="185">
        <v>0</v>
      </c>
      <c r="E42" s="193">
        <v>2</v>
      </c>
      <c r="F42" s="193">
        <v>2</v>
      </c>
      <c r="G42" s="193">
        <v>1</v>
      </c>
      <c r="H42" s="198"/>
      <c r="I42" s="193">
        <v>0</v>
      </c>
      <c r="J42" s="193">
        <v>2</v>
      </c>
      <c r="K42" s="193">
        <v>0</v>
      </c>
      <c r="L42" s="193">
        <v>2</v>
      </c>
      <c r="M42" s="193">
        <v>2</v>
      </c>
      <c r="N42" s="193">
        <v>2</v>
      </c>
      <c r="O42" s="193">
        <v>8</v>
      </c>
      <c r="P42" s="193">
        <v>2</v>
      </c>
      <c r="Q42" s="193">
        <v>0</v>
      </c>
      <c r="R42" s="193">
        <v>2</v>
      </c>
      <c r="S42" s="193">
        <v>2</v>
      </c>
      <c r="T42" s="193">
        <v>2</v>
      </c>
      <c r="U42" s="193">
        <v>2</v>
      </c>
      <c r="V42" s="193">
        <v>8</v>
      </c>
      <c r="W42" s="193">
        <v>0</v>
      </c>
      <c r="X42" s="193">
        <v>2</v>
      </c>
      <c r="Y42" s="193">
        <v>2</v>
      </c>
      <c r="Z42" s="193">
        <v>2</v>
      </c>
      <c r="AA42" s="193">
        <v>2</v>
      </c>
      <c r="AB42" s="193">
        <v>2</v>
      </c>
      <c r="AC42" s="193">
        <v>8</v>
      </c>
      <c r="AD42" s="193">
        <v>1</v>
      </c>
      <c r="AE42" s="193">
        <v>2</v>
      </c>
      <c r="AF42" s="193">
        <v>0</v>
      </c>
      <c r="AG42" s="193">
        <v>2</v>
      </c>
      <c r="AH42" s="193">
        <v>2</v>
      </c>
      <c r="AI42" s="185">
        <f>SUM(D42:AH42)</f>
        <v>64</v>
      </c>
      <c r="AJ42" s="185">
        <v>0</v>
      </c>
      <c r="AK42" s="185">
        <v>0</v>
      </c>
      <c r="AL42" s="185">
        <f t="shared" ref="AL42" si="39">AI42+AJ42-AK42</f>
        <v>64</v>
      </c>
      <c r="AM42" s="188">
        <f t="shared" si="37"/>
        <v>3200</v>
      </c>
      <c r="AN42" s="734"/>
      <c r="AO42" s="735"/>
      <c r="AP42" s="734"/>
      <c r="AQ42" s="734"/>
      <c r="AR42" s="734"/>
    </row>
    <row r="43" spans="1:44">
      <c r="A43" s="188">
        <v>3</v>
      </c>
      <c r="B43" s="184" t="s">
        <v>102</v>
      </c>
      <c r="C43" s="184">
        <v>400</v>
      </c>
      <c r="D43" s="185">
        <v>1</v>
      </c>
      <c r="E43" s="185">
        <v>1</v>
      </c>
      <c r="F43" s="190">
        <v>0</v>
      </c>
      <c r="G43" s="185">
        <v>1</v>
      </c>
      <c r="H43" s="198"/>
      <c r="I43" s="185">
        <v>1</v>
      </c>
      <c r="J43" s="190">
        <v>0</v>
      </c>
      <c r="K43" s="185">
        <v>1</v>
      </c>
      <c r="L43" s="185">
        <v>1</v>
      </c>
      <c r="M43" s="185">
        <v>1</v>
      </c>
      <c r="N43" s="185">
        <v>1</v>
      </c>
      <c r="O43" s="198"/>
      <c r="P43" s="190">
        <v>0</v>
      </c>
      <c r="Q43" s="185">
        <v>1</v>
      </c>
      <c r="R43" s="185">
        <v>1</v>
      </c>
      <c r="S43" s="185">
        <v>1</v>
      </c>
      <c r="T43" s="185">
        <v>1</v>
      </c>
      <c r="U43" s="185">
        <v>1</v>
      </c>
      <c r="V43" s="198"/>
      <c r="W43" s="185">
        <v>1</v>
      </c>
      <c r="X43" s="185">
        <v>1</v>
      </c>
      <c r="Y43" s="185">
        <v>1</v>
      </c>
      <c r="Z43" s="190">
        <v>0</v>
      </c>
      <c r="AA43" s="185">
        <v>1</v>
      </c>
      <c r="AB43" s="185">
        <v>1</v>
      </c>
      <c r="AC43" s="198"/>
      <c r="AD43" s="185">
        <v>1</v>
      </c>
      <c r="AE43" s="185">
        <v>1</v>
      </c>
      <c r="AF43" s="185">
        <v>1</v>
      </c>
      <c r="AG43" s="190">
        <v>0</v>
      </c>
      <c r="AH43" s="185">
        <v>1</v>
      </c>
      <c r="AI43" s="185">
        <f t="shared" ref="AI43:AI52" si="40">SUM(D43:AH43)</f>
        <v>22</v>
      </c>
      <c r="AJ43" s="185">
        <v>0</v>
      </c>
      <c r="AK43" s="185">
        <v>0</v>
      </c>
      <c r="AL43" s="185">
        <f>AI43+AJ43-AK43</f>
        <v>22</v>
      </c>
      <c r="AM43" s="185">
        <f t="shared" si="37"/>
        <v>8800</v>
      </c>
      <c r="AN43" s="734">
        <f>AM43+AM44</f>
        <v>12150</v>
      </c>
      <c r="AO43" s="735">
        <v>0</v>
      </c>
      <c r="AP43" s="734">
        <f t="shared" ref="AP43" si="41">AN43-AO43</f>
        <v>12150</v>
      </c>
      <c r="AQ43" s="734">
        <v>12150</v>
      </c>
      <c r="AR43" s="734"/>
    </row>
    <row r="44" spans="1:44">
      <c r="A44" s="191"/>
      <c r="B44" s="184"/>
      <c r="C44" s="185">
        <v>50</v>
      </c>
      <c r="D44" s="193">
        <v>2</v>
      </c>
      <c r="E44" s="193">
        <v>2</v>
      </c>
      <c r="F44" s="193">
        <v>0</v>
      </c>
      <c r="G44" s="193">
        <v>1</v>
      </c>
      <c r="H44" s="198"/>
      <c r="I44" s="193">
        <v>2</v>
      </c>
      <c r="J44" s="193">
        <v>0</v>
      </c>
      <c r="K44" s="193">
        <v>2</v>
      </c>
      <c r="L44" s="193">
        <v>2</v>
      </c>
      <c r="M44" s="193">
        <v>2</v>
      </c>
      <c r="N44" s="193">
        <v>2</v>
      </c>
      <c r="O44" s="193">
        <v>8</v>
      </c>
      <c r="P44" s="193">
        <v>0</v>
      </c>
      <c r="Q44" s="193">
        <v>2</v>
      </c>
      <c r="R44" s="193">
        <v>2</v>
      </c>
      <c r="S44" s="193">
        <v>2</v>
      </c>
      <c r="T44" s="193">
        <v>2</v>
      </c>
      <c r="U44" s="193">
        <v>2</v>
      </c>
      <c r="V44" s="193">
        <v>8</v>
      </c>
      <c r="W44" s="193">
        <v>2</v>
      </c>
      <c r="X44" s="193">
        <v>2</v>
      </c>
      <c r="Y44" s="193">
        <v>2</v>
      </c>
      <c r="Z44" s="193">
        <v>0</v>
      </c>
      <c r="AA44" s="193">
        <v>2</v>
      </c>
      <c r="AB44" s="193">
        <v>2</v>
      </c>
      <c r="AC44" s="193">
        <v>8</v>
      </c>
      <c r="AD44" s="193">
        <v>2</v>
      </c>
      <c r="AE44" s="193">
        <v>2</v>
      </c>
      <c r="AF44" s="193">
        <v>2</v>
      </c>
      <c r="AG44" s="193">
        <v>0</v>
      </c>
      <c r="AH44" s="193">
        <v>2</v>
      </c>
      <c r="AI44" s="185">
        <f t="shared" si="40"/>
        <v>67</v>
      </c>
      <c r="AJ44" s="185">
        <v>0</v>
      </c>
      <c r="AK44" s="185">
        <v>0</v>
      </c>
      <c r="AL44" s="185">
        <f t="shared" ref="AL44" si="42">AI44+AJ44-AK44</f>
        <v>67</v>
      </c>
      <c r="AM44" s="188">
        <f t="shared" si="37"/>
        <v>3350</v>
      </c>
      <c r="AN44" s="734"/>
      <c r="AO44" s="735"/>
      <c r="AP44" s="734"/>
      <c r="AQ44" s="734"/>
      <c r="AR44" s="734"/>
    </row>
    <row r="45" spans="1:44">
      <c r="A45" s="188">
        <v>4</v>
      </c>
      <c r="B45" s="184" t="s">
        <v>99</v>
      </c>
      <c r="C45" s="185">
        <v>400</v>
      </c>
      <c r="D45" s="185">
        <v>1</v>
      </c>
      <c r="E45" s="185">
        <v>1</v>
      </c>
      <c r="F45" s="185">
        <v>1</v>
      </c>
      <c r="G45" s="185">
        <v>1</v>
      </c>
      <c r="H45" s="198"/>
      <c r="I45" s="185">
        <v>1</v>
      </c>
      <c r="J45" s="185">
        <v>1</v>
      </c>
      <c r="K45" s="185">
        <v>1</v>
      </c>
      <c r="L45" s="185">
        <v>1</v>
      </c>
      <c r="M45" s="185">
        <v>1</v>
      </c>
      <c r="N45" s="185">
        <v>1</v>
      </c>
      <c r="O45" s="198"/>
      <c r="P45" s="185">
        <v>1</v>
      </c>
      <c r="Q45" s="185">
        <v>1</v>
      </c>
      <c r="R45" s="185">
        <v>1</v>
      </c>
      <c r="S45" s="185">
        <v>1</v>
      </c>
      <c r="T45" s="185">
        <v>1</v>
      </c>
      <c r="U45" s="185">
        <v>1</v>
      </c>
      <c r="V45" s="198"/>
      <c r="W45" s="185">
        <v>1</v>
      </c>
      <c r="X45" s="185">
        <v>1</v>
      </c>
      <c r="Y45" s="185">
        <v>1</v>
      </c>
      <c r="Z45" s="185">
        <v>1</v>
      </c>
      <c r="AA45" s="190">
        <v>0</v>
      </c>
      <c r="AB45" s="185">
        <v>1</v>
      </c>
      <c r="AC45" s="198"/>
      <c r="AD45" s="185">
        <v>1</v>
      </c>
      <c r="AE45" s="185">
        <v>1</v>
      </c>
      <c r="AF45" s="185">
        <v>1</v>
      </c>
      <c r="AG45" s="185">
        <v>1</v>
      </c>
      <c r="AH45" s="185">
        <v>1</v>
      </c>
      <c r="AI45" s="185">
        <f t="shared" si="40"/>
        <v>26</v>
      </c>
      <c r="AJ45" s="185">
        <v>0</v>
      </c>
      <c r="AK45" s="185">
        <v>0</v>
      </c>
      <c r="AL45" s="185">
        <f>AI45+AJ45-AK45</f>
        <v>26</v>
      </c>
      <c r="AM45" s="185">
        <f t="shared" si="37"/>
        <v>10400</v>
      </c>
      <c r="AN45" s="734">
        <f>AM45+AM46</f>
        <v>13850</v>
      </c>
      <c r="AO45" s="735">
        <v>0</v>
      </c>
      <c r="AP45" s="734">
        <f t="shared" ref="AP45" si="43">AN45-AO45</f>
        <v>13850</v>
      </c>
      <c r="AQ45" s="734">
        <v>14000</v>
      </c>
      <c r="AR45" s="734"/>
    </row>
    <row r="46" spans="1:44">
      <c r="A46" s="191"/>
      <c r="B46" s="184"/>
      <c r="C46" s="185">
        <v>50</v>
      </c>
      <c r="D46" s="193">
        <v>2</v>
      </c>
      <c r="E46" s="193">
        <v>2</v>
      </c>
      <c r="F46" s="193">
        <v>2</v>
      </c>
      <c r="G46" s="193">
        <v>1</v>
      </c>
      <c r="H46" s="198"/>
      <c r="I46" s="193">
        <v>2</v>
      </c>
      <c r="J46" s="193">
        <v>2</v>
      </c>
      <c r="K46" s="193">
        <v>2</v>
      </c>
      <c r="L46" s="193">
        <v>2</v>
      </c>
      <c r="M46" s="193">
        <v>2</v>
      </c>
      <c r="N46" s="193">
        <v>2</v>
      </c>
      <c r="O46" s="193">
        <v>8</v>
      </c>
      <c r="P46" s="193">
        <v>2</v>
      </c>
      <c r="Q46" s="193">
        <v>2</v>
      </c>
      <c r="R46" s="193">
        <v>2</v>
      </c>
      <c r="S46" s="193">
        <v>2</v>
      </c>
      <c r="T46" s="193">
        <v>2</v>
      </c>
      <c r="U46" s="193">
        <v>2</v>
      </c>
      <c r="V46" s="193">
        <v>8</v>
      </c>
      <c r="W46" s="193">
        <v>0</v>
      </c>
      <c r="X46" s="193">
        <v>2</v>
      </c>
      <c r="Y46" s="193">
        <v>2</v>
      </c>
      <c r="Z46" s="193">
        <v>2</v>
      </c>
      <c r="AA46" s="193">
        <v>0</v>
      </c>
      <c r="AB46" s="193">
        <v>2</v>
      </c>
      <c r="AC46" s="193">
        <v>8</v>
      </c>
      <c r="AD46" s="193">
        <v>2</v>
      </c>
      <c r="AE46" s="193">
        <v>0</v>
      </c>
      <c r="AF46" s="193">
        <v>0</v>
      </c>
      <c r="AG46" s="193">
        <v>2</v>
      </c>
      <c r="AH46" s="193">
        <v>2</v>
      </c>
      <c r="AI46" s="185">
        <f t="shared" si="40"/>
        <v>69</v>
      </c>
      <c r="AJ46" s="185">
        <v>0</v>
      </c>
      <c r="AK46" s="185">
        <v>0</v>
      </c>
      <c r="AL46" s="185">
        <f t="shared" ref="AL46" si="44">AI46+AJ46-AK46</f>
        <v>69</v>
      </c>
      <c r="AM46" s="188">
        <f t="shared" si="37"/>
        <v>3450</v>
      </c>
      <c r="AN46" s="734"/>
      <c r="AO46" s="735"/>
      <c r="AP46" s="734"/>
      <c r="AQ46" s="734"/>
      <c r="AR46" s="734"/>
    </row>
    <row r="47" spans="1:44">
      <c r="A47" s="188">
        <v>5</v>
      </c>
      <c r="B47" s="184" t="s">
        <v>114</v>
      </c>
      <c r="C47" s="185">
        <v>400</v>
      </c>
      <c r="D47" s="190">
        <v>0</v>
      </c>
      <c r="E47" s="185">
        <v>1</v>
      </c>
      <c r="F47" s="185">
        <v>1</v>
      </c>
      <c r="G47" s="190">
        <v>0</v>
      </c>
      <c r="H47" s="198"/>
      <c r="I47" s="185">
        <v>1</v>
      </c>
      <c r="J47" s="185">
        <v>1</v>
      </c>
      <c r="K47" s="185">
        <v>1</v>
      </c>
      <c r="L47" s="185">
        <v>1</v>
      </c>
      <c r="M47" s="185">
        <v>1</v>
      </c>
      <c r="N47" s="190">
        <v>0</v>
      </c>
      <c r="O47" s="198"/>
      <c r="P47" s="185">
        <v>1</v>
      </c>
      <c r="Q47" s="185">
        <v>1</v>
      </c>
      <c r="R47" s="185">
        <v>1</v>
      </c>
      <c r="S47" s="185">
        <v>1</v>
      </c>
      <c r="T47" s="185">
        <v>1</v>
      </c>
      <c r="U47" s="185">
        <v>1</v>
      </c>
      <c r="V47" s="198"/>
      <c r="W47" s="185">
        <v>1</v>
      </c>
      <c r="X47" s="185">
        <v>1</v>
      </c>
      <c r="Y47" s="185">
        <v>1</v>
      </c>
      <c r="Z47" s="185">
        <v>1</v>
      </c>
      <c r="AA47" s="190">
        <v>0</v>
      </c>
      <c r="AB47" s="185">
        <v>1</v>
      </c>
      <c r="AC47" s="198"/>
      <c r="AD47" s="185">
        <v>1</v>
      </c>
      <c r="AE47" s="185">
        <v>1</v>
      </c>
      <c r="AF47" s="185">
        <v>1</v>
      </c>
      <c r="AG47" s="185">
        <v>1</v>
      </c>
      <c r="AH47" s="185">
        <v>1</v>
      </c>
      <c r="AI47" s="185">
        <f t="shared" si="40"/>
        <v>23</v>
      </c>
      <c r="AJ47" s="185">
        <v>0</v>
      </c>
      <c r="AK47" s="185">
        <v>0</v>
      </c>
      <c r="AL47" s="185">
        <f>AI47+AJ47-AK47</f>
        <v>23</v>
      </c>
      <c r="AM47" s="185">
        <f t="shared" si="37"/>
        <v>9200</v>
      </c>
      <c r="AN47" s="734">
        <f>AM47+AM48</f>
        <v>12200</v>
      </c>
      <c r="AO47" s="735">
        <v>0</v>
      </c>
      <c r="AP47" s="734">
        <f t="shared" ref="AP47" si="45">AN47-AO47</f>
        <v>12200</v>
      </c>
      <c r="AQ47" s="734">
        <v>12200</v>
      </c>
      <c r="AR47" s="734"/>
    </row>
    <row r="48" spans="1:44">
      <c r="A48" s="191"/>
      <c r="B48" s="184"/>
      <c r="C48" s="185">
        <v>50</v>
      </c>
      <c r="D48" s="185">
        <v>0</v>
      </c>
      <c r="E48" s="193">
        <v>2</v>
      </c>
      <c r="F48" s="193">
        <v>2</v>
      </c>
      <c r="G48" s="193">
        <v>0</v>
      </c>
      <c r="H48" s="198"/>
      <c r="I48" s="193">
        <v>2</v>
      </c>
      <c r="J48" s="193">
        <v>2</v>
      </c>
      <c r="K48" s="193">
        <v>2</v>
      </c>
      <c r="L48" s="193">
        <v>2</v>
      </c>
      <c r="M48" s="193">
        <v>0</v>
      </c>
      <c r="N48" s="193">
        <v>0</v>
      </c>
      <c r="O48" s="193">
        <v>8</v>
      </c>
      <c r="P48" s="193">
        <v>2</v>
      </c>
      <c r="Q48" s="193">
        <v>2</v>
      </c>
      <c r="R48" s="193">
        <v>2</v>
      </c>
      <c r="S48" s="193">
        <v>2</v>
      </c>
      <c r="T48" s="193">
        <v>2</v>
      </c>
      <c r="U48" s="193">
        <v>2</v>
      </c>
      <c r="V48" s="193">
        <v>8</v>
      </c>
      <c r="W48" s="193">
        <v>2</v>
      </c>
      <c r="X48" s="193">
        <v>2</v>
      </c>
      <c r="Y48" s="193">
        <v>2</v>
      </c>
      <c r="Z48" s="193">
        <v>2</v>
      </c>
      <c r="AA48" s="193">
        <v>0</v>
      </c>
      <c r="AB48" s="193">
        <v>2</v>
      </c>
      <c r="AC48" s="198"/>
      <c r="AD48" s="193">
        <v>2</v>
      </c>
      <c r="AE48" s="193">
        <v>2</v>
      </c>
      <c r="AF48" s="193">
        <v>2</v>
      </c>
      <c r="AG48" s="193">
        <v>2</v>
      </c>
      <c r="AH48" s="193">
        <v>2</v>
      </c>
      <c r="AI48" s="185">
        <f t="shared" si="40"/>
        <v>60</v>
      </c>
      <c r="AJ48" s="185">
        <v>0</v>
      </c>
      <c r="AK48" s="185">
        <v>0</v>
      </c>
      <c r="AL48" s="185">
        <f t="shared" ref="AL48" si="46">AI48+AJ48-AK48</f>
        <v>60</v>
      </c>
      <c r="AM48" s="188">
        <f t="shared" si="37"/>
        <v>3000</v>
      </c>
      <c r="AN48" s="734"/>
      <c r="AO48" s="735"/>
      <c r="AP48" s="734"/>
      <c r="AQ48" s="734"/>
      <c r="AR48" s="734"/>
    </row>
    <row r="49" spans="1:44">
      <c r="A49" s="188">
        <v>6</v>
      </c>
      <c r="B49" s="184" t="s">
        <v>119</v>
      </c>
      <c r="C49" s="185">
        <v>400</v>
      </c>
      <c r="D49" s="185">
        <v>1</v>
      </c>
      <c r="E49" s="185">
        <v>1</v>
      </c>
      <c r="F49" s="185">
        <v>1</v>
      </c>
      <c r="G49" s="190">
        <v>0</v>
      </c>
      <c r="H49" s="198"/>
      <c r="I49" s="185">
        <v>1</v>
      </c>
      <c r="J49" s="190">
        <v>0</v>
      </c>
      <c r="K49" s="190">
        <v>0</v>
      </c>
      <c r="L49" s="190">
        <v>0</v>
      </c>
      <c r="M49" s="185">
        <v>1</v>
      </c>
      <c r="N49" s="185">
        <v>1</v>
      </c>
      <c r="O49" s="198"/>
      <c r="P49" s="185">
        <v>1</v>
      </c>
      <c r="Q49" s="185">
        <v>1</v>
      </c>
      <c r="R49" s="190">
        <v>0</v>
      </c>
      <c r="S49" s="203">
        <v>1</v>
      </c>
      <c r="T49" s="190">
        <v>0</v>
      </c>
      <c r="U49" s="190">
        <v>0</v>
      </c>
      <c r="V49" s="198"/>
      <c r="W49" s="190">
        <v>0</v>
      </c>
      <c r="X49" s="190">
        <v>0</v>
      </c>
      <c r="Y49" s="190">
        <v>0</v>
      </c>
      <c r="Z49" s="192">
        <v>1</v>
      </c>
      <c r="AA49" s="190">
        <v>0</v>
      </c>
      <c r="AB49" s="190">
        <v>0</v>
      </c>
      <c r="AC49" s="198"/>
      <c r="AD49" s="190">
        <v>0</v>
      </c>
      <c r="AE49" s="190">
        <v>0</v>
      </c>
      <c r="AF49" s="190">
        <v>0</v>
      </c>
      <c r="AG49" s="190">
        <v>0</v>
      </c>
      <c r="AH49" s="190">
        <v>0</v>
      </c>
      <c r="AI49" s="185">
        <f t="shared" si="40"/>
        <v>10</v>
      </c>
      <c r="AJ49" s="185">
        <v>0</v>
      </c>
      <c r="AK49" s="185">
        <v>0</v>
      </c>
      <c r="AL49" s="185">
        <f>AI49+AJ49-AK49</f>
        <v>10</v>
      </c>
      <c r="AM49" s="185">
        <f t="shared" si="37"/>
        <v>4000</v>
      </c>
      <c r="AN49" s="734">
        <f>AM49+AM50</f>
        <v>5100</v>
      </c>
      <c r="AO49" s="735">
        <v>0</v>
      </c>
      <c r="AP49" s="734">
        <f t="shared" ref="AP49" si="47">AN49-AO49</f>
        <v>5100</v>
      </c>
      <c r="AQ49" s="734">
        <v>4000</v>
      </c>
      <c r="AR49" s="734"/>
    </row>
    <row r="50" spans="1:44">
      <c r="A50" s="191"/>
      <c r="B50" s="184"/>
      <c r="C50" s="185">
        <v>50</v>
      </c>
      <c r="D50" s="193">
        <v>2</v>
      </c>
      <c r="E50" s="193">
        <v>2</v>
      </c>
      <c r="F50" s="193">
        <v>2</v>
      </c>
      <c r="G50" s="193">
        <v>0</v>
      </c>
      <c r="H50" s="198"/>
      <c r="I50" s="193">
        <v>0</v>
      </c>
      <c r="J50" s="193">
        <v>0</v>
      </c>
      <c r="K50" s="193">
        <v>0</v>
      </c>
      <c r="L50" s="193">
        <v>0</v>
      </c>
      <c r="M50" s="193">
        <v>2</v>
      </c>
      <c r="N50" s="193">
        <v>2</v>
      </c>
      <c r="O50" s="193">
        <v>8</v>
      </c>
      <c r="P50" s="193">
        <v>2</v>
      </c>
      <c r="Q50" s="193">
        <v>2</v>
      </c>
      <c r="R50" s="193">
        <v>0</v>
      </c>
      <c r="S50" s="193">
        <v>0</v>
      </c>
      <c r="T50" s="193">
        <v>0</v>
      </c>
      <c r="U50" s="193">
        <v>0</v>
      </c>
      <c r="V50" s="198"/>
      <c r="W50" s="193">
        <v>0</v>
      </c>
      <c r="X50" s="193">
        <v>0</v>
      </c>
      <c r="Y50" s="193">
        <v>0</v>
      </c>
      <c r="Z50" s="193">
        <v>0</v>
      </c>
      <c r="AA50" s="193">
        <v>0</v>
      </c>
      <c r="AB50" s="193">
        <v>0</v>
      </c>
      <c r="AC50" s="198"/>
      <c r="AD50" s="193">
        <v>0</v>
      </c>
      <c r="AE50" s="193">
        <v>0</v>
      </c>
      <c r="AF50" s="193">
        <v>0</v>
      </c>
      <c r="AG50" s="193">
        <v>0</v>
      </c>
      <c r="AH50" s="193">
        <v>0</v>
      </c>
      <c r="AI50" s="185">
        <f t="shared" si="40"/>
        <v>22</v>
      </c>
      <c r="AJ50" s="185">
        <v>0</v>
      </c>
      <c r="AK50" s="185">
        <v>0</v>
      </c>
      <c r="AL50" s="185">
        <f t="shared" ref="AL50" si="48">AI50+AJ50-AK50</f>
        <v>22</v>
      </c>
      <c r="AM50" s="188">
        <f t="shared" si="37"/>
        <v>1100</v>
      </c>
      <c r="AN50" s="734"/>
      <c r="AO50" s="735"/>
      <c r="AP50" s="734"/>
      <c r="AQ50" s="734"/>
      <c r="AR50" s="734"/>
    </row>
    <row r="51" spans="1:44">
      <c r="A51" s="188">
        <v>7</v>
      </c>
      <c r="B51" s="184" t="s">
        <v>120</v>
      </c>
      <c r="C51" s="184">
        <f>B52/AG37</f>
        <v>483.87096774193549</v>
      </c>
      <c r="D51" s="190">
        <v>0</v>
      </c>
      <c r="E51" s="190">
        <v>0</v>
      </c>
      <c r="F51" s="190">
        <v>0</v>
      </c>
      <c r="G51" s="190">
        <v>0</v>
      </c>
      <c r="H51" s="198"/>
      <c r="I51" s="190">
        <v>0</v>
      </c>
      <c r="J51" s="190">
        <v>0</v>
      </c>
      <c r="K51" s="190">
        <v>0</v>
      </c>
      <c r="L51" s="190">
        <v>0</v>
      </c>
      <c r="M51" s="190">
        <v>0</v>
      </c>
      <c r="N51" s="190">
        <v>0</v>
      </c>
      <c r="O51" s="198"/>
      <c r="P51" s="190">
        <v>0</v>
      </c>
      <c r="Q51" s="190">
        <v>0</v>
      </c>
      <c r="R51" s="190">
        <v>0</v>
      </c>
      <c r="S51" s="190">
        <v>0</v>
      </c>
      <c r="T51" s="190">
        <v>0</v>
      </c>
      <c r="U51" s="190">
        <v>0</v>
      </c>
      <c r="V51" s="198"/>
      <c r="W51" s="192">
        <v>0.5</v>
      </c>
      <c r="X51" s="192">
        <v>1</v>
      </c>
      <c r="Y51" s="192">
        <v>1</v>
      </c>
      <c r="Z51" s="192">
        <v>1</v>
      </c>
      <c r="AA51" s="192">
        <v>1</v>
      </c>
      <c r="AB51" s="192">
        <v>1</v>
      </c>
      <c r="AC51" s="198"/>
      <c r="AD51" s="192">
        <v>1</v>
      </c>
      <c r="AE51" s="192">
        <v>1</v>
      </c>
      <c r="AF51" s="190">
        <v>0</v>
      </c>
      <c r="AG51" s="192">
        <v>1</v>
      </c>
      <c r="AH51" s="192">
        <v>1</v>
      </c>
      <c r="AI51" s="185">
        <f t="shared" si="40"/>
        <v>9.5</v>
      </c>
      <c r="AJ51" s="185">
        <v>1</v>
      </c>
      <c r="AK51" s="185">
        <v>0</v>
      </c>
      <c r="AL51" s="185">
        <f>AI51+AJ51-AK51</f>
        <v>10.5</v>
      </c>
      <c r="AM51" s="185">
        <f t="shared" si="37"/>
        <v>5080.6451612903229</v>
      </c>
      <c r="AN51" s="734">
        <f>AM51+AM52</f>
        <v>5080.6451612903229</v>
      </c>
      <c r="AO51" s="735">
        <v>0</v>
      </c>
      <c r="AP51" s="734">
        <f t="shared" ref="AP51" si="49">AN51-AO51</f>
        <v>5080.6451612903229</v>
      </c>
      <c r="AQ51" s="734">
        <v>5100</v>
      </c>
      <c r="AR51" s="734"/>
    </row>
    <row r="52" spans="1:44">
      <c r="A52" s="188">
        <f>C51/10</f>
        <v>48.387096774193552</v>
      </c>
      <c r="B52" s="184">
        <v>15000</v>
      </c>
      <c r="C52" s="188">
        <f>A52*1.5</f>
        <v>72.580645161290334</v>
      </c>
      <c r="D52" s="185">
        <v>0</v>
      </c>
      <c r="E52" s="185">
        <v>0</v>
      </c>
      <c r="F52" s="185">
        <v>0</v>
      </c>
      <c r="G52" s="185">
        <v>0</v>
      </c>
      <c r="H52" s="198"/>
      <c r="I52" s="185">
        <v>0</v>
      </c>
      <c r="J52" s="185">
        <v>0</v>
      </c>
      <c r="K52" s="185">
        <v>0</v>
      </c>
      <c r="L52" s="185">
        <v>0</v>
      </c>
      <c r="M52" s="185">
        <v>0</v>
      </c>
      <c r="N52" s="185">
        <v>0</v>
      </c>
      <c r="O52" s="198"/>
      <c r="P52" s="185">
        <v>0</v>
      </c>
      <c r="Q52" s="185">
        <v>0</v>
      </c>
      <c r="R52" s="185">
        <v>0</v>
      </c>
      <c r="S52" s="185">
        <v>0</v>
      </c>
      <c r="T52" s="185">
        <v>0</v>
      </c>
      <c r="U52" s="185">
        <v>0</v>
      </c>
      <c r="V52" s="198"/>
      <c r="W52" s="185">
        <v>0</v>
      </c>
      <c r="X52" s="185">
        <v>0</v>
      </c>
      <c r="Y52" s="185">
        <v>0</v>
      </c>
      <c r="Z52" s="185">
        <v>0</v>
      </c>
      <c r="AA52" s="185">
        <v>0</v>
      </c>
      <c r="AB52" s="185">
        <v>0</v>
      </c>
      <c r="AC52" s="198"/>
      <c r="AD52" s="185">
        <v>0</v>
      </c>
      <c r="AE52" s="185">
        <v>0</v>
      </c>
      <c r="AF52" s="185">
        <v>0</v>
      </c>
      <c r="AG52" s="185">
        <v>0</v>
      </c>
      <c r="AH52" s="185">
        <v>0</v>
      </c>
      <c r="AI52" s="185">
        <f t="shared" si="40"/>
        <v>0</v>
      </c>
      <c r="AJ52" s="185">
        <v>0</v>
      </c>
      <c r="AK52" s="185">
        <v>0</v>
      </c>
      <c r="AL52" s="185">
        <f t="shared" ref="AL52" si="50">AI52+AJ52-AK52</f>
        <v>0</v>
      </c>
      <c r="AM52" s="188">
        <f t="shared" si="37"/>
        <v>0</v>
      </c>
      <c r="AN52" s="734"/>
      <c r="AO52" s="735"/>
      <c r="AP52" s="734"/>
      <c r="AQ52" s="734"/>
      <c r="AR52" s="734"/>
    </row>
    <row r="53" spans="1:44">
      <c r="A53" s="741" t="s">
        <v>103</v>
      </c>
      <c r="B53" s="741"/>
      <c r="C53" s="201"/>
      <c r="D53" s="201">
        <f>D39+D41+D43+D45+D47+D49+D51</f>
        <v>3</v>
      </c>
      <c r="E53" s="201">
        <f t="shared" ref="E53:AL53" si="51">E39+E41+E43+E45+E47+E49+E51</f>
        <v>6</v>
      </c>
      <c r="F53" s="201">
        <f t="shared" si="51"/>
        <v>5</v>
      </c>
      <c r="G53" s="201">
        <f t="shared" si="51"/>
        <v>4</v>
      </c>
      <c r="H53" s="201">
        <f t="shared" si="51"/>
        <v>0</v>
      </c>
      <c r="I53" s="201">
        <f t="shared" si="51"/>
        <v>5</v>
      </c>
      <c r="J53" s="201">
        <f t="shared" si="51"/>
        <v>4</v>
      </c>
      <c r="K53" s="201">
        <f t="shared" si="51"/>
        <v>5</v>
      </c>
      <c r="L53" s="201">
        <f t="shared" si="51"/>
        <v>5</v>
      </c>
      <c r="M53" s="201">
        <f t="shared" si="51"/>
        <v>6</v>
      </c>
      <c r="N53" s="201">
        <f t="shared" si="51"/>
        <v>5</v>
      </c>
      <c r="O53" s="201">
        <f t="shared" si="51"/>
        <v>0</v>
      </c>
      <c r="P53" s="201">
        <f t="shared" si="51"/>
        <v>5</v>
      </c>
      <c r="Q53" s="201">
        <f t="shared" si="51"/>
        <v>6</v>
      </c>
      <c r="R53" s="201">
        <f t="shared" si="51"/>
        <v>5</v>
      </c>
      <c r="S53" s="201">
        <f t="shared" si="51"/>
        <v>6</v>
      </c>
      <c r="T53" s="201">
        <f t="shared" si="51"/>
        <v>5</v>
      </c>
      <c r="U53" s="201">
        <f t="shared" si="51"/>
        <v>5</v>
      </c>
      <c r="V53" s="201">
        <f t="shared" si="51"/>
        <v>0</v>
      </c>
      <c r="W53" s="201">
        <f t="shared" si="51"/>
        <v>4.5</v>
      </c>
      <c r="X53" s="201">
        <f t="shared" si="51"/>
        <v>5</v>
      </c>
      <c r="Y53" s="201">
        <f t="shared" si="51"/>
        <v>6</v>
      </c>
      <c r="Z53" s="201">
        <f t="shared" si="51"/>
        <v>6</v>
      </c>
      <c r="AA53" s="201">
        <f t="shared" si="51"/>
        <v>4</v>
      </c>
      <c r="AB53" s="201">
        <f t="shared" si="51"/>
        <v>6</v>
      </c>
      <c r="AC53" s="201">
        <f t="shared" si="51"/>
        <v>0</v>
      </c>
      <c r="AD53" s="201">
        <f t="shared" si="51"/>
        <v>6</v>
      </c>
      <c r="AE53" s="201">
        <f t="shared" si="51"/>
        <v>6</v>
      </c>
      <c r="AF53" s="201">
        <f t="shared" si="51"/>
        <v>4</v>
      </c>
      <c r="AG53" s="201">
        <f t="shared" si="51"/>
        <v>5</v>
      </c>
      <c r="AH53" s="201">
        <f t="shared" si="51"/>
        <v>6</v>
      </c>
      <c r="AI53" s="201">
        <f t="shared" si="51"/>
        <v>138.5</v>
      </c>
      <c r="AJ53" s="201">
        <f t="shared" si="51"/>
        <v>9</v>
      </c>
      <c r="AK53" s="201">
        <f t="shared" si="51"/>
        <v>0</v>
      </c>
      <c r="AL53" s="201">
        <f t="shared" si="51"/>
        <v>147.5</v>
      </c>
      <c r="AM53" s="201">
        <f>AM39+AM41+AM43+AM45+AM47+AM49+AM51</f>
        <v>61377.419354838712</v>
      </c>
      <c r="AN53" s="201">
        <f t="shared" ref="AN53:AR53" si="52">AN39+AN41+AN43+AN45+AN47+AN49+AN51</f>
        <v>76019.354838709682</v>
      </c>
      <c r="AO53" s="201">
        <f t="shared" si="52"/>
        <v>0</v>
      </c>
      <c r="AP53" s="201">
        <f t="shared" si="52"/>
        <v>76019.354838709682</v>
      </c>
      <c r="AQ53" s="201">
        <f t="shared" si="52"/>
        <v>75100</v>
      </c>
      <c r="AR53" s="201">
        <f t="shared" si="52"/>
        <v>0</v>
      </c>
    </row>
    <row r="54" spans="1:44">
      <c r="A54" s="742" t="s">
        <v>106</v>
      </c>
      <c r="B54" s="742"/>
      <c r="C54" s="202"/>
      <c r="D54" s="202">
        <f>D40+D42+D44+D46+D48++D50+D52</f>
        <v>6</v>
      </c>
      <c r="E54" s="202">
        <f t="shared" ref="E54:AR54" si="53">E40+E42+E44+E46+E48++E50+E52</f>
        <v>10</v>
      </c>
      <c r="F54" s="202">
        <f t="shared" si="53"/>
        <v>8</v>
      </c>
      <c r="G54" s="202">
        <f t="shared" si="53"/>
        <v>3</v>
      </c>
      <c r="H54" s="202">
        <f t="shared" si="53"/>
        <v>0</v>
      </c>
      <c r="I54" s="202">
        <f t="shared" si="53"/>
        <v>6</v>
      </c>
      <c r="J54" s="202">
        <f t="shared" si="53"/>
        <v>6</v>
      </c>
      <c r="K54" s="202">
        <f t="shared" si="53"/>
        <v>6</v>
      </c>
      <c r="L54" s="202">
        <f t="shared" si="53"/>
        <v>8</v>
      </c>
      <c r="M54" s="202">
        <f t="shared" si="53"/>
        <v>8</v>
      </c>
      <c r="N54" s="202">
        <f t="shared" si="53"/>
        <v>8</v>
      </c>
      <c r="O54" s="202">
        <f t="shared" si="53"/>
        <v>40</v>
      </c>
      <c r="P54" s="202">
        <f t="shared" si="53"/>
        <v>8</v>
      </c>
      <c r="Q54" s="202">
        <f t="shared" si="53"/>
        <v>8</v>
      </c>
      <c r="R54" s="202">
        <f t="shared" si="53"/>
        <v>8</v>
      </c>
      <c r="S54" s="202">
        <f t="shared" si="53"/>
        <v>8</v>
      </c>
      <c r="T54" s="202">
        <f t="shared" si="53"/>
        <v>8</v>
      </c>
      <c r="U54" s="202">
        <f t="shared" si="53"/>
        <v>8</v>
      </c>
      <c r="V54" s="202">
        <f t="shared" si="53"/>
        <v>40</v>
      </c>
      <c r="W54" s="202">
        <f t="shared" si="53"/>
        <v>4</v>
      </c>
      <c r="X54" s="202">
        <f t="shared" si="53"/>
        <v>8</v>
      </c>
      <c r="Y54" s="202">
        <f t="shared" si="53"/>
        <v>8</v>
      </c>
      <c r="Z54" s="202">
        <f t="shared" si="53"/>
        <v>6</v>
      </c>
      <c r="AA54" s="202">
        <f t="shared" si="53"/>
        <v>4</v>
      </c>
      <c r="AB54" s="202">
        <f t="shared" si="53"/>
        <v>8</v>
      </c>
      <c r="AC54" s="202">
        <f t="shared" si="53"/>
        <v>24</v>
      </c>
      <c r="AD54" s="202">
        <f t="shared" si="53"/>
        <v>7</v>
      </c>
      <c r="AE54" s="202">
        <f t="shared" si="53"/>
        <v>6</v>
      </c>
      <c r="AF54" s="202">
        <f t="shared" si="53"/>
        <v>4</v>
      </c>
      <c r="AG54" s="202">
        <f t="shared" si="53"/>
        <v>6</v>
      </c>
      <c r="AH54" s="202">
        <f t="shared" si="53"/>
        <v>8</v>
      </c>
      <c r="AI54" s="202">
        <f t="shared" si="53"/>
        <v>290</v>
      </c>
      <c r="AJ54" s="202">
        <f t="shared" si="53"/>
        <v>0</v>
      </c>
      <c r="AK54" s="202">
        <f t="shared" si="53"/>
        <v>0</v>
      </c>
      <c r="AL54" s="202">
        <f t="shared" si="53"/>
        <v>290</v>
      </c>
      <c r="AM54" s="202">
        <f t="shared" si="53"/>
        <v>14641.935483870968</v>
      </c>
      <c r="AN54" s="202">
        <f t="shared" si="53"/>
        <v>0</v>
      </c>
      <c r="AO54" s="202">
        <f t="shared" si="53"/>
        <v>0</v>
      </c>
      <c r="AP54" s="202">
        <f t="shared" si="53"/>
        <v>0</v>
      </c>
      <c r="AQ54" s="202">
        <f t="shared" si="53"/>
        <v>0</v>
      </c>
      <c r="AR54" s="202">
        <f t="shared" si="53"/>
        <v>0</v>
      </c>
    </row>
    <row r="57" spans="1:44" ht="23.25">
      <c r="A57" s="744" t="s">
        <v>0</v>
      </c>
      <c r="B57" s="745" t="s">
        <v>1</v>
      </c>
      <c r="C57" s="745"/>
      <c r="D57" s="746" t="s">
        <v>121</v>
      </c>
      <c r="E57" s="746"/>
      <c r="F57" s="746"/>
      <c r="G57" s="746"/>
      <c r="H57" s="746"/>
      <c r="I57" s="746"/>
      <c r="J57" s="746"/>
      <c r="K57" s="746"/>
      <c r="L57" s="746"/>
      <c r="M57" s="746"/>
      <c r="N57" s="746"/>
      <c r="O57" s="746"/>
      <c r="P57" s="746"/>
      <c r="Q57" s="746"/>
      <c r="R57" s="746"/>
      <c r="S57" s="746"/>
      <c r="T57" s="746"/>
      <c r="U57" s="746"/>
      <c r="V57" s="746"/>
      <c r="W57" s="746"/>
      <c r="X57" s="746"/>
      <c r="Y57" s="746"/>
      <c r="Z57" s="746"/>
      <c r="AA57" s="746"/>
      <c r="AB57" s="746"/>
      <c r="AC57" s="746"/>
      <c r="AD57" s="746"/>
      <c r="AE57" s="746"/>
      <c r="AF57" s="746"/>
      <c r="AG57" s="747">
        <v>30</v>
      </c>
      <c r="AH57" s="747"/>
      <c r="AI57" s="743" t="s">
        <v>107</v>
      </c>
      <c r="AJ57" s="743" t="s">
        <v>45</v>
      </c>
      <c r="AK57" s="743" t="s">
        <v>108</v>
      </c>
      <c r="AL57" s="743" t="s">
        <v>112</v>
      </c>
      <c r="AM57" s="744" t="s">
        <v>7</v>
      </c>
      <c r="AN57" s="744"/>
      <c r="AO57" s="743" t="s">
        <v>93</v>
      </c>
      <c r="AP57" s="743" t="s">
        <v>109</v>
      </c>
      <c r="AQ57" s="743" t="s">
        <v>33</v>
      </c>
      <c r="AR57" s="743" t="s">
        <v>111</v>
      </c>
    </row>
    <row r="58" spans="1:44">
      <c r="A58" s="744"/>
      <c r="B58" s="745"/>
      <c r="C58" s="745"/>
      <c r="D58" s="198">
        <v>1</v>
      </c>
      <c r="E58" s="198">
        <v>2</v>
      </c>
      <c r="F58" s="198">
        <v>3</v>
      </c>
      <c r="G58" s="198">
        <v>4</v>
      </c>
      <c r="H58" s="198">
        <v>5</v>
      </c>
      <c r="I58" s="198">
        <v>6</v>
      </c>
      <c r="J58" s="198">
        <v>7</v>
      </c>
      <c r="K58" s="198">
        <v>8</v>
      </c>
      <c r="L58" s="198">
        <v>9</v>
      </c>
      <c r="M58" s="198">
        <v>10</v>
      </c>
      <c r="N58" s="198">
        <v>11</v>
      </c>
      <c r="O58" s="198">
        <v>12</v>
      </c>
      <c r="P58" s="198">
        <v>13</v>
      </c>
      <c r="Q58" s="198">
        <v>14</v>
      </c>
      <c r="R58" s="198">
        <v>15</v>
      </c>
      <c r="S58" s="198">
        <v>16</v>
      </c>
      <c r="T58" s="198">
        <v>17</v>
      </c>
      <c r="U58" s="198">
        <v>18</v>
      </c>
      <c r="V58" s="198">
        <v>19</v>
      </c>
      <c r="W58" s="198">
        <v>20</v>
      </c>
      <c r="X58" s="198">
        <v>21</v>
      </c>
      <c r="Y58" s="198">
        <v>22</v>
      </c>
      <c r="Z58" s="198">
        <v>23</v>
      </c>
      <c r="AA58" s="198">
        <v>24</v>
      </c>
      <c r="AB58" s="198">
        <v>25</v>
      </c>
      <c r="AC58" s="198">
        <v>26</v>
      </c>
      <c r="AD58" s="198">
        <v>27</v>
      </c>
      <c r="AE58" s="198">
        <v>28</v>
      </c>
      <c r="AF58" s="198">
        <v>29</v>
      </c>
      <c r="AG58" s="198">
        <v>30</v>
      </c>
      <c r="AH58" s="198">
        <v>31</v>
      </c>
      <c r="AI58" s="743"/>
      <c r="AJ58" s="743"/>
      <c r="AK58" s="743"/>
      <c r="AL58" s="743"/>
      <c r="AM58" s="744"/>
      <c r="AN58" s="744"/>
      <c r="AO58" s="743"/>
      <c r="AP58" s="743"/>
      <c r="AQ58" s="743"/>
      <c r="AR58" s="743"/>
    </row>
    <row r="59" spans="1:44">
      <c r="A59" s="185">
        <v>1</v>
      </c>
      <c r="B59" s="184" t="s">
        <v>118</v>
      </c>
      <c r="C59" s="184">
        <f>B60/AG57</f>
        <v>466.66666666666669</v>
      </c>
      <c r="D59" s="185">
        <v>1</v>
      </c>
      <c r="E59" s="198"/>
      <c r="F59" s="185">
        <v>1</v>
      </c>
      <c r="G59" s="185">
        <v>1</v>
      </c>
      <c r="H59" s="185">
        <v>1</v>
      </c>
      <c r="I59" s="185">
        <v>1</v>
      </c>
      <c r="J59" s="185">
        <v>1</v>
      </c>
      <c r="K59" s="185">
        <v>1</v>
      </c>
      <c r="L59" s="198"/>
      <c r="M59" s="185">
        <v>1</v>
      </c>
      <c r="N59" s="185">
        <v>1</v>
      </c>
      <c r="O59" s="185">
        <v>1</v>
      </c>
      <c r="P59" s="190">
        <v>0</v>
      </c>
      <c r="Q59" s="197"/>
      <c r="R59" s="185">
        <v>1</v>
      </c>
      <c r="S59" s="198"/>
      <c r="T59" s="185">
        <v>1</v>
      </c>
      <c r="U59" s="190">
        <v>0</v>
      </c>
      <c r="V59" s="190">
        <v>0</v>
      </c>
      <c r="W59" s="190">
        <v>0</v>
      </c>
      <c r="X59" s="190">
        <v>0</v>
      </c>
      <c r="Y59" s="190">
        <v>0</v>
      </c>
      <c r="Z59" s="198"/>
      <c r="AA59" s="190">
        <v>0</v>
      </c>
      <c r="AB59" s="190">
        <v>0</v>
      </c>
      <c r="AC59" s="190">
        <v>0</v>
      </c>
      <c r="AD59" s="190">
        <v>0</v>
      </c>
      <c r="AE59" s="190">
        <v>0</v>
      </c>
      <c r="AF59" s="190">
        <v>0</v>
      </c>
      <c r="AG59" s="198"/>
      <c r="AH59" s="206"/>
      <c r="AI59" s="185">
        <f>SUM(D59:AH59)</f>
        <v>12</v>
      </c>
      <c r="AJ59" s="185">
        <v>4</v>
      </c>
      <c r="AK59" s="185">
        <v>0</v>
      </c>
      <c r="AL59" s="185">
        <f>AI59+AJ59-AK59</f>
        <v>16</v>
      </c>
      <c r="AM59" s="185">
        <f>AL59*C59</f>
        <v>7466.666666666667</v>
      </c>
      <c r="AN59" s="734">
        <f>AM59+AM60</f>
        <v>8026.666666666667</v>
      </c>
      <c r="AO59" s="735">
        <v>0</v>
      </c>
      <c r="AP59" s="734">
        <f t="shared" ref="AP59" si="54">AN59-AO59</f>
        <v>8026.666666666667</v>
      </c>
      <c r="AQ59" s="734">
        <v>8000</v>
      </c>
      <c r="AR59" s="734"/>
    </row>
    <row r="60" spans="1:44">
      <c r="A60" s="185">
        <f>C59/10</f>
        <v>46.666666666666671</v>
      </c>
      <c r="B60" s="184">
        <v>14000</v>
      </c>
      <c r="C60" s="185">
        <f>A60*1.5</f>
        <v>70</v>
      </c>
      <c r="D60" s="185">
        <v>0</v>
      </c>
      <c r="E60" s="198"/>
      <c r="F60" s="185">
        <v>0</v>
      </c>
      <c r="G60" s="185">
        <v>0</v>
      </c>
      <c r="H60" s="185">
        <v>0</v>
      </c>
      <c r="I60" s="185">
        <v>0</v>
      </c>
      <c r="J60" s="185">
        <v>0</v>
      </c>
      <c r="K60" s="185">
        <v>0</v>
      </c>
      <c r="L60" s="193">
        <v>8</v>
      </c>
      <c r="M60" s="185">
        <v>0</v>
      </c>
      <c r="N60" s="185">
        <v>0</v>
      </c>
      <c r="O60" s="185">
        <v>0</v>
      </c>
      <c r="P60" s="185">
        <v>0</v>
      </c>
      <c r="Q60" s="197"/>
      <c r="R60" s="185">
        <v>0</v>
      </c>
      <c r="S60" s="198"/>
      <c r="T60" s="185">
        <v>0</v>
      </c>
      <c r="U60" s="185">
        <v>0</v>
      </c>
      <c r="V60" s="185">
        <v>0</v>
      </c>
      <c r="W60" s="185">
        <v>0</v>
      </c>
      <c r="X60" s="185">
        <v>0</v>
      </c>
      <c r="Y60" s="185">
        <v>0</v>
      </c>
      <c r="Z60" s="198"/>
      <c r="AA60" s="185">
        <v>0</v>
      </c>
      <c r="AB60" s="185">
        <v>0</v>
      </c>
      <c r="AC60" s="185">
        <v>0</v>
      </c>
      <c r="AD60" s="185">
        <v>0</v>
      </c>
      <c r="AE60" s="185">
        <v>0</v>
      </c>
      <c r="AF60" s="185">
        <v>0</v>
      </c>
      <c r="AG60" s="198"/>
      <c r="AH60" s="206"/>
      <c r="AI60" s="185">
        <f t="shared" ref="AI60:AI72" si="55">SUM(D60:AH60)</f>
        <v>8</v>
      </c>
      <c r="AJ60" s="185">
        <v>0</v>
      </c>
      <c r="AK60" s="185">
        <v>0</v>
      </c>
      <c r="AL60" s="185">
        <f t="shared" ref="AL60" si="56">AI60+AJ60-AK60</f>
        <v>8</v>
      </c>
      <c r="AM60" s="185">
        <f>AL60*C60</f>
        <v>560</v>
      </c>
      <c r="AN60" s="734"/>
      <c r="AO60" s="735"/>
      <c r="AP60" s="734"/>
      <c r="AQ60" s="734"/>
      <c r="AR60" s="734"/>
    </row>
    <row r="61" spans="1:44">
      <c r="A61" s="185">
        <v>2</v>
      </c>
      <c r="B61" s="184" t="s">
        <v>120</v>
      </c>
      <c r="C61" s="184">
        <f>B62/AG57</f>
        <v>500</v>
      </c>
      <c r="D61" s="185">
        <v>1</v>
      </c>
      <c r="E61" s="198"/>
      <c r="F61" s="185">
        <v>1</v>
      </c>
      <c r="G61" s="185">
        <v>1</v>
      </c>
      <c r="H61" s="185">
        <v>1</v>
      </c>
      <c r="I61" s="192">
        <v>0.5</v>
      </c>
      <c r="J61" s="190">
        <v>0</v>
      </c>
      <c r="K61" s="190">
        <v>0</v>
      </c>
      <c r="L61" s="198"/>
      <c r="M61" s="190">
        <v>0</v>
      </c>
      <c r="N61" s="185">
        <v>1</v>
      </c>
      <c r="O61" s="185">
        <v>1</v>
      </c>
      <c r="P61" s="185">
        <v>1</v>
      </c>
      <c r="Q61" s="197"/>
      <c r="R61" s="192">
        <v>1</v>
      </c>
      <c r="S61" s="198"/>
      <c r="T61" s="190">
        <v>0</v>
      </c>
      <c r="U61" s="190">
        <v>0</v>
      </c>
      <c r="V61" s="190">
        <v>0</v>
      </c>
      <c r="W61" s="190">
        <v>0</v>
      </c>
      <c r="X61" s="190">
        <v>0</v>
      </c>
      <c r="Y61" s="190">
        <v>0</v>
      </c>
      <c r="Z61" s="198"/>
      <c r="AA61" s="190">
        <v>0</v>
      </c>
      <c r="AB61" s="190">
        <v>0</v>
      </c>
      <c r="AC61" s="190">
        <v>0</v>
      </c>
      <c r="AD61" s="190">
        <v>0</v>
      </c>
      <c r="AE61" s="190">
        <v>0</v>
      </c>
      <c r="AF61" s="190">
        <v>0</v>
      </c>
      <c r="AG61" s="198"/>
      <c r="AH61" s="206"/>
      <c r="AI61" s="185">
        <f>SUM(D61:AH61)</f>
        <v>8.5</v>
      </c>
      <c r="AJ61" s="185">
        <v>3</v>
      </c>
      <c r="AK61" s="185">
        <v>0</v>
      </c>
      <c r="AL61" s="185">
        <f>AI61+AJ61-AK61</f>
        <v>11.5</v>
      </c>
      <c r="AM61" s="185">
        <f>AL61*C61</f>
        <v>5750</v>
      </c>
      <c r="AN61" s="734">
        <f>AM61+AM62</f>
        <v>5750</v>
      </c>
      <c r="AO61" s="735">
        <v>0</v>
      </c>
      <c r="AP61" s="734">
        <f t="shared" ref="AP61:AP63" si="57">AN61-AO61</f>
        <v>5750</v>
      </c>
      <c r="AQ61" s="734">
        <v>5000</v>
      </c>
      <c r="AR61" s="734"/>
    </row>
    <row r="62" spans="1:44">
      <c r="A62" s="185">
        <f>C61/10</f>
        <v>50</v>
      </c>
      <c r="B62" s="184">
        <v>15000</v>
      </c>
      <c r="C62" s="185">
        <f>A62*1.5</f>
        <v>75</v>
      </c>
      <c r="D62" s="185">
        <v>0</v>
      </c>
      <c r="E62" s="198"/>
      <c r="F62" s="185">
        <v>0</v>
      </c>
      <c r="G62" s="185">
        <v>0</v>
      </c>
      <c r="H62" s="185">
        <v>0</v>
      </c>
      <c r="I62" s="185">
        <v>0</v>
      </c>
      <c r="J62" s="185">
        <v>0</v>
      </c>
      <c r="K62" s="185">
        <v>0</v>
      </c>
      <c r="L62" s="198"/>
      <c r="M62" s="185">
        <v>0</v>
      </c>
      <c r="N62" s="185">
        <v>0</v>
      </c>
      <c r="O62" s="185">
        <v>0</v>
      </c>
      <c r="P62" s="185">
        <v>0</v>
      </c>
      <c r="Q62" s="197"/>
      <c r="R62" s="185">
        <v>0</v>
      </c>
      <c r="S62" s="198"/>
      <c r="T62" s="185">
        <v>0</v>
      </c>
      <c r="U62" s="185">
        <v>0</v>
      </c>
      <c r="V62" s="185">
        <v>0</v>
      </c>
      <c r="W62" s="185">
        <v>0</v>
      </c>
      <c r="X62" s="185">
        <v>0</v>
      </c>
      <c r="Y62" s="185">
        <v>0</v>
      </c>
      <c r="Z62" s="198"/>
      <c r="AA62" s="185">
        <v>0</v>
      </c>
      <c r="AB62" s="185">
        <v>0</v>
      </c>
      <c r="AC62" s="185">
        <v>0</v>
      </c>
      <c r="AD62" s="185">
        <v>0</v>
      </c>
      <c r="AE62" s="185">
        <v>0</v>
      </c>
      <c r="AF62" s="185">
        <v>0</v>
      </c>
      <c r="AG62" s="198"/>
      <c r="AH62" s="206"/>
      <c r="AI62" s="185">
        <f>SUM(D62:AH62)</f>
        <v>0</v>
      </c>
      <c r="AJ62" s="185">
        <v>0</v>
      </c>
      <c r="AK62" s="185">
        <v>0</v>
      </c>
      <c r="AL62" s="185">
        <f t="shared" ref="AL62" si="58">AI62+AJ62-AK62</f>
        <v>0</v>
      </c>
      <c r="AM62" s="185">
        <f>AL62*C62</f>
        <v>0</v>
      </c>
      <c r="AN62" s="734"/>
      <c r="AO62" s="735"/>
      <c r="AP62" s="734"/>
      <c r="AQ62" s="734"/>
      <c r="AR62" s="734"/>
    </row>
    <row r="63" spans="1:44">
      <c r="A63" s="185">
        <v>3</v>
      </c>
      <c r="B63" s="184" t="s">
        <v>104</v>
      </c>
      <c r="C63" s="184">
        <v>400</v>
      </c>
      <c r="D63" s="185">
        <v>1</v>
      </c>
      <c r="E63" s="198"/>
      <c r="F63" s="185">
        <v>1</v>
      </c>
      <c r="G63" s="185">
        <v>1</v>
      </c>
      <c r="H63" s="190">
        <v>0</v>
      </c>
      <c r="I63" s="190">
        <v>0</v>
      </c>
      <c r="J63" s="190">
        <v>0</v>
      </c>
      <c r="K63" s="190">
        <v>0</v>
      </c>
      <c r="L63" s="198"/>
      <c r="M63" s="190">
        <v>0</v>
      </c>
      <c r="N63" s="185">
        <v>1</v>
      </c>
      <c r="O63" s="185">
        <v>1</v>
      </c>
      <c r="P63" s="185">
        <v>1</v>
      </c>
      <c r="Q63" s="197"/>
      <c r="R63" s="185">
        <v>1</v>
      </c>
      <c r="S63" s="197"/>
      <c r="T63" s="185">
        <v>1</v>
      </c>
      <c r="U63" s="185">
        <v>1</v>
      </c>
      <c r="V63" s="185">
        <v>1</v>
      </c>
      <c r="W63" s="185">
        <v>1</v>
      </c>
      <c r="X63" s="185">
        <v>1</v>
      </c>
      <c r="Y63" s="185">
        <v>1</v>
      </c>
      <c r="Z63" s="198"/>
      <c r="AA63" s="185">
        <v>1</v>
      </c>
      <c r="AB63" s="185">
        <v>1</v>
      </c>
      <c r="AC63" s="185">
        <v>1</v>
      </c>
      <c r="AD63" s="185">
        <v>1</v>
      </c>
      <c r="AE63" s="185">
        <v>1</v>
      </c>
      <c r="AF63" s="185">
        <v>1</v>
      </c>
      <c r="AG63" s="198"/>
      <c r="AH63" s="206"/>
      <c r="AI63" s="185">
        <f t="shared" si="55"/>
        <v>19</v>
      </c>
      <c r="AJ63" s="185">
        <v>5</v>
      </c>
      <c r="AK63" s="185">
        <v>0</v>
      </c>
      <c r="AL63" s="185">
        <f>AI63+AJ63-AK63</f>
        <v>24</v>
      </c>
      <c r="AM63" s="185">
        <f t="shared" ref="AM63:AM72" si="59">AL63*C63</f>
        <v>9600</v>
      </c>
      <c r="AN63" s="734">
        <f>AM63+AM64</f>
        <v>12900</v>
      </c>
      <c r="AO63" s="735">
        <v>0</v>
      </c>
      <c r="AP63" s="734">
        <f t="shared" si="57"/>
        <v>12900</v>
      </c>
      <c r="AQ63" s="734">
        <v>13000</v>
      </c>
      <c r="AR63" s="734"/>
    </row>
    <row r="64" spans="1:44">
      <c r="A64" s="185">
        <f>C63/10</f>
        <v>40</v>
      </c>
      <c r="B64" s="184">
        <v>15000</v>
      </c>
      <c r="C64" s="185">
        <v>50</v>
      </c>
      <c r="D64" s="193">
        <v>2</v>
      </c>
      <c r="E64" s="198"/>
      <c r="F64" s="193">
        <v>2</v>
      </c>
      <c r="G64" s="193">
        <v>2</v>
      </c>
      <c r="H64" s="193">
        <v>0</v>
      </c>
      <c r="I64" s="193">
        <v>0</v>
      </c>
      <c r="J64" s="193">
        <v>0</v>
      </c>
      <c r="K64" s="193">
        <v>0</v>
      </c>
      <c r="L64" s="198"/>
      <c r="M64" s="193">
        <v>0</v>
      </c>
      <c r="N64" s="193">
        <v>2</v>
      </c>
      <c r="O64" s="193">
        <v>2</v>
      </c>
      <c r="P64" s="193">
        <v>2</v>
      </c>
      <c r="Q64" s="193">
        <v>8</v>
      </c>
      <c r="R64" s="193">
        <v>2</v>
      </c>
      <c r="S64" s="193">
        <v>8</v>
      </c>
      <c r="T64" s="193">
        <v>2</v>
      </c>
      <c r="U64" s="193">
        <v>2</v>
      </c>
      <c r="V64" s="193">
        <v>0</v>
      </c>
      <c r="W64" s="193">
        <v>2</v>
      </c>
      <c r="X64" s="193">
        <v>2</v>
      </c>
      <c r="Y64" s="193">
        <v>2</v>
      </c>
      <c r="Z64" s="193">
        <v>8</v>
      </c>
      <c r="AA64" s="193">
        <v>2</v>
      </c>
      <c r="AB64" s="193">
        <v>2</v>
      </c>
      <c r="AC64" s="193">
        <v>2</v>
      </c>
      <c r="AD64" s="193">
        <v>2</v>
      </c>
      <c r="AE64" s="193">
        <v>0</v>
      </c>
      <c r="AF64" s="193">
        <v>2</v>
      </c>
      <c r="AG64" s="193">
        <v>8</v>
      </c>
      <c r="AH64" s="206"/>
      <c r="AI64" s="185">
        <f t="shared" si="55"/>
        <v>66</v>
      </c>
      <c r="AJ64" s="185">
        <v>0</v>
      </c>
      <c r="AK64" s="185">
        <v>0</v>
      </c>
      <c r="AL64" s="185">
        <f t="shared" ref="AL64" si="60">AI64+AJ64-AK64</f>
        <v>66</v>
      </c>
      <c r="AM64" s="185">
        <f t="shared" si="59"/>
        <v>3300</v>
      </c>
      <c r="AN64" s="734"/>
      <c r="AO64" s="735"/>
      <c r="AP64" s="734"/>
      <c r="AQ64" s="734"/>
      <c r="AR64" s="734"/>
    </row>
    <row r="65" spans="1:44">
      <c r="A65" s="185">
        <v>4</v>
      </c>
      <c r="B65" s="184" t="s">
        <v>102</v>
      </c>
      <c r="C65" s="184">
        <v>400</v>
      </c>
      <c r="D65" s="185">
        <v>1</v>
      </c>
      <c r="E65" s="198"/>
      <c r="F65" s="185">
        <v>1</v>
      </c>
      <c r="G65" s="185">
        <v>1</v>
      </c>
      <c r="H65" s="185">
        <v>1</v>
      </c>
      <c r="I65" s="185">
        <v>1</v>
      </c>
      <c r="J65" s="185">
        <v>1</v>
      </c>
      <c r="K65" s="185">
        <v>1</v>
      </c>
      <c r="L65" s="198"/>
      <c r="M65" s="185">
        <v>1</v>
      </c>
      <c r="N65" s="190">
        <v>0</v>
      </c>
      <c r="O65" s="185">
        <v>1</v>
      </c>
      <c r="P65" s="185">
        <v>1</v>
      </c>
      <c r="Q65" s="197"/>
      <c r="R65" s="185">
        <v>1</v>
      </c>
      <c r="S65" s="198"/>
      <c r="T65" s="185">
        <v>1</v>
      </c>
      <c r="U65" s="185">
        <v>1</v>
      </c>
      <c r="V65" s="185">
        <v>1</v>
      </c>
      <c r="W65" s="185">
        <v>1</v>
      </c>
      <c r="X65" s="190">
        <v>0</v>
      </c>
      <c r="Y65" s="185">
        <v>1</v>
      </c>
      <c r="Z65" s="198"/>
      <c r="AA65" s="185">
        <v>1</v>
      </c>
      <c r="AB65" s="185">
        <v>1</v>
      </c>
      <c r="AC65" s="185">
        <v>1</v>
      </c>
      <c r="AD65" s="185">
        <v>1</v>
      </c>
      <c r="AE65" s="185">
        <v>1</v>
      </c>
      <c r="AF65" s="185">
        <v>1</v>
      </c>
      <c r="AG65" s="198"/>
      <c r="AH65" s="206"/>
      <c r="AI65" s="185">
        <f t="shared" si="55"/>
        <v>22</v>
      </c>
      <c r="AJ65" s="185">
        <v>0</v>
      </c>
      <c r="AK65" s="185">
        <v>0</v>
      </c>
      <c r="AL65" s="185">
        <f>AI65+AJ65-AK65</f>
        <v>22</v>
      </c>
      <c r="AM65" s="185">
        <f t="shared" si="59"/>
        <v>8800</v>
      </c>
      <c r="AN65" s="734">
        <f>AM65+AM66</f>
        <v>12550</v>
      </c>
      <c r="AO65" s="735">
        <v>0</v>
      </c>
      <c r="AP65" s="734">
        <f t="shared" ref="AP65" si="61">AN65-AO65</f>
        <v>12550</v>
      </c>
      <c r="AQ65" s="734">
        <v>12500</v>
      </c>
      <c r="AR65" s="734"/>
    </row>
    <row r="66" spans="1:44">
      <c r="A66" s="184"/>
      <c r="B66" s="184"/>
      <c r="C66" s="185">
        <v>50</v>
      </c>
      <c r="D66" s="193">
        <v>2</v>
      </c>
      <c r="E66" s="198"/>
      <c r="F66" s="193">
        <v>2</v>
      </c>
      <c r="G66" s="193">
        <v>2</v>
      </c>
      <c r="H66" s="193">
        <v>2</v>
      </c>
      <c r="I66" s="193">
        <v>2</v>
      </c>
      <c r="J66" s="193">
        <v>2</v>
      </c>
      <c r="K66" s="193">
        <v>2</v>
      </c>
      <c r="L66" s="193">
        <v>8</v>
      </c>
      <c r="M66" s="193">
        <v>2</v>
      </c>
      <c r="N66" s="193">
        <v>0</v>
      </c>
      <c r="O66" s="193">
        <v>1</v>
      </c>
      <c r="P66" s="193">
        <v>2</v>
      </c>
      <c r="Q66" s="193">
        <v>8</v>
      </c>
      <c r="R66" s="193">
        <v>2</v>
      </c>
      <c r="S66" s="198"/>
      <c r="T66" s="193">
        <v>2</v>
      </c>
      <c r="U66" s="193">
        <v>2</v>
      </c>
      <c r="V66" s="193">
        <v>2</v>
      </c>
      <c r="W66" s="193">
        <v>2</v>
      </c>
      <c r="X66" s="193">
        <v>0</v>
      </c>
      <c r="Y66" s="193">
        <v>2</v>
      </c>
      <c r="Z66" s="193">
        <v>8</v>
      </c>
      <c r="AA66" s="193">
        <v>2</v>
      </c>
      <c r="AB66" s="193">
        <v>2</v>
      </c>
      <c r="AC66" s="193">
        <v>2</v>
      </c>
      <c r="AD66" s="193">
        <v>2</v>
      </c>
      <c r="AE66" s="193">
        <v>2</v>
      </c>
      <c r="AF66" s="193">
        <v>2</v>
      </c>
      <c r="AG66" s="193">
        <v>8</v>
      </c>
      <c r="AH66" s="206"/>
      <c r="AI66" s="185">
        <f t="shared" si="55"/>
        <v>75</v>
      </c>
      <c r="AJ66" s="185">
        <v>0</v>
      </c>
      <c r="AK66" s="185">
        <v>0</v>
      </c>
      <c r="AL66" s="185">
        <f t="shared" ref="AL66" si="62">AI66+AJ66-AK66</f>
        <v>75</v>
      </c>
      <c r="AM66" s="185">
        <f t="shared" si="59"/>
        <v>3750</v>
      </c>
      <c r="AN66" s="734"/>
      <c r="AO66" s="735"/>
      <c r="AP66" s="734"/>
      <c r="AQ66" s="734"/>
      <c r="AR66" s="734"/>
    </row>
    <row r="67" spans="1:44">
      <c r="A67" s="185">
        <v>5</v>
      </c>
      <c r="B67" s="184" t="s">
        <v>99</v>
      </c>
      <c r="C67" s="185">
        <v>400</v>
      </c>
      <c r="D67" s="185">
        <v>1</v>
      </c>
      <c r="E67" s="198"/>
      <c r="F67" s="185">
        <v>1</v>
      </c>
      <c r="G67" s="185">
        <v>1</v>
      </c>
      <c r="H67" s="185">
        <v>1</v>
      </c>
      <c r="I67" s="185">
        <v>1</v>
      </c>
      <c r="J67" s="185">
        <v>1</v>
      </c>
      <c r="K67" s="185">
        <v>1</v>
      </c>
      <c r="L67" s="198"/>
      <c r="M67" s="185">
        <v>1</v>
      </c>
      <c r="N67" s="185">
        <v>1</v>
      </c>
      <c r="O67" s="185">
        <v>1</v>
      </c>
      <c r="P67" s="185">
        <v>1</v>
      </c>
      <c r="Q67" s="197"/>
      <c r="R67" s="190">
        <v>0</v>
      </c>
      <c r="S67" s="197"/>
      <c r="T67" s="185">
        <v>1</v>
      </c>
      <c r="U67" s="185">
        <v>1</v>
      </c>
      <c r="V67" s="185">
        <v>1</v>
      </c>
      <c r="W67" s="185">
        <v>1</v>
      </c>
      <c r="X67" s="185">
        <v>1</v>
      </c>
      <c r="Y67" s="185">
        <v>1</v>
      </c>
      <c r="Z67" s="198"/>
      <c r="AA67" s="185">
        <v>1</v>
      </c>
      <c r="AB67" s="185">
        <v>1</v>
      </c>
      <c r="AC67" s="185">
        <v>1</v>
      </c>
      <c r="AD67" s="185">
        <v>1</v>
      </c>
      <c r="AE67" s="185">
        <v>1</v>
      </c>
      <c r="AF67" s="185">
        <v>1</v>
      </c>
      <c r="AG67" s="198"/>
      <c r="AH67" s="206"/>
      <c r="AI67" s="185">
        <f t="shared" si="55"/>
        <v>23</v>
      </c>
      <c r="AJ67" s="185">
        <v>0</v>
      </c>
      <c r="AK67" s="185">
        <v>0</v>
      </c>
      <c r="AL67" s="185">
        <f>AI67+AJ67-AK67</f>
        <v>23</v>
      </c>
      <c r="AM67" s="185">
        <f t="shared" si="59"/>
        <v>9200</v>
      </c>
      <c r="AN67" s="734">
        <f>AM67+AM68</f>
        <v>13500</v>
      </c>
      <c r="AO67" s="735">
        <v>0</v>
      </c>
      <c r="AP67" s="734">
        <f t="shared" ref="AP67" si="63">AN67-AO67</f>
        <v>13500</v>
      </c>
      <c r="AQ67" s="734">
        <v>13500</v>
      </c>
      <c r="AR67" s="734"/>
    </row>
    <row r="68" spans="1:44">
      <c r="A68" s="184"/>
      <c r="B68" s="184"/>
      <c r="C68" s="185">
        <v>50</v>
      </c>
      <c r="D68" s="193">
        <v>2</v>
      </c>
      <c r="E68" s="198"/>
      <c r="F68" s="193">
        <v>2</v>
      </c>
      <c r="G68" s="193">
        <v>2</v>
      </c>
      <c r="H68" s="193">
        <v>2</v>
      </c>
      <c r="I68" s="193">
        <v>2</v>
      </c>
      <c r="J68" s="193">
        <v>2</v>
      </c>
      <c r="K68" s="193">
        <v>2</v>
      </c>
      <c r="L68" s="193">
        <v>8</v>
      </c>
      <c r="M68" s="193">
        <v>2</v>
      </c>
      <c r="N68" s="193">
        <v>2</v>
      </c>
      <c r="O68" s="193">
        <v>2</v>
      </c>
      <c r="P68" s="193">
        <v>2</v>
      </c>
      <c r="Q68" s="193">
        <v>8</v>
      </c>
      <c r="R68" s="193">
        <v>0</v>
      </c>
      <c r="S68" s="193">
        <v>8</v>
      </c>
      <c r="T68" s="193">
        <v>2</v>
      </c>
      <c r="U68" s="193">
        <v>2</v>
      </c>
      <c r="V68" s="193">
        <v>2</v>
      </c>
      <c r="W68" s="193">
        <v>2</v>
      </c>
      <c r="X68" s="193">
        <v>2</v>
      </c>
      <c r="Y68" s="193">
        <v>2</v>
      </c>
      <c r="Z68" s="193">
        <v>8</v>
      </c>
      <c r="AA68" s="193">
        <v>2</v>
      </c>
      <c r="AB68" s="193">
        <v>2</v>
      </c>
      <c r="AC68" s="193">
        <v>2</v>
      </c>
      <c r="AD68" s="193">
        <v>2</v>
      </c>
      <c r="AE68" s="193">
        <v>2</v>
      </c>
      <c r="AF68" s="193">
        <v>2</v>
      </c>
      <c r="AG68" s="193">
        <v>8</v>
      </c>
      <c r="AH68" s="206"/>
      <c r="AI68" s="185">
        <f t="shared" si="55"/>
        <v>86</v>
      </c>
      <c r="AJ68" s="185">
        <v>0</v>
      </c>
      <c r="AK68" s="185">
        <v>0</v>
      </c>
      <c r="AL68" s="185">
        <f t="shared" ref="AL68" si="64">AI68+AJ68-AK68</f>
        <v>86</v>
      </c>
      <c r="AM68" s="185">
        <f t="shared" si="59"/>
        <v>4300</v>
      </c>
      <c r="AN68" s="734"/>
      <c r="AO68" s="735"/>
      <c r="AP68" s="734"/>
      <c r="AQ68" s="734"/>
      <c r="AR68" s="734"/>
    </row>
    <row r="69" spans="1:44">
      <c r="A69" s="185">
        <v>6</v>
      </c>
      <c r="B69" s="184" t="s">
        <v>114</v>
      </c>
      <c r="C69" s="185">
        <v>400</v>
      </c>
      <c r="D69" s="190">
        <v>0</v>
      </c>
      <c r="E69" s="198"/>
      <c r="F69" s="185">
        <v>1</v>
      </c>
      <c r="G69" s="185">
        <v>1</v>
      </c>
      <c r="H69" s="185">
        <v>1</v>
      </c>
      <c r="I69" s="185">
        <v>1</v>
      </c>
      <c r="J69" s="185">
        <v>1</v>
      </c>
      <c r="K69" s="185">
        <v>1</v>
      </c>
      <c r="L69" s="198"/>
      <c r="M69" s="185">
        <v>1</v>
      </c>
      <c r="N69" s="185">
        <v>1</v>
      </c>
      <c r="O69" s="192">
        <v>0.5</v>
      </c>
      <c r="P69" s="190">
        <v>0</v>
      </c>
      <c r="Q69" s="197"/>
      <c r="R69" s="185">
        <v>1</v>
      </c>
      <c r="S69" s="197"/>
      <c r="T69" s="190">
        <v>0</v>
      </c>
      <c r="U69" s="190">
        <v>0</v>
      </c>
      <c r="V69" s="185">
        <v>1</v>
      </c>
      <c r="W69" s="185">
        <v>1</v>
      </c>
      <c r="X69" s="185">
        <v>1</v>
      </c>
      <c r="Y69" s="185">
        <v>1</v>
      </c>
      <c r="Z69" s="198"/>
      <c r="AA69" s="185">
        <v>1</v>
      </c>
      <c r="AB69" s="185">
        <v>1</v>
      </c>
      <c r="AC69" s="185">
        <v>1</v>
      </c>
      <c r="AD69" s="185">
        <v>1</v>
      </c>
      <c r="AE69" s="185">
        <v>1</v>
      </c>
      <c r="AF69" s="185">
        <v>1</v>
      </c>
      <c r="AG69" s="198"/>
      <c r="AH69" s="206"/>
      <c r="AI69" s="185">
        <f t="shared" si="55"/>
        <v>19.5</v>
      </c>
      <c r="AJ69" s="185">
        <v>0</v>
      </c>
      <c r="AK69" s="185">
        <v>0</v>
      </c>
      <c r="AL69" s="185">
        <f>AI69+AJ69-AK69</f>
        <v>19.5</v>
      </c>
      <c r="AM69" s="185">
        <f t="shared" si="59"/>
        <v>7800</v>
      </c>
      <c r="AN69" s="734">
        <f>AM69+AM70</f>
        <v>11500</v>
      </c>
      <c r="AO69" s="735">
        <v>0</v>
      </c>
      <c r="AP69" s="734">
        <f t="shared" ref="AP69" si="65">AN69-AO69</f>
        <v>11500</v>
      </c>
      <c r="AQ69" s="734">
        <v>11500</v>
      </c>
      <c r="AR69" s="734"/>
    </row>
    <row r="70" spans="1:44">
      <c r="A70" s="184"/>
      <c r="B70" s="184"/>
      <c r="C70" s="185">
        <v>50</v>
      </c>
      <c r="D70" s="193">
        <v>0</v>
      </c>
      <c r="E70" s="198"/>
      <c r="F70" s="193">
        <v>2</v>
      </c>
      <c r="G70" s="193">
        <v>2</v>
      </c>
      <c r="H70" s="193">
        <v>2</v>
      </c>
      <c r="I70" s="193">
        <v>0</v>
      </c>
      <c r="J70" s="193">
        <v>2</v>
      </c>
      <c r="K70" s="193">
        <v>2</v>
      </c>
      <c r="L70" s="193">
        <v>8</v>
      </c>
      <c r="M70" s="193">
        <v>2</v>
      </c>
      <c r="N70" s="193">
        <v>2</v>
      </c>
      <c r="O70" s="193">
        <v>0</v>
      </c>
      <c r="P70" s="193">
        <v>2</v>
      </c>
      <c r="Q70" s="193">
        <v>8</v>
      </c>
      <c r="R70" s="193">
        <v>2</v>
      </c>
      <c r="S70" s="193">
        <v>8</v>
      </c>
      <c r="T70" s="193">
        <v>0</v>
      </c>
      <c r="U70" s="193">
        <v>0</v>
      </c>
      <c r="V70" s="193">
        <v>2</v>
      </c>
      <c r="W70" s="193">
        <v>2</v>
      </c>
      <c r="X70" s="193">
        <v>2</v>
      </c>
      <c r="Y70" s="193">
        <v>2</v>
      </c>
      <c r="Z70" s="193">
        <v>8</v>
      </c>
      <c r="AA70" s="193">
        <v>2</v>
      </c>
      <c r="AB70" s="193">
        <v>2</v>
      </c>
      <c r="AC70" s="193">
        <v>2</v>
      </c>
      <c r="AD70" s="193">
        <v>2</v>
      </c>
      <c r="AE70" s="193">
        <v>2</v>
      </c>
      <c r="AF70" s="193">
        <v>2</v>
      </c>
      <c r="AG70" s="193">
        <v>4</v>
      </c>
      <c r="AH70" s="206"/>
      <c r="AI70" s="185">
        <f t="shared" si="55"/>
        <v>74</v>
      </c>
      <c r="AJ70" s="185">
        <v>0</v>
      </c>
      <c r="AK70" s="185">
        <v>0</v>
      </c>
      <c r="AL70" s="185">
        <f t="shared" ref="AL70" si="66">AI70+AJ70-AK70</f>
        <v>74</v>
      </c>
      <c r="AM70" s="185">
        <f t="shared" si="59"/>
        <v>3700</v>
      </c>
      <c r="AN70" s="734"/>
      <c r="AO70" s="735"/>
      <c r="AP70" s="734"/>
      <c r="AQ70" s="734"/>
      <c r="AR70" s="734"/>
    </row>
    <row r="71" spans="1:44">
      <c r="A71" s="185"/>
      <c r="B71" s="184"/>
      <c r="C71" s="185"/>
      <c r="D71" s="185"/>
      <c r="E71" s="198"/>
      <c r="F71" s="185"/>
      <c r="G71" s="185"/>
      <c r="H71" s="185"/>
      <c r="I71" s="185"/>
      <c r="J71" s="185"/>
      <c r="K71" s="185"/>
      <c r="L71" s="198"/>
      <c r="M71" s="185"/>
      <c r="N71" s="185"/>
      <c r="O71" s="185"/>
      <c r="P71" s="185"/>
      <c r="Q71" s="197"/>
      <c r="R71" s="185"/>
      <c r="S71" s="198"/>
      <c r="T71" s="185"/>
      <c r="U71" s="185"/>
      <c r="V71" s="185"/>
      <c r="W71" s="185"/>
      <c r="X71" s="185"/>
      <c r="Y71" s="185"/>
      <c r="Z71" s="198"/>
      <c r="AA71" s="185"/>
      <c r="AB71" s="185"/>
      <c r="AC71" s="185"/>
      <c r="AD71" s="185"/>
      <c r="AE71" s="185"/>
      <c r="AF71" s="185"/>
      <c r="AG71" s="198"/>
      <c r="AH71" s="206"/>
      <c r="AI71" s="185">
        <f t="shared" si="55"/>
        <v>0</v>
      </c>
      <c r="AJ71" s="185">
        <v>0</v>
      </c>
      <c r="AK71" s="185">
        <v>0</v>
      </c>
      <c r="AL71" s="185">
        <f>AI71+AJ71-AK71</f>
        <v>0</v>
      </c>
      <c r="AM71" s="185">
        <f t="shared" si="59"/>
        <v>0</v>
      </c>
      <c r="AN71" s="734">
        <f>AM71+AM72</f>
        <v>0</v>
      </c>
      <c r="AO71" s="735">
        <v>0</v>
      </c>
      <c r="AP71" s="734">
        <f t="shared" ref="AP71" si="67">AN71-AO71</f>
        <v>0</v>
      </c>
      <c r="AQ71" s="734">
        <v>0</v>
      </c>
      <c r="AR71" s="734"/>
    </row>
    <row r="72" spans="1:44">
      <c r="A72" s="184"/>
      <c r="B72" s="184"/>
      <c r="C72" s="185"/>
      <c r="D72" s="193"/>
      <c r="E72" s="198"/>
      <c r="F72" s="193"/>
      <c r="G72" s="193"/>
      <c r="H72" s="193"/>
      <c r="I72" s="193"/>
      <c r="J72" s="193"/>
      <c r="K72" s="193"/>
      <c r="L72" s="198"/>
      <c r="M72" s="193"/>
      <c r="N72" s="193"/>
      <c r="O72" s="193"/>
      <c r="P72" s="193"/>
      <c r="Q72" s="197"/>
      <c r="R72" s="193"/>
      <c r="S72" s="198"/>
      <c r="T72" s="193"/>
      <c r="U72" s="193"/>
      <c r="V72" s="193"/>
      <c r="W72" s="193"/>
      <c r="X72" s="193"/>
      <c r="Y72" s="193"/>
      <c r="Z72" s="198"/>
      <c r="AA72" s="193"/>
      <c r="AB72" s="193"/>
      <c r="AC72" s="193"/>
      <c r="AD72" s="193"/>
      <c r="AE72" s="193"/>
      <c r="AF72" s="193"/>
      <c r="AG72" s="198"/>
      <c r="AH72" s="206"/>
      <c r="AI72" s="185">
        <f t="shared" si="55"/>
        <v>0</v>
      </c>
      <c r="AJ72" s="185">
        <v>0</v>
      </c>
      <c r="AK72" s="185">
        <v>0</v>
      </c>
      <c r="AL72" s="185">
        <f t="shared" ref="AL72" si="68">AI72+AJ72-AK72</f>
        <v>0</v>
      </c>
      <c r="AM72" s="185">
        <f t="shared" si="59"/>
        <v>0</v>
      </c>
      <c r="AN72" s="734"/>
      <c r="AO72" s="735"/>
      <c r="AP72" s="734"/>
      <c r="AQ72" s="734"/>
      <c r="AR72" s="734"/>
    </row>
    <row r="73" spans="1:44">
      <c r="A73" s="741" t="s">
        <v>103</v>
      </c>
      <c r="B73" s="741"/>
      <c r="C73" s="204"/>
      <c r="D73" s="204">
        <f t="shared" ref="D73:AR73" si="69">D59+D63+D65+D67+D69+D71+D61</f>
        <v>5</v>
      </c>
      <c r="E73" s="204">
        <f t="shared" si="69"/>
        <v>0</v>
      </c>
      <c r="F73" s="204">
        <f t="shared" si="69"/>
        <v>6</v>
      </c>
      <c r="G73" s="204">
        <f t="shared" si="69"/>
        <v>6</v>
      </c>
      <c r="H73" s="204">
        <f t="shared" si="69"/>
        <v>5</v>
      </c>
      <c r="I73" s="204">
        <f t="shared" si="69"/>
        <v>4.5</v>
      </c>
      <c r="J73" s="204">
        <f t="shared" si="69"/>
        <v>4</v>
      </c>
      <c r="K73" s="204">
        <f t="shared" si="69"/>
        <v>4</v>
      </c>
      <c r="L73" s="204">
        <f t="shared" si="69"/>
        <v>0</v>
      </c>
      <c r="M73" s="204">
        <f t="shared" si="69"/>
        <v>4</v>
      </c>
      <c r="N73" s="204">
        <f t="shared" si="69"/>
        <v>5</v>
      </c>
      <c r="O73" s="204">
        <f t="shared" si="69"/>
        <v>5.5</v>
      </c>
      <c r="P73" s="204">
        <f t="shared" si="69"/>
        <v>4</v>
      </c>
      <c r="Q73" s="204">
        <f t="shared" si="69"/>
        <v>0</v>
      </c>
      <c r="R73" s="204">
        <f t="shared" si="69"/>
        <v>5</v>
      </c>
      <c r="S73" s="204">
        <f t="shared" si="69"/>
        <v>0</v>
      </c>
      <c r="T73" s="207">
        <f t="shared" si="69"/>
        <v>4</v>
      </c>
      <c r="U73" s="204">
        <f t="shared" si="69"/>
        <v>3</v>
      </c>
      <c r="V73" s="204">
        <f t="shared" si="69"/>
        <v>4</v>
      </c>
      <c r="W73" s="204">
        <f t="shared" si="69"/>
        <v>4</v>
      </c>
      <c r="X73" s="204">
        <f t="shared" si="69"/>
        <v>3</v>
      </c>
      <c r="Y73" s="204">
        <f t="shared" si="69"/>
        <v>4</v>
      </c>
      <c r="Z73" s="204">
        <f t="shared" si="69"/>
        <v>0</v>
      </c>
      <c r="AA73" s="204">
        <f t="shared" si="69"/>
        <v>4</v>
      </c>
      <c r="AB73" s="204">
        <f t="shared" si="69"/>
        <v>4</v>
      </c>
      <c r="AC73" s="204">
        <f t="shared" si="69"/>
        <v>4</v>
      </c>
      <c r="AD73" s="204">
        <f t="shared" si="69"/>
        <v>4</v>
      </c>
      <c r="AE73" s="204">
        <f t="shared" si="69"/>
        <v>4</v>
      </c>
      <c r="AF73" s="204">
        <f t="shared" si="69"/>
        <v>4</v>
      </c>
      <c r="AG73" s="204">
        <f t="shared" si="69"/>
        <v>0</v>
      </c>
      <c r="AH73" s="204">
        <f t="shared" si="69"/>
        <v>0</v>
      </c>
      <c r="AI73" s="204">
        <f t="shared" si="69"/>
        <v>104</v>
      </c>
      <c r="AJ73" s="204">
        <f t="shared" si="69"/>
        <v>12</v>
      </c>
      <c r="AK73" s="204">
        <f t="shared" si="69"/>
        <v>0</v>
      </c>
      <c r="AL73" s="204">
        <f t="shared" si="69"/>
        <v>116</v>
      </c>
      <c r="AM73" s="204">
        <f t="shared" si="69"/>
        <v>48616.666666666672</v>
      </c>
      <c r="AN73" s="204">
        <f t="shared" si="69"/>
        <v>64226.666666666672</v>
      </c>
      <c r="AO73" s="204">
        <f t="shared" si="69"/>
        <v>0</v>
      </c>
      <c r="AP73" s="204">
        <f t="shared" si="69"/>
        <v>64226.666666666672</v>
      </c>
      <c r="AQ73" s="204">
        <f t="shared" si="69"/>
        <v>63500</v>
      </c>
      <c r="AR73" s="204">
        <f t="shared" si="69"/>
        <v>0</v>
      </c>
    </row>
    <row r="74" spans="1:44">
      <c r="A74" s="742" t="s">
        <v>106</v>
      </c>
      <c r="B74" s="742"/>
      <c r="C74" s="205"/>
      <c r="D74" s="205">
        <f>D60+D62+D64+D66+D68++D70+D72</f>
        <v>6</v>
      </c>
      <c r="E74" s="205">
        <f t="shared" ref="E74:AR74" si="70">E60+E62+E64+E66+E68++E70+E72</f>
        <v>0</v>
      </c>
      <c r="F74" s="205">
        <f t="shared" si="70"/>
        <v>8</v>
      </c>
      <c r="G74" s="205">
        <f t="shared" si="70"/>
        <v>8</v>
      </c>
      <c r="H74" s="205">
        <f t="shared" si="70"/>
        <v>6</v>
      </c>
      <c r="I74" s="205">
        <f t="shared" si="70"/>
        <v>4</v>
      </c>
      <c r="J74" s="205">
        <f t="shared" si="70"/>
        <v>6</v>
      </c>
      <c r="K74" s="205">
        <f t="shared" si="70"/>
        <v>6</v>
      </c>
      <c r="L74" s="205">
        <f t="shared" si="70"/>
        <v>32</v>
      </c>
      <c r="M74" s="205">
        <f t="shared" si="70"/>
        <v>6</v>
      </c>
      <c r="N74" s="205">
        <f t="shared" si="70"/>
        <v>6</v>
      </c>
      <c r="O74" s="205">
        <f t="shared" si="70"/>
        <v>5</v>
      </c>
      <c r="P74" s="205">
        <f t="shared" si="70"/>
        <v>8</v>
      </c>
      <c r="Q74" s="205">
        <f t="shared" si="70"/>
        <v>32</v>
      </c>
      <c r="R74" s="205">
        <f t="shared" si="70"/>
        <v>6</v>
      </c>
      <c r="S74" s="205">
        <f t="shared" si="70"/>
        <v>24</v>
      </c>
      <c r="T74" s="205">
        <f t="shared" si="70"/>
        <v>6</v>
      </c>
      <c r="U74" s="205">
        <f t="shared" si="70"/>
        <v>6</v>
      </c>
      <c r="V74" s="205">
        <f t="shared" si="70"/>
        <v>6</v>
      </c>
      <c r="W74" s="205">
        <f t="shared" si="70"/>
        <v>8</v>
      </c>
      <c r="X74" s="205">
        <f t="shared" si="70"/>
        <v>6</v>
      </c>
      <c r="Y74" s="205">
        <f t="shared" si="70"/>
        <v>8</v>
      </c>
      <c r="Z74" s="205">
        <f t="shared" si="70"/>
        <v>32</v>
      </c>
      <c r="AA74" s="205">
        <f t="shared" si="70"/>
        <v>8</v>
      </c>
      <c r="AB74" s="205">
        <f t="shared" si="70"/>
        <v>8</v>
      </c>
      <c r="AC74" s="205">
        <f t="shared" si="70"/>
        <v>8</v>
      </c>
      <c r="AD74" s="205">
        <f t="shared" si="70"/>
        <v>8</v>
      </c>
      <c r="AE74" s="205">
        <f t="shared" si="70"/>
        <v>6</v>
      </c>
      <c r="AF74" s="205">
        <f t="shared" si="70"/>
        <v>8</v>
      </c>
      <c r="AG74" s="205">
        <f t="shared" si="70"/>
        <v>28</v>
      </c>
      <c r="AH74" s="205">
        <f t="shared" si="70"/>
        <v>0</v>
      </c>
      <c r="AI74" s="205">
        <f t="shared" si="70"/>
        <v>309</v>
      </c>
      <c r="AJ74" s="205">
        <f t="shared" si="70"/>
        <v>0</v>
      </c>
      <c r="AK74" s="205">
        <f t="shared" si="70"/>
        <v>0</v>
      </c>
      <c r="AL74" s="205">
        <f t="shared" si="70"/>
        <v>309</v>
      </c>
      <c r="AM74" s="205">
        <f t="shared" si="70"/>
        <v>15610</v>
      </c>
      <c r="AN74" s="205">
        <f t="shared" si="70"/>
        <v>0</v>
      </c>
      <c r="AO74" s="205">
        <f t="shared" si="70"/>
        <v>0</v>
      </c>
      <c r="AP74" s="205">
        <f t="shared" si="70"/>
        <v>0</v>
      </c>
      <c r="AQ74" s="205">
        <f t="shared" si="70"/>
        <v>0</v>
      </c>
      <c r="AR74" s="205">
        <f t="shared" si="70"/>
        <v>0</v>
      </c>
    </row>
    <row r="77" spans="1:44" ht="23.25">
      <c r="A77" s="744" t="s">
        <v>0</v>
      </c>
      <c r="B77" s="745" t="s">
        <v>1</v>
      </c>
      <c r="C77" s="745"/>
      <c r="D77" s="746" t="s">
        <v>122</v>
      </c>
      <c r="E77" s="746"/>
      <c r="F77" s="746"/>
      <c r="G77" s="746"/>
      <c r="H77" s="746"/>
      <c r="I77" s="746"/>
      <c r="J77" s="746"/>
      <c r="K77" s="746"/>
      <c r="L77" s="746"/>
      <c r="M77" s="746"/>
      <c r="N77" s="746"/>
      <c r="O77" s="746"/>
      <c r="P77" s="746"/>
      <c r="Q77" s="746"/>
      <c r="R77" s="746"/>
      <c r="S77" s="746"/>
      <c r="T77" s="746"/>
      <c r="U77" s="746"/>
      <c r="V77" s="746"/>
      <c r="W77" s="746"/>
      <c r="X77" s="746"/>
      <c r="Y77" s="746"/>
      <c r="Z77" s="746"/>
      <c r="AA77" s="746"/>
      <c r="AB77" s="746"/>
      <c r="AC77" s="746"/>
      <c r="AD77" s="746"/>
      <c r="AE77" s="746"/>
      <c r="AF77" s="746"/>
      <c r="AG77" s="747">
        <v>31</v>
      </c>
      <c r="AH77" s="747"/>
      <c r="AI77" s="743" t="s">
        <v>107</v>
      </c>
      <c r="AJ77" s="743" t="s">
        <v>45</v>
      </c>
      <c r="AK77" s="743" t="s">
        <v>108</v>
      </c>
      <c r="AL77" s="743" t="s">
        <v>112</v>
      </c>
      <c r="AM77" s="744" t="s">
        <v>7</v>
      </c>
      <c r="AN77" s="744"/>
      <c r="AO77" s="743" t="s">
        <v>93</v>
      </c>
      <c r="AP77" s="743" t="s">
        <v>109</v>
      </c>
      <c r="AQ77" s="743" t="s">
        <v>33</v>
      </c>
      <c r="AR77" s="743" t="s">
        <v>111</v>
      </c>
    </row>
    <row r="78" spans="1:44">
      <c r="A78" s="744"/>
      <c r="B78" s="745"/>
      <c r="C78" s="745"/>
      <c r="D78" s="198">
        <v>1</v>
      </c>
      <c r="E78" s="198">
        <v>2</v>
      </c>
      <c r="F78" s="198">
        <v>3</v>
      </c>
      <c r="G78" s="198">
        <v>4</v>
      </c>
      <c r="H78" s="198">
        <v>5</v>
      </c>
      <c r="I78" s="198">
        <v>6</v>
      </c>
      <c r="J78" s="198">
        <v>7</v>
      </c>
      <c r="K78" s="198">
        <v>8</v>
      </c>
      <c r="L78" s="198">
        <v>9</v>
      </c>
      <c r="M78" s="198">
        <v>10</v>
      </c>
      <c r="N78" s="198">
        <v>11</v>
      </c>
      <c r="O78" s="198">
        <v>12</v>
      </c>
      <c r="P78" s="198">
        <v>13</v>
      </c>
      <c r="Q78" s="198">
        <v>14</v>
      </c>
      <c r="R78" s="198">
        <v>15</v>
      </c>
      <c r="S78" s="198">
        <v>16</v>
      </c>
      <c r="T78" s="198">
        <v>17</v>
      </c>
      <c r="U78" s="198">
        <v>18</v>
      </c>
      <c r="V78" s="198">
        <v>19</v>
      </c>
      <c r="W78" s="198">
        <v>20</v>
      </c>
      <c r="X78" s="198">
        <v>21</v>
      </c>
      <c r="Y78" s="198">
        <v>22</v>
      </c>
      <c r="Z78" s="198">
        <v>23</v>
      </c>
      <c r="AA78" s="198">
        <v>24</v>
      </c>
      <c r="AB78" s="198">
        <v>25</v>
      </c>
      <c r="AC78" s="198">
        <v>26</v>
      </c>
      <c r="AD78" s="198">
        <v>27</v>
      </c>
      <c r="AE78" s="198">
        <v>28</v>
      </c>
      <c r="AF78" s="198">
        <v>29</v>
      </c>
      <c r="AG78" s="198">
        <v>30</v>
      </c>
      <c r="AH78" s="198">
        <v>31</v>
      </c>
      <c r="AI78" s="743"/>
      <c r="AJ78" s="743"/>
      <c r="AK78" s="743"/>
      <c r="AL78" s="743"/>
      <c r="AM78" s="744"/>
      <c r="AN78" s="744"/>
      <c r="AO78" s="743"/>
      <c r="AP78" s="743"/>
      <c r="AQ78" s="743"/>
      <c r="AR78" s="743"/>
    </row>
    <row r="79" spans="1:44">
      <c r="A79" s="185">
        <v>1</v>
      </c>
      <c r="B79" s="184" t="s">
        <v>126</v>
      </c>
      <c r="C79" s="184">
        <f>B80/AG77</f>
        <v>387.09677419354841</v>
      </c>
      <c r="D79" s="198"/>
      <c r="E79" s="185">
        <v>0</v>
      </c>
      <c r="F79" s="185">
        <v>0</v>
      </c>
      <c r="G79" s="185">
        <v>0</v>
      </c>
      <c r="H79" s="185">
        <v>1</v>
      </c>
      <c r="I79" s="190">
        <v>0</v>
      </c>
      <c r="J79" s="198"/>
      <c r="K79" s="185">
        <v>1</v>
      </c>
      <c r="L79" s="192">
        <v>0.5</v>
      </c>
      <c r="M79" s="190">
        <v>0</v>
      </c>
      <c r="N79" s="190">
        <v>0</v>
      </c>
      <c r="O79" s="185">
        <v>1</v>
      </c>
      <c r="P79" s="185">
        <v>1</v>
      </c>
      <c r="Q79" s="198"/>
      <c r="R79" s="190">
        <v>0</v>
      </c>
      <c r="S79" s="190">
        <v>0</v>
      </c>
      <c r="T79" s="212">
        <v>0</v>
      </c>
      <c r="U79" s="190">
        <v>0</v>
      </c>
      <c r="V79" s="185"/>
      <c r="W79" s="185"/>
      <c r="X79" s="198"/>
      <c r="Y79" s="185"/>
      <c r="Z79" s="185"/>
      <c r="AA79" s="185"/>
      <c r="AB79" s="185"/>
      <c r="AC79" s="185"/>
      <c r="AD79" s="185"/>
      <c r="AE79" s="198"/>
      <c r="AF79" s="185"/>
      <c r="AG79" s="185"/>
      <c r="AH79" s="185"/>
      <c r="AI79" s="185">
        <f>SUM(D79:AH79)</f>
        <v>4.5</v>
      </c>
      <c r="AJ79" s="185">
        <v>0</v>
      </c>
      <c r="AK79" s="185">
        <v>0</v>
      </c>
      <c r="AL79" s="185">
        <f>AI79+AJ79-AK79</f>
        <v>4.5</v>
      </c>
      <c r="AM79" s="185">
        <f>AL79*C79</f>
        <v>1741.9354838709678</v>
      </c>
      <c r="AN79" s="734">
        <f>AM79+AM80</f>
        <v>1741.9354838709678</v>
      </c>
      <c r="AO79" s="735">
        <v>0</v>
      </c>
      <c r="AP79" s="734">
        <f t="shared" ref="AP79" si="71">AN79-AO79</f>
        <v>1741.9354838709678</v>
      </c>
      <c r="AQ79" s="734"/>
      <c r="AR79" s="734">
        <v>1750</v>
      </c>
    </row>
    <row r="80" spans="1:44">
      <c r="A80" s="185">
        <f>C79/10</f>
        <v>38.70967741935484</v>
      </c>
      <c r="B80" s="184">
        <v>12000</v>
      </c>
      <c r="C80" s="185">
        <f>A80*1.5</f>
        <v>58.064516129032256</v>
      </c>
      <c r="D80" s="198"/>
      <c r="E80" s="185">
        <v>0</v>
      </c>
      <c r="F80" s="185">
        <v>0</v>
      </c>
      <c r="G80" s="185">
        <v>0</v>
      </c>
      <c r="H80" s="193">
        <v>0</v>
      </c>
      <c r="I80" s="185">
        <v>0</v>
      </c>
      <c r="J80" s="198"/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8"/>
      <c r="R80" s="193">
        <v>0</v>
      </c>
      <c r="S80" s="193">
        <v>0</v>
      </c>
      <c r="T80" s="193">
        <v>0</v>
      </c>
      <c r="U80" s="193">
        <v>0</v>
      </c>
      <c r="V80" s="185"/>
      <c r="W80" s="185"/>
      <c r="X80" s="198"/>
      <c r="Y80" s="185"/>
      <c r="Z80" s="185"/>
      <c r="AA80" s="185"/>
      <c r="AB80" s="185"/>
      <c r="AC80" s="185"/>
      <c r="AD80" s="185"/>
      <c r="AE80" s="198"/>
      <c r="AF80" s="185"/>
      <c r="AG80" s="185"/>
      <c r="AH80" s="185"/>
      <c r="AI80" s="185">
        <f t="shared" ref="AI80" si="72">SUM(D80:AH80)</f>
        <v>0</v>
      </c>
      <c r="AJ80" s="185">
        <v>0</v>
      </c>
      <c r="AK80" s="185">
        <v>0</v>
      </c>
      <c r="AL80" s="185">
        <f t="shared" ref="AL80" si="73">AI80+AJ80-AK80</f>
        <v>0</v>
      </c>
      <c r="AM80" s="185">
        <f>AL80*C80</f>
        <v>0</v>
      </c>
      <c r="AN80" s="734"/>
      <c r="AO80" s="735"/>
      <c r="AP80" s="734"/>
      <c r="AQ80" s="734"/>
      <c r="AR80" s="734"/>
    </row>
    <row r="81" spans="1:48">
      <c r="A81" s="185">
        <v>2</v>
      </c>
      <c r="B81" s="184" t="s">
        <v>123</v>
      </c>
      <c r="C81" s="184">
        <f>B82/AG77</f>
        <v>516.12903225806451</v>
      </c>
      <c r="D81" s="198"/>
      <c r="E81" s="185"/>
      <c r="F81" s="185"/>
      <c r="G81" s="185"/>
      <c r="H81" s="185"/>
      <c r="I81" s="185"/>
      <c r="J81" s="198"/>
      <c r="K81" s="185"/>
      <c r="L81" s="185"/>
      <c r="M81" s="185"/>
      <c r="N81" s="185"/>
      <c r="O81" s="185"/>
      <c r="P81" s="185"/>
      <c r="Q81" s="198"/>
      <c r="R81" s="185"/>
      <c r="S81" s="185"/>
      <c r="T81" s="185"/>
      <c r="U81" s="185"/>
      <c r="V81" s="185">
        <v>1</v>
      </c>
      <c r="W81" s="185">
        <v>1</v>
      </c>
      <c r="X81" s="198"/>
      <c r="Y81" s="185">
        <v>1</v>
      </c>
      <c r="Z81" s="185">
        <v>1</v>
      </c>
      <c r="AA81" s="185">
        <v>1</v>
      </c>
      <c r="AB81" s="190">
        <v>0</v>
      </c>
      <c r="AC81" s="185">
        <v>1</v>
      </c>
      <c r="AD81" s="185">
        <v>1</v>
      </c>
      <c r="AE81" s="198"/>
      <c r="AF81" s="185">
        <v>1</v>
      </c>
      <c r="AG81" s="185">
        <v>1</v>
      </c>
      <c r="AH81" s="185">
        <v>1</v>
      </c>
      <c r="AI81" s="185">
        <f>SUM(D81:AH81)</f>
        <v>10</v>
      </c>
      <c r="AJ81" s="185">
        <v>2</v>
      </c>
      <c r="AK81" s="185">
        <v>0</v>
      </c>
      <c r="AL81" s="185">
        <f>AI81+AJ81-AK81</f>
        <v>12</v>
      </c>
      <c r="AM81" s="185">
        <f>AL81*C81</f>
        <v>6193.5483870967746</v>
      </c>
      <c r="AN81" s="734">
        <f>AM81+AM82</f>
        <v>6193.5483870967746</v>
      </c>
      <c r="AO81" s="735">
        <v>0</v>
      </c>
      <c r="AP81" s="734">
        <f t="shared" ref="AP81" si="74">AN81-AO81</f>
        <v>6193.5483870967746</v>
      </c>
      <c r="AQ81" s="734"/>
      <c r="AR81" s="734">
        <v>6200</v>
      </c>
    </row>
    <row r="82" spans="1:48">
      <c r="A82" s="185">
        <f>C81/10</f>
        <v>51.612903225806448</v>
      </c>
      <c r="B82" s="184">
        <v>16000</v>
      </c>
      <c r="C82" s="185">
        <f>A82*1.5</f>
        <v>77.419354838709666</v>
      </c>
      <c r="D82" s="198"/>
      <c r="E82" s="185"/>
      <c r="F82" s="185"/>
      <c r="G82" s="185"/>
      <c r="H82" s="193"/>
      <c r="I82" s="185"/>
      <c r="J82" s="198"/>
      <c r="K82" s="193"/>
      <c r="L82" s="193"/>
      <c r="M82" s="193"/>
      <c r="N82" s="193"/>
      <c r="O82" s="193"/>
      <c r="P82" s="193"/>
      <c r="Q82" s="198"/>
      <c r="R82" s="193"/>
      <c r="S82" s="193"/>
      <c r="T82" s="193"/>
      <c r="U82" s="193"/>
      <c r="V82" s="193">
        <v>0</v>
      </c>
      <c r="W82" s="193">
        <v>0</v>
      </c>
      <c r="X82" s="198"/>
      <c r="Y82" s="193">
        <v>0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8"/>
      <c r="AF82" s="193">
        <v>0</v>
      </c>
      <c r="AG82" s="193">
        <v>0</v>
      </c>
      <c r="AH82" s="193">
        <v>0</v>
      </c>
      <c r="AI82" s="185">
        <f t="shared" ref="AI82:AI92" si="75">SUM(D82:AH82)</f>
        <v>0</v>
      </c>
      <c r="AJ82" s="185">
        <v>0</v>
      </c>
      <c r="AK82" s="185">
        <v>0</v>
      </c>
      <c r="AL82" s="185">
        <f t="shared" ref="AL82" si="76">AI82+AJ82-AK82</f>
        <v>0</v>
      </c>
      <c r="AM82" s="185">
        <f>AL82*C82</f>
        <v>0</v>
      </c>
      <c r="AN82" s="734"/>
      <c r="AO82" s="735"/>
      <c r="AP82" s="734"/>
      <c r="AQ82" s="734"/>
      <c r="AR82" s="734"/>
      <c r="AV82" s="183">
        <f>16000</f>
        <v>16000</v>
      </c>
    </row>
    <row r="83" spans="1:48">
      <c r="A83" s="185">
        <v>3</v>
      </c>
      <c r="B83" s="184" t="s">
        <v>104</v>
      </c>
      <c r="C83" s="184">
        <v>400</v>
      </c>
      <c r="D83" s="198"/>
      <c r="E83" s="185">
        <v>1</v>
      </c>
      <c r="F83" s="185">
        <v>1</v>
      </c>
      <c r="G83" s="185">
        <v>1</v>
      </c>
      <c r="H83" s="185">
        <v>1</v>
      </c>
      <c r="I83" s="185">
        <v>1</v>
      </c>
      <c r="J83" s="198"/>
      <c r="K83" s="190">
        <v>0</v>
      </c>
      <c r="L83" s="185">
        <v>1</v>
      </c>
      <c r="M83" s="185">
        <v>1</v>
      </c>
      <c r="N83" s="185">
        <v>1</v>
      </c>
      <c r="O83" s="185">
        <v>1</v>
      </c>
      <c r="P83" s="185">
        <v>1</v>
      </c>
      <c r="Q83" s="198"/>
      <c r="R83" s="185">
        <v>1</v>
      </c>
      <c r="S83" s="185">
        <v>1</v>
      </c>
      <c r="T83" s="185">
        <v>1</v>
      </c>
      <c r="U83" s="185">
        <v>1</v>
      </c>
      <c r="V83" s="185">
        <v>1</v>
      </c>
      <c r="W83" s="190">
        <v>0</v>
      </c>
      <c r="X83" s="198"/>
      <c r="Y83" s="185">
        <v>1</v>
      </c>
      <c r="Z83" s="185">
        <v>1</v>
      </c>
      <c r="AA83" s="185">
        <v>1</v>
      </c>
      <c r="AB83" s="185">
        <v>1</v>
      </c>
      <c r="AC83" s="185">
        <v>1</v>
      </c>
      <c r="AD83" s="185">
        <v>1</v>
      </c>
      <c r="AE83" s="198"/>
      <c r="AF83" s="185">
        <v>1</v>
      </c>
      <c r="AG83" s="185">
        <v>1</v>
      </c>
      <c r="AH83" s="185">
        <v>1</v>
      </c>
      <c r="AI83" s="185">
        <f t="shared" si="75"/>
        <v>24</v>
      </c>
      <c r="AJ83" s="185">
        <v>5</v>
      </c>
      <c r="AK83" s="185">
        <v>0</v>
      </c>
      <c r="AL83" s="185">
        <f>AI83+AJ83-AK83</f>
        <v>29</v>
      </c>
      <c r="AM83" s="185">
        <f t="shared" ref="AM83:AM92" si="77">AL83*C83</f>
        <v>11600</v>
      </c>
      <c r="AN83" s="734">
        <f>AM83+AM84</f>
        <v>15200</v>
      </c>
      <c r="AO83" s="735">
        <v>0</v>
      </c>
      <c r="AP83" s="734">
        <f t="shared" ref="AP83:AR83" si="78">AN83-AO83</f>
        <v>15200</v>
      </c>
      <c r="AQ83" s="734"/>
      <c r="AR83" s="734">
        <f t="shared" si="78"/>
        <v>15200</v>
      </c>
      <c r="AV83" s="183">
        <f>AV82/26</f>
        <v>615.38461538461536</v>
      </c>
    </row>
    <row r="84" spans="1:48">
      <c r="A84" s="185">
        <f>C83/10</f>
        <v>40</v>
      </c>
      <c r="B84" s="184">
        <v>15000</v>
      </c>
      <c r="C84" s="185">
        <v>50</v>
      </c>
      <c r="D84" s="198"/>
      <c r="E84" s="193">
        <v>2</v>
      </c>
      <c r="F84" s="193">
        <v>2</v>
      </c>
      <c r="G84" s="193">
        <v>2</v>
      </c>
      <c r="H84" s="193">
        <v>2</v>
      </c>
      <c r="I84" s="193">
        <v>2</v>
      </c>
      <c r="J84" s="213">
        <v>8</v>
      </c>
      <c r="K84" s="185">
        <v>0</v>
      </c>
      <c r="L84" s="193">
        <v>2</v>
      </c>
      <c r="M84" s="193">
        <v>2</v>
      </c>
      <c r="N84" s="193">
        <v>2</v>
      </c>
      <c r="O84" s="193">
        <v>2</v>
      </c>
      <c r="P84" s="193">
        <v>2</v>
      </c>
      <c r="Q84" s="213">
        <v>8</v>
      </c>
      <c r="R84" s="193">
        <v>2</v>
      </c>
      <c r="S84" s="193">
        <v>2</v>
      </c>
      <c r="T84" s="193">
        <v>2</v>
      </c>
      <c r="U84" s="193">
        <v>2</v>
      </c>
      <c r="V84" s="193">
        <v>2</v>
      </c>
      <c r="W84" s="193">
        <v>0</v>
      </c>
      <c r="X84" s="213">
        <v>8</v>
      </c>
      <c r="Y84" s="193">
        <v>2</v>
      </c>
      <c r="Z84" s="193">
        <v>2</v>
      </c>
      <c r="AA84" s="193">
        <v>2</v>
      </c>
      <c r="AB84" s="193">
        <v>2</v>
      </c>
      <c r="AC84" s="193">
        <v>2</v>
      </c>
      <c r="AD84" s="193">
        <v>2</v>
      </c>
      <c r="AE84" s="198"/>
      <c r="AF84" s="193">
        <v>2</v>
      </c>
      <c r="AG84" s="193">
        <v>2</v>
      </c>
      <c r="AH84" s="193">
        <v>2</v>
      </c>
      <c r="AI84" s="185">
        <f t="shared" si="75"/>
        <v>72</v>
      </c>
      <c r="AJ84" s="185">
        <v>0</v>
      </c>
      <c r="AK84" s="185">
        <v>0</v>
      </c>
      <c r="AL84" s="185">
        <f t="shared" ref="AL84" si="79">AI84+AJ84-AK84</f>
        <v>72</v>
      </c>
      <c r="AM84" s="185">
        <f t="shared" si="77"/>
        <v>3600</v>
      </c>
      <c r="AN84" s="734"/>
      <c r="AO84" s="735"/>
      <c r="AP84" s="734"/>
      <c r="AQ84" s="734"/>
      <c r="AR84" s="734"/>
      <c r="AV84" s="183">
        <f>AV83/10</f>
        <v>61.538461538461533</v>
      </c>
    </row>
    <row r="85" spans="1:48">
      <c r="A85" s="185">
        <v>4</v>
      </c>
      <c r="B85" s="184" t="s">
        <v>102</v>
      </c>
      <c r="C85" s="184">
        <v>400</v>
      </c>
      <c r="D85" s="198"/>
      <c r="E85" s="185">
        <v>1</v>
      </c>
      <c r="F85" s="185">
        <v>1</v>
      </c>
      <c r="G85" s="185">
        <v>1</v>
      </c>
      <c r="H85" s="185">
        <v>1</v>
      </c>
      <c r="I85" s="190">
        <v>0</v>
      </c>
      <c r="J85" s="198"/>
      <c r="K85" s="185">
        <v>1</v>
      </c>
      <c r="L85" s="185">
        <v>1</v>
      </c>
      <c r="M85" s="185">
        <v>1</v>
      </c>
      <c r="N85" s="185">
        <v>1</v>
      </c>
      <c r="O85" s="185">
        <v>1</v>
      </c>
      <c r="P85" s="185">
        <v>1</v>
      </c>
      <c r="Q85" s="198"/>
      <c r="R85" s="185">
        <v>1</v>
      </c>
      <c r="S85" s="190">
        <v>0</v>
      </c>
      <c r="T85" s="190">
        <v>0</v>
      </c>
      <c r="U85" s="185">
        <v>1</v>
      </c>
      <c r="V85" s="185">
        <v>1</v>
      </c>
      <c r="W85" s="185">
        <v>1</v>
      </c>
      <c r="X85" s="198"/>
      <c r="Y85" s="190">
        <v>0</v>
      </c>
      <c r="Z85" s="190">
        <v>0</v>
      </c>
      <c r="AA85" s="190">
        <v>0</v>
      </c>
      <c r="AB85" s="190">
        <v>0</v>
      </c>
      <c r="AC85" s="190">
        <v>0</v>
      </c>
      <c r="AD85" s="190">
        <v>0</v>
      </c>
      <c r="AE85" s="198"/>
      <c r="AF85" s="190">
        <v>0</v>
      </c>
      <c r="AG85" s="190">
        <v>0</v>
      </c>
      <c r="AH85" s="190">
        <v>0</v>
      </c>
      <c r="AI85" s="185">
        <f t="shared" si="75"/>
        <v>14</v>
      </c>
      <c r="AJ85" s="185">
        <v>0</v>
      </c>
      <c r="AK85" s="185">
        <v>0</v>
      </c>
      <c r="AL85" s="185">
        <f>AI85+AJ85-AK85</f>
        <v>14</v>
      </c>
      <c r="AM85" s="185">
        <f t="shared" si="77"/>
        <v>5600</v>
      </c>
      <c r="AN85" s="734">
        <f>AM85+AM86</f>
        <v>8200</v>
      </c>
      <c r="AO85" s="735">
        <v>0</v>
      </c>
      <c r="AP85" s="734">
        <f t="shared" ref="AP85:AR85" si="80">AN85-AO85</f>
        <v>8200</v>
      </c>
      <c r="AQ85" s="734"/>
      <c r="AR85" s="734">
        <f t="shared" si="80"/>
        <v>8200</v>
      </c>
      <c r="AV85" s="183">
        <f>AV84*8</f>
        <v>492.30769230769226</v>
      </c>
    </row>
    <row r="86" spans="1:48">
      <c r="A86" s="184"/>
      <c r="B86" s="184"/>
      <c r="C86" s="185">
        <v>50</v>
      </c>
      <c r="D86" s="198"/>
      <c r="E86" s="193">
        <v>2</v>
      </c>
      <c r="F86" s="193">
        <v>2</v>
      </c>
      <c r="G86" s="193">
        <v>2</v>
      </c>
      <c r="H86" s="193">
        <v>2</v>
      </c>
      <c r="I86" s="185">
        <v>0</v>
      </c>
      <c r="J86" s="213">
        <v>8</v>
      </c>
      <c r="K86" s="193">
        <v>2</v>
      </c>
      <c r="L86" s="193">
        <v>2</v>
      </c>
      <c r="M86" s="193">
        <v>2</v>
      </c>
      <c r="N86" s="193">
        <v>2</v>
      </c>
      <c r="O86" s="193">
        <v>2</v>
      </c>
      <c r="P86" s="193">
        <v>2</v>
      </c>
      <c r="Q86" s="213">
        <v>8</v>
      </c>
      <c r="R86" s="193">
        <v>2</v>
      </c>
      <c r="S86" s="193">
        <v>0</v>
      </c>
      <c r="T86" s="193">
        <v>0</v>
      </c>
      <c r="U86" s="193">
        <v>2</v>
      </c>
      <c r="V86" s="193">
        <v>2</v>
      </c>
      <c r="W86" s="193">
        <v>2</v>
      </c>
      <c r="X86" s="213">
        <v>8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8"/>
      <c r="AF86" s="193">
        <v>0</v>
      </c>
      <c r="AG86" s="193">
        <v>0</v>
      </c>
      <c r="AH86" s="193">
        <v>0</v>
      </c>
      <c r="AI86" s="185">
        <f t="shared" si="75"/>
        <v>52</v>
      </c>
      <c r="AJ86" s="185">
        <v>0</v>
      </c>
      <c r="AK86" s="185">
        <v>0</v>
      </c>
      <c r="AL86" s="185">
        <f t="shared" ref="AL86" si="81">AI86+AJ86-AK86</f>
        <v>52</v>
      </c>
      <c r="AM86" s="185">
        <f t="shared" si="77"/>
        <v>2600</v>
      </c>
      <c r="AN86" s="734"/>
      <c r="AO86" s="735"/>
      <c r="AP86" s="734"/>
      <c r="AQ86" s="734"/>
      <c r="AR86" s="734"/>
    </row>
    <row r="87" spans="1:48">
      <c r="A87" s="185">
        <v>5</v>
      </c>
      <c r="B87" s="184" t="s">
        <v>99</v>
      </c>
      <c r="C87" s="185">
        <v>400</v>
      </c>
      <c r="D87" s="198"/>
      <c r="E87" s="185">
        <v>1</v>
      </c>
      <c r="F87" s="190">
        <v>0</v>
      </c>
      <c r="G87" s="185">
        <v>1</v>
      </c>
      <c r="H87" s="185">
        <v>1</v>
      </c>
      <c r="I87" s="185">
        <v>1</v>
      </c>
      <c r="J87" s="198"/>
      <c r="K87" s="185">
        <v>1</v>
      </c>
      <c r="L87" s="185">
        <v>1</v>
      </c>
      <c r="M87" s="185">
        <v>1</v>
      </c>
      <c r="N87" s="185">
        <v>1</v>
      </c>
      <c r="O87" s="185">
        <v>1</v>
      </c>
      <c r="P87" s="185">
        <v>1</v>
      </c>
      <c r="Q87" s="198"/>
      <c r="R87" s="185">
        <v>1</v>
      </c>
      <c r="S87" s="185">
        <v>1</v>
      </c>
      <c r="T87" s="185">
        <v>1</v>
      </c>
      <c r="U87" s="185">
        <v>1</v>
      </c>
      <c r="V87" s="185">
        <v>1</v>
      </c>
      <c r="W87" s="185">
        <v>1</v>
      </c>
      <c r="X87" s="198"/>
      <c r="Y87" s="185">
        <v>1</v>
      </c>
      <c r="Z87" s="185">
        <v>1</v>
      </c>
      <c r="AA87" s="185">
        <v>1</v>
      </c>
      <c r="AB87" s="185">
        <v>1</v>
      </c>
      <c r="AC87" s="185">
        <v>1</v>
      </c>
      <c r="AD87" s="185">
        <v>1</v>
      </c>
      <c r="AE87" s="198"/>
      <c r="AF87" s="185">
        <v>1</v>
      </c>
      <c r="AG87" s="185">
        <v>1</v>
      </c>
      <c r="AH87" s="185">
        <v>1</v>
      </c>
      <c r="AI87" s="185">
        <f t="shared" si="75"/>
        <v>25</v>
      </c>
      <c r="AJ87" s="185">
        <v>0</v>
      </c>
      <c r="AK87" s="185">
        <v>0</v>
      </c>
      <c r="AL87" s="185">
        <f>AI87+AJ87-AK87</f>
        <v>25</v>
      </c>
      <c r="AM87" s="185">
        <f t="shared" si="77"/>
        <v>10000</v>
      </c>
      <c r="AN87" s="734">
        <f>AM87+AM88</f>
        <v>14100</v>
      </c>
      <c r="AO87" s="735">
        <v>0</v>
      </c>
      <c r="AP87" s="734">
        <f t="shared" ref="AP87:AR87" si="82">AN87-AO87</f>
        <v>14100</v>
      </c>
      <c r="AQ87" s="734"/>
      <c r="AR87" s="734">
        <f t="shared" si="82"/>
        <v>14100</v>
      </c>
    </row>
    <row r="88" spans="1:48">
      <c r="A88" s="184"/>
      <c r="B88" s="184"/>
      <c r="C88" s="185">
        <v>50</v>
      </c>
      <c r="D88" s="198"/>
      <c r="E88" s="193">
        <v>2</v>
      </c>
      <c r="F88" s="185">
        <v>0</v>
      </c>
      <c r="G88" s="193">
        <v>2</v>
      </c>
      <c r="H88" s="193">
        <v>2</v>
      </c>
      <c r="I88" s="193">
        <v>2</v>
      </c>
      <c r="J88" s="213">
        <v>8</v>
      </c>
      <c r="K88" s="193">
        <v>2</v>
      </c>
      <c r="L88" s="193">
        <v>2</v>
      </c>
      <c r="M88" s="193">
        <v>2</v>
      </c>
      <c r="N88" s="193">
        <v>2</v>
      </c>
      <c r="O88" s="193">
        <v>2</v>
      </c>
      <c r="P88" s="193">
        <v>2</v>
      </c>
      <c r="Q88" s="213">
        <v>8</v>
      </c>
      <c r="R88" s="193">
        <v>2</v>
      </c>
      <c r="S88" s="193">
        <v>2</v>
      </c>
      <c r="T88" s="193">
        <v>2</v>
      </c>
      <c r="U88" s="193">
        <v>2</v>
      </c>
      <c r="V88" s="193">
        <v>2</v>
      </c>
      <c r="W88" s="193">
        <v>2</v>
      </c>
      <c r="X88" s="213">
        <v>8</v>
      </c>
      <c r="Y88" s="193">
        <v>2</v>
      </c>
      <c r="Z88" s="193">
        <v>2</v>
      </c>
      <c r="AA88" s="193">
        <v>2</v>
      </c>
      <c r="AB88" s="193">
        <v>2</v>
      </c>
      <c r="AC88" s="193">
        <v>2</v>
      </c>
      <c r="AD88" s="193">
        <v>2</v>
      </c>
      <c r="AE88" s="213">
        <v>8</v>
      </c>
      <c r="AF88" s="193">
        <v>2</v>
      </c>
      <c r="AG88" s="193">
        <v>2</v>
      </c>
      <c r="AH88" s="193">
        <v>2</v>
      </c>
      <c r="AI88" s="185">
        <f t="shared" si="75"/>
        <v>82</v>
      </c>
      <c r="AJ88" s="185">
        <v>0</v>
      </c>
      <c r="AK88" s="185">
        <v>0</v>
      </c>
      <c r="AL88" s="185">
        <f t="shared" ref="AL88" si="83">AI88+AJ88-AK88</f>
        <v>82</v>
      </c>
      <c r="AM88" s="185">
        <f t="shared" si="77"/>
        <v>4100</v>
      </c>
      <c r="AN88" s="734"/>
      <c r="AO88" s="735"/>
      <c r="AP88" s="734"/>
      <c r="AQ88" s="734"/>
      <c r="AR88" s="734"/>
    </row>
    <row r="89" spans="1:48">
      <c r="A89" s="185">
        <v>6</v>
      </c>
      <c r="B89" s="184" t="s">
        <v>114</v>
      </c>
      <c r="C89" s="185">
        <v>400</v>
      </c>
      <c r="D89" s="198"/>
      <c r="E89" s="185">
        <v>1</v>
      </c>
      <c r="F89" s="185">
        <v>1</v>
      </c>
      <c r="G89" s="185">
        <v>1</v>
      </c>
      <c r="H89" s="185">
        <v>1</v>
      </c>
      <c r="I89" s="185">
        <v>1</v>
      </c>
      <c r="J89" s="198"/>
      <c r="K89" s="185">
        <v>1</v>
      </c>
      <c r="L89" s="185">
        <v>1</v>
      </c>
      <c r="M89" s="185">
        <v>1</v>
      </c>
      <c r="N89" s="185">
        <v>1</v>
      </c>
      <c r="O89" s="185">
        <v>1</v>
      </c>
      <c r="P89" s="185">
        <v>1</v>
      </c>
      <c r="Q89" s="198"/>
      <c r="R89" s="185">
        <v>1</v>
      </c>
      <c r="S89" s="185">
        <v>1</v>
      </c>
      <c r="T89" s="185">
        <v>1</v>
      </c>
      <c r="U89" s="185">
        <v>1</v>
      </c>
      <c r="V89" s="185">
        <v>1</v>
      </c>
      <c r="W89" s="185">
        <v>1</v>
      </c>
      <c r="X89" s="198"/>
      <c r="Y89" s="185">
        <v>1</v>
      </c>
      <c r="Z89" s="185">
        <v>1</v>
      </c>
      <c r="AA89" s="185">
        <v>1</v>
      </c>
      <c r="AB89" s="185">
        <v>1</v>
      </c>
      <c r="AC89" s="185">
        <v>1</v>
      </c>
      <c r="AD89" s="185">
        <v>1</v>
      </c>
      <c r="AE89" s="198"/>
      <c r="AF89" s="185">
        <v>1</v>
      </c>
      <c r="AG89" s="185">
        <v>1</v>
      </c>
      <c r="AH89" s="185">
        <v>1</v>
      </c>
      <c r="AI89" s="185">
        <f t="shared" si="75"/>
        <v>26</v>
      </c>
      <c r="AJ89" s="185">
        <v>0</v>
      </c>
      <c r="AK89" s="185">
        <v>0</v>
      </c>
      <c r="AL89" s="185">
        <f>AI89+AJ89-AK89</f>
        <v>26</v>
      </c>
      <c r="AM89" s="185">
        <f t="shared" si="77"/>
        <v>10400</v>
      </c>
      <c r="AN89" s="734">
        <f>AM89+AM90</f>
        <v>14100</v>
      </c>
      <c r="AO89" s="735">
        <v>0</v>
      </c>
      <c r="AP89" s="734">
        <f t="shared" ref="AP89:AR89" si="84">AN89-AO89</f>
        <v>14100</v>
      </c>
      <c r="AQ89" s="734"/>
      <c r="AR89" s="734">
        <f t="shared" si="84"/>
        <v>14100</v>
      </c>
    </row>
    <row r="90" spans="1:48">
      <c r="A90" s="184"/>
      <c r="B90" s="184"/>
      <c r="C90" s="185">
        <v>50</v>
      </c>
      <c r="D90" s="198"/>
      <c r="E90" s="193">
        <v>2</v>
      </c>
      <c r="F90" s="193">
        <v>2</v>
      </c>
      <c r="G90" s="193">
        <v>2</v>
      </c>
      <c r="H90" s="193">
        <v>2</v>
      </c>
      <c r="I90" s="193">
        <v>2</v>
      </c>
      <c r="J90" s="198"/>
      <c r="K90" s="193">
        <v>2</v>
      </c>
      <c r="L90" s="193">
        <v>2</v>
      </c>
      <c r="M90" s="193">
        <v>2</v>
      </c>
      <c r="N90" s="193">
        <v>2</v>
      </c>
      <c r="O90" s="193">
        <v>2</v>
      </c>
      <c r="P90" s="193">
        <v>2</v>
      </c>
      <c r="Q90" s="213">
        <v>8</v>
      </c>
      <c r="R90" s="193">
        <v>2</v>
      </c>
      <c r="S90" s="193">
        <v>2</v>
      </c>
      <c r="T90" s="193">
        <v>2</v>
      </c>
      <c r="U90" s="193">
        <v>2</v>
      </c>
      <c r="V90" s="193">
        <v>2</v>
      </c>
      <c r="W90" s="193">
        <v>2</v>
      </c>
      <c r="X90" s="213">
        <v>8</v>
      </c>
      <c r="Y90" s="193">
        <v>2</v>
      </c>
      <c r="Z90" s="193">
        <v>2</v>
      </c>
      <c r="AA90" s="193">
        <v>2</v>
      </c>
      <c r="AB90" s="193">
        <v>2</v>
      </c>
      <c r="AC90" s="193">
        <v>2</v>
      </c>
      <c r="AD90" s="193">
        <v>2</v>
      </c>
      <c r="AE90" s="213">
        <v>8</v>
      </c>
      <c r="AF90" s="193">
        <v>2</v>
      </c>
      <c r="AG90" s="193">
        <v>0</v>
      </c>
      <c r="AH90" s="193">
        <v>2</v>
      </c>
      <c r="AI90" s="185">
        <f t="shared" si="75"/>
        <v>74</v>
      </c>
      <c r="AJ90" s="185">
        <v>0</v>
      </c>
      <c r="AK90" s="185">
        <v>0</v>
      </c>
      <c r="AL90" s="185">
        <f t="shared" ref="AL90" si="85">AI90+AJ90-AK90</f>
        <v>74</v>
      </c>
      <c r="AM90" s="185">
        <f t="shared" si="77"/>
        <v>3700</v>
      </c>
      <c r="AN90" s="734"/>
      <c r="AO90" s="735"/>
      <c r="AP90" s="734"/>
      <c r="AQ90" s="734"/>
      <c r="AR90" s="734"/>
    </row>
    <row r="91" spans="1:48">
      <c r="A91" s="185">
        <v>7</v>
      </c>
      <c r="B91" s="184" t="s">
        <v>125</v>
      </c>
      <c r="C91" s="185">
        <v>400</v>
      </c>
      <c r="D91" s="198"/>
      <c r="E91" s="185">
        <v>0</v>
      </c>
      <c r="F91" s="185">
        <v>0</v>
      </c>
      <c r="G91" s="185">
        <v>0</v>
      </c>
      <c r="H91" s="185">
        <v>0</v>
      </c>
      <c r="I91" s="185">
        <v>0</v>
      </c>
      <c r="J91" s="198"/>
      <c r="K91" s="185">
        <v>0</v>
      </c>
      <c r="L91" s="185">
        <v>0</v>
      </c>
      <c r="M91" s="185">
        <v>0</v>
      </c>
      <c r="N91" s="185">
        <v>1</v>
      </c>
      <c r="O91" s="185">
        <v>1</v>
      </c>
      <c r="P91" s="185">
        <v>1</v>
      </c>
      <c r="Q91" s="198"/>
      <c r="R91" s="190">
        <v>0</v>
      </c>
      <c r="S91" s="185">
        <v>1</v>
      </c>
      <c r="T91" s="190">
        <v>0</v>
      </c>
      <c r="U91" s="185">
        <v>1</v>
      </c>
      <c r="V91" s="185">
        <v>1</v>
      </c>
      <c r="W91" s="185">
        <v>1</v>
      </c>
      <c r="X91" s="198"/>
      <c r="Y91" s="190">
        <v>0</v>
      </c>
      <c r="Z91" s="185">
        <v>1</v>
      </c>
      <c r="AA91" s="185">
        <v>1</v>
      </c>
      <c r="AB91" s="185">
        <v>1</v>
      </c>
      <c r="AC91" s="185">
        <v>1</v>
      </c>
      <c r="AD91" s="185">
        <v>1</v>
      </c>
      <c r="AE91" s="198"/>
      <c r="AF91" s="185">
        <v>1</v>
      </c>
      <c r="AG91" s="185">
        <v>1</v>
      </c>
      <c r="AH91" s="190">
        <v>0</v>
      </c>
      <c r="AI91" s="185">
        <f t="shared" si="75"/>
        <v>14</v>
      </c>
      <c r="AJ91" s="185">
        <v>0</v>
      </c>
      <c r="AK91" s="185">
        <v>0</v>
      </c>
      <c r="AL91" s="185">
        <f>AI91+AJ91-AK91</f>
        <v>14</v>
      </c>
      <c r="AM91" s="185">
        <f t="shared" si="77"/>
        <v>5600</v>
      </c>
      <c r="AN91" s="734">
        <f>AM91+AM92</f>
        <v>7400</v>
      </c>
      <c r="AO91" s="735">
        <v>0</v>
      </c>
      <c r="AP91" s="734">
        <f t="shared" ref="AP91:AR91" si="86">AN91-AO91</f>
        <v>7400</v>
      </c>
      <c r="AQ91" s="734"/>
      <c r="AR91" s="734">
        <f t="shared" si="86"/>
        <v>7400</v>
      </c>
    </row>
    <row r="92" spans="1:48">
      <c r="A92" s="184"/>
      <c r="B92" s="184"/>
      <c r="C92" s="185">
        <v>50</v>
      </c>
      <c r="D92" s="198"/>
      <c r="E92" s="185">
        <v>0</v>
      </c>
      <c r="F92" s="185">
        <v>0</v>
      </c>
      <c r="G92" s="185">
        <v>0</v>
      </c>
      <c r="H92" s="185">
        <v>0</v>
      </c>
      <c r="I92" s="185">
        <v>0</v>
      </c>
      <c r="J92" s="198"/>
      <c r="K92" s="185">
        <v>0</v>
      </c>
      <c r="L92" s="185">
        <v>0</v>
      </c>
      <c r="M92" s="185">
        <v>0</v>
      </c>
      <c r="N92" s="193">
        <v>2</v>
      </c>
      <c r="O92" s="193">
        <v>2</v>
      </c>
      <c r="P92" s="193">
        <v>2</v>
      </c>
      <c r="Q92" s="198"/>
      <c r="R92" s="193">
        <v>0</v>
      </c>
      <c r="S92" s="193">
        <v>2</v>
      </c>
      <c r="T92" s="193">
        <v>0</v>
      </c>
      <c r="U92" s="193">
        <v>2</v>
      </c>
      <c r="V92" s="193">
        <v>2</v>
      </c>
      <c r="W92" s="193">
        <v>2</v>
      </c>
      <c r="X92" s="198"/>
      <c r="Y92" s="193">
        <v>0</v>
      </c>
      <c r="Z92" s="193">
        <v>2</v>
      </c>
      <c r="AA92" s="193">
        <v>2</v>
      </c>
      <c r="AB92" s="193">
        <v>2</v>
      </c>
      <c r="AC92" s="193">
        <v>2</v>
      </c>
      <c r="AD92" s="193">
        <v>2</v>
      </c>
      <c r="AE92" s="213">
        <v>8</v>
      </c>
      <c r="AF92" s="193">
        <v>2</v>
      </c>
      <c r="AG92" s="193">
        <v>2</v>
      </c>
      <c r="AH92" s="193">
        <v>0</v>
      </c>
      <c r="AI92" s="185">
        <f t="shared" si="75"/>
        <v>36</v>
      </c>
      <c r="AJ92" s="185">
        <v>0</v>
      </c>
      <c r="AK92" s="185">
        <v>0</v>
      </c>
      <c r="AL92" s="185">
        <f t="shared" ref="AL92" si="87">AI92+AJ92-AK92</f>
        <v>36</v>
      </c>
      <c r="AM92" s="185">
        <f t="shared" si="77"/>
        <v>1800</v>
      </c>
      <c r="AN92" s="734"/>
      <c r="AO92" s="735"/>
      <c r="AP92" s="734"/>
      <c r="AQ92" s="734"/>
      <c r="AR92" s="734"/>
    </row>
    <row r="93" spans="1:48">
      <c r="A93" s="741" t="s">
        <v>103</v>
      </c>
      <c r="B93" s="741"/>
      <c r="C93" s="209"/>
      <c r="D93" s="209">
        <f t="shared" ref="D93:AR93" si="88">D79+D83+D85+D87+D89+D91+D81</f>
        <v>0</v>
      </c>
      <c r="E93" s="209">
        <f t="shared" si="88"/>
        <v>4</v>
      </c>
      <c r="F93" s="209">
        <f t="shared" si="88"/>
        <v>3</v>
      </c>
      <c r="G93" s="209">
        <f t="shared" si="88"/>
        <v>4</v>
      </c>
      <c r="H93" s="209">
        <f t="shared" si="88"/>
        <v>5</v>
      </c>
      <c r="I93" s="209">
        <f t="shared" si="88"/>
        <v>3</v>
      </c>
      <c r="J93" s="209">
        <f t="shared" si="88"/>
        <v>0</v>
      </c>
      <c r="K93" s="209">
        <f t="shared" si="88"/>
        <v>4</v>
      </c>
      <c r="L93" s="209">
        <f t="shared" si="88"/>
        <v>4.5</v>
      </c>
      <c r="M93" s="209">
        <f t="shared" si="88"/>
        <v>4</v>
      </c>
      <c r="N93" s="209">
        <f t="shared" si="88"/>
        <v>5</v>
      </c>
      <c r="O93" s="209">
        <f t="shared" si="88"/>
        <v>6</v>
      </c>
      <c r="P93" s="209">
        <f t="shared" si="88"/>
        <v>6</v>
      </c>
      <c r="Q93" s="209">
        <f t="shared" si="88"/>
        <v>0</v>
      </c>
      <c r="R93" s="209">
        <f t="shared" si="88"/>
        <v>4</v>
      </c>
      <c r="S93" s="209">
        <f t="shared" si="88"/>
        <v>4</v>
      </c>
      <c r="T93" s="209">
        <f t="shared" si="88"/>
        <v>3</v>
      </c>
      <c r="U93" s="209">
        <f t="shared" si="88"/>
        <v>5</v>
      </c>
      <c r="V93" s="209">
        <f t="shared" si="88"/>
        <v>6</v>
      </c>
      <c r="W93" s="209">
        <f t="shared" si="88"/>
        <v>5</v>
      </c>
      <c r="X93" s="209">
        <f t="shared" si="88"/>
        <v>0</v>
      </c>
      <c r="Y93" s="209">
        <f t="shared" si="88"/>
        <v>4</v>
      </c>
      <c r="Z93" s="210">
        <f t="shared" ref="Z93" si="89">Z79+Z83+Z85+Z87+Z89+Z91+Z81</f>
        <v>5</v>
      </c>
      <c r="AA93" s="209">
        <f t="shared" si="88"/>
        <v>5</v>
      </c>
      <c r="AB93" s="209">
        <f t="shared" si="88"/>
        <v>4</v>
      </c>
      <c r="AC93" s="209">
        <f t="shared" si="88"/>
        <v>5</v>
      </c>
      <c r="AD93" s="209">
        <f t="shared" si="88"/>
        <v>5</v>
      </c>
      <c r="AE93" s="209">
        <f t="shared" si="88"/>
        <v>0</v>
      </c>
      <c r="AF93" s="209">
        <f t="shared" si="88"/>
        <v>5</v>
      </c>
      <c r="AG93" s="209">
        <f t="shared" si="88"/>
        <v>5</v>
      </c>
      <c r="AH93" s="209">
        <f t="shared" si="88"/>
        <v>4</v>
      </c>
      <c r="AI93" s="209">
        <f t="shared" si="88"/>
        <v>117.5</v>
      </c>
      <c r="AJ93" s="209">
        <f t="shared" si="88"/>
        <v>7</v>
      </c>
      <c r="AK93" s="209">
        <f t="shared" si="88"/>
        <v>0</v>
      </c>
      <c r="AL93" s="209">
        <f t="shared" si="88"/>
        <v>124.5</v>
      </c>
      <c r="AM93" s="209">
        <f t="shared" si="88"/>
        <v>51135.483870967742</v>
      </c>
      <c r="AN93" s="209">
        <f t="shared" si="88"/>
        <v>66935.483870967742</v>
      </c>
      <c r="AO93" s="209">
        <f t="shared" si="88"/>
        <v>0</v>
      </c>
      <c r="AP93" s="209">
        <f t="shared" si="88"/>
        <v>66935.483870967742</v>
      </c>
      <c r="AQ93" s="209">
        <f t="shared" si="88"/>
        <v>0</v>
      </c>
      <c r="AR93" s="209">
        <f t="shared" si="88"/>
        <v>66950</v>
      </c>
    </row>
    <row r="94" spans="1:48">
      <c r="A94" s="742" t="s">
        <v>106</v>
      </c>
      <c r="B94" s="742"/>
      <c r="C94" s="208"/>
      <c r="D94" s="208">
        <f>D80+D82+D84+D86+D88++D90+D92</f>
        <v>0</v>
      </c>
      <c r="E94" s="208">
        <f t="shared" ref="E94:AR94" si="90">E80+E82+E84+E86+E88++E90+E92</f>
        <v>8</v>
      </c>
      <c r="F94" s="208">
        <f t="shared" si="90"/>
        <v>6</v>
      </c>
      <c r="G94" s="208">
        <f t="shared" si="90"/>
        <v>8</v>
      </c>
      <c r="H94" s="208">
        <f t="shared" si="90"/>
        <v>8</v>
      </c>
      <c r="I94" s="208">
        <f t="shared" si="90"/>
        <v>6</v>
      </c>
      <c r="J94" s="208">
        <f t="shared" si="90"/>
        <v>24</v>
      </c>
      <c r="K94" s="208">
        <f t="shared" si="90"/>
        <v>6</v>
      </c>
      <c r="L94" s="208">
        <f t="shared" si="90"/>
        <v>8</v>
      </c>
      <c r="M94" s="208">
        <f t="shared" si="90"/>
        <v>8</v>
      </c>
      <c r="N94" s="208">
        <f t="shared" si="90"/>
        <v>10</v>
      </c>
      <c r="O94" s="208">
        <f t="shared" si="90"/>
        <v>10</v>
      </c>
      <c r="P94" s="208">
        <f t="shared" si="90"/>
        <v>10</v>
      </c>
      <c r="Q94" s="208">
        <f t="shared" si="90"/>
        <v>32</v>
      </c>
      <c r="R94" s="208">
        <f t="shared" si="90"/>
        <v>8</v>
      </c>
      <c r="S94" s="208">
        <f t="shared" si="90"/>
        <v>8</v>
      </c>
      <c r="T94" s="208">
        <f t="shared" si="90"/>
        <v>6</v>
      </c>
      <c r="U94" s="208">
        <f t="shared" si="90"/>
        <v>10</v>
      </c>
      <c r="V94" s="208">
        <f t="shared" si="90"/>
        <v>10</v>
      </c>
      <c r="W94" s="208">
        <f t="shared" si="90"/>
        <v>8</v>
      </c>
      <c r="X94" s="208">
        <f t="shared" si="90"/>
        <v>32</v>
      </c>
      <c r="Y94" s="208">
        <f t="shared" si="90"/>
        <v>6</v>
      </c>
      <c r="Z94" s="211">
        <f t="shared" ref="Z94" si="91">Z80+Z82+Z84+Z86+Z88++Z90+Z92</f>
        <v>8</v>
      </c>
      <c r="AA94" s="208">
        <f t="shared" si="90"/>
        <v>8</v>
      </c>
      <c r="AB94" s="208">
        <f t="shared" si="90"/>
        <v>8</v>
      </c>
      <c r="AC94" s="208">
        <f t="shared" si="90"/>
        <v>8</v>
      </c>
      <c r="AD94" s="208">
        <f t="shared" si="90"/>
        <v>8</v>
      </c>
      <c r="AE94" s="208">
        <f t="shared" si="90"/>
        <v>24</v>
      </c>
      <c r="AF94" s="208">
        <f t="shared" si="90"/>
        <v>8</v>
      </c>
      <c r="AG94" s="208">
        <f t="shared" si="90"/>
        <v>6</v>
      </c>
      <c r="AH94" s="208">
        <f t="shared" si="90"/>
        <v>6</v>
      </c>
      <c r="AI94" s="208">
        <f t="shared" si="90"/>
        <v>316</v>
      </c>
      <c r="AJ94" s="208">
        <f t="shared" si="90"/>
        <v>0</v>
      </c>
      <c r="AK94" s="208">
        <f t="shared" si="90"/>
        <v>0</v>
      </c>
      <c r="AL94" s="208">
        <f t="shared" si="90"/>
        <v>316</v>
      </c>
      <c r="AM94" s="208">
        <f t="shared" si="90"/>
        <v>15800</v>
      </c>
      <c r="AN94" s="208">
        <f t="shared" si="90"/>
        <v>0</v>
      </c>
      <c r="AO94" s="208">
        <f t="shared" si="90"/>
        <v>0</v>
      </c>
      <c r="AP94" s="208">
        <f t="shared" si="90"/>
        <v>0</v>
      </c>
      <c r="AQ94" s="208">
        <f t="shared" si="90"/>
        <v>0</v>
      </c>
      <c r="AR94" s="208">
        <f t="shared" si="90"/>
        <v>0</v>
      </c>
    </row>
    <row r="97" spans="1:44" ht="23.25">
      <c r="A97" s="744" t="s">
        <v>0</v>
      </c>
      <c r="B97" s="745" t="s">
        <v>1</v>
      </c>
      <c r="C97" s="745"/>
      <c r="D97" s="746" t="s">
        <v>124</v>
      </c>
      <c r="E97" s="746"/>
      <c r="F97" s="746"/>
      <c r="G97" s="746"/>
      <c r="H97" s="746"/>
      <c r="I97" s="746"/>
      <c r="J97" s="746"/>
      <c r="K97" s="746"/>
      <c r="L97" s="746"/>
      <c r="M97" s="746"/>
      <c r="N97" s="746"/>
      <c r="O97" s="746"/>
      <c r="P97" s="746"/>
      <c r="Q97" s="746"/>
      <c r="R97" s="746"/>
      <c r="S97" s="746"/>
      <c r="T97" s="746"/>
      <c r="U97" s="746"/>
      <c r="V97" s="746"/>
      <c r="W97" s="746"/>
      <c r="X97" s="746"/>
      <c r="Y97" s="746"/>
      <c r="Z97" s="746"/>
      <c r="AA97" s="746"/>
      <c r="AB97" s="746"/>
      <c r="AC97" s="746"/>
      <c r="AD97" s="746"/>
      <c r="AE97" s="746"/>
      <c r="AF97" s="746"/>
      <c r="AG97" s="747">
        <v>30</v>
      </c>
      <c r="AH97" s="747"/>
      <c r="AI97" s="743" t="s">
        <v>107</v>
      </c>
      <c r="AJ97" s="743" t="s">
        <v>45</v>
      </c>
      <c r="AK97" s="743" t="s">
        <v>108</v>
      </c>
      <c r="AL97" s="743" t="s">
        <v>112</v>
      </c>
      <c r="AM97" s="744" t="s">
        <v>7</v>
      </c>
      <c r="AN97" s="744"/>
      <c r="AO97" s="743" t="s">
        <v>93</v>
      </c>
      <c r="AP97" s="743" t="s">
        <v>109</v>
      </c>
      <c r="AQ97" s="743" t="s">
        <v>33</v>
      </c>
      <c r="AR97" s="743" t="s">
        <v>111</v>
      </c>
    </row>
    <row r="98" spans="1:44">
      <c r="A98" s="744"/>
      <c r="B98" s="745"/>
      <c r="C98" s="745"/>
      <c r="D98" s="198">
        <v>1</v>
      </c>
      <c r="E98" s="198">
        <v>2</v>
      </c>
      <c r="F98" s="198">
        <v>3</v>
      </c>
      <c r="G98" s="198">
        <v>4</v>
      </c>
      <c r="H98" s="198">
        <v>5</v>
      </c>
      <c r="I98" s="198">
        <v>6</v>
      </c>
      <c r="J98" s="198">
        <v>7</v>
      </c>
      <c r="K98" s="198">
        <v>8</v>
      </c>
      <c r="L98" s="198">
        <v>9</v>
      </c>
      <c r="M98" s="198">
        <v>10</v>
      </c>
      <c r="N98" s="198">
        <v>11</v>
      </c>
      <c r="O98" s="198">
        <v>12</v>
      </c>
      <c r="P98" s="198">
        <v>13</v>
      </c>
      <c r="Q98" s="198">
        <v>14</v>
      </c>
      <c r="R98" s="198">
        <v>15</v>
      </c>
      <c r="S98" s="198">
        <v>16</v>
      </c>
      <c r="T98" s="198">
        <v>17</v>
      </c>
      <c r="U98" s="198">
        <v>18</v>
      </c>
      <c r="V98" s="198">
        <v>19</v>
      </c>
      <c r="W98" s="198">
        <v>20</v>
      </c>
      <c r="X98" s="198">
        <v>21</v>
      </c>
      <c r="Y98" s="198">
        <v>22</v>
      </c>
      <c r="Z98" s="198">
        <v>23</v>
      </c>
      <c r="AA98" s="198">
        <v>24</v>
      </c>
      <c r="AB98" s="198">
        <v>25</v>
      </c>
      <c r="AC98" s="198">
        <v>26</v>
      </c>
      <c r="AD98" s="198">
        <v>27</v>
      </c>
      <c r="AE98" s="198">
        <v>28</v>
      </c>
      <c r="AF98" s="198">
        <v>29</v>
      </c>
      <c r="AG98" s="198">
        <v>30</v>
      </c>
      <c r="AH98" s="203">
        <v>31</v>
      </c>
      <c r="AI98" s="743"/>
      <c r="AJ98" s="743"/>
      <c r="AK98" s="743"/>
      <c r="AL98" s="743"/>
      <c r="AM98" s="744"/>
      <c r="AN98" s="744"/>
      <c r="AO98" s="743"/>
      <c r="AP98" s="743"/>
      <c r="AQ98" s="743"/>
      <c r="AR98" s="743"/>
    </row>
    <row r="99" spans="1:44">
      <c r="A99" s="185">
        <v>1</v>
      </c>
      <c r="B99" s="184" t="s">
        <v>127</v>
      </c>
      <c r="C99" s="184">
        <v>400</v>
      </c>
      <c r="D99" s="185"/>
      <c r="E99" s="185"/>
      <c r="F99" s="185"/>
      <c r="G99" s="198"/>
      <c r="H99" s="185"/>
      <c r="I99" s="185"/>
      <c r="J99" s="185"/>
      <c r="K99" s="185">
        <v>1</v>
      </c>
      <c r="L99" s="185">
        <v>1</v>
      </c>
      <c r="M99" s="185">
        <v>1</v>
      </c>
      <c r="N99" s="198"/>
      <c r="O99" s="185">
        <v>1</v>
      </c>
      <c r="P99" s="185">
        <v>1</v>
      </c>
      <c r="Q99" s="185">
        <v>1</v>
      </c>
      <c r="R99" s="185">
        <v>1</v>
      </c>
      <c r="S99" s="185">
        <v>1</v>
      </c>
      <c r="T99" s="185">
        <v>1</v>
      </c>
      <c r="U99" s="198"/>
      <c r="V99" s="185">
        <v>1</v>
      </c>
      <c r="W99" s="185">
        <v>1</v>
      </c>
      <c r="X99" s="185">
        <v>1</v>
      </c>
      <c r="Y99" s="185">
        <v>1</v>
      </c>
      <c r="Z99" s="185">
        <v>1</v>
      </c>
      <c r="AA99" s="185">
        <v>1</v>
      </c>
      <c r="AB99" s="198"/>
      <c r="AC99" s="185">
        <v>1</v>
      </c>
      <c r="AD99" s="185">
        <v>1</v>
      </c>
      <c r="AE99" s="185">
        <v>1</v>
      </c>
      <c r="AF99" s="185">
        <v>1</v>
      </c>
      <c r="AG99" s="185">
        <v>1</v>
      </c>
      <c r="AH99" s="203"/>
      <c r="AI99" s="185">
        <f>SUM(D99:AH99)</f>
        <v>20</v>
      </c>
      <c r="AJ99" s="185">
        <v>0</v>
      </c>
      <c r="AK99" s="185">
        <v>0</v>
      </c>
      <c r="AL99" s="185">
        <f>AI99+AJ99-AK99</f>
        <v>20</v>
      </c>
      <c r="AM99" s="185">
        <f>AL99*C99</f>
        <v>8000</v>
      </c>
      <c r="AN99" s="734">
        <f>AM99+AM100</f>
        <v>11750</v>
      </c>
      <c r="AO99" s="735">
        <v>1500</v>
      </c>
      <c r="AP99" s="734">
        <f t="shared" ref="AP99" si="92">AN99-AO99</f>
        <v>10250</v>
      </c>
      <c r="AQ99" s="734"/>
      <c r="AR99" s="734"/>
    </row>
    <row r="100" spans="1:44">
      <c r="A100" s="184"/>
      <c r="B100" s="184"/>
      <c r="C100" s="185">
        <v>50</v>
      </c>
      <c r="D100" s="185"/>
      <c r="E100" s="185"/>
      <c r="F100" s="185"/>
      <c r="G100" s="198"/>
      <c r="H100" s="185"/>
      <c r="I100" s="185"/>
      <c r="J100" s="185"/>
      <c r="K100" s="193">
        <v>2</v>
      </c>
      <c r="L100" s="193">
        <v>2</v>
      </c>
      <c r="M100" s="193">
        <v>3.5</v>
      </c>
      <c r="N100" s="198"/>
      <c r="O100" s="193">
        <v>3.5</v>
      </c>
      <c r="P100" s="193">
        <v>3.5</v>
      </c>
      <c r="Q100" s="193">
        <v>3.5</v>
      </c>
      <c r="R100" s="193">
        <v>3.5</v>
      </c>
      <c r="S100" s="193">
        <v>3.5</v>
      </c>
      <c r="T100" s="193">
        <v>3.5</v>
      </c>
      <c r="U100" s="198"/>
      <c r="V100" s="193">
        <v>3.5</v>
      </c>
      <c r="W100" s="193">
        <v>3.5</v>
      </c>
      <c r="X100" s="193">
        <v>3.5</v>
      </c>
      <c r="Y100" s="193">
        <v>3.5</v>
      </c>
      <c r="Z100" s="193">
        <v>3.5</v>
      </c>
      <c r="AA100" s="193">
        <v>3.5</v>
      </c>
      <c r="AB100" s="213">
        <v>8</v>
      </c>
      <c r="AC100" s="193">
        <v>3.5</v>
      </c>
      <c r="AD100" s="193">
        <v>3.5</v>
      </c>
      <c r="AE100" s="193">
        <v>3.5</v>
      </c>
      <c r="AF100" s="193">
        <v>3.5</v>
      </c>
      <c r="AG100" s="193">
        <v>3.5</v>
      </c>
      <c r="AH100" s="203"/>
      <c r="AI100" s="185">
        <f t="shared" ref="AI100:AI112" si="93">SUM(D100:AH100)</f>
        <v>75</v>
      </c>
      <c r="AJ100" s="185">
        <v>0</v>
      </c>
      <c r="AK100" s="185">
        <v>0</v>
      </c>
      <c r="AL100" s="185">
        <f t="shared" ref="AL100" si="94">AI100+AJ100-AK100</f>
        <v>75</v>
      </c>
      <c r="AM100" s="185">
        <f>AL100*C100</f>
        <v>3750</v>
      </c>
      <c r="AN100" s="734"/>
      <c r="AO100" s="735"/>
      <c r="AP100" s="734"/>
      <c r="AQ100" s="734"/>
      <c r="AR100" s="734"/>
    </row>
    <row r="101" spans="1:44">
      <c r="A101" s="185">
        <v>2</v>
      </c>
      <c r="B101" s="184" t="s">
        <v>123</v>
      </c>
      <c r="C101" s="184">
        <f>B102/AG97</f>
        <v>533.33333333333337</v>
      </c>
      <c r="D101" s="217">
        <v>1</v>
      </c>
      <c r="E101" s="190">
        <v>0</v>
      </c>
      <c r="F101" s="190">
        <v>0</v>
      </c>
      <c r="G101" s="198"/>
      <c r="H101" s="185">
        <v>1</v>
      </c>
      <c r="I101" s="185">
        <v>1</v>
      </c>
      <c r="J101" s="190">
        <v>0</v>
      </c>
      <c r="K101" s="217">
        <v>1</v>
      </c>
      <c r="L101" s="217">
        <v>1</v>
      </c>
      <c r="M101" s="185">
        <v>1</v>
      </c>
      <c r="N101" s="198"/>
      <c r="O101" s="217">
        <v>1</v>
      </c>
      <c r="P101" s="185">
        <v>1</v>
      </c>
      <c r="Q101" s="190">
        <v>0</v>
      </c>
      <c r="R101" s="217">
        <v>1</v>
      </c>
      <c r="S101" s="185">
        <v>1</v>
      </c>
      <c r="T101" s="185">
        <v>1</v>
      </c>
      <c r="U101" s="198"/>
      <c r="V101" s="185">
        <v>1</v>
      </c>
      <c r="W101" s="185">
        <v>1</v>
      </c>
      <c r="X101" s="190">
        <v>0</v>
      </c>
      <c r="Y101" s="190">
        <v>0</v>
      </c>
      <c r="Z101" s="190">
        <v>0</v>
      </c>
      <c r="AA101" s="190">
        <v>0</v>
      </c>
      <c r="AB101" s="198"/>
      <c r="AC101" s="190">
        <v>0</v>
      </c>
      <c r="AD101" s="190">
        <v>0</v>
      </c>
      <c r="AE101" s="190">
        <v>0</v>
      </c>
      <c r="AF101" s="190">
        <v>0</v>
      </c>
      <c r="AG101" s="190">
        <v>0</v>
      </c>
      <c r="AH101" s="203"/>
      <c r="AI101" s="185">
        <f t="shared" si="93"/>
        <v>13</v>
      </c>
      <c r="AJ101" s="185">
        <v>2</v>
      </c>
      <c r="AK101" s="185">
        <v>0</v>
      </c>
      <c r="AL101" s="185">
        <f>AI101+AJ101-AK101</f>
        <v>15</v>
      </c>
      <c r="AM101" s="185">
        <f>AL101*C101</f>
        <v>8000.0000000000009</v>
      </c>
      <c r="AN101" s="734">
        <f>AM101+AM102</f>
        <v>8000.0000000000009</v>
      </c>
      <c r="AO101" s="735">
        <v>1000</v>
      </c>
      <c r="AP101" s="734">
        <f t="shared" ref="AP101" si="95">AN101-AO101</f>
        <v>7000.0000000000009</v>
      </c>
      <c r="AQ101" s="734">
        <v>5000</v>
      </c>
      <c r="AR101" s="734"/>
    </row>
    <row r="102" spans="1:44">
      <c r="A102" s="185">
        <f>C101/10</f>
        <v>53.333333333333336</v>
      </c>
      <c r="B102" s="184">
        <v>16000</v>
      </c>
      <c r="C102" s="185">
        <f>A102*1.5</f>
        <v>80</v>
      </c>
      <c r="D102" s="193">
        <v>0</v>
      </c>
      <c r="E102" s="193">
        <v>0</v>
      </c>
      <c r="F102" s="193">
        <v>0</v>
      </c>
      <c r="G102" s="198"/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8"/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8"/>
      <c r="V102" s="193">
        <v>0</v>
      </c>
      <c r="W102" s="193">
        <v>0</v>
      </c>
      <c r="X102" s="193">
        <v>0</v>
      </c>
      <c r="Y102" s="193">
        <v>0</v>
      </c>
      <c r="Z102" s="193">
        <v>0</v>
      </c>
      <c r="AA102" s="193">
        <v>0</v>
      </c>
      <c r="AB102" s="198"/>
      <c r="AC102" s="193">
        <v>0</v>
      </c>
      <c r="AD102" s="193">
        <v>0</v>
      </c>
      <c r="AE102" s="193">
        <v>0</v>
      </c>
      <c r="AF102" s="193">
        <v>0</v>
      </c>
      <c r="AG102" s="193">
        <v>0</v>
      </c>
      <c r="AH102" s="203"/>
      <c r="AI102" s="185">
        <f t="shared" si="93"/>
        <v>0</v>
      </c>
      <c r="AJ102" s="185">
        <v>0</v>
      </c>
      <c r="AK102" s="185">
        <v>0</v>
      </c>
      <c r="AL102" s="185">
        <f t="shared" ref="AL102" si="96">AI102+AJ102-AK102</f>
        <v>0</v>
      </c>
      <c r="AM102" s="185">
        <f>AL102*C102</f>
        <v>0</v>
      </c>
      <c r="AN102" s="734"/>
      <c r="AO102" s="735"/>
      <c r="AP102" s="734"/>
      <c r="AQ102" s="734"/>
      <c r="AR102" s="734"/>
    </row>
    <row r="103" spans="1:44">
      <c r="A103" s="185">
        <v>3</v>
      </c>
      <c r="B103" s="184" t="s">
        <v>104</v>
      </c>
      <c r="C103" s="184">
        <v>400</v>
      </c>
      <c r="D103" s="185">
        <v>1</v>
      </c>
      <c r="E103" s="185">
        <v>1</v>
      </c>
      <c r="F103" s="185">
        <v>1</v>
      </c>
      <c r="G103" s="198"/>
      <c r="H103" s="185">
        <v>1</v>
      </c>
      <c r="I103" s="185">
        <v>1</v>
      </c>
      <c r="J103" s="190">
        <v>0</v>
      </c>
      <c r="K103" s="185">
        <v>1</v>
      </c>
      <c r="L103" s="185">
        <v>1</v>
      </c>
      <c r="M103" s="185">
        <v>1</v>
      </c>
      <c r="N103" s="198"/>
      <c r="O103" s="185">
        <v>1</v>
      </c>
      <c r="P103" s="185">
        <v>1</v>
      </c>
      <c r="Q103" s="190">
        <v>0</v>
      </c>
      <c r="R103" s="185">
        <v>1</v>
      </c>
      <c r="S103" s="185">
        <v>1</v>
      </c>
      <c r="T103" s="185">
        <v>1</v>
      </c>
      <c r="U103" s="198"/>
      <c r="V103" s="185">
        <v>1</v>
      </c>
      <c r="W103" s="185">
        <v>1</v>
      </c>
      <c r="X103" s="185">
        <v>1</v>
      </c>
      <c r="Y103" s="185">
        <v>1</v>
      </c>
      <c r="Z103" s="185">
        <v>1</v>
      </c>
      <c r="AA103" s="185">
        <v>1</v>
      </c>
      <c r="AB103" s="198"/>
      <c r="AC103" s="185">
        <v>1</v>
      </c>
      <c r="AD103" s="185">
        <v>1</v>
      </c>
      <c r="AE103" s="190">
        <v>0</v>
      </c>
      <c r="AF103" s="185">
        <v>1</v>
      </c>
      <c r="AG103" s="185">
        <v>1</v>
      </c>
      <c r="AH103" s="203"/>
      <c r="AI103" s="185">
        <f t="shared" si="93"/>
        <v>23</v>
      </c>
      <c r="AJ103" s="185">
        <v>4</v>
      </c>
      <c r="AK103" s="185">
        <v>0</v>
      </c>
      <c r="AL103" s="185">
        <f>AI103+AJ103-AK103</f>
        <v>27</v>
      </c>
      <c r="AM103" s="185">
        <f t="shared" ref="AM103:AM112" si="97">AL103*C103</f>
        <v>10800</v>
      </c>
      <c r="AN103" s="734">
        <f>AM103+AM104</f>
        <v>15275</v>
      </c>
      <c r="AO103" s="735">
        <v>0</v>
      </c>
      <c r="AP103" s="734">
        <f t="shared" ref="AP103" si="98">AN103-AO103</f>
        <v>15275</v>
      </c>
      <c r="AQ103" s="734"/>
      <c r="AR103" s="734"/>
    </row>
    <row r="104" spans="1:44">
      <c r="A104" s="185">
        <f>C103/8</f>
        <v>50</v>
      </c>
      <c r="B104" s="184">
        <v>15000</v>
      </c>
      <c r="C104" s="185">
        <v>50</v>
      </c>
      <c r="D104" s="193">
        <v>3.5</v>
      </c>
      <c r="E104" s="193">
        <v>3.5</v>
      </c>
      <c r="F104" s="193">
        <v>3.5</v>
      </c>
      <c r="G104" s="198"/>
      <c r="H104" s="193">
        <v>3.5</v>
      </c>
      <c r="I104" s="193">
        <v>1</v>
      </c>
      <c r="J104" s="216">
        <v>5</v>
      </c>
      <c r="K104" s="193">
        <v>2</v>
      </c>
      <c r="L104" s="193">
        <v>2</v>
      </c>
      <c r="M104" s="193">
        <v>3.5</v>
      </c>
      <c r="N104" s="198"/>
      <c r="O104" s="193">
        <v>3.5</v>
      </c>
      <c r="P104" s="216">
        <v>1.5</v>
      </c>
      <c r="Q104" s="193">
        <v>0</v>
      </c>
      <c r="R104" s="193">
        <v>3.5</v>
      </c>
      <c r="S104" s="193">
        <v>3.5</v>
      </c>
      <c r="T104" s="193">
        <v>3.5</v>
      </c>
      <c r="U104" s="213">
        <v>7</v>
      </c>
      <c r="V104" s="193">
        <v>3.5</v>
      </c>
      <c r="W104" s="193">
        <v>3.5</v>
      </c>
      <c r="X104" s="193">
        <v>3.5</v>
      </c>
      <c r="Y104" s="193">
        <v>3.5</v>
      </c>
      <c r="Z104" s="193">
        <v>3.5</v>
      </c>
      <c r="AA104" s="193">
        <v>3.5</v>
      </c>
      <c r="AB104" s="213">
        <v>8</v>
      </c>
      <c r="AC104" s="193">
        <v>3.5</v>
      </c>
      <c r="AD104" s="193">
        <v>0</v>
      </c>
      <c r="AE104" s="193">
        <v>0</v>
      </c>
      <c r="AF104" s="193">
        <v>3.5</v>
      </c>
      <c r="AG104" s="193">
        <v>3.5</v>
      </c>
      <c r="AH104" s="203"/>
      <c r="AI104" s="185">
        <f t="shared" si="93"/>
        <v>89.5</v>
      </c>
      <c r="AJ104" s="185">
        <v>0</v>
      </c>
      <c r="AK104" s="185">
        <v>0</v>
      </c>
      <c r="AL104" s="185">
        <f t="shared" ref="AL104" si="99">AI104+AJ104-AK104</f>
        <v>89.5</v>
      </c>
      <c r="AM104" s="185">
        <f t="shared" si="97"/>
        <v>4475</v>
      </c>
      <c r="AN104" s="734"/>
      <c r="AO104" s="735"/>
      <c r="AP104" s="734"/>
      <c r="AQ104" s="734"/>
      <c r="AR104" s="734"/>
    </row>
    <row r="105" spans="1:44">
      <c r="A105" s="185">
        <v>4</v>
      </c>
      <c r="B105" s="184" t="s">
        <v>99</v>
      </c>
      <c r="C105" s="184">
        <v>400</v>
      </c>
      <c r="D105" s="185">
        <v>1</v>
      </c>
      <c r="E105" s="185">
        <v>1</v>
      </c>
      <c r="F105" s="190">
        <v>0</v>
      </c>
      <c r="G105" s="198"/>
      <c r="H105" s="185">
        <v>1</v>
      </c>
      <c r="I105" s="190">
        <v>0</v>
      </c>
      <c r="J105" s="190">
        <v>0</v>
      </c>
      <c r="K105" s="185">
        <v>1</v>
      </c>
      <c r="L105" s="185">
        <v>1</v>
      </c>
      <c r="M105" s="190">
        <v>0</v>
      </c>
      <c r="N105" s="198"/>
      <c r="O105" s="190">
        <v>0</v>
      </c>
      <c r="P105" s="190">
        <v>0</v>
      </c>
      <c r="Q105" s="190">
        <v>0</v>
      </c>
      <c r="R105" s="190">
        <v>0</v>
      </c>
      <c r="S105" s="190">
        <v>0</v>
      </c>
      <c r="T105" s="190">
        <v>0</v>
      </c>
      <c r="U105" s="198"/>
      <c r="V105" s="190">
        <v>0</v>
      </c>
      <c r="W105" s="190">
        <v>0</v>
      </c>
      <c r="X105" s="190">
        <v>0</v>
      </c>
      <c r="Y105" s="190">
        <v>0</v>
      </c>
      <c r="Z105" s="190">
        <v>0</v>
      </c>
      <c r="AA105" s="190">
        <v>0</v>
      </c>
      <c r="AB105" s="198"/>
      <c r="AC105" s="190">
        <v>0</v>
      </c>
      <c r="AD105" s="185">
        <v>1</v>
      </c>
      <c r="AE105" s="185">
        <v>1</v>
      </c>
      <c r="AF105" s="185">
        <v>1</v>
      </c>
      <c r="AG105" s="185">
        <v>1</v>
      </c>
      <c r="AH105" s="203"/>
      <c r="AI105" s="185">
        <f t="shared" si="93"/>
        <v>9</v>
      </c>
      <c r="AJ105" s="185">
        <v>0</v>
      </c>
      <c r="AK105" s="185">
        <v>0</v>
      </c>
      <c r="AL105" s="185">
        <f>AI105+AJ105-AK105</f>
        <v>9</v>
      </c>
      <c r="AM105" s="185">
        <f t="shared" si="97"/>
        <v>3600</v>
      </c>
      <c r="AN105" s="734">
        <f>AM105+AM106</f>
        <v>5275</v>
      </c>
      <c r="AO105" s="735">
        <v>0</v>
      </c>
      <c r="AP105" s="734">
        <f t="shared" ref="AP105" si="100">AN105-AO105</f>
        <v>5275</v>
      </c>
      <c r="AQ105" s="734"/>
      <c r="AR105" s="734"/>
    </row>
    <row r="106" spans="1:44">
      <c r="A106" s="184"/>
      <c r="B106" s="184"/>
      <c r="C106" s="185">
        <v>50</v>
      </c>
      <c r="D106" s="193">
        <v>3.5</v>
      </c>
      <c r="E106" s="193">
        <v>3.5</v>
      </c>
      <c r="F106" s="193">
        <v>0</v>
      </c>
      <c r="G106" s="198"/>
      <c r="H106" s="193">
        <v>3.5</v>
      </c>
      <c r="I106" s="193">
        <v>0</v>
      </c>
      <c r="J106" s="216">
        <v>5</v>
      </c>
      <c r="K106" s="193">
        <v>2</v>
      </c>
      <c r="L106" s="193">
        <v>2</v>
      </c>
      <c r="M106" s="193">
        <v>0</v>
      </c>
      <c r="N106" s="198"/>
      <c r="O106" s="193">
        <v>0</v>
      </c>
      <c r="P106" s="193">
        <v>0</v>
      </c>
      <c r="Q106" s="193">
        <v>0</v>
      </c>
      <c r="R106" s="193">
        <v>0</v>
      </c>
      <c r="S106" s="193">
        <v>0</v>
      </c>
      <c r="T106" s="193">
        <v>0</v>
      </c>
      <c r="U106" s="198"/>
      <c r="V106" s="193">
        <v>0</v>
      </c>
      <c r="W106" s="193">
        <v>0</v>
      </c>
      <c r="X106" s="193">
        <v>0</v>
      </c>
      <c r="Y106" s="193">
        <v>0</v>
      </c>
      <c r="Z106" s="193">
        <v>0</v>
      </c>
      <c r="AA106" s="193">
        <v>0</v>
      </c>
      <c r="AB106" s="198"/>
      <c r="AC106" s="193">
        <v>0</v>
      </c>
      <c r="AD106" s="193">
        <v>3.5</v>
      </c>
      <c r="AE106" s="193">
        <v>3.5</v>
      </c>
      <c r="AF106" s="193">
        <v>3.5</v>
      </c>
      <c r="AG106" s="193">
        <v>3.5</v>
      </c>
      <c r="AH106" s="203"/>
      <c r="AI106" s="185">
        <f t="shared" si="93"/>
        <v>33.5</v>
      </c>
      <c r="AJ106" s="185">
        <v>0</v>
      </c>
      <c r="AK106" s="185">
        <v>0</v>
      </c>
      <c r="AL106" s="185">
        <f t="shared" ref="AL106" si="101">AI106+AJ106-AK106</f>
        <v>33.5</v>
      </c>
      <c r="AM106" s="185">
        <f t="shared" si="97"/>
        <v>1675</v>
      </c>
      <c r="AN106" s="734"/>
      <c r="AO106" s="735"/>
      <c r="AP106" s="734"/>
      <c r="AQ106" s="734"/>
      <c r="AR106" s="734"/>
    </row>
    <row r="107" spans="1:44">
      <c r="A107" s="185">
        <v>5</v>
      </c>
      <c r="B107" s="184" t="s">
        <v>114</v>
      </c>
      <c r="C107" s="185">
        <v>440</v>
      </c>
      <c r="D107" s="185">
        <v>1</v>
      </c>
      <c r="E107" s="185">
        <v>1</v>
      </c>
      <c r="F107" s="185">
        <v>1</v>
      </c>
      <c r="G107" s="198"/>
      <c r="H107" s="190">
        <v>0</v>
      </c>
      <c r="I107" s="185">
        <v>1</v>
      </c>
      <c r="J107" s="190">
        <v>0</v>
      </c>
      <c r="K107" s="185">
        <v>1</v>
      </c>
      <c r="L107" s="185">
        <v>1</v>
      </c>
      <c r="M107" s="185">
        <v>1</v>
      </c>
      <c r="N107" s="198"/>
      <c r="O107" s="185">
        <v>1</v>
      </c>
      <c r="P107" s="190">
        <v>0</v>
      </c>
      <c r="Q107" s="185">
        <v>1</v>
      </c>
      <c r="R107" s="185">
        <v>1</v>
      </c>
      <c r="S107" s="185">
        <v>1</v>
      </c>
      <c r="T107" s="185">
        <v>1</v>
      </c>
      <c r="U107" s="198"/>
      <c r="V107" s="185">
        <v>1</v>
      </c>
      <c r="W107" s="185">
        <v>1</v>
      </c>
      <c r="X107" s="185">
        <v>1</v>
      </c>
      <c r="Y107" s="190">
        <v>0</v>
      </c>
      <c r="Z107" s="190">
        <v>0</v>
      </c>
      <c r="AA107" s="190">
        <v>0</v>
      </c>
      <c r="AB107" s="198"/>
      <c r="AC107" s="190">
        <v>0</v>
      </c>
      <c r="AD107" s="190">
        <v>0</v>
      </c>
      <c r="AE107" s="190">
        <v>0</v>
      </c>
      <c r="AF107" s="190">
        <v>0</v>
      </c>
      <c r="AG107" s="190">
        <v>0</v>
      </c>
      <c r="AH107" s="203"/>
      <c r="AI107" s="185">
        <f t="shared" si="93"/>
        <v>15</v>
      </c>
      <c r="AJ107" s="185">
        <v>0</v>
      </c>
      <c r="AK107" s="185">
        <v>0</v>
      </c>
      <c r="AL107" s="185">
        <f>AI107+AJ107-AK107</f>
        <v>15</v>
      </c>
      <c r="AM107" s="185">
        <f t="shared" si="97"/>
        <v>6600</v>
      </c>
      <c r="AN107" s="734">
        <f>AM107+AM108</f>
        <v>10065</v>
      </c>
      <c r="AO107" s="735">
        <v>0</v>
      </c>
      <c r="AP107" s="734">
        <f t="shared" ref="AP107" si="102">AN107-AO107</f>
        <v>10065</v>
      </c>
      <c r="AQ107" s="734"/>
      <c r="AR107" s="734"/>
    </row>
    <row r="108" spans="1:44">
      <c r="A108" s="184"/>
      <c r="B108" s="184"/>
      <c r="C108" s="185">
        <v>55</v>
      </c>
      <c r="D108" s="193">
        <v>3.5</v>
      </c>
      <c r="E108" s="193">
        <v>3.5</v>
      </c>
      <c r="F108" s="193">
        <v>3.5</v>
      </c>
      <c r="G108" s="198"/>
      <c r="H108" s="193">
        <v>0</v>
      </c>
      <c r="I108" s="193">
        <v>1</v>
      </c>
      <c r="J108" s="216">
        <v>5</v>
      </c>
      <c r="K108" s="193">
        <v>2</v>
      </c>
      <c r="L108" s="193">
        <v>2</v>
      </c>
      <c r="M108" s="193">
        <v>3.5</v>
      </c>
      <c r="N108" s="198"/>
      <c r="O108" s="193">
        <v>3.5</v>
      </c>
      <c r="P108" s="216">
        <v>5</v>
      </c>
      <c r="Q108" s="193">
        <v>3.5</v>
      </c>
      <c r="R108" s="193">
        <v>3.5</v>
      </c>
      <c r="S108" s="193">
        <v>3.5</v>
      </c>
      <c r="T108" s="193">
        <v>3.5</v>
      </c>
      <c r="U108" s="213">
        <v>8</v>
      </c>
      <c r="V108" s="216">
        <v>1.5</v>
      </c>
      <c r="W108" s="193">
        <v>3.5</v>
      </c>
      <c r="X108" s="193">
        <v>3.5</v>
      </c>
      <c r="Y108" s="193">
        <v>0</v>
      </c>
      <c r="Z108" s="193">
        <v>0</v>
      </c>
      <c r="AA108" s="193">
        <v>0</v>
      </c>
      <c r="AB108" s="198"/>
      <c r="AC108" s="193">
        <v>0</v>
      </c>
      <c r="AD108" s="193">
        <v>0</v>
      </c>
      <c r="AE108" s="193">
        <v>0</v>
      </c>
      <c r="AF108" s="193">
        <v>0</v>
      </c>
      <c r="AG108" s="193">
        <v>0</v>
      </c>
      <c r="AH108" s="203"/>
      <c r="AI108" s="185">
        <f t="shared" si="93"/>
        <v>63</v>
      </c>
      <c r="AJ108" s="185">
        <v>0</v>
      </c>
      <c r="AK108" s="185">
        <v>0</v>
      </c>
      <c r="AL108" s="185">
        <f t="shared" ref="AL108" si="103">AI108+AJ108-AK108</f>
        <v>63</v>
      </c>
      <c r="AM108" s="185">
        <f t="shared" si="97"/>
        <v>3465</v>
      </c>
      <c r="AN108" s="734"/>
      <c r="AO108" s="735"/>
      <c r="AP108" s="734"/>
      <c r="AQ108" s="734"/>
      <c r="AR108" s="734"/>
    </row>
    <row r="109" spans="1:44">
      <c r="A109" s="185">
        <v>6</v>
      </c>
      <c r="B109" s="184" t="s">
        <v>125</v>
      </c>
      <c r="C109" s="185">
        <v>400</v>
      </c>
      <c r="D109" s="185">
        <v>1</v>
      </c>
      <c r="E109" s="185">
        <v>1</v>
      </c>
      <c r="F109" s="185">
        <v>1</v>
      </c>
      <c r="G109" s="198"/>
      <c r="H109" s="185">
        <v>1</v>
      </c>
      <c r="I109" s="185">
        <v>1</v>
      </c>
      <c r="J109" s="190">
        <v>0</v>
      </c>
      <c r="K109" s="185">
        <v>1</v>
      </c>
      <c r="L109" s="185">
        <v>1</v>
      </c>
      <c r="M109" s="190">
        <v>0</v>
      </c>
      <c r="N109" s="198"/>
      <c r="O109" s="185">
        <v>1</v>
      </c>
      <c r="P109" s="185">
        <v>1</v>
      </c>
      <c r="Q109" s="185">
        <v>1</v>
      </c>
      <c r="R109" s="185">
        <v>1</v>
      </c>
      <c r="S109" s="185">
        <v>1</v>
      </c>
      <c r="T109" s="185">
        <v>1</v>
      </c>
      <c r="U109" s="198"/>
      <c r="V109" s="185">
        <v>1</v>
      </c>
      <c r="W109" s="185">
        <v>1</v>
      </c>
      <c r="X109" s="185">
        <v>1</v>
      </c>
      <c r="Y109" s="185">
        <v>1</v>
      </c>
      <c r="Z109" s="185">
        <v>1</v>
      </c>
      <c r="AA109" s="185">
        <v>1</v>
      </c>
      <c r="AB109" s="198"/>
      <c r="AC109" s="185">
        <v>1</v>
      </c>
      <c r="AD109" s="185">
        <v>1</v>
      </c>
      <c r="AE109" s="185">
        <v>1</v>
      </c>
      <c r="AF109" s="185">
        <v>1</v>
      </c>
      <c r="AG109" s="185">
        <v>1</v>
      </c>
      <c r="AH109" s="203"/>
      <c r="AI109" s="185">
        <f t="shared" si="93"/>
        <v>24</v>
      </c>
      <c r="AJ109" s="185">
        <v>4</v>
      </c>
      <c r="AK109" s="185">
        <v>0</v>
      </c>
      <c r="AL109" s="185">
        <f>AI109+AJ109-AK109</f>
        <v>28</v>
      </c>
      <c r="AM109" s="185">
        <f t="shared" si="97"/>
        <v>11200</v>
      </c>
      <c r="AN109" s="734">
        <f>AM109+AM110</f>
        <v>16050</v>
      </c>
      <c r="AO109" s="735">
        <v>0</v>
      </c>
      <c r="AP109" s="734">
        <f t="shared" ref="AP109" si="104">AN109-AO109</f>
        <v>16050</v>
      </c>
      <c r="AQ109" s="734"/>
      <c r="AR109" s="734"/>
    </row>
    <row r="110" spans="1:44">
      <c r="A110" s="184"/>
      <c r="B110" s="184"/>
      <c r="C110" s="185">
        <v>50</v>
      </c>
      <c r="D110" s="193">
        <v>3.5</v>
      </c>
      <c r="E110" s="193">
        <v>3.5</v>
      </c>
      <c r="F110" s="193">
        <v>3.5</v>
      </c>
      <c r="G110" s="198"/>
      <c r="H110" s="193">
        <v>3.5</v>
      </c>
      <c r="I110" s="193">
        <v>1</v>
      </c>
      <c r="J110" s="216">
        <v>5</v>
      </c>
      <c r="K110" s="193">
        <v>2</v>
      </c>
      <c r="L110" s="193">
        <v>2</v>
      </c>
      <c r="M110" s="193">
        <v>0</v>
      </c>
      <c r="N110" s="198"/>
      <c r="O110" s="193">
        <v>3.5</v>
      </c>
      <c r="P110" s="193">
        <v>3.5</v>
      </c>
      <c r="Q110" s="193">
        <v>3.5</v>
      </c>
      <c r="R110" s="193">
        <v>3.5</v>
      </c>
      <c r="S110" s="216">
        <v>1.5</v>
      </c>
      <c r="T110" s="193">
        <v>3.5</v>
      </c>
      <c r="U110" s="213">
        <v>8</v>
      </c>
      <c r="V110" s="193">
        <v>3.5</v>
      </c>
      <c r="W110" s="193">
        <v>3.5</v>
      </c>
      <c r="X110" s="216">
        <v>3</v>
      </c>
      <c r="Y110" s="193">
        <v>3.5</v>
      </c>
      <c r="Z110" s="193">
        <v>3.5</v>
      </c>
      <c r="AA110" s="193">
        <v>3.5</v>
      </c>
      <c r="AB110" s="213">
        <v>8</v>
      </c>
      <c r="AC110" s="193">
        <v>3.5</v>
      </c>
      <c r="AD110" s="193">
        <v>3.5</v>
      </c>
      <c r="AE110" s="193">
        <v>3.5</v>
      </c>
      <c r="AF110" s="193">
        <v>3.5</v>
      </c>
      <c r="AG110" s="193">
        <v>3.5</v>
      </c>
      <c r="AH110" s="203"/>
      <c r="AI110" s="185">
        <f t="shared" si="93"/>
        <v>97</v>
      </c>
      <c r="AJ110" s="185">
        <v>0</v>
      </c>
      <c r="AK110" s="185">
        <v>0</v>
      </c>
      <c r="AL110" s="185">
        <f t="shared" ref="AL110" si="105">AI110+AJ110-AK110</f>
        <v>97</v>
      </c>
      <c r="AM110" s="185">
        <f t="shared" si="97"/>
        <v>4850</v>
      </c>
      <c r="AN110" s="734"/>
      <c r="AO110" s="735"/>
      <c r="AP110" s="734"/>
      <c r="AQ110" s="734"/>
      <c r="AR110" s="734"/>
    </row>
    <row r="111" spans="1:44">
      <c r="A111" s="185">
        <v>7</v>
      </c>
      <c r="B111" s="184" t="s">
        <v>128</v>
      </c>
      <c r="C111" s="185">
        <v>400</v>
      </c>
      <c r="D111" s="185">
        <v>1</v>
      </c>
      <c r="E111" s="185">
        <v>1</v>
      </c>
      <c r="F111" s="185">
        <v>1</v>
      </c>
      <c r="G111" s="198"/>
      <c r="H111" s="185">
        <v>1</v>
      </c>
      <c r="I111" s="185">
        <v>1</v>
      </c>
      <c r="J111" s="190">
        <v>0</v>
      </c>
      <c r="K111" s="185">
        <v>1</v>
      </c>
      <c r="L111" s="185">
        <v>1</v>
      </c>
      <c r="M111" s="185">
        <v>1</v>
      </c>
      <c r="N111" s="198"/>
      <c r="O111" s="185">
        <v>1</v>
      </c>
      <c r="P111" s="185">
        <v>1</v>
      </c>
      <c r="Q111" s="185">
        <v>1</v>
      </c>
      <c r="R111" s="185">
        <v>1</v>
      </c>
      <c r="S111" s="185">
        <v>1</v>
      </c>
      <c r="T111" s="185">
        <v>1</v>
      </c>
      <c r="U111" s="198"/>
      <c r="V111" s="185">
        <v>1</v>
      </c>
      <c r="W111" s="185">
        <v>1</v>
      </c>
      <c r="X111" s="185">
        <v>1</v>
      </c>
      <c r="Y111" s="185">
        <v>1</v>
      </c>
      <c r="Z111" s="185">
        <v>1</v>
      </c>
      <c r="AA111" s="185">
        <v>1</v>
      </c>
      <c r="AB111" s="198"/>
      <c r="AC111" s="185">
        <v>1</v>
      </c>
      <c r="AD111" s="185">
        <v>1</v>
      </c>
      <c r="AE111" s="185">
        <v>1</v>
      </c>
      <c r="AF111" s="185">
        <v>1</v>
      </c>
      <c r="AG111" s="185">
        <v>1</v>
      </c>
      <c r="AH111" s="203"/>
      <c r="AI111" s="185">
        <f t="shared" si="93"/>
        <v>25</v>
      </c>
      <c r="AJ111" s="185">
        <v>0</v>
      </c>
      <c r="AK111" s="185">
        <v>0</v>
      </c>
      <c r="AL111" s="185">
        <f>AI111+AJ111-AK111</f>
        <v>25</v>
      </c>
      <c r="AM111" s="185">
        <f t="shared" si="97"/>
        <v>10000</v>
      </c>
      <c r="AN111" s="734">
        <f>AM111+AM112</f>
        <v>14575</v>
      </c>
      <c r="AO111" s="735">
        <v>1500</v>
      </c>
      <c r="AP111" s="734">
        <f t="shared" ref="AP111" si="106">AN111-AO111</f>
        <v>13075</v>
      </c>
      <c r="AQ111" s="734"/>
      <c r="AR111" s="734"/>
    </row>
    <row r="112" spans="1:44">
      <c r="A112" s="184"/>
      <c r="B112" s="184"/>
      <c r="C112" s="185">
        <v>50</v>
      </c>
      <c r="D112" s="193">
        <v>3.5</v>
      </c>
      <c r="E112" s="193">
        <v>3.5</v>
      </c>
      <c r="F112" s="193">
        <v>3.5</v>
      </c>
      <c r="G112" s="198"/>
      <c r="H112" s="193">
        <v>3.5</v>
      </c>
      <c r="I112" s="193">
        <v>1</v>
      </c>
      <c r="J112" s="216">
        <v>5</v>
      </c>
      <c r="K112" s="193">
        <v>2</v>
      </c>
      <c r="L112" s="193">
        <v>2</v>
      </c>
      <c r="M112" s="193">
        <v>3.5</v>
      </c>
      <c r="N112" s="198"/>
      <c r="O112" s="193">
        <v>3.5</v>
      </c>
      <c r="P112" s="193">
        <v>3.5</v>
      </c>
      <c r="Q112" s="193">
        <v>3.5</v>
      </c>
      <c r="R112" s="193">
        <v>3.5</v>
      </c>
      <c r="S112" s="193">
        <v>3.5</v>
      </c>
      <c r="T112" s="193">
        <v>3.5</v>
      </c>
      <c r="U112" s="213">
        <v>8</v>
      </c>
      <c r="V112" s="193">
        <v>3.5</v>
      </c>
      <c r="W112" s="193">
        <v>3.5</v>
      </c>
      <c r="X112" s="193">
        <v>3.5</v>
      </c>
      <c r="Y112" s="193">
        <v>3.5</v>
      </c>
      <c r="Z112" s="193">
        <v>3.5</v>
      </c>
      <c r="AA112" s="193">
        <v>3.5</v>
      </c>
      <c r="AB112" s="198"/>
      <c r="AC112" s="193">
        <v>3.5</v>
      </c>
      <c r="AD112" s="193">
        <v>3.5</v>
      </c>
      <c r="AE112" s="193">
        <v>3.5</v>
      </c>
      <c r="AF112" s="193">
        <v>3.5</v>
      </c>
      <c r="AG112" s="193">
        <v>0</v>
      </c>
      <c r="AH112" s="203"/>
      <c r="AI112" s="185">
        <f t="shared" si="93"/>
        <v>91.5</v>
      </c>
      <c r="AJ112" s="185">
        <v>0</v>
      </c>
      <c r="AK112" s="185">
        <v>0</v>
      </c>
      <c r="AL112" s="185">
        <f t="shared" ref="AL112" si="107">AI112+AJ112-AK112</f>
        <v>91.5</v>
      </c>
      <c r="AM112" s="185">
        <f t="shared" si="97"/>
        <v>4575</v>
      </c>
      <c r="AN112" s="734"/>
      <c r="AO112" s="735"/>
      <c r="AP112" s="734"/>
      <c r="AQ112" s="734"/>
      <c r="AR112" s="734"/>
    </row>
    <row r="113" spans="1:44">
      <c r="A113" s="741" t="s">
        <v>103</v>
      </c>
      <c r="B113" s="741"/>
      <c r="C113" s="214"/>
      <c r="D113" s="214">
        <f t="shared" ref="D113:AR113" si="108">D99+D103+D105+D107+D109+D111+D101</f>
        <v>6</v>
      </c>
      <c r="E113" s="214">
        <f t="shared" si="108"/>
        <v>5</v>
      </c>
      <c r="F113" s="214">
        <f t="shared" si="108"/>
        <v>4</v>
      </c>
      <c r="G113" s="214">
        <f t="shared" si="108"/>
        <v>0</v>
      </c>
      <c r="H113" s="214">
        <f t="shared" si="108"/>
        <v>5</v>
      </c>
      <c r="I113" s="214">
        <f t="shared" si="108"/>
        <v>5</v>
      </c>
      <c r="J113" s="214">
        <f t="shared" si="108"/>
        <v>0</v>
      </c>
      <c r="K113" s="214">
        <f t="shared" si="108"/>
        <v>7</v>
      </c>
      <c r="L113" s="214">
        <f t="shared" si="108"/>
        <v>7</v>
      </c>
      <c r="M113" s="214">
        <f t="shared" si="108"/>
        <v>5</v>
      </c>
      <c r="N113" s="214">
        <f t="shared" si="108"/>
        <v>0</v>
      </c>
      <c r="O113" s="214">
        <f t="shared" si="108"/>
        <v>6</v>
      </c>
      <c r="P113" s="214">
        <f t="shared" si="108"/>
        <v>5</v>
      </c>
      <c r="Q113" s="214">
        <f t="shared" si="108"/>
        <v>4</v>
      </c>
      <c r="R113" s="214">
        <f t="shared" si="108"/>
        <v>6</v>
      </c>
      <c r="S113" s="214">
        <f t="shared" si="108"/>
        <v>6</v>
      </c>
      <c r="T113" s="214">
        <f t="shared" si="108"/>
        <v>6</v>
      </c>
      <c r="U113" s="214">
        <f t="shared" si="108"/>
        <v>0</v>
      </c>
      <c r="V113" s="214">
        <f t="shared" si="108"/>
        <v>6</v>
      </c>
      <c r="W113" s="214">
        <f t="shared" si="108"/>
        <v>6</v>
      </c>
      <c r="X113" s="214">
        <f t="shared" si="108"/>
        <v>5</v>
      </c>
      <c r="Y113" s="214">
        <f t="shared" si="108"/>
        <v>4</v>
      </c>
      <c r="Z113" s="214">
        <f t="shared" si="108"/>
        <v>4</v>
      </c>
      <c r="AA113" s="214">
        <f t="shared" si="108"/>
        <v>4</v>
      </c>
      <c r="AB113" s="218">
        <f t="shared" ref="AB113" si="109">AB99+AB103+AB105+AB107+AB109+AB111+AB101</f>
        <v>0</v>
      </c>
      <c r="AC113" s="214">
        <f t="shared" si="108"/>
        <v>4</v>
      </c>
      <c r="AD113" s="214">
        <f t="shared" si="108"/>
        <v>5</v>
      </c>
      <c r="AE113" s="214">
        <f t="shared" si="108"/>
        <v>4</v>
      </c>
      <c r="AF113" s="214">
        <f t="shared" si="108"/>
        <v>5</v>
      </c>
      <c r="AG113" s="214">
        <f t="shared" si="108"/>
        <v>5</v>
      </c>
      <c r="AH113" s="214">
        <f t="shared" si="108"/>
        <v>0</v>
      </c>
      <c r="AI113" s="214">
        <f t="shared" si="108"/>
        <v>129</v>
      </c>
      <c r="AJ113" s="214">
        <f t="shared" si="108"/>
        <v>10</v>
      </c>
      <c r="AK113" s="214">
        <f t="shared" si="108"/>
        <v>0</v>
      </c>
      <c r="AL113" s="214">
        <f t="shared" si="108"/>
        <v>139</v>
      </c>
      <c r="AM113" s="214">
        <f t="shared" si="108"/>
        <v>58200</v>
      </c>
      <c r="AN113" s="214">
        <f t="shared" si="108"/>
        <v>80990</v>
      </c>
      <c r="AO113" s="214">
        <f t="shared" si="108"/>
        <v>4000</v>
      </c>
      <c r="AP113" s="214">
        <f t="shared" si="108"/>
        <v>76990</v>
      </c>
      <c r="AQ113" s="214">
        <f t="shared" si="108"/>
        <v>5000</v>
      </c>
      <c r="AR113" s="214">
        <f t="shared" si="108"/>
        <v>0</v>
      </c>
    </row>
    <row r="114" spans="1:44">
      <c r="A114" s="742" t="s">
        <v>106</v>
      </c>
      <c r="B114" s="742"/>
      <c r="C114" s="215"/>
      <c r="D114" s="215">
        <f>D100+D102+D104+D106+D108++D110+D112</f>
        <v>17.5</v>
      </c>
      <c r="E114" s="215">
        <f t="shared" ref="E114:AR114" si="110">E100+E102+E104+E106+E108++E110+E112</f>
        <v>17.5</v>
      </c>
      <c r="F114" s="215">
        <f t="shared" si="110"/>
        <v>14</v>
      </c>
      <c r="G114" s="215">
        <f t="shared" si="110"/>
        <v>0</v>
      </c>
      <c r="H114" s="215">
        <f t="shared" si="110"/>
        <v>14</v>
      </c>
      <c r="I114" s="215">
        <f t="shared" si="110"/>
        <v>4</v>
      </c>
      <c r="J114" s="215">
        <f t="shared" si="110"/>
        <v>25</v>
      </c>
      <c r="K114" s="215">
        <f t="shared" si="110"/>
        <v>12</v>
      </c>
      <c r="L114" s="215">
        <f t="shared" si="110"/>
        <v>12</v>
      </c>
      <c r="M114" s="215">
        <f t="shared" si="110"/>
        <v>14</v>
      </c>
      <c r="N114" s="215">
        <f t="shared" si="110"/>
        <v>0</v>
      </c>
      <c r="O114" s="215">
        <f t="shared" si="110"/>
        <v>17.5</v>
      </c>
      <c r="P114" s="215">
        <f t="shared" si="110"/>
        <v>17</v>
      </c>
      <c r="Q114" s="215">
        <f t="shared" si="110"/>
        <v>14</v>
      </c>
      <c r="R114" s="215">
        <f t="shared" si="110"/>
        <v>17.5</v>
      </c>
      <c r="S114" s="215">
        <f t="shared" si="110"/>
        <v>15.5</v>
      </c>
      <c r="T114" s="215">
        <f t="shared" si="110"/>
        <v>17.5</v>
      </c>
      <c r="U114" s="215">
        <f t="shared" si="110"/>
        <v>31</v>
      </c>
      <c r="V114" s="215">
        <f t="shared" si="110"/>
        <v>15.5</v>
      </c>
      <c r="W114" s="215">
        <f t="shared" si="110"/>
        <v>17.5</v>
      </c>
      <c r="X114" s="215">
        <f t="shared" si="110"/>
        <v>17</v>
      </c>
      <c r="Y114" s="215">
        <f t="shared" si="110"/>
        <v>14</v>
      </c>
      <c r="Z114" s="215">
        <f t="shared" si="110"/>
        <v>14</v>
      </c>
      <c r="AA114" s="215">
        <f t="shared" si="110"/>
        <v>14</v>
      </c>
      <c r="AB114" s="219">
        <f t="shared" ref="AB114" si="111">AB100+AB102+AB104+AB106+AB108++AB110+AB112</f>
        <v>24</v>
      </c>
      <c r="AC114" s="215">
        <f t="shared" si="110"/>
        <v>14</v>
      </c>
      <c r="AD114" s="215">
        <f t="shared" si="110"/>
        <v>14</v>
      </c>
      <c r="AE114" s="215">
        <f t="shared" si="110"/>
        <v>14</v>
      </c>
      <c r="AF114" s="215">
        <f t="shared" si="110"/>
        <v>17.5</v>
      </c>
      <c r="AG114" s="215">
        <f t="shared" si="110"/>
        <v>14</v>
      </c>
      <c r="AH114" s="215">
        <f t="shared" si="110"/>
        <v>0</v>
      </c>
      <c r="AI114" s="215">
        <f t="shared" si="110"/>
        <v>449.5</v>
      </c>
      <c r="AJ114" s="215">
        <f t="shared" si="110"/>
        <v>0</v>
      </c>
      <c r="AK114" s="215">
        <f t="shared" si="110"/>
        <v>0</v>
      </c>
      <c r="AL114" s="215">
        <f t="shared" si="110"/>
        <v>449.5</v>
      </c>
      <c r="AM114" s="215">
        <f t="shared" si="110"/>
        <v>22790</v>
      </c>
      <c r="AN114" s="215">
        <f t="shared" si="110"/>
        <v>0</v>
      </c>
      <c r="AO114" s="215">
        <f t="shared" si="110"/>
        <v>0</v>
      </c>
      <c r="AP114" s="215">
        <f t="shared" si="110"/>
        <v>0</v>
      </c>
      <c r="AQ114" s="215">
        <f t="shared" si="110"/>
        <v>0</v>
      </c>
      <c r="AR114" s="215">
        <f t="shared" si="110"/>
        <v>0</v>
      </c>
    </row>
    <row r="117" spans="1:44" ht="23.25">
      <c r="A117" s="754" t="s">
        <v>0</v>
      </c>
      <c r="B117" s="755" t="s">
        <v>1</v>
      </c>
      <c r="C117" s="755"/>
      <c r="D117" s="752" t="s">
        <v>129</v>
      </c>
      <c r="E117" s="752"/>
      <c r="F117" s="752"/>
      <c r="G117" s="752"/>
      <c r="H117" s="752"/>
      <c r="I117" s="752"/>
      <c r="J117" s="752"/>
      <c r="K117" s="752"/>
      <c r="L117" s="752"/>
      <c r="M117" s="752"/>
      <c r="N117" s="752"/>
      <c r="O117" s="752"/>
      <c r="P117" s="752"/>
      <c r="Q117" s="752"/>
      <c r="R117" s="752"/>
      <c r="S117" s="752"/>
      <c r="T117" s="752"/>
      <c r="U117" s="752"/>
      <c r="V117" s="752"/>
      <c r="W117" s="752"/>
      <c r="X117" s="752"/>
      <c r="Y117" s="752"/>
      <c r="Z117" s="752"/>
      <c r="AA117" s="752"/>
      <c r="AB117" s="752"/>
      <c r="AC117" s="752"/>
      <c r="AD117" s="752"/>
      <c r="AE117" s="752"/>
      <c r="AF117" s="752"/>
      <c r="AG117" s="756">
        <v>31</v>
      </c>
      <c r="AH117" s="756"/>
      <c r="AI117" s="757" t="s">
        <v>107</v>
      </c>
      <c r="AJ117" s="757" t="s">
        <v>45</v>
      </c>
      <c r="AK117" s="757" t="s">
        <v>108</v>
      </c>
      <c r="AL117" s="757" t="s">
        <v>112</v>
      </c>
      <c r="AM117" s="754" t="s">
        <v>7</v>
      </c>
      <c r="AN117" s="754"/>
      <c r="AO117" s="757" t="s">
        <v>93</v>
      </c>
      <c r="AP117" s="757" t="s">
        <v>109</v>
      </c>
      <c r="AQ117" s="757" t="s">
        <v>33</v>
      </c>
      <c r="AR117" s="757" t="s">
        <v>111</v>
      </c>
    </row>
    <row r="118" spans="1:44">
      <c r="A118" s="754"/>
      <c r="B118" s="755"/>
      <c r="C118" s="755"/>
      <c r="D118" s="222">
        <v>1</v>
      </c>
      <c r="E118" s="222">
        <v>2</v>
      </c>
      <c r="F118" s="222">
        <v>3</v>
      </c>
      <c r="G118" s="222">
        <v>4</v>
      </c>
      <c r="H118" s="222">
        <v>5</v>
      </c>
      <c r="I118" s="222">
        <v>6</v>
      </c>
      <c r="J118" s="222">
        <v>7</v>
      </c>
      <c r="K118" s="222">
        <v>8</v>
      </c>
      <c r="L118" s="222">
        <v>9</v>
      </c>
      <c r="M118" s="222">
        <v>10</v>
      </c>
      <c r="N118" s="222">
        <v>11</v>
      </c>
      <c r="O118" s="222">
        <v>12</v>
      </c>
      <c r="P118" s="222">
        <v>13</v>
      </c>
      <c r="Q118" s="222">
        <v>14</v>
      </c>
      <c r="R118" s="222">
        <v>15</v>
      </c>
      <c r="S118" s="222">
        <v>16</v>
      </c>
      <c r="T118" s="222">
        <v>17</v>
      </c>
      <c r="U118" s="222">
        <v>18</v>
      </c>
      <c r="V118" s="222">
        <v>19</v>
      </c>
      <c r="W118" s="222">
        <v>20</v>
      </c>
      <c r="X118" s="222">
        <v>21</v>
      </c>
      <c r="Y118" s="222">
        <v>22</v>
      </c>
      <c r="Z118" s="222">
        <v>23</v>
      </c>
      <c r="AA118" s="222">
        <v>24</v>
      </c>
      <c r="AB118" s="222">
        <v>25</v>
      </c>
      <c r="AC118" s="222">
        <v>26</v>
      </c>
      <c r="AD118" s="222">
        <v>27</v>
      </c>
      <c r="AE118" s="222">
        <v>28</v>
      </c>
      <c r="AF118" s="222">
        <v>29</v>
      </c>
      <c r="AG118" s="222">
        <v>30</v>
      </c>
      <c r="AH118" s="224">
        <v>31</v>
      </c>
      <c r="AI118" s="757"/>
      <c r="AJ118" s="757"/>
      <c r="AK118" s="757"/>
      <c r="AL118" s="757"/>
      <c r="AM118" s="754"/>
      <c r="AN118" s="754"/>
      <c r="AO118" s="757"/>
      <c r="AP118" s="757"/>
      <c r="AQ118" s="757"/>
      <c r="AR118" s="757"/>
    </row>
    <row r="119" spans="1:44">
      <c r="A119" s="185"/>
      <c r="B119" s="184"/>
      <c r="C119" s="184"/>
      <c r="D119" s="220"/>
      <c r="E119" s="222"/>
      <c r="F119" s="220"/>
      <c r="G119" s="220"/>
      <c r="H119" s="220"/>
      <c r="I119" s="220"/>
      <c r="J119" s="220"/>
      <c r="K119" s="220"/>
      <c r="L119" s="225"/>
      <c r="M119" s="220"/>
      <c r="N119" s="220"/>
      <c r="O119" s="220"/>
      <c r="P119" s="220"/>
      <c r="Q119" s="220"/>
      <c r="R119" s="227"/>
      <c r="S119" s="229"/>
      <c r="T119" s="220"/>
      <c r="U119" s="220"/>
      <c r="V119" s="220"/>
      <c r="W119" s="220"/>
      <c r="X119" s="220"/>
      <c r="Y119" s="220"/>
      <c r="Z119" s="232"/>
      <c r="AA119" s="220"/>
      <c r="AB119" s="220"/>
      <c r="AC119" s="220"/>
      <c r="AD119" s="220"/>
      <c r="AE119" s="220"/>
      <c r="AF119" s="220"/>
      <c r="AG119" s="233"/>
      <c r="AH119" s="220"/>
      <c r="AI119" s="185">
        <f>SUM(D119:AH119)</f>
        <v>0</v>
      </c>
      <c r="AJ119" s="185">
        <v>0</v>
      </c>
      <c r="AK119" s="185">
        <v>0</v>
      </c>
      <c r="AL119" s="185">
        <f>AI119+AJ119-AK119</f>
        <v>0</v>
      </c>
      <c r="AM119" s="185">
        <f>AL119*C119</f>
        <v>0</v>
      </c>
      <c r="AN119" s="734">
        <f>AM119+AM120</f>
        <v>0</v>
      </c>
      <c r="AO119" s="735">
        <v>0</v>
      </c>
      <c r="AP119" s="734">
        <f t="shared" ref="AP119" si="112">AN119-AO119</f>
        <v>0</v>
      </c>
      <c r="AQ119" s="734"/>
      <c r="AR119" s="734"/>
    </row>
    <row r="120" spans="1:44">
      <c r="A120" s="184"/>
      <c r="B120" s="184"/>
      <c r="C120" s="185"/>
      <c r="D120" s="220"/>
      <c r="E120" s="222"/>
      <c r="F120" s="220"/>
      <c r="G120" s="220"/>
      <c r="H120" s="220"/>
      <c r="I120" s="220"/>
      <c r="J120" s="220"/>
      <c r="K120" s="220"/>
      <c r="L120" s="225"/>
      <c r="M120" s="220"/>
      <c r="N120" s="220"/>
      <c r="O120" s="220"/>
      <c r="P120" s="220"/>
      <c r="Q120" s="220"/>
      <c r="R120" s="227"/>
      <c r="S120" s="229"/>
      <c r="T120" s="220"/>
      <c r="U120" s="220"/>
      <c r="V120" s="220"/>
      <c r="W120" s="220"/>
      <c r="X120" s="220"/>
      <c r="Y120" s="220"/>
      <c r="Z120" s="232"/>
      <c r="AA120" s="220"/>
      <c r="AB120" s="220"/>
      <c r="AC120" s="220"/>
      <c r="AD120" s="220"/>
      <c r="AE120" s="220"/>
      <c r="AF120" s="220"/>
      <c r="AG120" s="233"/>
      <c r="AH120" s="220"/>
      <c r="AI120" s="185">
        <f t="shared" ref="AI120:AI132" si="113">SUM(D120:AH120)</f>
        <v>0</v>
      </c>
      <c r="AJ120" s="185">
        <v>0</v>
      </c>
      <c r="AK120" s="185">
        <v>0</v>
      </c>
      <c r="AL120" s="185">
        <f t="shared" ref="AL120" si="114">AI120+AJ120-AK120</f>
        <v>0</v>
      </c>
      <c r="AM120" s="185">
        <f>AL120*C120</f>
        <v>0</v>
      </c>
      <c r="AN120" s="734"/>
      <c r="AO120" s="735"/>
      <c r="AP120" s="734"/>
      <c r="AQ120" s="734"/>
      <c r="AR120" s="734"/>
    </row>
    <row r="121" spans="1:44">
      <c r="A121" s="185">
        <v>1</v>
      </c>
      <c r="B121" s="184" t="s">
        <v>104</v>
      </c>
      <c r="C121" s="184">
        <f>C122*8</f>
        <v>440</v>
      </c>
      <c r="D121" s="185">
        <v>1</v>
      </c>
      <c r="E121" s="222"/>
      <c r="F121" s="185">
        <v>1</v>
      </c>
      <c r="G121" s="185">
        <v>1</v>
      </c>
      <c r="H121" s="185">
        <v>1</v>
      </c>
      <c r="I121" s="185">
        <v>1</v>
      </c>
      <c r="J121" s="185">
        <v>1</v>
      </c>
      <c r="K121" s="185">
        <v>1</v>
      </c>
      <c r="L121" s="225"/>
      <c r="M121" s="185">
        <v>1</v>
      </c>
      <c r="N121" s="185">
        <v>1</v>
      </c>
      <c r="O121" s="185">
        <v>1</v>
      </c>
      <c r="P121" s="185">
        <v>1</v>
      </c>
      <c r="Q121" s="185">
        <v>1</v>
      </c>
      <c r="R121" s="227"/>
      <c r="S121" s="229"/>
      <c r="T121" s="185">
        <v>1</v>
      </c>
      <c r="U121" s="185">
        <v>1</v>
      </c>
      <c r="V121" s="185">
        <v>1</v>
      </c>
      <c r="W121" s="185">
        <v>1</v>
      </c>
      <c r="X121" s="185">
        <v>1</v>
      </c>
      <c r="Y121" s="185">
        <v>1</v>
      </c>
      <c r="Z121" s="232"/>
      <c r="AA121" s="185">
        <v>1</v>
      </c>
      <c r="AB121" s="185">
        <v>1</v>
      </c>
      <c r="AC121" s="185">
        <v>1</v>
      </c>
      <c r="AD121" s="185">
        <v>1</v>
      </c>
      <c r="AE121" s="185">
        <v>1</v>
      </c>
      <c r="AF121" s="185">
        <v>1</v>
      </c>
      <c r="AG121" s="233"/>
      <c r="AH121" s="185">
        <v>1</v>
      </c>
      <c r="AI121" s="185">
        <f t="shared" si="113"/>
        <v>25</v>
      </c>
      <c r="AJ121" s="185">
        <v>0</v>
      </c>
      <c r="AK121" s="185">
        <v>0</v>
      </c>
      <c r="AL121" s="185">
        <f>AI121+AJ121-AK121</f>
        <v>25</v>
      </c>
      <c r="AM121" s="185">
        <f>AL121*C121</f>
        <v>11000</v>
      </c>
      <c r="AN121" s="734">
        <f>AM121+AM122</f>
        <v>16527.5</v>
      </c>
      <c r="AO121" s="735">
        <v>0</v>
      </c>
      <c r="AP121" s="734">
        <f t="shared" ref="AP121" si="115">AN121-AO121</f>
        <v>16527.5</v>
      </c>
      <c r="AQ121" s="734"/>
      <c r="AR121" s="734"/>
    </row>
    <row r="122" spans="1:44">
      <c r="A122" s="185">
        <f>C121/8</f>
        <v>55</v>
      </c>
      <c r="B122" s="184">
        <v>15000</v>
      </c>
      <c r="C122" s="185">
        <v>55</v>
      </c>
      <c r="D122" s="193">
        <v>3.5</v>
      </c>
      <c r="E122" s="222"/>
      <c r="F122" s="193">
        <v>3.5</v>
      </c>
      <c r="G122" s="193">
        <v>3.5</v>
      </c>
      <c r="H122" s="193">
        <v>3.5</v>
      </c>
      <c r="I122" s="193">
        <v>3.5</v>
      </c>
      <c r="J122" s="193">
        <v>3.5</v>
      </c>
      <c r="K122" s="193">
        <v>3.5</v>
      </c>
      <c r="L122" s="227">
        <v>8</v>
      </c>
      <c r="M122" s="193">
        <v>3.5</v>
      </c>
      <c r="N122" s="193">
        <v>3.5</v>
      </c>
      <c r="O122" s="193">
        <v>3.5</v>
      </c>
      <c r="P122" s="193">
        <v>3.5</v>
      </c>
      <c r="Q122" s="193">
        <v>3.5</v>
      </c>
      <c r="R122" s="227"/>
      <c r="S122" s="227">
        <v>8</v>
      </c>
      <c r="T122" s="193">
        <v>3.5</v>
      </c>
      <c r="U122" s="193">
        <v>2.5</v>
      </c>
      <c r="V122" s="193">
        <v>3.5</v>
      </c>
      <c r="W122" s="193">
        <v>3.5</v>
      </c>
      <c r="X122" s="193">
        <v>3.5</v>
      </c>
      <c r="Y122" s="216">
        <v>1.5</v>
      </c>
      <c r="Z122" s="232"/>
      <c r="AA122" s="193">
        <v>3.5</v>
      </c>
      <c r="AB122" s="193">
        <v>3.5</v>
      </c>
      <c r="AC122" s="193">
        <v>3.5</v>
      </c>
      <c r="AD122" s="193">
        <v>3.5</v>
      </c>
      <c r="AE122" s="193">
        <v>3.5</v>
      </c>
      <c r="AF122" s="193">
        <v>3.5</v>
      </c>
      <c r="AG122" s="233"/>
      <c r="AH122" s="193">
        <v>3.5</v>
      </c>
      <c r="AI122" s="185">
        <f t="shared" si="113"/>
        <v>100.5</v>
      </c>
      <c r="AJ122" s="185">
        <v>0</v>
      </c>
      <c r="AK122" s="185">
        <v>0</v>
      </c>
      <c r="AL122" s="185">
        <f t="shared" ref="AL122" si="116">AI122+AJ122-AK122</f>
        <v>100.5</v>
      </c>
      <c r="AM122" s="185">
        <f>AL122*C122</f>
        <v>5527.5</v>
      </c>
      <c r="AN122" s="734"/>
      <c r="AO122" s="735"/>
      <c r="AP122" s="734"/>
      <c r="AQ122" s="734"/>
      <c r="AR122" s="734"/>
    </row>
    <row r="123" spans="1:44">
      <c r="A123" s="185">
        <v>2</v>
      </c>
      <c r="B123" s="184" t="s">
        <v>125</v>
      </c>
      <c r="C123" s="184">
        <v>400</v>
      </c>
      <c r="D123" s="185">
        <v>1</v>
      </c>
      <c r="E123" s="222"/>
      <c r="F123" s="221">
        <v>0</v>
      </c>
      <c r="G123" s="185">
        <v>1</v>
      </c>
      <c r="H123" s="185">
        <v>1</v>
      </c>
      <c r="I123" s="185">
        <v>1</v>
      </c>
      <c r="J123" s="185">
        <v>1</v>
      </c>
      <c r="K123" s="185">
        <v>1</v>
      </c>
      <c r="L123" s="225"/>
      <c r="M123" s="185">
        <v>1</v>
      </c>
      <c r="N123" s="221">
        <v>0</v>
      </c>
      <c r="O123" s="185">
        <v>1</v>
      </c>
      <c r="P123" s="185">
        <v>1</v>
      </c>
      <c r="Q123" s="221">
        <v>0</v>
      </c>
      <c r="R123" s="227"/>
      <c r="S123" s="229"/>
      <c r="T123" s="185">
        <v>1</v>
      </c>
      <c r="U123" s="185">
        <v>1</v>
      </c>
      <c r="V123" s="185">
        <v>1</v>
      </c>
      <c r="W123" s="221">
        <v>0</v>
      </c>
      <c r="X123" s="185">
        <v>1</v>
      </c>
      <c r="Y123" s="221">
        <v>0</v>
      </c>
      <c r="Z123" s="232"/>
      <c r="AA123" s="221">
        <v>0</v>
      </c>
      <c r="AB123" s="185">
        <v>1</v>
      </c>
      <c r="AC123" s="221">
        <v>0</v>
      </c>
      <c r="AD123" s="221">
        <v>0</v>
      </c>
      <c r="AE123" s="185">
        <v>1</v>
      </c>
      <c r="AF123" s="185">
        <v>1</v>
      </c>
      <c r="AG123" s="233"/>
      <c r="AH123" s="185">
        <v>1</v>
      </c>
      <c r="AI123" s="185">
        <f t="shared" si="113"/>
        <v>17</v>
      </c>
      <c r="AJ123" s="185">
        <v>0</v>
      </c>
      <c r="AK123" s="185">
        <v>0</v>
      </c>
      <c r="AL123" s="185">
        <f>AI123+AJ123-AK123</f>
        <v>17</v>
      </c>
      <c r="AM123" s="185">
        <f t="shared" ref="AM123:AM132" si="117">AL123*C123</f>
        <v>6800</v>
      </c>
      <c r="AN123" s="734">
        <f>AM123+AM124</f>
        <v>8825</v>
      </c>
      <c r="AO123" s="735">
        <v>0</v>
      </c>
      <c r="AP123" s="734">
        <f t="shared" ref="AP123" si="118">AN123-AO123</f>
        <v>8825</v>
      </c>
      <c r="AQ123" s="734"/>
      <c r="AR123" s="734"/>
    </row>
    <row r="124" spans="1:44">
      <c r="A124" s="185">
        <f>C123/8</f>
        <v>50</v>
      </c>
      <c r="B124" s="184">
        <v>15000</v>
      </c>
      <c r="C124" s="185">
        <v>50</v>
      </c>
      <c r="D124" s="216">
        <v>0</v>
      </c>
      <c r="E124" s="222"/>
      <c r="F124" s="216">
        <v>0</v>
      </c>
      <c r="G124" s="193">
        <v>3.5</v>
      </c>
      <c r="H124" s="216">
        <v>1.5</v>
      </c>
      <c r="I124" s="193">
        <v>3.5</v>
      </c>
      <c r="J124" s="193">
        <v>3.5</v>
      </c>
      <c r="K124" s="193">
        <v>3.5</v>
      </c>
      <c r="L124" s="243"/>
      <c r="M124" s="216">
        <v>0</v>
      </c>
      <c r="N124" s="216">
        <v>0</v>
      </c>
      <c r="O124" s="193">
        <v>3.5</v>
      </c>
      <c r="P124" s="216">
        <v>1.5</v>
      </c>
      <c r="Q124" s="216">
        <v>0</v>
      </c>
      <c r="R124" s="227"/>
      <c r="S124" s="229"/>
      <c r="T124" s="193">
        <v>3.5</v>
      </c>
      <c r="U124" s="193">
        <v>3.5</v>
      </c>
      <c r="V124" s="216">
        <v>1</v>
      </c>
      <c r="W124" s="216">
        <v>0</v>
      </c>
      <c r="X124" s="193">
        <v>2</v>
      </c>
      <c r="Y124" s="216">
        <v>0</v>
      </c>
      <c r="Z124" s="232"/>
      <c r="AA124" s="216">
        <v>0</v>
      </c>
      <c r="AB124" s="193">
        <v>3.5</v>
      </c>
      <c r="AC124" s="216">
        <v>0</v>
      </c>
      <c r="AD124" s="216">
        <v>0</v>
      </c>
      <c r="AE124" s="193">
        <v>1.5</v>
      </c>
      <c r="AF124" s="216">
        <v>1.5</v>
      </c>
      <c r="AG124" s="233"/>
      <c r="AH124" s="193">
        <v>3.5</v>
      </c>
      <c r="AI124" s="185">
        <f t="shared" si="113"/>
        <v>40.5</v>
      </c>
      <c r="AJ124" s="185">
        <v>0</v>
      </c>
      <c r="AK124" s="185">
        <v>0</v>
      </c>
      <c r="AL124" s="185">
        <f t="shared" ref="AL124" si="119">AI124+AJ124-AK124</f>
        <v>40.5</v>
      </c>
      <c r="AM124" s="185">
        <f t="shared" si="117"/>
        <v>2025</v>
      </c>
      <c r="AN124" s="734"/>
      <c r="AO124" s="735"/>
      <c r="AP124" s="734"/>
      <c r="AQ124" s="734"/>
      <c r="AR124" s="734"/>
    </row>
    <row r="125" spans="1:44">
      <c r="A125" s="185">
        <v>3</v>
      </c>
      <c r="B125" s="184" t="s">
        <v>127</v>
      </c>
      <c r="C125" s="184">
        <v>400</v>
      </c>
      <c r="D125" s="185">
        <v>1</v>
      </c>
      <c r="E125" s="222"/>
      <c r="F125" s="185">
        <v>1</v>
      </c>
      <c r="G125" s="185">
        <v>1</v>
      </c>
      <c r="H125" s="185">
        <v>1</v>
      </c>
      <c r="I125" s="185">
        <v>1</v>
      </c>
      <c r="J125" s="185">
        <v>1</v>
      </c>
      <c r="K125" s="185">
        <v>1</v>
      </c>
      <c r="L125" s="225"/>
      <c r="M125" s="185">
        <v>1</v>
      </c>
      <c r="N125" s="185">
        <v>1</v>
      </c>
      <c r="O125" s="185">
        <v>1</v>
      </c>
      <c r="P125" s="185">
        <v>1</v>
      </c>
      <c r="Q125" s="185">
        <v>1</v>
      </c>
      <c r="R125" s="227"/>
      <c r="S125" s="229"/>
      <c r="T125" s="185">
        <v>1</v>
      </c>
      <c r="U125" s="185">
        <v>1</v>
      </c>
      <c r="V125" s="185">
        <v>1</v>
      </c>
      <c r="W125" s="185">
        <v>1</v>
      </c>
      <c r="X125" s="185">
        <v>1</v>
      </c>
      <c r="Y125" s="185">
        <v>1</v>
      </c>
      <c r="Z125" s="232"/>
      <c r="AA125" s="185">
        <v>1</v>
      </c>
      <c r="AB125" s="185">
        <v>1</v>
      </c>
      <c r="AC125" s="185">
        <v>1</v>
      </c>
      <c r="AD125" s="185">
        <v>1</v>
      </c>
      <c r="AE125" s="185">
        <v>1</v>
      </c>
      <c r="AF125" s="185">
        <v>1</v>
      </c>
      <c r="AG125" s="233"/>
      <c r="AH125" s="185">
        <v>1</v>
      </c>
      <c r="AI125" s="185">
        <f t="shared" si="113"/>
        <v>25</v>
      </c>
      <c r="AJ125" s="185">
        <v>0</v>
      </c>
      <c r="AK125" s="185">
        <v>0</v>
      </c>
      <c r="AL125" s="185">
        <f>AI125+AJ125-AK125</f>
        <v>25</v>
      </c>
      <c r="AM125" s="185">
        <f t="shared" si="117"/>
        <v>10000</v>
      </c>
      <c r="AN125" s="734">
        <f>AM125+AM126</f>
        <v>15575</v>
      </c>
      <c r="AO125" s="735">
        <v>0</v>
      </c>
      <c r="AP125" s="734">
        <f t="shared" ref="AP125" si="120">AN125-AO125</f>
        <v>15575</v>
      </c>
      <c r="AQ125" s="734"/>
      <c r="AR125" s="734"/>
    </row>
    <row r="126" spans="1:44">
      <c r="A126" s="184"/>
      <c r="B126" s="184"/>
      <c r="C126" s="185">
        <v>50</v>
      </c>
      <c r="D126" s="193">
        <v>3.5</v>
      </c>
      <c r="E126" s="222"/>
      <c r="F126" s="193">
        <v>3.5</v>
      </c>
      <c r="G126" s="193">
        <v>3.5</v>
      </c>
      <c r="H126" s="193">
        <v>3.5</v>
      </c>
      <c r="I126" s="193">
        <v>3.5</v>
      </c>
      <c r="J126" s="193">
        <v>3.5</v>
      </c>
      <c r="K126" s="193">
        <v>3.5</v>
      </c>
      <c r="L126" s="227">
        <v>8</v>
      </c>
      <c r="M126" s="193">
        <v>3.5</v>
      </c>
      <c r="N126" s="193">
        <v>3.5</v>
      </c>
      <c r="O126" s="193">
        <v>3.5</v>
      </c>
      <c r="P126" s="193">
        <v>3.5</v>
      </c>
      <c r="Q126" s="193">
        <v>3.5</v>
      </c>
      <c r="R126" s="227"/>
      <c r="S126" s="227">
        <v>8</v>
      </c>
      <c r="T126" s="193">
        <v>3.5</v>
      </c>
      <c r="U126" s="193">
        <v>3.5</v>
      </c>
      <c r="V126" s="193">
        <v>3.5</v>
      </c>
      <c r="W126" s="193">
        <v>3.5</v>
      </c>
      <c r="X126" s="193">
        <v>3.5</v>
      </c>
      <c r="Y126" s="193">
        <v>3.5</v>
      </c>
      <c r="Z126" s="227">
        <v>8</v>
      </c>
      <c r="AA126" s="193">
        <v>3.5</v>
      </c>
      <c r="AB126" s="193">
        <v>3.5</v>
      </c>
      <c r="AC126" s="193">
        <v>3.5</v>
      </c>
      <c r="AD126" s="193">
        <v>3.5</v>
      </c>
      <c r="AE126" s="193">
        <v>3.5</v>
      </c>
      <c r="AF126" s="193">
        <v>3.5</v>
      </c>
      <c r="AG126" s="233"/>
      <c r="AH126" s="193">
        <v>3.5</v>
      </c>
      <c r="AI126" s="185">
        <f t="shared" si="113"/>
        <v>111.5</v>
      </c>
      <c r="AJ126" s="185">
        <v>0</v>
      </c>
      <c r="AK126" s="185">
        <v>0</v>
      </c>
      <c r="AL126" s="185">
        <f t="shared" ref="AL126" si="121">AI126+AJ126-AK126</f>
        <v>111.5</v>
      </c>
      <c r="AM126" s="185">
        <f t="shared" si="117"/>
        <v>5575</v>
      </c>
      <c r="AN126" s="734"/>
      <c r="AO126" s="735"/>
      <c r="AP126" s="734"/>
      <c r="AQ126" s="734"/>
      <c r="AR126" s="734"/>
    </row>
    <row r="127" spans="1:44">
      <c r="A127" s="185">
        <v>4</v>
      </c>
      <c r="B127" s="184" t="s">
        <v>128</v>
      </c>
      <c r="C127" s="185">
        <v>400</v>
      </c>
      <c r="D127" s="185">
        <v>1</v>
      </c>
      <c r="E127" s="222"/>
      <c r="F127" s="185">
        <v>1</v>
      </c>
      <c r="G127" s="221">
        <v>0</v>
      </c>
      <c r="H127" s="185">
        <v>1</v>
      </c>
      <c r="I127" s="185">
        <v>1</v>
      </c>
      <c r="J127" s="185">
        <v>1</v>
      </c>
      <c r="K127" s="185">
        <v>1</v>
      </c>
      <c r="L127" s="225"/>
      <c r="M127" s="185">
        <v>1</v>
      </c>
      <c r="N127" s="185">
        <v>1</v>
      </c>
      <c r="O127" s="185">
        <v>1</v>
      </c>
      <c r="P127" s="185">
        <v>1</v>
      </c>
      <c r="Q127" s="185">
        <v>1</v>
      </c>
      <c r="R127" s="227"/>
      <c r="S127" s="229"/>
      <c r="T127" s="185">
        <v>1</v>
      </c>
      <c r="U127" s="185">
        <v>1</v>
      </c>
      <c r="V127" s="185">
        <v>1</v>
      </c>
      <c r="W127" s="185">
        <v>1</v>
      </c>
      <c r="X127" s="185">
        <v>1</v>
      </c>
      <c r="Y127" s="185">
        <v>1</v>
      </c>
      <c r="Z127" s="232"/>
      <c r="AA127" s="185">
        <v>1</v>
      </c>
      <c r="AB127" s="185">
        <v>1</v>
      </c>
      <c r="AC127" s="185">
        <v>1</v>
      </c>
      <c r="AD127" s="185">
        <v>1</v>
      </c>
      <c r="AE127" s="185">
        <v>1</v>
      </c>
      <c r="AF127" s="185">
        <v>1</v>
      </c>
      <c r="AG127" s="233"/>
      <c r="AH127" s="185">
        <v>1</v>
      </c>
      <c r="AI127" s="185">
        <f t="shared" si="113"/>
        <v>24</v>
      </c>
      <c r="AJ127" s="185">
        <v>0</v>
      </c>
      <c r="AK127" s="185">
        <v>0</v>
      </c>
      <c r="AL127" s="185">
        <f>AI127+AJ127-AK127</f>
        <v>24</v>
      </c>
      <c r="AM127" s="185">
        <f t="shared" si="117"/>
        <v>9600</v>
      </c>
      <c r="AN127" s="734">
        <f>AM127+AM128</f>
        <v>15000</v>
      </c>
      <c r="AO127" s="735">
        <v>0</v>
      </c>
      <c r="AP127" s="734">
        <f t="shared" ref="AP127" si="122">AN127-AO127</f>
        <v>15000</v>
      </c>
      <c r="AQ127" s="734"/>
      <c r="AR127" s="734"/>
    </row>
    <row r="128" spans="1:44">
      <c r="A128" s="184"/>
      <c r="B128" s="184"/>
      <c r="C128" s="185">
        <v>50</v>
      </c>
      <c r="D128" s="193">
        <v>3.5</v>
      </c>
      <c r="E128" s="222"/>
      <c r="F128" s="193">
        <v>3.5</v>
      </c>
      <c r="G128" s="216">
        <v>0</v>
      </c>
      <c r="H128" s="193">
        <v>3.5</v>
      </c>
      <c r="I128" s="193">
        <v>3.5</v>
      </c>
      <c r="J128" s="193">
        <v>3.5</v>
      </c>
      <c r="K128" s="193">
        <v>3.5</v>
      </c>
      <c r="L128" s="227">
        <v>8</v>
      </c>
      <c r="M128" s="193">
        <v>3.5</v>
      </c>
      <c r="N128" s="193">
        <v>3.5</v>
      </c>
      <c r="O128" s="193">
        <v>3.5</v>
      </c>
      <c r="P128" s="193">
        <v>3.5</v>
      </c>
      <c r="Q128" s="193">
        <v>3.5</v>
      </c>
      <c r="R128" s="227"/>
      <c r="S128" s="227">
        <v>8</v>
      </c>
      <c r="T128" s="193">
        <v>3.5</v>
      </c>
      <c r="U128" s="193">
        <v>3.5</v>
      </c>
      <c r="V128" s="193">
        <v>3.5</v>
      </c>
      <c r="W128" s="193">
        <v>3.5</v>
      </c>
      <c r="X128" s="193">
        <v>3.5</v>
      </c>
      <c r="Y128" s="193">
        <v>3.5</v>
      </c>
      <c r="Z128" s="227">
        <v>8</v>
      </c>
      <c r="AA128" s="193">
        <v>3.5</v>
      </c>
      <c r="AB128" s="193">
        <v>3.5</v>
      </c>
      <c r="AC128" s="193">
        <v>3.5</v>
      </c>
      <c r="AD128" s="193">
        <v>3.5</v>
      </c>
      <c r="AE128" s="193">
        <v>3.5</v>
      </c>
      <c r="AF128" s="193">
        <v>3.5</v>
      </c>
      <c r="AG128" s="233"/>
      <c r="AH128" s="193">
        <v>3.5</v>
      </c>
      <c r="AI128" s="185">
        <f t="shared" si="113"/>
        <v>108</v>
      </c>
      <c r="AJ128" s="185">
        <v>0</v>
      </c>
      <c r="AK128" s="185">
        <v>0</v>
      </c>
      <c r="AL128" s="185">
        <f t="shared" ref="AL128" si="123">AI128+AJ128-AK128</f>
        <v>108</v>
      </c>
      <c r="AM128" s="185">
        <f t="shared" si="117"/>
        <v>5400</v>
      </c>
      <c r="AN128" s="734"/>
      <c r="AO128" s="735"/>
      <c r="AP128" s="734"/>
      <c r="AQ128" s="734"/>
      <c r="AR128" s="734"/>
    </row>
    <row r="129" spans="1:44">
      <c r="A129" s="185">
        <v>5</v>
      </c>
      <c r="B129" s="184" t="s">
        <v>130</v>
      </c>
      <c r="C129" s="185">
        <v>400</v>
      </c>
      <c r="D129" s="185">
        <v>1</v>
      </c>
      <c r="E129" s="222"/>
      <c r="F129" s="185">
        <v>1</v>
      </c>
      <c r="G129" s="185">
        <v>1</v>
      </c>
      <c r="H129" s="185">
        <v>1</v>
      </c>
      <c r="I129" s="185">
        <v>1</v>
      </c>
      <c r="J129" s="185">
        <v>1</v>
      </c>
      <c r="K129" s="185">
        <v>1</v>
      </c>
      <c r="L129" s="225"/>
      <c r="M129" s="185">
        <v>1</v>
      </c>
      <c r="N129" s="185">
        <v>1</v>
      </c>
      <c r="O129" s="185">
        <v>1</v>
      </c>
      <c r="P129" s="185">
        <v>1</v>
      </c>
      <c r="Q129" s="185">
        <v>1</v>
      </c>
      <c r="R129" s="227"/>
      <c r="S129" s="229"/>
      <c r="T129" s="185">
        <v>1</v>
      </c>
      <c r="U129" s="185">
        <v>1</v>
      </c>
      <c r="V129" s="185">
        <v>1</v>
      </c>
      <c r="W129" s="185">
        <v>1</v>
      </c>
      <c r="X129" s="185">
        <v>1</v>
      </c>
      <c r="Y129" s="185">
        <v>1</v>
      </c>
      <c r="Z129" s="232"/>
      <c r="AA129" s="185">
        <v>1</v>
      </c>
      <c r="AB129" s="185">
        <v>1</v>
      </c>
      <c r="AC129" s="185">
        <v>1</v>
      </c>
      <c r="AD129" s="185">
        <v>1</v>
      </c>
      <c r="AE129" s="185">
        <v>1</v>
      </c>
      <c r="AF129" s="185">
        <v>1</v>
      </c>
      <c r="AG129" s="233"/>
      <c r="AH129" s="185">
        <v>1</v>
      </c>
      <c r="AI129" s="185">
        <f t="shared" si="113"/>
        <v>25</v>
      </c>
      <c r="AJ129" s="185">
        <v>0</v>
      </c>
      <c r="AK129" s="185">
        <v>0</v>
      </c>
      <c r="AL129" s="185">
        <f>AI129+AJ129-AK129</f>
        <v>25</v>
      </c>
      <c r="AM129" s="185">
        <f t="shared" si="117"/>
        <v>10000</v>
      </c>
      <c r="AN129" s="734">
        <f>AM129+AM130</f>
        <v>15575</v>
      </c>
      <c r="AO129" s="735">
        <v>0</v>
      </c>
      <c r="AP129" s="734">
        <f t="shared" ref="AP129" si="124">AN129-AO129</f>
        <v>15575</v>
      </c>
      <c r="AQ129" s="734"/>
      <c r="AR129" s="734"/>
    </row>
    <row r="130" spans="1:44">
      <c r="A130" s="184"/>
      <c r="B130" s="184"/>
      <c r="C130" s="185">
        <v>50</v>
      </c>
      <c r="D130" s="193">
        <v>3.5</v>
      </c>
      <c r="E130" s="222"/>
      <c r="F130" s="193">
        <v>3.5</v>
      </c>
      <c r="G130" s="193">
        <v>3.5</v>
      </c>
      <c r="H130" s="193">
        <v>3.5</v>
      </c>
      <c r="I130" s="193">
        <v>3.5</v>
      </c>
      <c r="J130" s="193">
        <v>3.5</v>
      </c>
      <c r="K130" s="193">
        <v>3.5</v>
      </c>
      <c r="L130" s="227">
        <v>8</v>
      </c>
      <c r="M130" s="193">
        <v>3.5</v>
      </c>
      <c r="N130" s="193">
        <v>3.5</v>
      </c>
      <c r="O130" s="193">
        <v>3.5</v>
      </c>
      <c r="P130" s="193">
        <v>3.5</v>
      </c>
      <c r="Q130" s="193">
        <v>3.5</v>
      </c>
      <c r="R130" s="227"/>
      <c r="S130" s="227">
        <v>8</v>
      </c>
      <c r="T130" s="193">
        <v>3.5</v>
      </c>
      <c r="U130" s="193">
        <v>3.5</v>
      </c>
      <c r="V130" s="193">
        <v>3.5</v>
      </c>
      <c r="W130" s="193">
        <v>3.5</v>
      </c>
      <c r="X130" s="193">
        <v>3.5</v>
      </c>
      <c r="Y130" s="193">
        <v>3.5</v>
      </c>
      <c r="Z130" s="227">
        <v>8</v>
      </c>
      <c r="AA130" s="193">
        <v>3.5</v>
      </c>
      <c r="AB130" s="193">
        <v>3.5</v>
      </c>
      <c r="AC130" s="193">
        <v>3.5</v>
      </c>
      <c r="AD130" s="193">
        <v>3.5</v>
      </c>
      <c r="AE130" s="193">
        <v>3.5</v>
      </c>
      <c r="AF130" s="193">
        <v>3.5</v>
      </c>
      <c r="AG130" s="233"/>
      <c r="AH130" s="193">
        <v>3.5</v>
      </c>
      <c r="AI130" s="185">
        <f t="shared" si="113"/>
        <v>111.5</v>
      </c>
      <c r="AJ130" s="185">
        <v>0</v>
      </c>
      <c r="AK130" s="185">
        <v>0</v>
      </c>
      <c r="AL130" s="185">
        <f t="shared" ref="AL130" si="125">AI130+AJ130-AK130</f>
        <v>111.5</v>
      </c>
      <c r="AM130" s="185">
        <f t="shared" si="117"/>
        <v>5575</v>
      </c>
      <c r="AN130" s="734"/>
      <c r="AO130" s="735"/>
      <c r="AP130" s="734"/>
      <c r="AQ130" s="734"/>
      <c r="AR130" s="734"/>
    </row>
    <row r="131" spans="1:44">
      <c r="A131" s="185">
        <v>6</v>
      </c>
      <c r="B131" s="184" t="s">
        <v>114</v>
      </c>
      <c r="C131" s="185">
        <v>440</v>
      </c>
      <c r="D131" s="185">
        <v>0</v>
      </c>
      <c r="E131" s="226"/>
      <c r="F131" s="185">
        <v>0</v>
      </c>
      <c r="G131" s="185">
        <v>0</v>
      </c>
      <c r="H131" s="185">
        <v>0</v>
      </c>
      <c r="I131" s="185">
        <v>0</v>
      </c>
      <c r="J131" s="185">
        <v>0</v>
      </c>
      <c r="K131" s="185">
        <v>0</v>
      </c>
      <c r="L131" s="226"/>
      <c r="M131" s="185">
        <v>0</v>
      </c>
      <c r="N131" s="185">
        <v>1</v>
      </c>
      <c r="O131" s="185">
        <v>1</v>
      </c>
      <c r="P131" s="185">
        <v>1</v>
      </c>
      <c r="Q131" s="185">
        <v>1</v>
      </c>
      <c r="R131" s="227"/>
      <c r="S131" s="229"/>
      <c r="T131" s="185">
        <v>1</v>
      </c>
      <c r="U131" s="185">
        <v>1</v>
      </c>
      <c r="V131" s="185">
        <v>1</v>
      </c>
      <c r="W131" s="185">
        <v>1</v>
      </c>
      <c r="X131" s="185">
        <v>1</v>
      </c>
      <c r="Y131" s="185">
        <v>1</v>
      </c>
      <c r="Z131" s="232"/>
      <c r="AA131" s="221">
        <v>0</v>
      </c>
      <c r="AB131" s="185">
        <v>1</v>
      </c>
      <c r="AC131" s="185">
        <v>1</v>
      </c>
      <c r="AD131" s="185">
        <v>1</v>
      </c>
      <c r="AE131" s="185">
        <v>1</v>
      </c>
      <c r="AF131" s="185">
        <v>1</v>
      </c>
      <c r="AG131" s="233"/>
      <c r="AH131" s="185">
        <v>1</v>
      </c>
      <c r="AI131" s="185">
        <f t="shared" si="113"/>
        <v>16</v>
      </c>
      <c r="AJ131" s="185">
        <v>0</v>
      </c>
      <c r="AK131" s="185">
        <v>0</v>
      </c>
      <c r="AL131" s="185">
        <f>AI131+AJ131-AK131</f>
        <v>16</v>
      </c>
      <c r="AM131" s="185">
        <f t="shared" si="117"/>
        <v>7040</v>
      </c>
      <c r="AN131" s="734">
        <f>AM131+AM132</f>
        <v>11137.5</v>
      </c>
      <c r="AO131" s="735">
        <v>0</v>
      </c>
      <c r="AP131" s="734">
        <f t="shared" ref="AP131" si="126">AN131-AO131</f>
        <v>11137.5</v>
      </c>
      <c r="AQ131" s="734"/>
      <c r="AR131" s="734"/>
    </row>
    <row r="132" spans="1:44">
      <c r="A132" s="184"/>
      <c r="B132" s="184"/>
      <c r="C132" s="185">
        <v>55</v>
      </c>
      <c r="D132" s="185">
        <v>0</v>
      </c>
      <c r="E132" s="226"/>
      <c r="F132" s="185">
        <v>0</v>
      </c>
      <c r="G132" s="185">
        <v>0</v>
      </c>
      <c r="H132" s="185">
        <v>0</v>
      </c>
      <c r="I132" s="185">
        <v>0</v>
      </c>
      <c r="J132" s="185">
        <v>0</v>
      </c>
      <c r="K132" s="185">
        <v>0</v>
      </c>
      <c r="L132" s="228"/>
      <c r="M132" s="185">
        <v>0</v>
      </c>
      <c r="N132" s="193">
        <v>3.5</v>
      </c>
      <c r="O132" s="193">
        <v>3.5</v>
      </c>
      <c r="P132" s="216">
        <v>2.5</v>
      </c>
      <c r="Q132" s="193">
        <v>3.5</v>
      </c>
      <c r="R132" s="227"/>
      <c r="S132" s="227">
        <v>8</v>
      </c>
      <c r="T132" s="193">
        <v>3.5</v>
      </c>
      <c r="U132" s="193">
        <v>3.5</v>
      </c>
      <c r="V132" s="193">
        <v>3.5</v>
      </c>
      <c r="W132" s="193">
        <v>3.5</v>
      </c>
      <c r="X132" s="193">
        <v>3.5</v>
      </c>
      <c r="Y132" s="193">
        <v>3.5</v>
      </c>
      <c r="Z132" s="227">
        <v>8</v>
      </c>
      <c r="AA132" s="193">
        <v>5</v>
      </c>
      <c r="AB132" s="193">
        <v>3.5</v>
      </c>
      <c r="AC132" s="193">
        <v>3.5</v>
      </c>
      <c r="AD132" s="193">
        <v>3.5</v>
      </c>
      <c r="AE132" s="193">
        <v>3.5</v>
      </c>
      <c r="AF132" s="193">
        <v>3.5</v>
      </c>
      <c r="AG132" s="233"/>
      <c r="AH132" s="216">
        <v>2</v>
      </c>
      <c r="AI132" s="185">
        <f t="shared" si="113"/>
        <v>74.5</v>
      </c>
      <c r="AJ132" s="185">
        <v>0</v>
      </c>
      <c r="AK132" s="185">
        <v>0</v>
      </c>
      <c r="AL132" s="185">
        <f t="shared" ref="AL132" si="127">AI132+AJ132-AK132</f>
        <v>74.5</v>
      </c>
      <c r="AM132" s="185">
        <f t="shared" si="117"/>
        <v>4097.5</v>
      </c>
      <c r="AN132" s="734"/>
      <c r="AO132" s="735"/>
      <c r="AP132" s="734"/>
      <c r="AQ132" s="734"/>
      <c r="AR132" s="734"/>
    </row>
    <row r="133" spans="1:44">
      <c r="A133" s="758" t="s">
        <v>103</v>
      </c>
      <c r="B133" s="758"/>
      <c r="C133" s="223"/>
      <c r="D133" s="223">
        <f>X128+D123+D125+D127+D129+D131+D121</f>
        <v>8.5</v>
      </c>
      <c r="E133" s="223">
        <f t="shared" ref="E133:AR133" si="128">E119+E123+E125+E127+E129+E131+E121</f>
        <v>0</v>
      </c>
      <c r="F133" s="223">
        <f t="shared" si="128"/>
        <v>4</v>
      </c>
      <c r="G133" s="223">
        <f t="shared" si="128"/>
        <v>4</v>
      </c>
      <c r="H133" s="223">
        <f t="shared" si="128"/>
        <v>5</v>
      </c>
      <c r="I133" s="223">
        <f t="shared" si="128"/>
        <v>5</v>
      </c>
      <c r="J133" s="223">
        <f t="shared" si="128"/>
        <v>5</v>
      </c>
      <c r="K133" s="223">
        <f t="shared" si="128"/>
        <v>5</v>
      </c>
      <c r="L133" s="223">
        <f t="shared" si="128"/>
        <v>0</v>
      </c>
      <c r="M133" s="223">
        <f t="shared" si="128"/>
        <v>5</v>
      </c>
      <c r="N133" s="223">
        <f t="shared" si="128"/>
        <v>5</v>
      </c>
      <c r="O133" s="223">
        <f t="shared" si="128"/>
        <v>6</v>
      </c>
      <c r="P133" s="223">
        <f t="shared" si="128"/>
        <v>6</v>
      </c>
      <c r="Q133" s="223">
        <f t="shared" si="128"/>
        <v>5</v>
      </c>
      <c r="R133" s="223">
        <f t="shared" si="128"/>
        <v>0</v>
      </c>
      <c r="S133" s="223">
        <f t="shared" si="128"/>
        <v>0</v>
      </c>
      <c r="T133" s="223">
        <f t="shared" si="128"/>
        <v>6</v>
      </c>
      <c r="U133" s="223">
        <f t="shared" si="128"/>
        <v>6</v>
      </c>
      <c r="V133" s="223">
        <f t="shared" si="128"/>
        <v>6</v>
      </c>
      <c r="W133" s="223">
        <f t="shared" si="128"/>
        <v>5</v>
      </c>
      <c r="X133" s="223">
        <f t="shared" si="128"/>
        <v>6</v>
      </c>
      <c r="Y133" s="223">
        <f t="shared" si="128"/>
        <v>5</v>
      </c>
      <c r="Z133" s="223">
        <f t="shared" si="128"/>
        <v>0</v>
      </c>
      <c r="AA133" s="230">
        <f t="shared" ref="AA133" si="129">AA119+AA123+AA125+AA127+AA129+AA131+AA121</f>
        <v>4</v>
      </c>
      <c r="AB133" s="223">
        <f t="shared" si="128"/>
        <v>6</v>
      </c>
      <c r="AC133" s="223">
        <f t="shared" si="128"/>
        <v>5</v>
      </c>
      <c r="AD133" s="223">
        <f t="shared" si="128"/>
        <v>5</v>
      </c>
      <c r="AE133" s="223">
        <f t="shared" si="128"/>
        <v>6</v>
      </c>
      <c r="AF133" s="223">
        <f t="shared" si="128"/>
        <v>6</v>
      </c>
      <c r="AG133" s="223">
        <f t="shared" si="128"/>
        <v>0</v>
      </c>
      <c r="AH133" s="223">
        <f t="shared" si="128"/>
        <v>6</v>
      </c>
      <c r="AI133" s="223">
        <f t="shared" si="128"/>
        <v>132</v>
      </c>
      <c r="AJ133" s="223">
        <f t="shared" si="128"/>
        <v>0</v>
      </c>
      <c r="AK133" s="223">
        <f t="shared" si="128"/>
        <v>0</v>
      </c>
      <c r="AL133" s="223">
        <f t="shared" si="128"/>
        <v>132</v>
      </c>
      <c r="AM133" s="223">
        <f t="shared" si="128"/>
        <v>54440</v>
      </c>
      <c r="AN133" s="223">
        <f t="shared" si="128"/>
        <v>82640</v>
      </c>
      <c r="AO133" s="223">
        <f t="shared" si="128"/>
        <v>0</v>
      </c>
      <c r="AP133" s="223">
        <f t="shared" si="128"/>
        <v>82640</v>
      </c>
      <c r="AQ133" s="223">
        <f t="shared" si="128"/>
        <v>0</v>
      </c>
      <c r="AR133" s="223">
        <f t="shared" si="128"/>
        <v>0</v>
      </c>
    </row>
    <row r="134" spans="1:44">
      <c r="A134" s="759" t="s">
        <v>106</v>
      </c>
      <c r="B134" s="759"/>
      <c r="C134" s="222"/>
      <c r="D134" s="222">
        <f>D120+D122+D124+D126+D128++D130+D132</f>
        <v>14</v>
      </c>
      <c r="E134" s="222">
        <f t="shared" ref="E134:AR134" si="130">E120+E122+E124+E126+E128++E130+E132</f>
        <v>0</v>
      </c>
      <c r="F134" s="222">
        <f t="shared" si="130"/>
        <v>14</v>
      </c>
      <c r="G134" s="222">
        <f t="shared" si="130"/>
        <v>14</v>
      </c>
      <c r="H134" s="222">
        <f t="shared" si="130"/>
        <v>15.5</v>
      </c>
      <c r="I134" s="222">
        <f t="shared" si="130"/>
        <v>17.5</v>
      </c>
      <c r="J134" s="222">
        <f t="shared" si="130"/>
        <v>17.5</v>
      </c>
      <c r="K134" s="222">
        <f t="shared" si="130"/>
        <v>17.5</v>
      </c>
      <c r="L134" s="222">
        <f t="shared" si="130"/>
        <v>32</v>
      </c>
      <c r="M134" s="222">
        <f t="shared" si="130"/>
        <v>14</v>
      </c>
      <c r="N134" s="222">
        <f t="shared" si="130"/>
        <v>17.5</v>
      </c>
      <c r="O134" s="222">
        <f t="shared" si="130"/>
        <v>21</v>
      </c>
      <c r="P134" s="222">
        <f t="shared" si="130"/>
        <v>18</v>
      </c>
      <c r="Q134" s="222">
        <f t="shared" si="130"/>
        <v>17.5</v>
      </c>
      <c r="R134" s="222">
        <f t="shared" si="130"/>
        <v>0</v>
      </c>
      <c r="S134" s="222">
        <f t="shared" si="130"/>
        <v>40</v>
      </c>
      <c r="T134" s="222">
        <f t="shared" si="130"/>
        <v>21</v>
      </c>
      <c r="U134" s="222">
        <f t="shared" si="130"/>
        <v>20</v>
      </c>
      <c r="V134" s="222">
        <f t="shared" si="130"/>
        <v>18.5</v>
      </c>
      <c r="W134" s="222">
        <f t="shared" si="130"/>
        <v>17.5</v>
      </c>
      <c r="X134" s="222">
        <f t="shared" si="130"/>
        <v>19.5</v>
      </c>
      <c r="Y134" s="222">
        <f t="shared" si="130"/>
        <v>15.5</v>
      </c>
      <c r="Z134" s="222">
        <f t="shared" si="130"/>
        <v>32</v>
      </c>
      <c r="AA134" s="231">
        <f t="shared" ref="AA134" si="131">AA120+AA122+AA124+AA126+AA128++AA130+AA132</f>
        <v>19</v>
      </c>
      <c r="AB134" s="222">
        <f t="shared" si="130"/>
        <v>21</v>
      </c>
      <c r="AC134" s="222">
        <f t="shared" si="130"/>
        <v>17.5</v>
      </c>
      <c r="AD134" s="222">
        <f t="shared" si="130"/>
        <v>17.5</v>
      </c>
      <c r="AE134" s="222">
        <f t="shared" si="130"/>
        <v>19</v>
      </c>
      <c r="AF134" s="222">
        <f t="shared" si="130"/>
        <v>19</v>
      </c>
      <c r="AG134" s="222">
        <f t="shared" si="130"/>
        <v>0</v>
      </c>
      <c r="AH134" s="222">
        <f t="shared" si="130"/>
        <v>19.5</v>
      </c>
      <c r="AI134" s="222">
        <f t="shared" si="130"/>
        <v>546.5</v>
      </c>
      <c r="AJ134" s="222">
        <f t="shared" si="130"/>
        <v>0</v>
      </c>
      <c r="AK134" s="222">
        <f t="shared" si="130"/>
        <v>0</v>
      </c>
      <c r="AL134" s="222">
        <f t="shared" si="130"/>
        <v>546.5</v>
      </c>
      <c r="AM134" s="222">
        <f t="shared" si="130"/>
        <v>28200</v>
      </c>
      <c r="AN134" s="222">
        <f t="shared" si="130"/>
        <v>0</v>
      </c>
      <c r="AO134" s="222">
        <f t="shared" si="130"/>
        <v>0</v>
      </c>
      <c r="AP134" s="222">
        <f t="shared" si="130"/>
        <v>0</v>
      </c>
      <c r="AQ134" s="222">
        <f t="shared" si="130"/>
        <v>0</v>
      </c>
      <c r="AR134" s="222">
        <f t="shared" si="130"/>
        <v>0</v>
      </c>
    </row>
    <row r="136" spans="1:44" ht="23.25">
      <c r="A136" s="737" t="s">
        <v>0</v>
      </c>
      <c r="B136" s="738" t="s">
        <v>1</v>
      </c>
      <c r="C136" s="738"/>
      <c r="D136" s="739" t="s">
        <v>131</v>
      </c>
      <c r="E136" s="739"/>
      <c r="F136" s="739"/>
      <c r="G136" s="739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739"/>
      <c r="AB136" s="739"/>
      <c r="AC136" s="739"/>
      <c r="AD136" s="739"/>
      <c r="AE136" s="739"/>
      <c r="AF136" s="739"/>
      <c r="AG136" s="740">
        <v>31</v>
      </c>
      <c r="AH136" s="740"/>
      <c r="AI136" s="736" t="s">
        <v>107</v>
      </c>
      <c r="AJ136" s="736" t="s">
        <v>45</v>
      </c>
      <c r="AK136" s="736" t="s">
        <v>108</v>
      </c>
      <c r="AL136" s="736" t="s">
        <v>112</v>
      </c>
      <c r="AM136" s="737" t="s">
        <v>7</v>
      </c>
      <c r="AN136" s="737"/>
      <c r="AO136" s="736" t="s">
        <v>93</v>
      </c>
      <c r="AP136" s="736" t="s">
        <v>109</v>
      </c>
      <c r="AQ136" s="736" t="s">
        <v>33</v>
      </c>
      <c r="AR136" s="736" t="s">
        <v>111</v>
      </c>
    </row>
    <row r="137" spans="1:44">
      <c r="A137" s="737"/>
      <c r="B137" s="738"/>
      <c r="C137" s="738"/>
      <c r="D137" s="234">
        <v>1</v>
      </c>
      <c r="E137" s="234">
        <v>2</v>
      </c>
      <c r="F137" s="234">
        <v>3</v>
      </c>
      <c r="G137" s="234">
        <v>4</v>
      </c>
      <c r="H137" s="234">
        <v>5</v>
      </c>
      <c r="I137" s="234">
        <v>6</v>
      </c>
      <c r="J137" s="234">
        <v>7</v>
      </c>
      <c r="K137" s="234">
        <v>8</v>
      </c>
      <c r="L137" s="234">
        <v>9</v>
      </c>
      <c r="M137" s="234">
        <v>10</v>
      </c>
      <c r="N137" s="234">
        <v>11</v>
      </c>
      <c r="O137" s="234">
        <v>12</v>
      </c>
      <c r="P137" s="234">
        <v>13</v>
      </c>
      <c r="Q137" s="234">
        <v>14</v>
      </c>
      <c r="R137" s="234">
        <v>15</v>
      </c>
      <c r="S137" s="234">
        <v>16</v>
      </c>
      <c r="T137" s="234">
        <v>17</v>
      </c>
      <c r="U137" s="234">
        <v>18</v>
      </c>
      <c r="V137" s="234">
        <v>19</v>
      </c>
      <c r="W137" s="234">
        <v>20</v>
      </c>
      <c r="X137" s="234">
        <v>21</v>
      </c>
      <c r="Y137" s="234">
        <v>22</v>
      </c>
      <c r="Z137" s="234">
        <v>23</v>
      </c>
      <c r="AA137" s="234">
        <v>24</v>
      </c>
      <c r="AB137" s="234">
        <v>25</v>
      </c>
      <c r="AC137" s="234">
        <v>26</v>
      </c>
      <c r="AD137" s="234">
        <v>27</v>
      </c>
      <c r="AE137" s="234">
        <v>28</v>
      </c>
      <c r="AF137" s="234">
        <v>29</v>
      </c>
      <c r="AG137" s="234">
        <v>30</v>
      </c>
      <c r="AH137" s="234">
        <v>31</v>
      </c>
      <c r="AI137" s="736"/>
      <c r="AJ137" s="736"/>
      <c r="AK137" s="736"/>
      <c r="AL137" s="736"/>
      <c r="AM137" s="737"/>
      <c r="AN137" s="737"/>
      <c r="AO137" s="736"/>
      <c r="AP137" s="736"/>
      <c r="AQ137" s="736"/>
      <c r="AR137" s="736"/>
    </row>
    <row r="138" spans="1:44">
      <c r="A138" s="185">
        <v>1</v>
      </c>
      <c r="B138" s="184" t="s">
        <v>133</v>
      </c>
      <c r="C138" s="185">
        <f>C139*11.5</f>
        <v>500.25</v>
      </c>
      <c r="D138" s="220"/>
      <c r="E138" s="220"/>
      <c r="F138" s="220"/>
      <c r="G138" s="220"/>
      <c r="H138" s="220"/>
      <c r="I138" s="238"/>
      <c r="J138" s="220"/>
      <c r="K138" s="220"/>
      <c r="L138" s="220"/>
      <c r="M138" s="220"/>
      <c r="N138" s="220"/>
      <c r="O138" s="220"/>
      <c r="P138" s="238"/>
      <c r="Q138" s="220"/>
      <c r="R138" s="238"/>
      <c r="S138" s="220"/>
      <c r="T138" s="220"/>
      <c r="U138" s="185">
        <v>1</v>
      </c>
      <c r="V138" s="238"/>
      <c r="W138" s="185">
        <v>1</v>
      </c>
      <c r="X138" s="185">
        <v>1</v>
      </c>
      <c r="Y138" s="246">
        <v>0</v>
      </c>
      <c r="Z138" s="185">
        <v>1</v>
      </c>
      <c r="AA138" s="185">
        <v>1</v>
      </c>
      <c r="AB138" s="185">
        <v>1</v>
      </c>
      <c r="AC138" s="185">
        <v>1</v>
      </c>
      <c r="AD138" s="238"/>
      <c r="AE138" s="252">
        <v>0</v>
      </c>
      <c r="AF138" s="185">
        <v>1</v>
      </c>
      <c r="AG138" s="185">
        <v>1</v>
      </c>
      <c r="AH138" s="185">
        <v>1</v>
      </c>
      <c r="AI138" s="185">
        <f>SUM(D138:AH138)</f>
        <v>10</v>
      </c>
      <c r="AJ138" s="185">
        <v>2</v>
      </c>
      <c r="AK138" s="185">
        <v>2</v>
      </c>
      <c r="AL138" s="185">
        <f>AI138+AJ138-AK138</f>
        <v>10</v>
      </c>
      <c r="AM138" s="185">
        <f>AL138*C138</f>
        <v>5002.5</v>
      </c>
      <c r="AN138" s="734">
        <f>AM138+AM139</f>
        <v>5002.5</v>
      </c>
      <c r="AO138" s="735">
        <v>0</v>
      </c>
      <c r="AP138" s="734">
        <f t="shared" ref="AP138" si="132">AN138-AO138</f>
        <v>5002.5</v>
      </c>
      <c r="AQ138" s="734"/>
      <c r="AR138" s="734"/>
    </row>
    <row r="139" spans="1:44">
      <c r="A139" s="185">
        <f>C138/8</f>
        <v>62.53125</v>
      </c>
      <c r="B139" s="184">
        <v>15000</v>
      </c>
      <c r="C139" s="185">
        <v>43.5</v>
      </c>
      <c r="D139" s="220"/>
      <c r="E139" s="220"/>
      <c r="F139" s="220"/>
      <c r="G139" s="220"/>
      <c r="H139" s="220"/>
      <c r="I139" s="238"/>
      <c r="J139" s="220"/>
      <c r="K139" s="220"/>
      <c r="L139" s="220"/>
      <c r="M139" s="220"/>
      <c r="N139" s="220"/>
      <c r="O139" s="220"/>
      <c r="P139" s="238"/>
      <c r="Q139" s="220"/>
      <c r="R139" s="238"/>
      <c r="S139" s="220"/>
      <c r="T139" s="220"/>
      <c r="U139" s="193">
        <v>0</v>
      </c>
      <c r="V139" s="238"/>
      <c r="W139" s="193">
        <v>0</v>
      </c>
      <c r="X139" s="193">
        <v>0</v>
      </c>
      <c r="Y139" s="193">
        <v>0</v>
      </c>
      <c r="Z139" s="193">
        <v>0</v>
      </c>
      <c r="AA139" s="193">
        <v>0</v>
      </c>
      <c r="AB139" s="193">
        <v>0</v>
      </c>
      <c r="AC139" s="193">
        <v>0</v>
      </c>
      <c r="AD139" s="238"/>
      <c r="AE139" s="193">
        <v>0</v>
      </c>
      <c r="AF139" s="193">
        <v>0</v>
      </c>
      <c r="AG139" s="193">
        <v>0</v>
      </c>
      <c r="AH139" s="193">
        <v>0</v>
      </c>
      <c r="AI139" s="185">
        <f t="shared" ref="AI139:AI151" si="133">SUM(D139:AH139)</f>
        <v>0</v>
      </c>
      <c r="AJ139" s="185">
        <v>0</v>
      </c>
      <c r="AK139" s="185">
        <v>0</v>
      </c>
      <c r="AL139" s="185">
        <f t="shared" ref="AL139" si="134">AI139+AJ139-AK139</f>
        <v>0</v>
      </c>
      <c r="AM139" s="185">
        <f>AL139*C139</f>
        <v>0</v>
      </c>
      <c r="AN139" s="734"/>
      <c r="AO139" s="735"/>
      <c r="AP139" s="734"/>
      <c r="AQ139" s="734"/>
      <c r="AR139" s="734"/>
    </row>
    <row r="140" spans="1:44">
      <c r="A140" s="185">
        <v>1</v>
      </c>
      <c r="B140" s="184" t="s">
        <v>104</v>
      </c>
      <c r="C140" s="185">
        <v>440</v>
      </c>
      <c r="D140" s="244">
        <v>0</v>
      </c>
      <c r="E140" s="185">
        <v>1</v>
      </c>
      <c r="F140" s="185">
        <v>1</v>
      </c>
      <c r="G140" s="185">
        <v>1</v>
      </c>
      <c r="H140" s="185">
        <v>1</v>
      </c>
      <c r="I140" s="238"/>
      <c r="J140" s="185">
        <v>1</v>
      </c>
      <c r="K140" s="185">
        <v>1</v>
      </c>
      <c r="L140" s="185">
        <v>1</v>
      </c>
      <c r="M140" s="185">
        <v>1</v>
      </c>
      <c r="N140" s="185">
        <v>1</v>
      </c>
      <c r="O140" s="185">
        <v>1</v>
      </c>
      <c r="P140" s="238"/>
      <c r="Q140" s="185">
        <v>1</v>
      </c>
      <c r="R140" s="238"/>
      <c r="S140" s="185">
        <v>1</v>
      </c>
      <c r="T140" s="244">
        <v>0</v>
      </c>
      <c r="U140" s="245">
        <v>0</v>
      </c>
      <c r="V140" s="238"/>
      <c r="W140" s="246">
        <v>0</v>
      </c>
      <c r="X140" s="246">
        <v>0</v>
      </c>
      <c r="Y140" s="246">
        <v>0</v>
      </c>
      <c r="Z140" s="249">
        <v>0</v>
      </c>
      <c r="AA140" s="250">
        <v>0</v>
      </c>
      <c r="AB140" s="250">
        <v>0</v>
      </c>
      <c r="AC140" s="251">
        <v>0</v>
      </c>
      <c r="AD140" s="238"/>
      <c r="AE140" s="252">
        <v>0</v>
      </c>
      <c r="AF140" s="253">
        <v>0</v>
      </c>
      <c r="AG140" s="254">
        <v>0</v>
      </c>
      <c r="AH140" s="254">
        <v>0</v>
      </c>
      <c r="AI140" s="185">
        <f t="shared" si="133"/>
        <v>12</v>
      </c>
      <c r="AJ140" s="185">
        <v>0</v>
      </c>
      <c r="AK140" s="185">
        <v>0</v>
      </c>
      <c r="AL140" s="185">
        <f>AI140+AJ140-AK140</f>
        <v>12</v>
      </c>
      <c r="AM140" s="185">
        <f>AL140*C140</f>
        <v>5280</v>
      </c>
      <c r="AN140" s="734">
        <f>AM140+AM141</f>
        <v>7425</v>
      </c>
      <c r="AO140" s="735">
        <v>0</v>
      </c>
      <c r="AP140" s="734">
        <f t="shared" ref="AP140" si="135">AN140-AO140</f>
        <v>7425</v>
      </c>
      <c r="AQ140" s="734"/>
      <c r="AR140" s="734"/>
    </row>
    <row r="141" spans="1:44">
      <c r="A141" s="185">
        <f>C140/8</f>
        <v>55</v>
      </c>
      <c r="B141" s="184">
        <v>15000</v>
      </c>
      <c r="C141" s="185">
        <v>55</v>
      </c>
      <c r="D141" s="240">
        <v>0</v>
      </c>
      <c r="E141" s="236">
        <v>2</v>
      </c>
      <c r="F141" s="193">
        <v>3.5</v>
      </c>
      <c r="G141" s="193">
        <v>3.5</v>
      </c>
      <c r="H141" s="193">
        <v>3.5</v>
      </c>
      <c r="I141" s="238"/>
      <c r="J141" s="193">
        <v>3.5</v>
      </c>
      <c r="K141" s="193">
        <v>3.5</v>
      </c>
      <c r="L141" s="241">
        <v>2</v>
      </c>
      <c r="M141" s="193">
        <v>3.5</v>
      </c>
      <c r="N141" s="193">
        <v>3.5</v>
      </c>
      <c r="O141" s="193">
        <v>3.5</v>
      </c>
      <c r="P141" s="238"/>
      <c r="Q141" s="193">
        <v>3.5</v>
      </c>
      <c r="R141" s="238"/>
      <c r="S141" s="193">
        <v>3.5</v>
      </c>
      <c r="T141" s="240">
        <v>0</v>
      </c>
      <c r="U141" s="240">
        <v>0</v>
      </c>
      <c r="V141" s="238"/>
      <c r="W141" s="240">
        <v>0</v>
      </c>
      <c r="X141" s="240">
        <v>0</v>
      </c>
      <c r="Y141" s="240">
        <v>0</v>
      </c>
      <c r="Z141" s="240">
        <v>0</v>
      </c>
      <c r="AA141" s="240">
        <v>0</v>
      </c>
      <c r="AB141" s="240">
        <v>0</v>
      </c>
      <c r="AC141" s="240">
        <v>0</v>
      </c>
      <c r="AD141" s="238"/>
      <c r="AE141" s="240">
        <v>0</v>
      </c>
      <c r="AF141" s="240">
        <v>0</v>
      </c>
      <c r="AG141" s="240">
        <v>0</v>
      </c>
      <c r="AH141" s="240">
        <v>0</v>
      </c>
      <c r="AI141" s="185">
        <f t="shared" si="133"/>
        <v>39</v>
      </c>
      <c r="AJ141" s="185">
        <v>0</v>
      </c>
      <c r="AK141" s="185">
        <v>0</v>
      </c>
      <c r="AL141" s="185">
        <f t="shared" ref="AL141" si="136">AI141+AJ141-AK141</f>
        <v>39</v>
      </c>
      <c r="AM141" s="185">
        <f>AL141*C141</f>
        <v>2145</v>
      </c>
      <c r="AN141" s="734"/>
      <c r="AO141" s="735"/>
      <c r="AP141" s="734"/>
      <c r="AQ141" s="734"/>
      <c r="AR141" s="734"/>
    </row>
    <row r="142" spans="1:44">
      <c r="A142" s="185">
        <v>2</v>
      </c>
      <c r="B142" s="184" t="s">
        <v>114</v>
      </c>
      <c r="C142" s="185">
        <v>440</v>
      </c>
      <c r="D142" s="185">
        <v>1</v>
      </c>
      <c r="E142" s="185">
        <v>1</v>
      </c>
      <c r="F142" s="185">
        <v>1</v>
      </c>
      <c r="G142" s="185">
        <v>1</v>
      </c>
      <c r="H142" s="185">
        <v>1</v>
      </c>
      <c r="I142" s="238"/>
      <c r="J142" s="185">
        <v>1</v>
      </c>
      <c r="K142" s="185">
        <v>1</v>
      </c>
      <c r="L142" s="185">
        <v>1</v>
      </c>
      <c r="M142" s="185">
        <v>1</v>
      </c>
      <c r="N142" s="242">
        <v>0</v>
      </c>
      <c r="O142" s="185">
        <v>1</v>
      </c>
      <c r="P142" s="238"/>
      <c r="Q142" s="185">
        <v>1</v>
      </c>
      <c r="R142" s="238"/>
      <c r="S142" s="185">
        <v>1</v>
      </c>
      <c r="T142" s="185">
        <v>1</v>
      </c>
      <c r="U142" s="185">
        <v>1</v>
      </c>
      <c r="V142" s="238"/>
      <c r="W142" s="185">
        <v>1</v>
      </c>
      <c r="X142" s="185">
        <v>1</v>
      </c>
      <c r="Y142" s="185">
        <v>1</v>
      </c>
      <c r="Z142" s="185">
        <v>1</v>
      </c>
      <c r="AA142" s="185">
        <v>1</v>
      </c>
      <c r="AB142" s="185">
        <v>1</v>
      </c>
      <c r="AC142" s="185">
        <v>1</v>
      </c>
      <c r="AD142" s="238"/>
      <c r="AE142" s="185">
        <v>1</v>
      </c>
      <c r="AF142" s="185">
        <v>1</v>
      </c>
      <c r="AG142" s="185">
        <v>1</v>
      </c>
      <c r="AH142" s="185">
        <v>1</v>
      </c>
      <c r="AI142" s="185">
        <f t="shared" si="133"/>
        <v>25</v>
      </c>
      <c r="AJ142" s="185">
        <v>0</v>
      </c>
      <c r="AK142" s="185">
        <v>0</v>
      </c>
      <c r="AL142" s="185">
        <f>AI142+AJ142-AK142</f>
        <v>25</v>
      </c>
      <c r="AM142" s="185">
        <f t="shared" ref="AM142:AM151" si="137">AL142*C142</f>
        <v>11000</v>
      </c>
      <c r="AN142" s="734">
        <f>AM142+AM143</f>
        <v>15730</v>
      </c>
      <c r="AO142" s="735">
        <v>0</v>
      </c>
      <c r="AP142" s="734">
        <f t="shared" ref="AP142" si="138">AN142-AO142</f>
        <v>15730</v>
      </c>
      <c r="AQ142" s="734"/>
      <c r="AR142" s="734"/>
    </row>
    <row r="143" spans="1:44">
      <c r="A143" s="185">
        <f>C142/8</f>
        <v>55</v>
      </c>
      <c r="B143" s="184"/>
      <c r="C143" s="185">
        <v>55</v>
      </c>
      <c r="D143" s="193">
        <v>3.5</v>
      </c>
      <c r="E143" s="236">
        <v>2</v>
      </c>
      <c r="F143" s="193">
        <v>3.5</v>
      </c>
      <c r="G143" s="241">
        <v>3</v>
      </c>
      <c r="H143" s="193">
        <v>3.5</v>
      </c>
      <c r="I143" s="238"/>
      <c r="J143" s="193">
        <v>3.5</v>
      </c>
      <c r="K143" s="193">
        <v>3.5</v>
      </c>
      <c r="L143" s="241">
        <v>3</v>
      </c>
      <c r="M143" s="193">
        <v>3.5</v>
      </c>
      <c r="N143" s="240">
        <v>0</v>
      </c>
      <c r="O143" s="241">
        <v>2</v>
      </c>
      <c r="P143" s="238"/>
      <c r="Q143" s="193">
        <v>3.5</v>
      </c>
      <c r="R143" s="238"/>
      <c r="S143" s="193">
        <v>3.5</v>
      </c>
      <c r="T143" s="193">
        <v>3.5</v>
      </c>
      <c r="U143" s="193">
        <v>3.5</v>
      </c>
      <c r="V143" s="238"/>
      <c r="W143" s="193">
        <v>0</v>
      </c>
      <c r="X143" s="193">
        <v>3.5</v>
      </c>
      <c r="Y143" s="193">
        <v>3.5</v>
      </c>
      <c r="Z143" s="193">
        <v>3.5</v>
      </c>
      <c r="AA143" s="193">
        <v>3.5</v>
      </c>
      <c r="AB143" s="193">
        <v>3.5</v>
      </c>
      <c r="AC143" s="193">
        <v>3.5</v>
      </c>
      <c r="AD143" s="213">
        <v>8</v>
      </c>
      <c r="AE143" s="193">
        <v>3.5</v>
      </c>
      <c r="AF143" s="193">
        <v>3.5</v>
      </c>
      <c r="AG143" s="255">
        <v>1.5</v>
      </c>
      <c r="AH143" s="193">
        <v>3.5</v>
      </c>
      <c r="AI143" s="185">
        <f t="shared" si="133"/>
        <v>86</v>
      </c>
      <c r="AJ143" s="185">
        <v>0</v>
      </c>
      <c r="AK143" s="185">
        <v>0</v>
      </c>
      <c r="AL143" s="185">
        <f t="shared" ref="AL143" si="139">AI143+AJ143-AK143</f>
        <v>86</v>
      </c>
      <c r="AM143" s="185">
        <f t="shared" si="137"/>
        <v>4730</v>
      </c>
      <c r="AN143" s="734"/>
      <c r="AO143" s="735"/>
      <c r="AP143" s="734"/>
      <c r="AQ143" s="734"/>
      <c r="AR143" s="734"/>
    </row>
    <row r="144" spans="1:44">
      <c r="A144" s="185">
        <v>3</v>
      </c>
      <c r="B144" s="184" t="s">
        <v>127</v>
      </c>
      <c r="C144" s="184">
        <v>400</v>
      </c>
      <c r="D144" s="185">
        <v>1</v>
      </c>
      <c r="E144" s="185">
        <v>1</v>
      </c>
      <c r="F144" s="185">
        <v>1</v>
      </c>
      <c r="G144" s="185">
        <v>1</v>
      </c>
      <c r="H144" s="185">
        <v>1</v>
      </c>
      <c r="I144" s="238"/>
      <c r="J144" s="185">
        <v>1</v>
      </c>
      <c r="K144" s="185">
        <v>1</v>
      </c>
      <c r="L144" s="185">
        <v>1</v>
      </c>
      <c r="M144" s="185">
        <v>1</v>
      </c>
      <c r="N144" s="185">
        <v>1</v>
      </c>
      <c r="O144" s="185">
        <v>1</v>
      </c>
      <c r="P144" s="238"/>
      <c r="Q144" s="185">
        <v>1</v>
      </c>
      <c r="R144" s="238"/>
      <c r="S144" s="185">
        <v>1</v>
      </c>
      <c r="T144" s="185">
        <v>1</v>
      </c>
      <c r="U144" s="185">
        <v>1</v>
      </c>
      <c r="V144" s="238"/>
      <c r="W144" s="185">
        <v>1</v>
      </c>
      <c r="X144" s="185">
        <v>1</v>
      </c>
      <c r="Y144" s="185">
        <v>1</v>
      </c>
      <c r="Z144" s="185">
        <v>1</v>
      </c>
      <c r="AA144" s="185">
        <v>1</v>
      </c>
      <c r="AB144" s="185">
        <v>1</v>
      </c>
      <c r="AC144" s="185">
        <v>1</v>
      </c>
      <c r="AD144" s="238"/>
      <c r="AE144" s="185">
        <v>1</v>
      </c>
      <c r="AF144" s="185">
        <v>1</v>
      </c>
      <c r="AG144" s="185">
        <v>1</v>
      </c>
      <c r="AH144" s="185">
        <v>1</v>
      </c>
      <c r="AI144" s="185">
        <f t="shared" si="133"/>
        <v>26</v>
      </c>
      <c r="AJ144" s="185">
        <v>0</v>
      </c>
      <c r="AK144" s="185">
        <v>0</v>
      </c>
      <c r="AL144" s="185">
        <f>AI144+AJ144-AK144</f>
        <v>26</v>
      </c>
      <c r="AM144" s="185">
        <f t="shared" si="137"/>
        <v>10400</v>
      </c>
      <c r="AN144" s="734">
        <f>AM144+AM145</f>
        <v>15100</v>
      </c>
      <c r="AO144" s="735">
        <v>0</v>
      </c>
      <c r="AP144" s="734">
        <f t="shared" ref="AP144" si="140">AN144-AO144</f>
        <v>15100</v>
      </c>
      <c r="AQ144" s="734"/>
      <c r="AR144" s="734"/>
    </row>
    <row r="145" spans="1:44">
      <c r="A145" s="184"/>
      <c r="B145" s="184"/>
      <c r="C145" s="185">
        <v>50</v>
      </c>
      <c r="D145" s="193">
        <v>3.5</v>
      </c>
      <c r="E145" s="236">
        <v>2</v>
      </c>
      <c r="F145" s="193">
        <v>3.5</v>
      </c>
      <c r="G145" s="193">
        <v>3.5</v>
      </c>
      <c r="H145" s="193">
        <v>3.5</v>
      </c>
      <c r="I145" s="238"/>
      <c r="J145" s="193">
        <v>3.5</v>
      </c>
      <c r="K145" s="193">
        <v>3.5</v>
      </c>
      <c r="L145" s="193">
        <v>3.5</v>
      </c>
      <c r="M145" s="193">
        <v>3.5</v>
      </c>
      <c r="N145" s="193">
        <v>3.5</v>
      </c>
      <c r="O145" s="193">
        <v>3.5</v>
      </c>
      <c r="P145" s="238"/>
      <c r="Q145" s="193">
        <v>3.5</v>
      </c>
      <c r="R145" s="238"/>
      <c r="S145" s="193">
        <v>3.5</v>
      </c>
      <c r="T145" s="193">
        <v>3.5</v>
      </c>
      <c r="U145" s="193">
        <v>3.5</v>
      </c>
      <c r="V145" s="238"/>
      <c r="W145" s="193">
        <v>0</v>
      </c>
      <c r="X145" s="193">
        <v>3.5</v>
      </c>
      <c r="Y145" s="193">
        <v>3.5</v>
      </c>
      <c r="Z145" s="193">
        <v>3.5</v>
      </c>
      <c r="AA145" s="193">
        <v>3.5</v>
      </c>
      <c r="AB145" s="193">
        <v>3.5</v>
      </c>
      <c r="AC145" s="193">
        <v>3.5</v>
      </c>
      <c r="AD145" s="213">
        <v>8</v>
      </c>
      <c r="AE145" s="193">
        <v>3.5</v>
      </c>
      <c r="AF145" s="193">
        <v>3.5</v>
      </c>
      <c r="AG145" s="193">
        <v>3.5</v>
      </c>
      <c r="AH145" s="193">
        <v>3.5</v>
      </c>
      <c r="AI145" s="185">
        <f t="shared" si="133"/>
        <v>94</v>
      </c>
      <c r="AJ145" s="185">
        <v>0</v>
      </c>
      <c r="AK145" s="185">
        <v>0</v>
      </c>
      <c r="AL145" s="185">
        <f t="shared" ref="AL145" si="141">AI145+AJ145-AK145</f>
        <v>94</v>
      </c>
      <c r="AM145" s="185">
        <f t="shared" si="137"/>
        <v>4700</v>
      </c>
      <c r="AN145" s="734"/>
      <c r="AO145" s="735"/>
      <c r="AP145" s="734"/>
      <c r="AQ145" s="734"/>
      <c r="AR145" s="734"/>
    </row>
    <row r="146" spans="1:44">
      <c r="A146" s="185">
        <v>4</v>
      </c>
      <c r="B146" s="184" t="s">
        <v>128</v>
      </c>
      <c r="C146" s="185">
        <v>400</v>
      </c>
      <c r="D146" s="185">
        <v>1</v>
      </c>
      <c r="E146" s="185">
        <v>1</v>
      </c>
      <c r="F146" s="185">
        <v>1</v>
      </c>
      <c r="G146" s="185">
        <v>1</v>
      </c>
      <c r="H146" s="185">
        <v>1</v>
      </c>
      <c r="I146" s="238"/>
      <c r="J146" s="185">
        <v>1</v>
      </c>
      <c r="K146" s="185">
        <v>1</v>
      </c>
      <c r="L146" s="185">
        <v>1</v>
      </c>
      <c r="M146" s="185">
        <v>1</v>
      </c>
      <c r="N146" s="185">
        <v>1</v>
      </c>
      <c r="O146" s="185">
        <v>1</v>
      </c>
      <c r="P146" s="238"/>
      <c r="Q146" s="185">
        <v>1</v>
      </c>
      <c r="R146" s="238"/>
      <c r="S146" s="185">
        <v>1</v>
      </c>
      <c r="T146" s="185">
        <v>1</v>
      </c>
      <c r="U146" s="185">
        <v>1</v>
      </c>
      <c r="V146" s="238"/>
      <c r="W146" s="185">
        <v>1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1</v>
      </c>
      <c r="AD146" s="238"/>
      <c r="AE146" s="185">
        <v>1</v>
      </c>
      <c r="AF146" s="185">
        <v>1</v>
      </c>
      <c r="AG146" s="185">
        <v>1</v>
      </c>
      <c r="AH146" s="185">
        <v>1</v>
      </c>
      <c r="AI146" s="185">
        <f t="shared" si="133"/>
        <v>26</v>
      </c>
      <c r="AJ146" s="185">
        <v>0</v>
      </c>
      <c r="AK146" s="185">
        <v>0</v>
      </c>
      <c r="AL146" s="185">
        <f>AI146+AJ146-AK146</f>
        <v>26</v>
      </c>
      <c r="AM146" s="185">
        <f t="shared" si="137"/>
        <v>10400</v>
      </c>
      <c r="AN146" s="734">
        <f>AM146+AM147</f>
        <v>15100</v>
      </c>
      <c r="AO146" s="735">
        <v>0</v>
      </c>
      <c r="AP146" s="734">
        <f t="shared" ref="AP146" si="142">AN146-AO146</f>
        <v>15100</v>
      </c>
      <c r="AQ146" s="734"/>
      <c r="AR146" s="734"/>
    </row>
    <row r="147" spans="1:44">
      <c r="A147" s="184"/>
      <c r="B147" s="184"/>
      <c r="C147" s="185">
        <v>50</v>
      </c>
      <c r="D147" s="193">
        <v>3.5</v>
      </c>
      <c r="E147" s="236">
        <v>2</v>
      </c>
      <c r="F147" s="193">
        <v>3.5</v>
      </c>
      <c r="G147" s="193">
        <v>3.5</v>
      </c>
      <c r="H147" s="193">
        <v>3.5</v>
      </c>
      <c r="I147" s="238"/>
      <c r="J147" s="193">
        <v>3.5</v>
      </c>
      <c r="K147" s="193">
        <v>3.5</v>
      </c>
      <c r="L147" s="193">
        <v>3.5</v>
      </c>
      <c r="M147" s="193">
        <v>3.5</v>
      </c>
      <c r="N147" s="193">
        <v>3.5</v>
      </c>
      <c r="O147" s="193">
        <v>3.5</v>
      </c>
      <c r="P147" s="238"/>
      <c r="Q147" s="193">
        <v>3.5</v>
      </c>
      <c r="R147" s="238"/>
      <c r="S147" s="193">
        <v>3.5</v>
      </c>
      <c r="T147" s="193">
        <v>3.5</v>
      </c>
      <c r="U147" s="193">
        <v>3.5</v>
      </c>
      <c r="V147" s="238"/>
      <c r="W147" s="193">
        <v>0</v>
      </c>
      <c r="X147" s="193">
        <v>3.5</v>
      </c>
      <c r="Y147" s="193">
        <v>3.5</v>
      </c>
      <c r="Z147" s="193">
        <v>3.5</v>
      </c>
      <c r="AA147" s="193">
        <v>3.5</v>
      </c>
      <c r="AB147" s="193">
        <v>3.5</v>
      </c>
      <c r="AC147" s="193">
        <v>3.5</v>
      </c>
      <c r="AD147" s="213">
        <v>8</v>
      </c>
      <c r="AE147" s="193">
        <v>3.5</v>
      </c>
      <c r="AF147" s="193">
        <v>3.5</v>
      </c>
      <c r="AG147" s="193">
        <v>3.5</v>
      </c>
      <c r="AH147" s="193">
        <v>3.5</v>
      </c>
      <c r="AI147" s="185">
        <f t="shared" si="133"/>
        <v>94</v>
      </c>
      <c r="AJ147" s="185">
        <v>0</v>
      </c>
      <c r="AK147" s="185">
        <v>0</v>
      </c>
      <c r="AL147" s="185">
        <f t="shared" ref="AL147" si="143">AI147+AJ147-AK147</f>
        <v>94</v>
      </c>
      <c r="AM147" s="185">
        <f t="shared" si="137"/>
        <v>4700</v>
      </c>
      <c r="AN147" s="734"/>
      <c r="AO147" s="735"/>
      <c r="AP147" s="734"/>
      <c r="AQ147" s="734"/>
      <c r="AR147" s="734"/>
    </row>
    <row r="148" spans="1:44">
      <c r="A148" s="185">
        <v>5</v>
      </c>
      <c r="B148" s="184" t="s">
        <v>130</v>
      </c>
      <c r="C148" s="185">
        <v>400</v>
      </c>
      <c r="D148" s="185">
        <v>1</v>
      </c>
      <c r="E148" s="185">
        <v>1</v>
      </c>
      <c r="F148" s="185">
        <v>1</v>
      </c>
      <c r="G148" s="185">
        <v>1</v>
      </c>
      <c r="H148" s="185">
        <v>1</v>
      </c>
      <c r="I148" s="238"/>
      <c r="J148" s="185">
        <v>1</v>
      </c>
      <c r="K148" s="185">
        <v>1</v>
      </c>
      <c r="L148" s="239">
        <v>0</v>
      </c>
      <c r="M148" s="185">
        <v>1</v>
      </c>
      <c r="N148" s="185">
        <v>1</v>
      </c>
      <c r="O148" s="185">
        <v>1</v>
      </c>
      <c r="P148" s="238"/>
      <c r="Q148" s="185">
        <v>1</v>
      </c>
      <c r="R148" s="238"/>
      <c r="S148" s="185">
        <v>1</v>
      </c>
      <c r="T148" s="185">
        <v>1</v>
      </c>
      <c r="U148" s="185">
        <v>1</v>
      </c>
      <c r="V148" s="238"/>
      <c r="W148" s="185">
        <v>1</v>
      </c>
      <c r="X148" s="185">
        <v>1</v>
      </c>
      <c r="Y148" s="185">
        <v>1</v>
      </c>
      <c r="Z148" s="185">
        <v>1</v>
      </c>
      <c r="AA148" s="185">
        <v>1</v>
      </c>
      <c r="AB148" s="185">
        <v>1</v>
      </c>
      <c r="AC148" s="185">
        <v>1</v>
      </c>
      <c r="AD148" s="238"/>
      <c r="AE148" s="252">
        <v>0</v>
      </c>
      <c r="AF148" s="185">
        <v>1</v>
      </c>
      <c r="AG148" s="185">
        <v>1</v>
      </c>
      <c r="AH148" s="185">
        <v>1</v>
      </c>
      <c r="AI148" s="185">
        <f t="shared" si="133"/>
        <v>24</v>
      </c>
      <c r="AJ148" s="185">
        <v>0</v>
      </c>
      <c r="AK148" s="185">
        <v>0</v>
      </c>
      <c r="AL148" s="185">
        <f>AI148+AJ148-AK148</f>
        <v>24</v>
      </c>
      <c r="AM148" s="185">
        <f t="shared" si="137"/>
        <v>9600</v>
      </c>
      <c r="AN148" s="734">
        <f>AM148+AM149</f>
        <v>13950</v>
      </c>
      <c r="AO148" s="735">
        <v>0</v>
      </c>
      <c r="AP148" s="734">
        <f t="shared" ref="AP148" si="144">AN148-AO148</f>
        <v>13950</v>
      </c>
      <c r="AQ148" s="734"/>
      <c r="AR148" s="734"/>
    </row>
    <row r="149" spans="1:44">
      <c r="A149" s="184"/>
      <c r="B149" s="184"/>
      <c r="C149" s="185">
        <v>50</v>
      </c>
      <c r="D149" s="193">
        <v>3.5</v>
      </c>
      <c r="E149" s="236">
        <v>2</v>
      </c>
      <c r="F149" s="193">
        <v>3.5</v>
      </c>
      <c r="G149" s="193">
        <v>3.5</v>
      </c>
      <c r="H149" s="193">
        <v>3.5</v>
      </c>
      <c r="I149" s="238"/>
      <c r="J149" s="193">
        <v>3.5</v>
      </c>
      <c r="K149" s="193">
        <v>3.5</v>
      </c>
      <c r="L149" s="240">
        <v>0</v>
      </c>
      <c r="M149" s="193">
        <v>3.5</v>
      </c>
      <c r="N149" s="193">
        <v>3.5</v>
      </c>
      <c r="O149" s="193">
        <v>3.5</v>
      </c>
      <c r="P149" s="238"/>
      <c r="Q149" s="193">
        <v>3.5</v>
      </c>
      <c r="R149" s="238"/>
      <c r="S149" s="193">
        <v>3.5</v>
      </c>
      <c r="T149" s="193">
        <v>3.5</v>
      </c>
      <c r="U149" s="193">
        <v>3.5</v>
      </c>
      <c r="V149" s="238"/>
      <c r="W149" s="193">
        <v>0</v>
      </c>
      <c r="X149" s="193">
        <v>3.5</v>
      </c>
      <c r="Y149" s="193">
        <v>3.5</v>
      </c>
      <c r="Z149" s="193">
        <v>3.5</v>
      </c>
      <c r="AA149" s="193">
        <v>3.5</v>
      </c>
      <c r="AB149" s="193">
        <v>3.5</v>
      </c>
      <c r="AC149" s="193">
        <v>3.5</v>
      </c>
      <c r="AD149" s="213">
        <v>8</v>
      </c>
      <c r="AE149" s="240">
        <v>0</v>
      </c>
      <c r="AF149" s="193">
        <v>3.5</v>
      </c>
      <c r="AG149" s="193">
        <v>3.5</v>
      </c>
      <c r="AH149" s="193">
        <v>3.5</v>
      </c>
      <c r="AI149" s="185">
        <f t="shared" si="133"/>
        <v>87</v>
      </c>
      <c r="AJ149" s="185">
        <v>0</v>
      </c>
      <c r="AK149" s="185">
        <v>0</v>
      </c>
      <c r="AL149" s="185">
        <f t="shared" ref="AL149" si="145">AI149+AJ149-AK149</f>
        <v>87</v>
      </c>
      <c r="AM149" s="185">
        <f t="shared" si="137"/>
        <v>4350</v>
      </c>
      <c r="AN149" s="734"/>
      <c r="AO149" s="735"/>
      <c r="AP149" s="734"/>
      <c r="AQ149" s="734"/>
      <c r="AR149" s="734"/>
    </row>
    <row r="150" spans="1:44">
      <c r="A150" s="185">
        <v>6</v>
      </c>
      <c r="B150" s="184" t="s">
        <v>132</v>
      </c>
      <c r="C150" s="185">
        <v>400</v>
      </c>
      <c r="D150" s="238"/>
      <c r="E150" s="238"/>
      <c r="F150" s="185">
        <v>0</v>
      </c>
      <c r="G150" s="185">
        <v>0</v>
      </c>
      <c r="H150" s="185">
        <v>0</v>
      </c>
      <c r="I150" s="238"/>
      <c r="J150" s="185">
        <v>0</v>
      </c>
      <c r="K150" s="185">
        <v>0</v>
      </c>
      <c r="L150" s="185">
        <v>0</v>
      </c>
      <c r="M150" s="185">
        <v>0</v>
      </c>
      <c r="N150" s="185">
        <v>0</v>
      </c>
      <c r="O150" s="185">
        <v>1</v>
      </c>
      <c r="P150" s="238"/>
      <c r="Q150" s="185">
        <v>1</v>
      </c>
      <c r="R150" s="238"/>
      <c r="S150" s="185">
        <v>1</v>
      </c>
      <c r="T150" s="185">
        <v>1</v>
      </c>
      <c r="U150" s="185">
        <v>1</v>
      </c>
      <c r="V150" s="238"/>
      <c r="W150" s="185">
        <v>1</v>
      </c>
      <c r="X150" s="246">
        <v>0</v>
      </c>
      <c r="Y150" s="185">
        <v>1</v>
      </c>
      <c r="Z150" s="185">
        <v>1</v>
      </c>
      <c r="AA150" s="185">
        <v>1</v>
      </c>
      <c r="AB150" s="185">
        <v>1</v>
      </c>
      <c r="AC150" s="185">
        <v>1</v>
      </c>
      <c r="AD150" s="238"/>
      <c r="AE150" s="185">
        <v>1</v>
      </c>
      <c r="AF150" s="185">
        <v>1</v>
      </c>
      <c r="AG150" s="185">
        <v>1</v>
      </c>
      <c r="AH150" s="185">
        <v>1</v>
      </c>
      <c r="AI150" s="185">
        <f t="shared" si="133"/>
        <v>15</v>
      </c>
      <c r="AJ150" s="185">
        <v>0</v>
      </c>
      <c r="AK150" s="185">
        <v>0</v>
      </c>
      <c r="AL150" s="185">
        <f>AI150+AJ150-AK150</f>
        <v>15</v>
      </c>
      <c r="AM150" s="185">
        <f t="shared" si="137"/>
        <v>6000</v>
      </c>
      <c r="AN150" s="734">
        <f>AM150+AM151</f>
        <v>8450</v>
      </c>
      <c r="AO150" s="735">
        <v>0</v>
      </c>
      <c r="AP150" s="734">
        <f t="shared" ref="AP150" si="146">AN150-AO150</f>
        <v>8450</v>
      </c>
      <c r="AQ150" s="734"/>
      <c r="AR150" s="734"/>
    </row>
    <row r="151" spans="1:44">
      <c r="A151" s="184"/>
      <c r="B151" s="184"/>
      <c r="C151" s="185">
        <v>50</v>
      </c>
      <c r="D151" s="237">
        <v>0</v>
      </c>
      <c r="E151" s="237">
        <v>0</v>
      </c>
      <c r="F151" s="237">
        <v>0</v>
      </c>
      <c r="G151" s="237">
        <v>0</v>
      </c>
      <c r="H151" s="237">
        <v>0</v>
      </c>
      <c r="I151" s="238"/>
      <c r="J151" s="237">
        <v>0</v>
      </c>
      <c r="K151" s="237">
        <v>0</v>
      </c>
      <c r="L151" s="237">
        <v>0</v>
      </c>
      <c r="M151" s="237">
        <v>0</v>
      </c>
      <c r="N151" s="237">
        <v>0</v>
      </c>
      <c r="O151" s="193">
        <v>3.5</v>
      </c>
      <c r="P151" s="238"/>
      <c r="Q151" s="193">
        <v>3.5</v>
      </c>
      <c r="R151" s="238"/>
      <c r="S151" s="193">
        <v>3.5</v>
      </c>
      <c r="T151" s="193">
        <v>3.5</v>
      </c>
      <c r="U151" s="193">
        <v>3.5</v>
      </c>
      <c r="V151" s="238"/>
      <c r="W151" s="193">
        <v>0</v>
      </c>
      <c r="X151" s="240">
        <v>0</v>
      </c>
      <c r="Y151" s="193">
        <v>3.5</v>
      </c>
      <c r="Z151" s="193">
        <v>3.5</v>
      </c>
      <c r="AA151" s="193">
        <v>3.5</v>
      </c>
      <c r="AB151" s="193">
        <v>3.5</v>
      </c>
      <c r="AC151" s="193">
        <v>3.5</v>
      </c>
      <c r="AD151" s="238"/>
      <c r="AE151" s="193">
        <v>3.5</v>
      </c>
      <c r="AF151" s="193">
        <v>3.5</v>
      </c>
      <c r="AG151" s="193">
        <v>3.5</v>
      </c>
      <c r="AH151" s="193">
        <v>3.5</v>
      </c>
      <c r="AI151" s="185">
        <f t="shared" si="133"/>
        <v>49</v>
      </c>
      <c r="AJ151" s="185">
        <v>0</v>
      </c>
      <c r="AK151" s="185">
        <v>0</v>
      </c>
      <c r="AL151" s="185">
        <f t="shared" ref="AL151" si="147">AI151+AJ151-AK151</f>
        <v>49</v>
      </c>
      <c r="AM151" s="185">
        <f t="shared" si="137"/>
        <v>2450</v>
      </c>
      <c r="AN151" s="734"/>
      <c r="AO151" s="735"/>
      <c r="AP151" s="734"/>
      <c r="AQ151" s="734"/>
      <c r="AR151" s="734"/>
    </row>
    <row r="152" spans="1:44">
      <c r="A152" s="732" t="s">
        <v>103</v>
      </c>
      <c r="B152" s="732"/>
      <c r="C152" s="235"/>
      <c r="D152" s="235">
        <f>X147+D142+D144+D146+D148+D150+D140</f>
        <v>7.5</v>
      </c>
      <c r="E152" s="235">
        <f t="shared" ref="E152:AR152" si="148">E138+E142+E144+E146+E148+E150+E140</f>
        <v>5</v>
      </c>
      <c r="F152" s="235">
        <f t="shared" si="148"/>
        <v>5</v>
      </c>
      <c r="G152" s="235">
        <f t="shared" si="148"/>
        <v>5</v>
      </c>
      <c r="H152" s="235">
        <f t="shared" si="148"/>
        <v>5</v>
      </c>
      <c r="I152" s="235">
        <f t="shared" si="148"/>
        <v>0</v>
      </c>
      <c r="J152" s="235">
        <f t="shared" si="148"/>
        <v>5</v>
      </c>
      <c r="K152" s="235">
        <f t="shared" si="148"/>
        <v>5</v>
      </c>
      <c r="L152" s="235">
        <f t="shared" si="148"/>
        <v>4</v>
      </c>
      <c r="M152" s="235">
        <f t="shared" si="148"/>
        <v>5</v>
      </c>
      <c r="N152" s="235">
        <f t="shared" si="148"/>
        <v>4</v>
      </c>
      <c r="O152" s="235">
        <f t="shared" si="148"/>
        <v>6</v>
      </c>
      <c r="P152" s="235">
        <f t="shared" si="148"/>
        <v>0</v>
      </c>
      <c r="Q152" s="235">
        <f t="shared" si="148"/>
        <v>6</v>
      </c>
      <c r="R152" s="235">
        <f t="shared" si="148"/>
        <v>0</v>
      </c>
      <c r="S152" s="235">
        <f t="shared" si="148"/>
        <v>6</v>
      </c>
      <c r="T152" s="235">
        <f t="shared" si="148"/>
        <v>5</v>
      </c>
      <c r="U152" s="235">
        <f t="shared" si="148"/>
        <v>6</v>
      </c>
      <c r="V152" s="247">
        <f t="shared" ref="V152" si="149">V138+V142+V144+V146+V148+V150+V140</f>
        <v>0</v>
      </c>
      <c r="W152" s="235">
        <f>V138+V142+V144+V146+V148+V150+V140</f>
        <v>0</v>
      </c>
      <c r="X152" s="235">
        <f t="shared" si="148"/>
        <v>5</v>
      </c>
      <c r="Y152" s="235">
        <f t="shared" si="148"/>
        <v>5</v>
      </c>
      <c r="Z152" s="235">
        <f t="shared" si="148"/>
        <v>6</v>
      </c>
      <c r="AA152" s="235">
        <f t="shared" si="148"/>
        <v>6</v>
      </c>
      <c r="AB152" s="235">
        <f t="shared" si="148"/>
        <v>6</v>
      </c>
      <c r="AC152" s="235">
        <f t="shared" si="148"/>
        <v>6</v>
      </c>
      <c r="AD152" s="235">
        <f t="shared" si="148"/>
        <v>0</v>
      </c>
      <c r="AE152" s="235">
        <f t="shared" si="148"/>
        <v>4</v>
      </c>
      <c r="AF152" s="235">
        <f t="shared" si="148"/>
        <v>6</v>
      </c>
      <c r="AG152" s="235">
        <f t="shared" si="148"/>
        <v>6</v>
      </c>
      <c r="AH152" s="235">
        <f t="shared" si="148"/>
        <v>6</v>
      </c>
      <c r="AI152" s="235">
        <f t="shared" si="148"/>
        <v>138</v>
      </c>
      <c r="AJ152" s="235">
        <f t="shared" si="148"/>
        <v>2</v>
      </c>
      <c r="AK152" s="235">
        <f t="shared" si="148"/>
        <v>2</v>
      </c>
      <c r="AL152" s="235">
        <f t="shared" si="148"/>
        <v>138</v>
      </c>
      <c r="AM152" s="235">
        <f t="shared" si="148"/>
        <v>57682.5</v>
      </c>
      <c r="AN152" s="235">
        <f t="shared" si="148"/>
        <v>80757.5</v>
      </c>
      <c r="AO152" s="235">
        <f t="shared" si="148"/>
        <v>0</v>
      </c>
      <c r="AP152" s="235">
        <f t="shared" si="148"/>
        <v>80757.5</v>
      </c>
      <c r="AQ152" s="235">
        <f t="shared" si="148"/>
        <v>0</v>
      </c>
      <c r="AR152" s="235">
        <f t="shared" si="148"/>
        <v>0</v>
      </c>
    </row>
    <row r="153" spans="1:44">
      <c r="A153" s="733" t="s">
        <v>106</v>
      </c>
      <c r="B153" s="733"/>
      <c r="C153" s="234"/>
      <c r="D153" s="234">
        <f>D139+D141+D143+D145+D147++D149+D151</f>
        <v>14</v>
      </c>
      <c r="E153" s="234">
        <f t="shared" ref="E153:AR153" si="150">E139+E141+E143+E145+E147++E149+E151</f>
        <v>10</v>
      </c>
      <c r="F153" s="234">
        <f t="shared" si="150"/>
        <v>17.5</v>
      </c>
      <c r="G153" s="234">
        <f t="shared" si="150"/>
        <v>17</v>
      </c>
      <c r="H153" s="234">
        <f t="shared" si="150"/>
        <v>17.5</v>
      </c>
      <c r="I153" s="234">
        <f t="shared" si="150"/>
        <v>0</v>
      </c>
      <c r="J153" s="234">
        <f t="shared" si="150"/>
        <v>17.5</v>
      </c>
      <c r="K153" s="234">
        <f t="shared" si="150"/>
        <v>17.5</v>
      </c>
      <c r="L153" s="234">
        <f t="shared" si="150"/>
        <v>12</v>
      </c>
      <c r="M153" s="234">
        <f t="shared" si="150"/>
        <v>17.5</v>
      </c>
      <c r="N153" s="234">
        <f t="shared" si="150"/>
        <v>14</v>
      </c>
      <c r="O153" s="234">
        <f t="shared" si="150"/>
        <v>19.5</v>
      </c>
      <c r="P153" s="234">
        <f t="shared" si="150"/>
        <v>0</v>
      </c>
      <c r="Q153" s="234">
        <f t="shared" si="150"/>
        <v>21</v>
      </c>
      <c r="R153" s="234">
        <f t="shared" si="150"/>
        <v>0</v>
      </c>
      <c r="S153" s="234">
        <f t="shared" si="150"/>
        <v>21</v>
      </c>
      <c r="T153" s="234">
        <f t="shared" si="150"/>
        <v>17.5</v>
      </c>
      <c r="U153" s="234">
        <f t="shared" si="150"/>
        <v>17.5</v>
      </c>
      <c r="V153" s="248">
        <f t="shared" ref="V153" si="151">V139+V141+V143+V145+V147++V149+V151</f>
        <v>0</v>
      </c>
      <c r="W153" s="234">
        <f>V139+V141+V143+V145+V147++V149+V151</f>
        <v>0</v>
      </c>
      <c r="X153" s="234">
        <f t="shared" si="150"/>
        <v>14</v>
      </c>
      <c r="Y153" s="234">
        <f t="shared" si="150"/>
        <v>17.5</v>
      </c>
      <c r="Z153" s="234">
        <f t="shared" si="150"/>
        <v>17.5</v>
      </c>
      <c r="AA153" s="234">
        <f t="shared" si="150"/>
        <v>17.5</v>
      </c>
      <c r="AB153" s="234">
        <f t="shared" si="150"/>
        <v>17.5</v>
      </c>
      <c r="AC153" s="234">
        <f t="shared" si="150"/>
        <v>17.5</v>
      </c>
      <c r="AD153" s="234">
        <f t="shared" si="150"/>
        <v>32</v>
      </c>
      <c r="AE153" s="234">
        <f t="shared" si="150"/>
        <v>14</v>
      </c>
      <c r="AF153" s="234">
        <f t="shared" si="150"/>
        <v>17.5</v>
      </c>
      <c r="AG153" s="234">
        <f t="shared" si="150"/>
        <v>15.5</v>
      </c>
      <c r="AH153" s="234">
        <f t="shared" si="150"/>
        <v>17.5</v>
      </c>
      <c r="AI153" s="234">
        <f t="shared" si="150"/>
        <v>449</v>
      </c>
      <c r="AJ153" s="234">
        <f t="shared" si="150"/>
        <v>0</v>
      </c>
      <c r="AK153" s="234">
        <f t="shared" si="150"/>
        <v>0</v>
      </c>
      <c r="AL153" s="234">
        <f t="shared" si="150"/>
        <v>449</v>
      </c>
      <c r="AM153" s="234">
        <f t="shared" si="150"/>
        <v>23075</v>
      </c>
      <c r="AN153" s="234">
        <f t="shared" si="150"/>
        <v>0</v>
      </c>
      <c r="AO153" s="234">
        <f t="shared" si="150"/>
        <v>0</v>
      </c>
      <c r="AP153" s="234">
        <f t="shared" si="150"/>
        <v>0</v>
      </c>
      <c r="AQ153" s="234">
        <f t="shared" si="150"/>
        <v>0</v>
      </c>
      <c r="AR153" s="234">
        <f t="shared" si="150"/>
        <v>0</v>
      </c>
    </row>
    <row r="155" spans="1:44" ht="23.25">
      <c r="A155" s="760" t="s">
        <v>113</v>
      </c>
      <c r="B155" s="761" t="s">
        <v>1</v>
      </c>
      <c r="C155" s="761"/>
      <c r="D155" s="762" t="s">
        <v>134</v>
      </c>
      <c r="E155" s="762"/>
      <c r="F155" s="762"/>
      <c r="G155" s="762"/>
      <c r="H155" s="762"/>
      <c r="I155" s="762"/>
      <c r="J155" s="762"/>
      <c r="K155" s="762"/>
      <c r="L155" s="762"/>
      <c r="M155" s="762"/>
      <c r="N155" s="762"/>
      <c r="O155" s="762"/>
      <c r="P155" s="762"/>
      <c r="Q155" s="762"/>
      <c r="R155" s="762"/>
      <c r="S155" s="762"/>
      <c r="T155" s="762"/>
      <c r="U155" s="762"/>
      <c r="V155" s="762"/>
      <c r="W155" s="762"/>
      <c r="X155" s="762"/>
      <c r="Y155" s="762"/>
      <c r="Z155" s="762"/>
      <c r="AA155" s="762"/>
      <c r="AB155" s="762"/>
      <c r="AC155" s="762"/>
      <c r="AD155" s="762"/>
      <c r="AE155" s="762"/>
      <c r="AF155" s="762"/>
      <c r="AG155" s="763">
        <v>30</v>
      </c>
      <c r="AH155" s="763"/>
      <c r="AI155" s="764" t="s">
        <v>107</v>
      </c>
      <c r="AJ155" s="764" t="s">
        <v>45</v>
      </c>
      <c r="AK155" s="764" t="s">
        <v>108</v>
      </c>
      <c r="AL155" s="764" t="s">
        <v>112</v>
      </c>
      <c r="AM155" s="760" t="s">
        <v>7</v>
      </c>
      <c r="AN155" s="760"/>
      <c r="AO155" s="764" t="s">
        <v>93</v>
      </c>
      <c r="AP155" s="764" t="s">
        <v>109</v>
      </c>
      <c r="AQ155" s="764" t="s">
        <v>33</v>
      </c>
      <c r="AR155" s="764" t="s">
        <v>111</v>
      </c>
    </row>
    <row r="156" spans="1:44">
      <c r="A156" s="760"/>
      <c r="B156" s="761"/>
      <c r="C156" s="761"/>
      <c r="D156" s="257">
        <v>1</v>
      </c>
      <c r="E156" s="257">
        <v>2</v>
      </c>
      <c r="F156" s="257">
        <v>3</v>
      </c>
      <c r="G156" s="257">
        <v>4</v>
      </c>
      <c r="H156" s="257">
        <v>5</v>
      </c>
      <c r="I156" s="257">
        <v>6</v>
      </c>
      <c r="J156" s="257">
        <v>7</v>
      </c>
      <c r="K156" s="257">
        <v>8</v>
      </c>
      <c r="L156" s="257">
        <v>9</v>
      </c>
      <c r="M156" s="257">
        <v>10</v>
      </c>
      <c r="N156" s="257">
        <v>11</v>
      </c>
      <c r="O156" s="257">
        <v>12</v>
      </c>
      <c r="P156" s="257">
        <v>13</v>
      </c>
      <c r="Q156" s="257">
        <v>14</v>
      </c>
      <c r="R156" s="257">
        <v>15</v>
      </c>
      <c r="S156" s="257">
        <v>16</v>
      </c>
      <c r="T156" s="257">
        <v>17</v>
      </c>
      <c r="U156" s="257">
        <v>18</v>
      </c>
      <c r="V156" s="257">
        <v>19</v>
      </c>
      <c r="W156" s="257">
        <v>20</v>
      </c>
      <c r="X156" s="257">
        <v>21</v>
      </c>
      <c r="Y156" s="257">
        <v>22</v>
      </c>
      <c r="Z156" s="257">
        <v>23</v>
      </c>
      <c r="AA156" s="257">
        <v>24</v>
      </c>
      <c r="AB156" s="257">
        <v>25</v>
      </c>
      <c r="AC156" s="257">
        <v>26</v>
      </c>
      <c r="AD156" s="257">
        <v>27</v>
      </c>
      <c r="AE156" s="257">
        <v>28</v>
      </c>
      <c r="AF156" s="257">
        <v>29</v>
      </c>
      <c r="AG156" s="257">
        <v>30</v>
      </c>
      <c r="AH156" s="257">
        <v>31</v>
      </c>
      <c r="AI156" s="764"/>
      <c r="AJ156" s="764"/>
      <c r="AK156" s="764"/>
      <c r="AL156" s="764"/>
      <c r="AM156" s="760"/>
      <c r="AN156" s="760"/>
      <c r="AO156" s="764"/>
      <c r="AP156" s="764"/>
      <c r="AQ156" s="764"/>
      <c r="AR156" s="764"/>
    </row>
    <row r="157" spans="1:44">
      <c r="A157" s="185">
        <v>1</v>
      </c>
      <c r="B157" s="184" t="s">
        <v>135</v>
      </c>
      <c r="C157" s="185">
        <f>C158*11.5</f>
        <v>500.25</v>
      </c>
      <c r="D157" s="185">
        <v>1</v>
      </c>
      <c r="E157" s="185">
        <v>1</v>
      </c>
      <c r="F157" s="197"/>
      <c r="G157" s="256">
        <v>0</v>
      </c>
      <c r="H157" s="256">
        <v>0</v>
      </c>
      <c r="I157" s="185">
        <v>1</v>
      </c>
      <c r="J157" s="185">
        <v>1</v>
      </c>
      <c r="K157" s="185">
        <v>1</v>
      </c>
      <c r="L157" s="185">
        <v>1</v>
      </c>
      <c r="M157" s="197"/>
      <c r="N157" s="256">
        <v>1</v>
      </c>
      <c r="O157" s="256">
        <v>0</v>
      </c>
      <c r="P157" s="185">
        <v>1</v>
      </c>
      <c r="Q157" s="185">
        <v>1</v>
      </c>
      <c r="R157" s="185">
        <v>1</v>
      </c>
      <c r="S157" s="261"/>
      <c r="T157" s="197"/>
      <c r="U157" s="261"/>
      <c r="V157" s="185">
        <v>1</v>
      </c>
      <c r="W157" s="185">
        <v>1</v>
      </c>
      <c r="X157" s="185">
        <v>1</v>
      </c>
      <c r="Y157" s="185">
        <v>1</v>
      </c>
      <c r="Z157" s="185">
        <v>1</v>
      </c>
      <c r="AA157" s="185">
        <v>1</v>
      </c>
      <c r="AB157" s="262"/>
      <c r="AC157" s="256">
        <v>0</v>
      </c>
      <c r="AD157" s="256">
        <v>0</v>
      </c>
      <c r="AE157" s="256">
        <v>0</v>
      </c>
      <c r="AF157" s="185">
        <v>1</v>
      </c>
      <c r="AG157" s="185">
        <v>1</v>
      </c>
      <c r="AH157" s="197"/>
      <c r="AI157" s="185">
        <f>SUM(D157:AH157)</f>
        <v>18</v>
      </c>
      <c r="AJ157" s="185">
        <v>5</v>
      </c>
      <c r="AK157" s="185">
        <v>7</v>
      </c>
      <c r="AL157" s="185">
        <f>AI157+AJ157-AK157</f>
        <v>16</v>
      </c>
      <c r="AM157" s="185">
        <f>AL157*C157</f>
        <v>8004</v>
      </c>
      <c r="AN157" s="734">
        <f>AM157+AM158</f>
        <v>8004</v>
      </c>
      <c r="AO157" s="735">
        <v>0</v>
      </c>
      <c r="AP157" s="734">
        <f t="shared" ref="AP157" si="152">AN157-AO157</f>
        <v>8004</v>
      </c>
      <c r="AQ157" s="734">
        <v>11500</v>
      </c>
      <c r="AR157" s="734"/>
    </row>
    <row r="158" spans="1:44">
      <c r="A158" s="185">
        <f>C157/8</f>
        <v>62.53125</v>
      </c>
      <c r="B158" s="184">
        <v>15000</v>
      </c>
      <c r="C158" s="185">
        <v>43.5</v>
      </c>
      <c r="D158" s="185">
        <v>0</v>
      </c>
      <c r="E158" s="185">
        <v>0</v>
      </c>
      <c r="F158" s="197"/>
      <c r="G158" s="193">
        <v>0</v>
      </c>
      <c r="H158" s="193">
        <v>0</v>
      </c>
      <c r="I158" s="185">
        <v>0</v>
      </c>
      <c r="J158" s="185">
        <v>0</v>
      </c>
      <c r="K158" s="185">
        <v>0</v>
      </c>
      <c r="L158" s="185">
        <v>0</v>
      </c>
      <c r="M158" s="197"/>
      <c r="N158" s="185">
        <v>0</v>
      </c>
      <c r="O158" s="185">
        <v>0</v>
      </c>
      <c r="P158" s="185">
        <v>0</v>
      </c>
      <c r="Q158" s="185">
        <v>0</v>
      </c>
      <c r="R158" s="185">
        <v>0</v>
      </c>
      <c r="S158" s="261"/>
      <c r="T158" s="197"/>
      <c r="U158" s="261"/>
      <c r="V158" s="185">
        <v>0</v>
      </c>
      <c r="W158" s="185">
        <v>0</v>
      </c>
      <c r="X158" s="185">
        <v>0</v>
      </c>
      <c r="Y158" s="185">
        <v>0</v>
      </c>
      <c r="Z158" s="185">
        <v>0</v>
      </c>
      <c r="AA158" s="185">
        <v>0</v>
      </c>
      <c r="AB158" s="262"/>
      <c r="AC158" s="185">
        <v>0</v>
      </c>
      <c r="AD158" s="185">
        <v>0</v>
      </c>
      <c r="AE158" s="185">
        <v>0</v>
      </c>
      <c r="AF158" s="185">
        <v>0</v>
      </c>
      <c r="AG158" s="185">
        <v>0</v>
      </c>
      <c r="AH158" s="197"/>
      <c r="AI158" s="185">
        <f t="shared" ref="AI158:AI170" si="153">SUM(D158:AH158)</f>
        <v>0</v>
      </c>
      <c r="AJ158" s="185">
        <v>0</v>
      </c>
      <c r="AK158" s="185">
        <v>0</v>
      </c>
      <c r="AL158" s="185">
        <f t="shared" ref="AL158" si="154">AI158+AJ158-AK158</f>
        <v>0</v>
      </c>
      <c r="AM158" s="185">
        <f>AL158*C158</f>
        <v>0</v>
      </c>
      <c r="AN158" s="734"/>
      <c r="AO158" s="735"/>
      <c r="AP158" s="734"/>
      <c r="AQ158" s="734"/>
      <c r="AR158" s="734"/>
    </row>
    <row r="159" spans="1:44">
      <c r="A159" s="185">
        <v>2</v>
      </c>
      <c r="B159" s="184" t="s">
        <v>114</v>
      </c>
      <c r="C159" s="185">
        <v>440</v>
      </c>
      <c r="D159" s="185">
        <v>1</v>
      </c>
      <c r="E159" s="185">
        <v>1</v>
      </c>
      <c r="F159" s="197"/>
      <c r="G159" s="185">
        <v>1</v>
      </c>
      <c r="H159" s="185">
        <v>1</v>
      </c>
      <c r="I159" s="185">
        <v>1</v>
      </c>
      <c r="J159" s="185">
        <v>1</v>
      </c>
      <c r="K159" s="185">
        <v>1</v>
      </c>
      <c r="L159" s="185">
        <v>1</v>
      </c>
      <c r="M159" s="197"/>
      <c r="N159" s="185">
        <v>1</v>
      </c>
      <c r="O159" s="256">
        <v>0</v>
      </c>
      <c r="P159" s="185">
        <v>1</v>
      </c>
      <c r="Q159" s="185">
        <v>1</v>
      </c>
      <c r="R159" s="185">
        <v>1</v>
      </c>
      <c r="S159" s="261"/>
      <c r="T159" s="197"/>
      <c r="U159" s="261"/>
      <c r="V159" s="185">
        <v>1</v>
      </c>
      <c r="W159" s="185">
        <v>1</v>
      </c>
      <c r="X159" s="185">
        <v>1</v>
      </c>
      <c r="Y159" s="185">
        <v>1</v>
      </c>
      <c r="Z159" s="256">
        <v>0</v>
      </c>
      <c r="AA159" s="185">
        <v>1</v>
      </c>
      <c r="AB159" s="262"/>
      <c r="AC159" s="185">
        <v>1</v>
      </c>
      <c r="AD159" s="185">
        <v>1</v>
      </c>
      <c r="AE159" s="185">
        <v>1</v>
      </c>
      <c r="AF159" s="185">
        <v>1</v>
      </c>
      <c r="AG159" s="185">
        <v>1</v>
      </c>
      <c r="AH159" s="197"/>
      <c r="AI159" s="185">
        <f t="shared" ref="AI159:AI168" si="155">SUM(D159:AH159)</f>
        <v>22</v>
      </c>
      <c r="AJ159" s="185">
        <v>0</v>
      </c>
      <c r="AK159" s="185">
        <v>0</v>
      </c>
      <c r="AL159" s="185">
        <f>AI159+AJ159-AK159</f>
        <v>22</v>
      </c>
      <c r="AM159" s="185">
        <f t="shared" ref="AM159:AM168" si="156">AL159*C159</f>
        <v>9680</v>
      </c>
      <c r="AN159" s="734">
        <f t="shared" ref="AN159" si="157">AM159+AM160</f>
        <v>11852.5</v>
      </c>
      <c r="AO159" s="735">
        <v>0</v>
      </c>
      <c r="AP159" s="734">
        <f t="shared" ref="AP159" si="158">AN159-AO159</f>
        <v>11852.5</v>
      </c>
      <c r="AQ159" s="734">
        <v>12000</v>
      </c>
      <c r="AR159" s="734"/>
    </row>
    <row r="160" spans="1:44">
      <c r="A160" s="185">
        <f>C159/8</f>
        <v>55</v>
      </c>
      <c r="B160" s="184"/>
      <c r="C160" s="185">
        <v>55</v>
      </c>
      <c r="D160" s="193">
        <v>2</v>
      </c>
      <c r="E160" s="193">
        <v>2</v>
      </c>
      <c r="F160" s="197"/>
      <c r="G160" s="193">
        <v>2</v>
      </c>
      <c r="H160" s="193">
        <v>2</v>
      </c>
      <c r="I160" s="193">
        <v>1</v>
      </c>
      <c r="J160" s="193">
        <v>2</v>
      </c>
      <c r="K160" s="193">
        <v>2</v>
      </c>
      <c r="L160" s="193">
        <v>2</v>
      </c>
      <c r="M160" s="197"/>
      <c r="N160" s="193">
        <v>1</v>
      </c>
      <c r="O160" s="193">
        <v>0</v>
      </c>
      <c r="P160" s="193">
        <v>2</v>
      </c>
      <c r="Q160" s="193">
        <v>2</v>
      </c>
      <c r="R160" s="193">
        <v>2</v>
      </c>
      <c r="S160" s="261"/>
      <c r="T160" s="197"/>
      <c r="U160" s="261"/>
      <c r="V160" s="193">
        <v>2</v>
      </c>
      <c r="W160" s="193">
        <v>2</v>
      </c>
      <c r="X160" s="193">
        <v>2</v>
      </c>
      <c r="Y160" s="193">
        <v>1.5</v>
      </c>
      <c r="Z160" s="193">
        <v>0</v>
      </c>
      <c r="AA160" s="193">
        <v>0</v>
      </c>
      <c r="AB160" s="262"/>
      <c r="AC160" s="193">
        <v>2</v>
      </c>
      <c r="AD160" s="193">
        <v>2</v>
      </c>
      <c r="AE160" s="193">
        <v>2</v>
      </c>
      <c r="AF160" s="193">
        <v>2</v>
      </c>
      <c r="AG160" s="193">
        <v>2</v>
      </c>
      <c r="AH160" s="260"/>
      <c r="AI160" s="185">
        <f t="shared" si="155"/>
        <v>39.5</v>
      </c>
      <c r="AJ160" s="185">
        <v>0</v>
      </c>
      <c r="AK160" s="185">
        <v>0</v>
      </c>
      <c r="AL160" s="185">
        <f t="shared" ref="AL160" si="159">AI160+AJ160-AK160</f>
        <v>39.5</v>
      </c>
      <c r="AM160" s="185">
        <f t="shared" si="156"/>
        <v>2172.5</v>
      </c>
      <c r="AN160" s="734"/>
      <c r="AO160" s="735"/>
      <c r="AP160" s="734"/>
      <c r="AQ160" s="734"/>
      <c r="AR160" s="734"/>
    </row>
    <row r="161" spans="1:44">
      <c r="A161" s="185">
        <v>3</v>
      </c>
      <c r="B161" s="184" t="s">
        <v>127</v>
      </c>
      <c r="C161" s="184">
        <v>400</v>
      </c>
      <c r="D161" s="185">
        <v>1</v>
      </c>
      <c r="E161" s="185">
        <v>1</v>
      </c>
      <c r="F161" s="197"/>
      <c r="G161" s="185">
        <v>1</v>
      </c>
      <c r="H161" s="185">
        <v>1</v>
      </c>
      <c r="I161" s="185">
        <v>1</v>
      </c>
      <c r="J161" s="185">
        <v>1</v>
      </c>
      <c r="K161" s="185">
        <v>1</v>
      </c>
      <c r="L161" s="256">
        <v>0</v>
      </c>
      <c r="M161" s="197"/>
      <c r="N161" s="185">
        <v>1</v>
      </c>
      <c r="O161" s="185">
        <v>1</v>
      </c>
      <c r="P161" s="185">
        <v>1</v>
      </c>
      <c r="Q161" s="185">
        <v>1</v>
      </c>
      <c r="R161" s="185">
        <v>1</v>
      </c>
      <c r="S161" s="261"/>
      <c r="T161" s="197"/>
      <c r="U161" s="261"/>
      <c r="V161" s="185">
        <v>1</v>
      </c>
      <c r="W161" s="185">
        <v>1</v>
      </c>
      <c r="X161" s="185">
        <v>1</v>
      </c>
      <c r="Y161" s="185">
        <v>1</v>
      </c>
      <c r="Z161" s="185">
        <v>1</v>
      </c>
      <c r="AA161" s="185">
        <v>1</v>
      </c>
      <c r="AB161" s="262"/>
      <c r="AC161" s="185">
        <v>1</v>
      </c>
      <c r="AD161" s="256">
        <v>0</v>
      </c>
      <c r="AE161" s="185">
        <v>1</v>
      </c>
      <c r="AF161" s="185">
        <v>1</v>
      </c>
      <c r="AG161" s="185">
        <v>1</v>
      </c>
      <c r="AH161" s="197"/>
      <c r="AI161" s="185">
        <f t="shared" si="155"/>
        <v>22</v>
      </c>
      <c r="AJ161" s="185">
        <v>0</v>
      </c>
      <c r="AK161" s="185">
        <v>0</v>
      </c>
      <c r="AL161" s="185">
        <f>AI161+AJ161-AK161</f>
        <v>22</v>
      </c>
      <c r="AM161" s="185">
        <f t="shared" si="156"/>
        <v>8800</v>
      </c>
      <c r="AN161" s="734">
        <f t="shared" ref="AN161" si="160">AM161+AM162</f>
        <v>10850</v>
      </c>
      <c r="AO161" s="735">
        <v>0</v>
      </c>
      <c r="AP161" s="734">
        <f t="shared" ref="AP161" si="161">AN161-AO161</f>
        <v>10850</v>
      </c>
      <c r="AQ161" s="734">
        <v>11000</v>
      </c>
      <c r="AR161" s="734"/>
    </row>
    <row r="162" spans="1:44">
      <c r="A162" s="184"/>
      <c r="B162" s="184"/>
      <c r="C162" s="185">
        <v>50</v>
      </c>
      <c r="D162" s="193">
        <v>2</v>
      </c>
      <c r="E162" s="193">
        <v>2</v>
      </c>
      <c r="F162" s="197"/>
      <c r="G162" s="193">
        <v>2</v>
      </c>
      <c r="H162" s="193">
        <v>2</v>
      </c>
      <c r="I162" s="193">
        <v>1</v>
      </c>
      <c r="J162" s="193">
        <v>2</v>
      </c>
      <c r="K162" s="193">
        <v>2</v>
      </c>
      <c r="L162" s="193">
        <v>0</v>
      </c>
      <c r="M162" s="197"/>
      <c r="N162" s="193">
        <v>2</v>
      </c>
      <c r="O162" s="193">
        <v>2</v>
      </c>
      <c r="P162" s="193">
        <v>2</v>
      </c>
      <c r="Q162" s="193">
        <v>2</v>
      </c>
      <c r="R162" s="193">
        <v>2</v>
      </c>
      <c r="S162" s="261"/>
      <c r="T162" s="197"/>
      <c r="U162" s="261"/>
      <c r="V162" s="193">
        <v>2</v>
      </c>
      <c r="W162" s="193">
        <v>2</v>
      </c>
      <c r="X162" s="193">
        <v>2</v>
      </c>
      <c r="Y162" s="193">
        <v>2</v>
      </c>
      <c r="Z162" s="193">
        <v>2</v>
      </c>
      <c r="AA162" s="193">
        <v>0</v>
      </c>
      <c r="AB162" s="262"/>
      <c r="AC162" s="193">
        <v>2</v>
      </c>
      <c r="AD162" s="185">
        <v>0</v>
      </c>
      <c r="AE162" s="193">
        <v>2</v>
      </c>
      <c r="AF162" s="193">
        <v>2</v>
      </c>
      <c r="AG162" s="193">
        <v>2</v>
      </c>
      <c r="AH162" s="263"/>
      <c r="AI162" s="185">
        <f t="shared" si="155"/>
        <v>41</v>
      </c>
      <c r="AJ162" s="185">
        <v>0</v>
      </c>
      <c r="AK162" s="185">
        <v>0</v>
      </c>
      <c r="AL162" s="185">
        <f t="shared" ref="AL162" si="162">AI162+AJ162-AK162</f>
        <v>41</v>
      </c>
      <c r="AM162" s="185">
        <f t="shared" si="156"/>
        <v>2050</v>
      </c>
      <c r="AN162" s="734"/>
      <c r="AO162" s="735"/>
      <c r="AP162" s="734"/>
      <c r="AQ162" s="734"/>
      <c r="AR162" s="734"/>
    </row>
    <row r="163" spans="1:44">
      <c r="A163" s="185">
        <v>4</v>
      </c>
      <c r="B163" s="184" t="s">
        <v>128</v>
      </c>
      <c r="C163" s="185">
        <v>400</v>
      </c>
      <c r="D163" s="185">
        <v>1</v>
      </c>
      <c r="E163" s="185">
        <v>1</v>
      </c>
      <c r="F163" s="197"/>
      <c r="G163" s="185">
        <v>1</v>
      </c>
      <c r="H163" s="185">
        <v>1</v>
      </c>
      <c r="I163" s="185">
        <v>1</v>
      </c>
      <c r="J163" s="185">
        <v>1</v>
      </c>
      <c r="K163" s="185">
        <v>1</v>
      </c>
      <c r="L163" s="185">
        <v>1</v>
      </c>
      <c r="M163" s="197"/>
      <c r="N163" s="185">
        <v>1</v>
      </c>
      <c r="O163" s="185">
        <v>1</v>
      </c>
      <c r="P163" s="185">
        <v>1</v>
      </c>
      <c r="Q163" s="185">
        <v>1</v>
      </c>
      <c r="R163" s="185">
        <v>1</v>
      </c>
      <c r="S163" s="261"/>
      <c r="T163" s="197"/>
      <c r="U163" s="261"/>
      <c r="V163" s="185">
        <v>1</v>
      </c>
      <c r="W163" s="185">
        <v>1</v>
      </c>
      <c r="X163" s="185">
        <v>1</v>
      </c>
      <c r="Y163" s="185">
        <v>1</v>
      </c>
      <c r="Z163" s="185">
        <v>1</v>
      </c>
      <c r="AA163" s="185">
        <v>1</v>
      </c>
      <c r="AB163" s="262"/>
      <c r="AC163" s="185">
        <v>1</v>
      </c>
      <c r="AD163" s="185">
        <v>1</v>
      </c>
      <c r="AE163" s="185">
        <v>1</v>
      </c>
      <c r="AF163" s="185">
        <v>1</v>
      </c>
      <c r="AG163" s="185">
        <v>1</v>
      </c>
      <c r="AH163" s="197"/>
      <c r="AI163" s="185">
        <f t="shared" si="155"/>
        <v>24</v>
      </c>
      <c r="AJ163" s="185">
        <v>0</v>
      </c>
      <c r="AK163" s="185">
        <v>0</v>
      </c>
      <c r="AL163" s="185">
        <f>AI163+AJ163-AK163</f>
        <v>24</v>
      </c>
      <c r="AM163" s="185">
        <f t="shared" si="156"/>
        <v>9600</v>
      </c>
      <c r="AN163" s="734">
        <f t="shared" ref="AN163" si="163">AM163+AM164</f>
        <v>11850</v>
      </c>
      <c r="AO163" s="735">
        <v>0</v>
      </c>
      <c r="AP163" s="734">
        <f t="shared" ref="AP163" si="164">AN163-AO163</f>
        <v>11850</v>
      </c>
      <c r="AQ163" s="734">
        <v>12000</v>
      </c>
      <c r="AR163" s="734"/>
    </row>
    <row r="164" spans="1:44">
      <c r="A164" s="184"/>
      <c r="B164" s="184"/>
      <c r="C164" s="185">
        <v>50</v>
      </c>
      <c r="D164" s="193">
        <v>2</v>
      </c>
      <c r="E164" s="193">
        <v>2</v>
      </c>
      <c r="F164" s="197"/>
      <c r="G164" s="193">
        <v>2</v>
      </c>
      <c r="H164" s="193">
        <v>2</v>
      </c>
      <c r="I164" s="193">
        <v>1</v>
      </c>
      <c r="J164" s="193">
        <v>2</v>
      </c>
      <c r="K164" s="193">
        <v>2</v>
      </c>
      <c r="L164" s="193">
        <v>2</v>
      </c>
      <c r="M164" s="197"/>
      <c r="N164" s="193">
        <v>2</v>
      </c>
      <c r="O164" s="193">
        <v>2</v>
      </c>
      <c r="P164" s="193">
        <v>2</v>
      </c>
      <c r="Q164" s="193">
        <v>2</v>
      </c>
      <c r="R164" s="193">
        <v>2</v>
      </c>
      <c r="S164" s="261"/>
      <c r="T164" s="197"/>
      <c r="U164" s="261"/>
      <c r="V164" s="193">
        <v>2</v>
      </c>
      <c r="W164" s="193">
        <v>2</v>
      </c>
      <c r="X164" s="193">
        <v>2</v>
      </c>
      <c r="Y164" s="193">
        <v>2</v>
      </c>
      <c r="Z164" s="193">
        <v>2</v>
      </c>
      <c r="AA164" s="193">
        <v>0</v>
      </c>
      <c r="AB164" s="262"/>
      <c r="AC164" s="193">
        <v>2</v>
      </c>
      <c r="AD164" s="193">
        <v>2</v>
      </c>
      <c r="AE164" s="193">
        <v>2</v>
      </c>
      <c r="AF164" s="193">
        <v>2</v>
      </c>
      <c r="AG164" s="193">
        <v>2</v>
      </c>
      <c r="AH164" s="263"/>
      <c r="AI164" s="185">
        <f t="shared" si="155"/>
        <v>45</v>
      </c>
      <c r="AJ164" s="185">
        <v>0</v>
      </c>
      <c r="AK164" s="185">
        <v>0</v>
      </c>
      <c r="AL164" s="185">
        <f t="shared" ref="AL164" si="165">AI164+AJ164-AK164</f>
        <v>45</v>
      </c>
      <c r="AM164" s="185">
        <f t="shared" si="156"/>
        <v>2250</v>
      </c>
      <c r="AN164" s="734"/>
      <c r="AO164" s="735"/>
      <c r="AP164" s="734"/>
      <c r="AQ164" s="734"/>
      <c r="AR164" s="734"/>
    </row>
    <row r="165" spans="1:44">
      <c r="A165" s="185">
        <v>5</v>
      </c>
      <c r="B165" s="184" t="s">
        <v>130</v>
      </c>
      <c r="C165" s="185">
        <v>400</v>
      </c>
      <c r="D165" s="185">
        <v>1</v>
      </c>
      <c r="E165" s="185">
        <v>1</v>
      </c>
      <c r="F165" s="197"/>
      <c r="G165" s="185">
        <v>1</v>
      </c>
      <c r="H165" s="185">
        <v>1</v>
      </c>
      <c r="I165" s="185">
        <v>1</v>
      </c>
      <c r="J165" s="185">
        <v>1</v>
      </c>
      <c r="K165" s="185">
        <v>1</v>
      </c>
      <c r="L165" s="185">
        <v>1</v>
      </c>
      <c r="M165" s="197"/>
      <c r="N165" s="185">
        <v>1</v>
      </c>
      <c r="O165" s="185">
        <v>1</v>
      </c>
      <c r="P165" s="185">
        <v>1</v>
      </c>
      <c r="Q165" s="185">
        <v>1</v>
      </c>
      <c r="R165" s="185">
        <v>1</v>
      </c>
      <c r="S165" s="261"/>
      <c r="T165" s="197"/>
      <c r="U165" s="261"/>
      <c r="V165" s="185">
        <v>1</v>
      </c>
      <c r="W165" s="185">
        <v>1</v>
      </c>
      <c r="X165" s="185">
        <v>1</v>
      </c>
      <c r="Y165" s="185">
        <v>1</v>
      </c>
      <c r="Z165" s="185">
        <v>1</v>
      </c>
      <c r="AA165" s="185">
        <v>1</v>
      </c>
      <c r="AB165" s="262"/>
      <c r="AC165" s="256">
        <v>0</v>
      </c>
      <c r="AD165" s="185">
        <v>1</v>
      </c>
      <c r="AE165" s="185">
        <v>1</v>
      </c>
      <c r="AF165" s="185">
        <v>1</v>
      </c>
      <c r="AG165" s="185">
        <v>1</v>
      </c>
      <c r="AH165" s="197"/>
      <c r="AI165" s="185">
        <f t="shared" si="155"/>
        <v>23</v>
      </c>
      <c r="AJ165" s="185">
        <v>0</v>
      </c>
      <c r="AK165" s="185">
        <v>0</v>
      </c>
      <c r="AL165" s="185">
        <f>AI165+AJ165-AK165</f>
        <v>23</v>
      </c>
      <c r="AM165" s="185">
        <f t="shared" si="156"/>
        <v>9200</v>
      </c>
      <c r="AN165" s="734">
        <f t="shared" ref="AN165" si="166">AM165+AM166</f>
        <v>11350</v>
      </c>
      <c r="AO165" s="735">
        <v>0</v>
      </c>
      <c r="AP165" s="734">
        <f t="shared" ref="AP165" si="167">AN165-AO165</f>
        <v>11350</v>
      </c>
      <c r="AQ165" s="734">
        <v>11500</v>
      </c>
      <c r="AR165" s="734"/>
    </row>
    <row r="166" spans="1:44">
      <c r="A166" s="184"/>
      <c r="B166" s="184"/>
      <c r="C166" s="185">
        <v>50</v>
      </c>
      <c r="D166" s="193">
        <v>2</v>
      </c>
      <c r="E166" s="193">
        <v>2</v>
      </c>
      <c r="F166" s="197"/>
      <c r="G166" s="193">
        <v>2</v>
      </c>
      <c r="H166" s="193">
        <v>2</v>
      </c>
      <c r="I166" s="193">
        <v>1</v>
      </c>
      <c r="J166" s="193">
        <v>2</v>
      </c>
      <c r="K166" s="193">
        <v>2</v>
      </c>
      <c r="L166" s="193">
        <v>2</v>
      </c>
      <c r="M166" s="197"/>
      <c r="N166" s="193">
        <v>2</v>
      </c>
      <c r="O166" s="193">
        <v>2</v>
      </c>
      <c r="P166" s="193">
        <v>2</v>
      </c>
      <c r="Q166" s="193">
        <v>2</v>
      </c>
      <c r="R166" s="193">
        <v>2</v>
      </c>
      <c r="S166" s="261"/>
      <c r="T166" s="197"/>
      <c r="U166" s="261"/>
      <c r="V166" s="193">
        <v>2</v>
      </c>
      <c r="W166" s="193">
        <v>2</v>
      </c>
      <c r="X166" s="193">
        <v>2</v>
      </c>
      <c r="Y166" s="193">
        <v>2</v>
      </c>
      <c r="Z166" s="193">
        <v>2</v>
      </c>
      <c r="AA166" s="193">
        <v>0</v>
      </c>
      <c r="AB166" s="262"/>
      <c r="AC166" s="185">
        <v>0</v>
      </c>
      <c r="AD166" s="193">
        <v>2</v>
      </c>
      <c r="AE166" s="193">
        <v>2</v>
      </c>
      <c r="AF166" s="193">
        <v>2</v>
      </c>
      <c r="AG166" s="193">
        <v>2</v>
      </c>
      <c r="AH166" s="263"/>
      <c r="AI166" s="185">
        <f t="shared" si="155"/>
        <v>43</v>
      </c>
      <c r="AJ166" s="185">
        <v>0</v>
      </c>
      <c r="AK166" s="185">
        <v>0</v>
      </c>
      <c r="AL166" s="185">
        <f t="shared" ref="AL166" si="168">AI166+AJ166-AK166</f>
        <v>43</v>
      </c>
      <c r="AM166" s="185">
        <f t="shared" si="156"/>
        <v>2150</v>
      </c>
      <c r="AN166" s="734"/>
      <c r="AO166" s="735"/>
      <c r="AP166" s="734"/>
      <c r="AQ166" s="734"/>
      <c r="AR166" s="734"/>
    </row>
    <row r="167" spans="1:44">
      <c r="A167" s="185">
        <v>6</v>
      </c>
      <c r="B167" s="184" t="s">
        <v>136</v>
      </c>
      <c r="C167" s="185">
        <v>400</v>
      </c>
      <c r="D167" s="185">
        <v>1</v>
      </c>
      <c r="E167" s="185">
        <v>1</v>
      </c>
      <c r="F167" s="197"/>
      <c r="G167" s="185">
        <v>1</v>
      </c>
      <c r="H167" s="185">
        <v>1</v>
      </c>
      <c r="I167" s="185">
        <v>1</v>
      </c>
      <c r="J167" s="185">
        <v>1</v>
      </c>
      <c r="K167" s="185">
        <v>1</v>
      </c>
      <c r="L167" s="185">
        <v>1</v>
      </c>
      <c r="M167" s="197"/>
      <c r="N167" s="185">
        <v>1</v>
      </c>
      <c r="O167" s="185">
        <v>1</v>
      </c>
      <c r="P167" s="185">
        <v>1</v>
      </c>
      <c r="Q167" s="256">
        <v>0</v>
      </c>
      <c r="R167" s="185">
        <v>1</v>
      </c>
      <c r="S167" s="261"/>
      <c r="T167" s="197"/>
      <c r="U167" s="261"/>
      <c r="V167" s="185">
        <v>1</v>
      </c>
      <c r="W167" s="185">
        <v>1</v>
      </c>
      <c r="X167" s="185">
        <v>1</v>
      </c>
      <c r="Y167" s="185">
        <v>1</v>
      </c>
      <c r="Z167" s="185">
        <v>1</v>
      </c>
      <c r="AA167" s="185">
        <v>1</v>
      </c>
      <c r="AB167" s="262"/>
      <c r="AC167" s="256">
        <v>0</v>
      </c>
      <c r="AD167" s="185">
        <v>1</v>
      </c>
      <c r="AE167" s="185">
        <v>1</v>
      </c>
      <c r="AF167" s="185">
        <v>1</v>
      </c>
      <c r="AG167" s="185">
        <v>1</v>
      </c>
      <c r="AH167" s="197"/>
      <c r="AI167" s="185">
        <f t="shared" si="155"/>
        <v>22</v>
      </c>
      <c r="AJ167" s="185">
        <v>0</v>
      </c>
      <c r="AK167" s="185">
        <v>0</v>
      </c>
      <c r="AL167" s="185">
        <f>AI167+AJ167-AK167</f>
        <v>22</v>
      </c>
      <c r="AM167" s="185">
        <f t="shared" si="156"/>
        <v>8800</v>
      </c>
      <c r="AN167" s="734">
        <f t="shared" ref="AN167" si="169">AM167+AM168</f>
        <v>10850</v>
      </c>
      <c r="AO167" s="735">
        <v>0</v>
      </c>
      <c r="AP167" s="734">
        <f t="shared" ref="AP167" si="170">AN167-AO167</f>
        <v>10850</v>
      </c>
      <c r="AQ167" s="734">
        <v>11000</v>
      </c>
      <c r="AR167" s="734"/>
    </row>
    <row r="168" spans="1:44">
      <c r="A168" s="184"/>
      <c r="B168" s="184"/>
      <c r="C168" s="185">
        <v>50</v>
      </c>
      <c r="D168" s="193">
        <v>2</v>
      </c>
      <c r="E168" s="193">
        <v>2</v>
      </c>
      <c r="F168" s="197"/>
      <c r="G168" s="193">
        <v>2</v>
      </c>
      <c r="H168" s="193">
        <v>2</v>
      </c>
      <c r="I168" s="193">
        <v>1</v>
      </c>
      <c r="J168" s="193">
        <v>2</v>
      </c>
      <c r="K168" s="193">
        <v>2</v>
      </c>
      <c r="L168" s="193">
        <v>2</v>
      </c>
      <c r="M168" s="197"/>
      <c r="N168" s="193">
        <v>2</v>
      </c>
      <c r="O168" s="193">
        <v>2</v>
      </c>
      <c r="P168" s="193">
        <v>2</v>
      </c>
      <c r="Q168" s="185">
        <v>0</v>
      </c>
      <c r="R168" s="193">
        <v>2</v>
      </c>
      <c r="S168" s="261"/>
      <c r="T168" s="197"/>
      <c r="U168" s="261"/>
      <c r="V168" s="193">
        <v>2</v>
      </c>
      <c r="W168" s="193">
        <v>2</v>
      </c>
      <c r="X168" s="193">
        <v>2</v>
      </c>
      <c r="Y168" s="193">
        <v>2</v>
      </c>
      <c r="Z168" s="193">
        <v>2</v>
      </c>
      <c r="AA168" s="193">
        <v>0</v>
      </c>
      <c r="AB168" s="262"/>
      <c r="AC168" s="185">
        <v>0</v>
      </c>
      <c r="AD168" s="193">
        <v>2</v>
      </c>
      <c r="AE168" s="193">
        <v>2</v>
      </c>
      <c r="AF168" s="193">
        <v>2</v>
      </c>
      <c r="AG168" s="193">
        <v>2</v>
      </c>
      <c r="AH168" s="263"/>
      <c r="AI168" s="185">
        <f t="shared" si="155"/>
        <v>41</v>
      </c>
      <c r="AJ168" s="185">
        <v>0</v>
      </c>
      <c r="AK168" s="185">
        <v>0</v>
      </c>
      <c r="AL168" s="185">
        <f t="shared" ref="AL168" si="171">AI168+AJ168-AK168</f>
        <v>41</v>
      </c>
      <c r="AM168" s="185">
        <f t="shared" si="156"/>
        <v>2050</v>
      </c>
      <c r="AN168" s="734"/>
      <c r="AO168" s="735"/>
      <c r="AP168" s="734"/>
      <c r="AQ168" s="734"/>
      <c r="AR168" s="734"/>
    </row>
    <row r="169" spans="1:44">
      <c r="A169" s="185"/>
      <c r="B169" s="184"/>
      <c r="C169" s="185"/>
      <c r="D169" s="220"/>
      <c r="E169" s="220"/>
      <c r="F169" s="197"/>
      <c r="G169" s="220"/>
      <c r="H169" s="220"/>
      <c r="I169" s="220"/>
      <c r="J169" s="220"/>
      <c r="K169" s="220"/>
      <c r="L169" s="220"/>
      <c r="M169" s="197"/>
      <c r="N169" s="220"/>
      <c r="O169" s="220"/>
      <c r="P169" s="220"/>
      <c r="Q169" s="220"/>
      <c r="R169" s="220"/>
      <c r="S169" s="261"/>
      <c r="T169" s="197"/>
      <c r="U169" s="261"/>
      <c r="V169" s="220"/>
      <c r="W169" s="220"/>
      <c r="X169" s="220"/>
      <c r="Y169" s="185"/>
      <c r="Z169" s="220"/>
      <c r="AA169" s="220"/>
      <c r="AB169" s="262"/>
      <c r="AC169" s="185"/>
      <c r="AD169" s="185"/>
      <c r="AE169" s="185"/>
      <c r="AF169" s="185"/>
      <c r="AG169" s="185"/>
      <c r="AH169" s="197"/>
      <c r="AI169" s="185">
        <f t="shared" si="153"/>
        <v>0</v>
      </c>
      <c r="AJ169" s="185">
        <v>0</v>
      </c>
      <c r="AK169" s="185">
        <v>0</v>
      </c>
      <c r="AL169" s="185">
        <f>AI169+AJ169-AK169</f>
        <v>0</v>
      </c>
      <c r="AM169" s="185">
        <f t="shared" ref="AM169:AM170" si="172">AL169*C169</f>
        <v>0</v>
      </c>
      <c r="AN169" s="734">
        <f t="shared" ref="AN169" si="173">AM169+AM170</f>
        <v>0</v>
      </c>
      <c r="AO169" s="735">
        <v>0</v>
      </c>
      <c r="AP169" s="734">
        <f t="shared" ref="AP169" si="174">AN169-AO169</f>
        <v>0</v>
      </c>
      <c r="AQ169" s="734">
        <v>0</v>
      </c>
      <c r="AR169" s="734"/>
    </row>
    <row r="170" spans="1:44">
      <c r="A170" s="184"/>
      <c r="B170" s="184"/>
      <c r="C170" s="185"/>
      <c r="D170" s="220"/>
      <c r="E170" s="220"/>
      <c r="F170" s="197"/>
      <c r="G170" s="220"/>
      <c r="H170" s="220"/>
      <c r="I170" s="220"/>
      <c r="J170" s="220"/>
      <c r="K170" s="220"/>
      <c r="L170" s="220"/>
      <c r="M170" s="197"/>
      <c r="N170" s="220"/>
      <c r="O170" s="220"/>
      <c r="P170" s="220"/>
      <c r="Q170" s="220"/>
      <c r="R170" s="220"/>
      <c r="S170" s="261"/>
      <c r="T170" s="197"/>
      <c r="U170" s="261"/>
      <c r="V170" s="220"/>
      <c r="W170" s="220"/>
      <c r="X170" s="220"/>
      <c r="Y170" s="185"/>
      <c r="Z170" s="220"/>
      <c r="AA170" s="185"/>
      <c r="AB170" s="262"/>
      <c r="AC170" s="185"/>
      <c r="AD170" s="185"/>
      <c r="AE170" s="185"/>
      <c r="AF170" s="185"/>
      <c r="AG170" s="185"/>
      <c r="AH170" s="197"/>
      <c r="AI170" s="185">
        <f t="shared" si="153"/>
        <v>0</v>
      </c>
      <c r="AJ170" s="185">
        <v>0</v>
      </c>
      <c r="AK170" s="185">
        <v>0</v>
      </c>
      <c r="AL170" s="185">
        <f t="shared" ref="AL170" si="175">AI170+AJ170-AK170</f>
        <v>0</v>
      </c>
      <c r="AM170" s="185">
        <f t="shared" si="172"/>
        <v>0</v>
      </c>
      <c r="AN170" s="734"/>
      <c r="AO170" s="735"/>
      <c r="AP170" s="734"/>
      <c r="AQ170" s="734"/>
      <c r="AR170" s="734"/>
    </row>
    <row r="171" spans="1:44">
      <c r="A171" s="765" t="s">
        <v>103</v>
      </c>
      <c r="B171" s="765"/>
      <c r="C171" s="258"/>
      <c r="D171" s="258">
        <f>X166+D161+D163+D165+D167+D169+D159</f>
        <v>7</v>
      </c>
      <c r="E171" s="258">
        <f t="shared" ref="E171:V171" si="176">E157+E161+E163+E165+E167+E169+E159</f>
        <v>6</v>
      </c>
      <c r="F171" s="258">
        <f t="shared" si="176"/>
        <v>0</v>
      </c>
      <c r="G171" s="258">
        <f t="shared" si="176"/>
        <v>5</v>
      </c>
      <c r="H171" s="258">
        <f t="shared" si="176"/>
        <v>5</v>
      </c>
      <c r="I171" s="258">
        <f t="shared" si="176"/>
        <v>6</v>
      </c>
      <c r="J171" s="258">
        <f t="shared" si="176"/>
        <v>6</v>
      </c>
      <c r="K171" s="258">
        <f t="shared" si="176"/>
        <v>6</v>
      </c>
      <c r="L171" s="258">
        <f t="shared" si="176"/>
        <v>5</v>
      </c>
      <c r="M171" s="258">
        <f t="shared" si="176"/>
        <v>0</v>
      </c>
      <c r="N171" s="258">
        <f t="shared" si="176"/>
        <v>6</v>
      </c>
      <c r="O171" s="258">
        <f t="shared" si="176"/>
        <v>4</v>
      </c>
      <c r="P171" s="258">
        <f t="shared" si="176"/>
        <v>6</v>
      </c>
      <c r="Q171" s="258">
        <f t="shared" si="176"/>
        <v>5</v>
      </c>
      <c r="R171" s="258">
        <f t="shared" si="176"/>
        <v>6</v>
      </c>
      <c r="S171" s="258">
        <f t="shared" si="176"/>
        <v>0</v>
      </c>
      <c r="T171" s="258">
        <f t="shared" si="176"/>
        <v>0</v>
      </c>
      <c r="U171" s="258">
        <f t="shared" si="176"/>
        <v>0</v>
      </c>
      <c r="V171" s="258">
        <f t="shared" si="176"/>
        <v>6</v>
      </c>
      <c r="W171" s="258">
        <f>V157+V161+V163+V165+V167+V169+V159</f>
        <v>6</v>
      </c>
      <c r="X171" s="258">
        <f t="shared" ref="X171:AR171" si="177">X157+X161+X163+X165+X167+X169+X159</f>
        <v>6</v>
      </c>
      <c r="Y171" s="258">
        <f t="shared" si="177"/>
        <v>6</v>
      </c>
      <c r="Z171" s="258">
        <f t="shared" si="177"/>
        <v>5</v>
      </c>
      <c r="AA171" s="258">
        <f t="shared" si="177"/>
        <v>6</v>
      </c>
      <c r="AB171" s="258">
        <f t="shared" si="177"/>
        <v>0</v>
      </c>
      <c r="AC171" s="258">
        <f t="shared" si="177"/>
        <v>3</v>
      </c>
      <c r="AD171" s="258">
        <f t="shared" si="177"/>
        <v>4</v>
      </c>
      <c r="AE171" s="258">
        <f t="shared" si="177"/>
        <v>5</v>
      </c>
      <c r="AF171" s="258">
        <f t="shared" si="177"/>
        <v>6</v>
      </c>
      <c r="AG171" s="258">
        <f t="shared" si="177"/>
        <v>6</v>
      </c>
      <c r="AH171" s="258">
        <f t="shared" si="177"/>
        <v>0</v>
      </c>
      <c r="AI171" s="258">
        <f t="shared" si="177"/>
        <v>131</v>
      </c>
      <c r="AJ171" s="258">
        <f t="shared" si="177"/>
        <v>5</v>
      </c>
      <c r="AK171" s="258">
        <f t="shared" si="177"/>
        <v>7</v>
      </c>
      <c r="AL171" s="258">
        <f t="shared" si="177"/>
        <v>129</v>
      </c>
      <c r="AM171" s="258">
        <f t="shared" si="177"/>
        <v>54084</v>
      </c>
      <c r="AN171" s="258">
        <f t="shared" si="177"/>
        <v>64756.5</v>
      </c>
      <c r="AO171" s="258">
        <f t="shared" si="177"/>
        <v>0</v>
      </c>
      <c r="AP171" s="258">
        <f t="shared" si="177"/>
        <v>64756.5</v>
      </c>
      <c r="AQ171" s="258">
        <f t="shared" si="177"/>
        <v>69000</v>
      </c>
      <c r="AR171" s="258">
        <f t="shared" si="177"/>
        <v>0</v>
      </c>
    </row>
    <row r="172" spans="1:44">
      <c r="A172" s="766" t="s">
        <v>106</v>
      </c>
      <c r="B172" s="766"/>
      <c r="C172" s="259"/>
      <c r="D172" s="259">
        <f>D158+D160+D162+D164+D166++D168+D170</f>
        <v>10</v>
      </c>
      <c r="E172" s="259">
        <f t="shared" ref="E172:V172" si="178">E158+E160+E162+E164+E166++E168+E170</f>
        <v>10</v>
      </c>
      <c r="F172" s="259">
        <f t="shared" si="178"/>
        <v>0</v>
      </c>
      <c r="G172" s="259">
        <f t="shared" si="178"/>
        <v>10</v>
      </c>
      <c r="H172" s="259">
        <f t="shared" si="178"/>
        <v>10</v>
      </c>
      <c r="I172" s="259">
        <f t="shared" si="178"/>
        <v>5</v>
      </c>
      <c r="J172" s="259">
        <f t="shared" si="178"/>
        <v>10</v>
      </c>
      <c r="K172" s="259">
        <f t="shared" si="178"/>
        <v>10</v>
      </c>
      <c r="L172" s="259">
        <f t="shared" si="178"/>
        <v>8</v>
      </c>
      <c r="M172" s="259">
        <f t="shared" si="178"/>
        <v>0</v>
      </c>
      <c r="N172" s="259">
        <f t="shared" si="178"/>
        <v>9</v>
      </c>
      <c r="O172" s="259">
        <f t="shared" si="178"/>
        <v>8</v>
      </c>
      <c r="P172" s="259">
        <f t="shared" si="178"/>
        <v>10</v>
      </c>
      <c r="Q172" s="259">
        <f t="shared" si="178"/>
        <v>8</v>
      </c>
      <c r="R172" s="259">
        <f t="shared" si="178"/>
        <v>10</v>
      </c>
      <c r="S172" s="259">
        <f t="shared" si="178"/>
        <v>0</v>
      </c>
      <c r="T172" s="259">
        <f t="shared" si="178"/>
        <v>0</v>
      </c>
      <c r="U172" s="259">
        <f t="shared" si="178"/>
        <v>0</v>
      </c>
      <c r="V172" s="259">
        <f t="shared" si="178"/>
        <v>10</v>
      </c>
      <c r="W172" s="259">
        <f>V158+V160+V162+V164+V166++V168+V170</f>
        <v>10</v>
      </c>
      <c r="X172" s="259">
        <f t="shared" ref="X172:AR172" si="179">X158+X160+X162+X164+X166++X168+X170</f>
        <v>10</v>
      </c>
      <c r="Y172" s="259">
        <f t="shared" si="179"/>
        <v>9.5</v>
      </c>
      <c r="Z172" s="259">
        <f t="shared" si="179"/>
        <v>8</v>
      </c>
      <c r="AA172" s="259">
        <f t="shared" si="179"/>
        <v>0</v>
      </c>
      <c r="AB172" s="259">
        <f t="shared" si="179"/>
        <v>0</v>
      </c>
      <c r="AC172" s="259">
        <f t="shared" si="179"/>
        <v>6</v>
      </c>
      <c r="AD172" s="259">
        <f t="shared" si="179"/>
        <v>8</v>
      </c>
      <c r="AE172" s="259">
        <f t="shared" si="179"/>
        <v>10</v>
      </c>
      <c r="AF172" s="259">
        <f t="shared" si="179"/>
        <v>10</v>
      </c>
      <c r="AG172" s="259">
        <f t="shared" si="179"/>
        <v>10</v>
      </c>
      <c r="AH172" s="259">
        <f t="shared" si="179"/>
        <v>0</v>
      </c>
      <c r="AI172" s="259">
        <f t="shared" si="179"/>
        <v>209.5</v>
      </c>
      <c r="AJ172" s="259">
        <f t="shared" si="179"/>
        <v>0</v>
      </c>
      <c r="AK172" s="259">
        <f t="shared" si="179"/>
        <v>0</v>
      </c>
      <c r="AL172" s="259">
        <f t="shared" si="179"/>
        <v>209.5</v>
      </c>
      <c r="AM172" s="259">
        <f t="shared" si="179"/>
        <v>10672.5</v>
      </c>
      <c r="AN172" s="259">
        <f t="shared" si="179"/>
        <v>0</v>
      </c>
      <c r="AO172" s="259">
        <f t="shared" si="179"/>
        <v>0</v>
      </c>
      <c r="AP172" s="259">
        <f t="shared" si="179"/>
        <v>0</v>
      </c>
      <c r="AQ172" s="259">
        <f t="shared" si="179"/>
        <v>0</v>
      </c>
      <c r="AR172" s="259">
        <f t="shared" si="179"/>
        <v>0</v>
      </c>
    </row>
    <row r="174" spans="1:44" ht="23.25">
      <c r="A174" s="760" t="s">
        <v>113</v>
      </c>
      <c r="B174" s="761" t="s">
        <v>1</v>
      </c>
      <c r="C174" s="761"/>
      <c r="D174" s="762" t="s">
        <v>137</v>
      </c>
      <c r="E174" s="762"/>
      <c r="F174" s="762"/>
      <c r="G174" s="762"/>
      <c r="H174" s="762"/>
      <c r="I174" s="762"/>
      <c r="J174" s="762"/>
      <c r="K174" s="762"/>
      <c r="L174" s="762"/>
      <c r="M174" s="762"/>
      <c r="N174" s="762"/>
      <c r="O174" s="762"/>
      <c r="P174" s="762"/>
      <c r="Q174" s="762"/>
      <c r="R174" s="762"/>
      <c r="S174" s="762"/>
      <c r="T174" s="762"/>
      <c r="U174" s="762"/>
      <c r="V174" s="762"/>
      <c r="W174" s="762"/>
      <c r="X174" s="762"/>
      <c r="Y174" s="762"/>
      <c r="Z174" s="762"/>
      <c r="AA174" s="762"/>
      <c r="AB174" s="762"/>
      <c r="AC174" s="762"/>
      <c r="AD174" s="762"/>
      <c r="AE174" s="762"/>
      <c r="AF174" s="762"/>
      <c r="AG174" s="763">
        <v>31</v>
      </c>
      <c r="AH174" s="763"/>
      <c r="AI174" s="764" t="s">
        <v>107</v>
      </c>
      <c r="AJ174" s="764" t="s">
        <v>45</v>
      </c>
      <c r="AK174" s="764" t="s">
        <v>108</v>
      </c>
      <c r="AL174" s="764" t="s">
        <v>112</v>
      </c>
      <c r="AM174" s="760" t="s">
        <v>7</v>
      </c>
      <c r="AN174" s="760"/>
      <c r="AO174" s="764" t="s">
        <v>93</v>
      </c>
      <c r="AP174" s="764" t="s">
        <v>109</v>
      </c>
      <c r="AQ174" s="764" t="s">
        <v>33</v>
      </c>
      <c r="AR174" s="764" t="s">
        <v>111</v>
      </c>
    </row>
    <row r="175" spans="1:44">
      <c r="A175" s="760"/>
      <c r="B175" s="761"/>
      <c r="C175" s="761"/>
      <c r="D175" s="257">
        <v>1</v>
      </c>
      <c r="E175" s="257">
        <v>2</v>
      </c>
      <c r="F175" s="257">
        <v>3</v>
      </c>
      <c r="G175" s="257">
        <v>4</v>
      </c>
      <c r="H175" s="257">
        <v>5</v>
      </c>
      <c r="I175" s="257">
        <v>6</v>
      </c>
      <c r="J175" s="257">
        <v>7</v>
      </c>
      <c r="K175" s="257">
        <v>8</v>
      </c>
      <c r="L175" s="257">
        <v>9</v>
      </c>
      <c r="M175" s="257">
        <v>10</v>
      </c>
      <c r="N175" s="257">
        <v>11</v>
      </c>
      <c r="O175" s="257">
        <v>12</v>
      </c>
      <c r="P175" s="257">
        <v>13</v>
      </c>
      <c r="Q175" s="257">
        <v>14</v>
      </c>
      <c r="R175" s="257">
        <v>15</v>
      </c>
      <c r="S175" s="257">
        <v>16</v>
      </c>
      <c r="T175" s="257">
        <v>17</v>
      </c>
      <c r="U175" s="257">
        <v>18</v>
      </c>
      <c r="V175" s="257">
        <v>19</v>
      </c>
      <c r="W175" s="257">
        <v>20</v>
      </c>
      <c r="X175" s="257">
        <v>21</v>
      </c>
      <c r="Y175" s="257">
        <v>22</v>
      </c>
      <c r="Z175" s="257">
        <v>23</v>
      </c>
      <c r="AA175" s="257">
        <v>24</v>
      </c>
      <c r="AB175" s="257">
        <v>25</v>
      </c>
      <c r="AC175" s="257">
        <v>26</v>
      </c>
      <c r="AD175" s="257">
        <v>27</v>
      </c>
      <c r="AE175" s="257">
        <v>28</v>
      </c>
      <c r="AF175" s="257">
        <v>29</v>
      </c>
      <c r="AG175" s="257">
        <v>30</v>
      </c>
      <c r="AH175" s="257">
        <v>31</v>
      </c>
      <c r="AI175" s="764"/>
      <c r="AJ175" s="764"/>
      <c r="AK175" s="764"/>
      <c r="AL175" s="764"/>
      <c r="AM175" s="760"/>
      <c r="AN175" s="760"/>
      <c r="AO175" s="764"/>
      <c r="AP175" s="764"/>
      <c r="AQ175" s="764"/>
      <c r="AR175" s="764"/>
    </row>
    <row r="176" spans="1:44">
      <c r="A176" s="185">
        <v>1</v>
      </c>
      <c r="B176" s="184" t="s">
        <v>135</v>
      </c>
      <c r="C176" s="185">
        <f>C177*11.5</f>
        <v>500.25</v>
      </c>
      <c r="D176" s="197"/>
      <c r="E176" s="266"/>
      <c r="F176" s="185">
        <v>1</v>
      </c>
      <c r="G176" s="185">
        <v>1</v>
      </c>
      <c r="H176" s="238">
        <v>0</v>
      </c>
      <c r="I176" s="238">
        <v>0</v>
      </c>
      <c r="J176" s="238">
        <v>0</v>
      </c>
      <c r="K176" s="197"/>
      <c r="L176" s="238">
        <v>0</v>
      </c>
      <c r="M176" s="238">
        <v>0</v>
      </c>
      <c r="N176" s="238">
        <v>0</v>
      </c>
      <c r="O176" s="238">
        <v>0</v>
      </c>
      <c r="P176" s="238">
        <v>0</v>
      </c>
      <c r="Q176" s="238">
        <v>0</v>
      </c>
      <c r="R176" s="197"/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70"/>
      <c r="AA176" s="268"/>
      <c r="AB176" s="238">
        <v>0</v>
      </c>
      <c r="AC176" s="238">
        <v>0</v>
      </c>
      <c r="AD176" s="238">
        <v>0</v>
      </c>
      <c r="AE176" s="238">
        <v>0</v>
      </c>
      <c r="AF176" s="197"/>
      <c r="AG176" s="238">
        <v>0</v>
      </c>
      <c r="AH176" s="238">
        <v>0</v>
      </c>
      <c r="AI176" s="185">
        <f>SUM(D176:AH176)</f>
        <v>2</v>
      </c>
      <c r="AJ176" s="185">
        <v>2</v>
      </c>
      <c r="AK176" s="185">
        <v>25</v>
      </c>
      <c r="AL176" s="185">
        <f>AI176+AJ176-AK176</f>
        <v>-21</v>
      </c>
      <c r="AM176" s="185">
        <f>AL176*C176</f>
        <v>-10505.25</v>
      </c>
      <c r="AN176" s="734">
        <f>AM176+AM177</f>
        <v>-10505.25</v>
      </c>
      <c r="AO176" s="735">
        <v>0</v>
      </c>
      <c r="AP176" s="734">
        <f t="shared" ref="AP176" si="180">AN176-AO176</f>
        <v>-10505.25</v>
      </c>
      <c r="AQ176" s="734"/>
      <c r="AR176" s="734"/>
    </row>
    <row r="177" spans="1:46">
      <c r="A177" s="185">
        <f>C176/8</f>
        <v>62.53125</v>
      </c>
      <c r="B177" s="184">
        <v>15000</v>
      </c>
      <c r="C177" s="185">
        <v>43.5</v>
      </c>
      <c r="D177" s="197"/>
      <c r="E177" s="270"/>
      <c r="F177" s="185">
        <v>0</v>
      </c>
      <c r="G177" s="185">
        <v>0</v>
      </c>
      <c r="H177" s="185">
        <v>0</v>
      </c>
      <c r="I177" s="185">
        <v>0</v>
      </c>
      <c r="J177" s="185">
        <v>0</v>
      </c>
      <c r="K177" s="197"/>
      <c r="L177" s="185">
        <v>0</v>
      </c>
      <c r="M177" s="185">
        <v>0</v>
      </c>
      <c r="N177" s="185">
        <v>0</v>
      </c>
      <c r="O177" s="185">
        <v>0</v>
      </c>
      <c r="P177" s="185">
        <v>0</v>
      </c>
      <c r="Q177" s="185">
        <v>0</v>
      </c>
      <c r="R177" s="197"/>
      <c r="S177" s="185">
        <v>0</v>
      </c>
      <c r="T177" s="185">
        <v>0</v>
      </c>
      <c r="U177" s="185">
        <v>0</v>
      </c>
      <c r="V177" s="185">
        <v>0</v>
      </c>
      <c r="W177" s="185">
        <v>0</v>
      </c>
      <c r="X177" s="185">
        <v>0</v>
      </c>
      <c r="Y177" s="185">
        <v>0</v>
      </c>
      <c r="Z177" s="270"/>
      <c r="AA177" s="270"/>
      <c r="AB177" s="185">
        <v>0</v>
      </c>
      <c r="AC177" s="185">
        <v>0</v>
      </c>
      <c r="AD177" s="185">
        <v>0</v>
      </c>
      <c r="AE177" s="185">
        <v>0</v>
      </c>
      <c r="AF177" s="197"/>
      <c r="AG177" s="185">
        <v>0</v>
      </c>
      <c r="AH177" s="185">
        <v>0</v>
      </c>
      <c r="AI177" s="185">
        <f t="shared" ref="AI177" si="181">SUM(D177:AH177)</f>
        <v>0</v>
      </c>
      <c r="AJ177" s="185">
        <v>0</v>
      </c>
      <c r="AK177" s="185">
        <v>0</v>
      </c>
      <c r="AL177" s="185">
        <f t="shared" ref="AL177" si="182">AI177+AJ177-AK177</f>
        <v>0</v>
      </c>
      <c r="AM177" s="185">
        <f>AL177*C177</f>
        <v>0</v>
      </c>
      <c r="AN177" s="734"/>
      <c r="AO177" s="735"/>
      <c r="AP177" s="734"/>
      <c r="AQ177" s="734"/>
      <c r="AR177" s="734"/>
    </row>
    <row r="178" spans="1:46">
      <c r="A178" s="185">
        <v>2</v>
      </c>
      <c r="B178" s="184" t="s">
        <v>114</v>
      </c>
      <c r="C178" s="185">
        <v>440</v>
      </c>
      <c r="D178" s="197"/>
      <c r="E178" s="270"/>
      <c r="F178" s="185">
        <v>1</v>
      </c>
      <c r="G178" s="185">
        <v>1</v>
      </c>
      <c r="H178" s="185">
        <v>1</v>
      </c>
      <c r="I178" s="185">
        <v>1</v>
      </c>
      <c r="J178" s="256">
        <v>0</v>
      </c>
      <c r="K178" s="197"/>
      <c r="L178" s="185">
        <v>1</v>
      </c>
      <c r="M178" s="185">
        <v>1</v>
      </c>
      <c r="N178" s="185">
        <v>1</v>
      </c>
      <c r="O178" s="185">
        <v>1</v>
      </c>
      <c r="P178" s="185">
        <v>1</v>
      </c>
      <c r="Q178" s="185">
        <v>1</v>
      </c>
      <c r="R178" s="197"/>
      <c r="S178" s="256">
        <v>0</v>
      </c>
      <c r="T178" s="185">
        <v>1</v>
      </c>
      <c r="U178" s="185">
        <v>1</v>
      </c>
      <c r="V178" s="185">
        <v>1</v>
      </c>
      <c r="W178" s="185">
        <v>1</v>
      </c>
      <c r="X178" s="185">
        <v>1</v>
      </c>
      <c r="Y178" s="185">
        <v>1</v>
      </c>
      <c r="Z178" s="270"/>
      <c r="AA178" s="270"/>
      <c r="AB178" s="185">
        <v>1</v>
      </c>
      <c r="AC178" s="185">
        <v>1</v>
      </c>
      <c r="AD178" s="185">
        <v>1</v>
      </c>
      <c r="AE178" s="185">
        <v>1</v>
      </c>
      <c r="AF178" s="197"/>
      <c r="AG178" s="185">
        <v>1</v>
      </c>
      <c r="AH178" s="185">
        <v>1</v>
      </c>
      <c r="AI178" s="185">
        <f t="shared" ref="AI178:AI187" si="183">SUM(D178:AH178)</f>
        <v>22</v>
      </c>
      <c r="AJ178" s="185">
        <v>0</v>
      </c>
      <c r="AK178" s="185">
        <v>0</v>
      </c>
      <c r="AL178" s="185">
        <f>AI178+AJ178-AK178</f>
        <v>22</v>
      </c>
      <c r="AM178" s="185">
        <f t="shared" ref="AM178:AM189" si="184">AL178*C178</f>
        <v>9680</v>
      </c>
      <c r="AN178" s="734">
        <f t="shared" ref="AN178" si="185">AM178+AM179</f>
        <v>11990</v>
      </c>
      <c r="AO178" s="735">
        <v>0</v>
      </c>
      <c r="AP178" s="734">
        <f t="shared" ref="AP178" si="186">AN178-AO178</f>
        <v>11990</v>
      </c>
      <c r="AQ178" s="734"/>
      <c r="AR178" s="734"/>
    </row>
    <row r="179" spans="1:46">
      <c r="A179" s="185">
        <f>C178/8</f>
        <v>55</v>
      </c>
      <c r="B179" s="184"/>
      <c r="C179" s="185">
        <v>55</v>
      </c>
      <c r="D179" s="265"/>
      <c r="E179" s="270"/>
      <c r="F179" s="193">
        <v>2</v>
      </c>
      <c r="G179" s="193">
        <v>2</v>
      </c>
      <c r="H179" s="193">
        <v>2</v>
      </c>
      <c r="I179" s="193">
        <v>2</v>
      </c>
      <c r="J179" s="185">
        <v>0</v>
      </c>
      <c r="K179" s="197"/>
      <c r="L179" s="193">
        <v>2</v>
      </c>
      <c r="M179" s="193">
        <v>2</v>
      </c>
      <c r="N179" s="193">
        <v>2</v>
      </c>
      <c r="O179" s="193">
        <v>2</v>
      </c>
      <c r="P179" s="193">
        <v>2</v>
      </c>
      <c r="Q179" s="193">
        <v>2</v>
      </c>
      <c r="R179" s="197"/>
      <c r="S179" s="185">
        <v>0</v>
      </c>
      <c r="T179" s="193">
        <v>2</v>
      </c>
      <c r="U179" s="193">
        <v>2</v>
      </c>
      <c r="V179" s="193">
        <v>2</v>
      </c>
      <c r="W179" s="193">
        <v>2</v>
      </c>
      <c r="X179" s="193">
        <v>2</v>
      </c>
      <c r="Y179" s="193">
        <v>0</v>
      </c>
      <c r="Z179" s="270"/>
      <c r="AA179" s="270"/>
      <c r="AB179" s="193">
        <v>2</v>
      </c>
      <c r="AC179" s="193">
        <v>2</v>
      </c>
      <c r="AD179" s="193">
        <v>2</v>
      </c>
      <c r="AE179" s="193">
        <v>2</v>
      </c>
      <c r="AF179" s="197"/>
      <c r="AG179" s="193">
        <v>2</v>
      </c>
      <c r="AH179" s="193">
        <v>2</v>
      </c>
      <c r="AI179" s="185">
        <f t="shared" si="183"/>
        <v>42</v>
      </c>
      <c r="AJ179" s="185">
        <v>0</v>
      </c>
      <c r="AK179" s="185">
        <v>0</v>
      </c>
      <c r="AL179" s="185">
        <f t="shared" ref="AL179" si="187">AI179+AJ179-AK179</f>
        <v>42</v>
      </c>
      <c r="AM179" s="185">
        <f t="shared" si="184"/>
        <v>2310</v>
      </c>
      <c r="AN179" s="734"/>
      <c r="AO179" s="735"/>
      <c r="AP179" s="734"/>
      <c r="AQ179" s="734"/>
      <c r="AR179" s="734"/>
      <c r="AT179" s="183" t="s">
        <v>138</v>
      </c>
    </row>
    <row r="180" spans="1:46">
      <c r="A180" s="185">
        <v>3</v>
      </c>
      <c r="B180" s="184" t="s">
        <v>127</v>
      </c>
      <c r="C180" s="184">
        <v>400</v>
      </c>
      <c r="D180" s="197"/>
      <c r="E180" s="270"/>
      <c r="F180" s="185">
        <v>1</v>
      </c>
      <c r="G180" s="185">
        <v>1</v>
      </c>
      <c r="H180" s="185">
        <v>1</v>
      </c>
      <c r="I180" s="185">
        <v>1</v>
      </c>
      <c r="J180" s="185">
        <v>1</v>
      </c>
      <c r="K180" s="197"/>
      <c r="L180" s="185">
        <v>1</v>
      </c>
      <c r="M180" s="185">
        <v>1</v>
      </c>
      <c r="N180" s="185">
        <v>1</v>
      </c>
      <c r="O180" s="185">
        <v>1</v>
      </c>
      <c r="P180" s="185">
        <v>1</v>
      </c>
      <c r="Q180" s="185">
        <v>1</v>
      </c>
      <c r="R180" s="197"/>
      <c r="S180" s="185">
        <v>1</v>
      </c>
      <c r="T180" s="185">
        <v>1</v>
      </c>
      <c r="U180" s="185">
        <v>1</v>
      </c>
      <c r="V180" s="185">
        <v>1</v>
      </c>
      <c r="W180" s="185">
        <v>1</v>
      </c>
      <c r="X180" s="185">
        <v>1</v>
      </c>
      <c r="Y180" s="185">
        <v>1</v>
      </c>
      <c r="Z180" s="270"/>
      <c r="AA180" s="270"/>
      <c r="AB180" s="185">
        <v>1</v>
      </c>
      <c r="AC180" s="185">
        <v>1</v>
      </c>
      <c r="AD180" s="185">
        <v>1</v>
      </c>
      <c r="AE180" s="185">
        <v>1</v>
      </c>
      <c r="AF180" s="197"/>
      <c r="AG180" s="185">
        <v>1</v>
      </c>
      <c r="AH180" s="185">
        <v>1</v>
      </c>
      <c r="AI180" s="185">
        <f t="shared" si="183"/>
        <v>24</v>
      </c>
      <c r="AJ180" s="185">
        <v>0</v>
      </c>
      <c r="AK180" s="185">
        <v>0</v>
      </c>
      <c r="AL180" s="185">
        <f>AI180+AJ180-AK180</f>
        <v>24</v>
      </c>
      <c r="AM180" s="185">
        <f t="shared" si="184"/>
        <v>9600</v>
      </c>
      <c r="AN180" s="734">
        <f t="shared" ref="AN180" si="188">AM180+AM181</f>
        <v>11900</v>
      </c>
      <c r="AO180" s="735">
        <v>0</v>
      </c>
      <c r="AP180" s="734">
        <f t="shared" ref="AP180" si="189">AN180-AO180</f>
        <v>11900</v>
      </c>
      <c r="AQ180" s="734"/>
      <c r="AR180" s="734"/>
    </row>
    <row r="181" spans="1:46">
      <c r="A181" s="184"/>
      <c r="B181" s="184"/>
      <c r="C181" s="185">
        <v>50</v>
      </c>
      <c r="D181" s="265"/>
      <c r="E181" s="270"/>
      <c r="F181" s="193">
        <v>2</v>
      </c>
      <c r="G181" s="193">
        <v>2</v>
      </c>
      <c r="H181" s="193">
        <v>2</v>
      </c>
      <c r="I181" s="193">
        <v>2</v>
      </c>
      <c r="J181" s="193">
        <v>2</v>
      </c>
      <c r="K181" s="197"/>
      <c r="L181" s="193">
        <v>2</v>
      </c>
      <c r="M181" s="193">
        <v>2</v>
      </c>
      <c r="N181" s="193">
        <v>2</v>
      </c>
      <c r="O181" s="193">
        <v>2</v>
      </c>
      <c r="P181" s="193">
        <v>2</v>
      </c>
      <c r="Q181" s="193">
        <v>2</v>
      </c>
      <c r="R181" s="197"/>
      <c r="S181" s="193">
        <v>2</v>
      </c>
      <c r="T181" s="193">
        <v>2</v>
      </c>
      <c r="U181" s="193">
        <v>2</v>
      </c>
      <c r="V181" s="193">
        <v>2</v>
      </c>
      <c r="W181" s="193">
        <v>2</v>
      </c>
      <c r="X181" s="193">
        <v>2</v>
      </c>
      <c r="Y181" s="193">
        <v>0</v>
      </c>
      <c r="Z181" s="270"/>
      <c r="AA181" s="270"/>
      <c r="AB181" s="193">
        <v>2</v>
      </c>
      <c r="AC181" s="193">
        <v>2</v>
      </c>
      <c r="AD181" s="193">
        <v>2</v>
      </c>
      <c r="AE181" s="193">
        <v>2</v>
      </c>
      <c r="AF181" s="197"/>
      <c r="AG181" s="193">
        <v>2</v>
      </c>
      <c r="AH181" s="193">
        <v>2</v>
      </c>
      <c r="AI181" s="185">
        <f t="shared" si="183"/>
        <v>46</v>
      </c>
      <c r="AJ181" s="185">
        <v>0</v>
      </c>
      <c r="AK181" s="185">
        <v>0</v>
      </c>
      <c r="AL181" s="185">
        <f t="shared" ref="AL181" si="190">AI181+AJ181-AK181</f>
        <v>46</v>
      </c>
      <c r="AM181" s="185">
        <f t="shared" si="184"/>
        <v>2300</v>
      </c>
      <c r="AN181" s="734"/>
      <c r="AO181" s="735"/>
      <c r="AP181" s="734"/>
      <c r="AQ181" s="734"/>
      <c r="AR181" s="734"/>
    </row>
    <row r="182" spans="1:46">
      <c r="A182" s="185">
        <v>4</v>
      </c>
      <c r="B182" s="184" t="s">
        <v>128</v>
      </c>
      <c r="C182" s="185">
        <v>400</v>
      </c>
      <c r="D182" s="197"/>
      <c r="E182" s="270"/>
      <c r="F182" s="256">
        <v>0</v>
      </c>
      <c r="G182" s="185">
        <v>1</v>
      </c>
      <c r="H182" s="256">
        <v>0</v>
      </c>
      <c r="I182" s="185">
        <v>1</v>
      </c>
      <c r="J182" s="185">
        <v>1</v>
      </c>
      <c r="K182" s="197"/>
      <c r="L182" s="185">
        <v>1</v>
      </c>
      <c r="M182" s="185">
        <v>1</v>
      </c>
      <c r="N182" s="185">
        <v>1</v>
      </c>
      <c r="O182" s="185">
        <v>1</v>
      </c>
      <c r="P182" s="256">
        <v>0</v>
      </c>
      <c r="Q182" s="256">
        <v>0</v>
      </c>
      <c r="R182" s="197"/>
      <c r="S182" s="256">
        <v>0</v>
      </c>
      <c r="T182" s="256">
        <v>0</v>
      </c>
      <c r="U182" s="256">
        <v>0</v>
      </c>
      <c r="V182" s="256">
        <v>0</v>
      </c>
      <c r="W182" s="256">
        <v>0</v>
      </c>
      <c r="X182" s="256">
        <v>0</v>
      </c>
      <c r="Y182" s="256">
        <v>0</v>
      </c>
      <c r="Z182" s="270"/>
      <c r="AA182" s="270"/>
      <c r="AB182" s="269">
        <v>1</v>
      </c>
      <c r="AC182" s="269">
        <v>1</v>
      </c>
      <c r="AD182" s="269">
        <v>1</v>
      </c>
      <c r="AE182" s="269">
        <v>1</v>
      </c>
      <c r="AF182" s="197"/>
      <c r="AG182" s="269">
        <v>1</v>
      </c>
      <c r="AH182" s="269">
        <v>1</v>
      </c>
      <c r="AI182" s="185">
        <f t="shared" si="183"/>
        <v>13</v>
      </c>
      <c r="AJ182" s="185">
        <v>1</v>
      </c>
      <c r="AK182" s="185">
        <v>0</v>
      </c>
      <c r="AL182" s="185">
        <f>AI182+AJ182-AK182</f>
        <v>14</v>
      </c>
      <c r="AM182" s="185">
        <f t="shared" si="184"/>
        <v>5600</v>
      </c>
      <c r="AN182" s="734">
        <f t="shared" ref="AN182" si="191">AM182+AM183</f>
        <v>6300</v>
      </c>
      <c r="AO182" s="735">
        <v>0</v>
      </c>
      <c r="AP182" s="734">
        <f t="shared" ref="AP182" si="192">AN182-AO182</f>
        <v>6300</v>
      </c>
      <c r="AQ182" s="734"/>
      <c r="AR182" s="734"/>
    </row>
    <row r="183" spans="1:46">
      <c r="A183" s="184"/>
      <c r="B183" s="184"/>
      <c r="C183" s="185">
        <v>50</v>
      </c>
      <c r="D183" s="265"/>
      <c r="E183" s="270"/>
      <c r="F183" s="185">
        <v>0</v>
      </c>
      <c r="G183" s="193">
        <v>2</v>
      </c>
      <c r="H183" s="185">
        <v>0</v>
      </c>
      <c r="I183" s="193">
        <v>2</v>
      </c>
      <c r="J183" s="193">
        <v>2</v>
      </c>
      <c r="K183" s="197"/>
      <c r="L183" s="193">
        <v>2</v>
      </c>
      <c r="M183" s="193">
        <v>2</v>
      </c>
      <c r="N183" s="193">
        <v>2</v>
      </c>
      <c r="O183" s="193">
        <v>2</v>
      </c>
      <c r="P183" s="185">
        <v>0</v>
      </c>
      <c r="Q183" s="185">
        <v>0</v>
      </c>
      <c r="R183" s="197"/>
      <c r="S183" s="185">
        <v>0</v>
      </c>
      <c r="T183" s="185">
        <v>0</v>
      </c>
      <c r="U183" s="185">
        <v>0</v>
      </c>
      <c r="V183" s="185">
        <v>0</v>
      </c>
      <c r="W183" s="185">
        <v>0</v>
      </c>
      <c r="X183" s="185">
        <v>0</v>
      </c>
      <c r="Y183" s="185">
        <v>0</v>
      </c>
      <c r="Z183" s="270"/>
      <c r="AA183" s="270"/>
      <c r="AB183" s="185">
        <v>0</v>
      </c>
      <c r="AC183" s="185">
        <v>0</v>
      </c>
      <c r="AD183" s="185">
        <v>0</v>
      </c>
      <c r="AE183" s="185">
        <v>0</v>
      </c>
      <c r="AF183" s="197"/>
      <c r="AG183" s="185">
        <v>0</v>
      </c>
      <c r="AH183" s="185">
        <v>0</v>
      </c>
      <c r="AI183" s="185">
        <f t="shared" si="183"/>
        <v>14</v>
      </c>
      <c r="AJ183" s="185">
        <v>0</v>
      </c>
      <c r="AK183" s="185">
        <v>0</v>
      </c>
      <c r="AL183" s="185">
        <f t="shared" ref="AL183" si="193">AI183+AJ183-AK183</f>
        <v>14</v>
      </c>
      <c r="AM183" s="185">
        <f t="shared" si="184"/>
        <v>700</v>
      </c>
      <c r="AN183" s="734"/>
      <c r="AO183" s="735"/>
      <c r="AP183" s="734"/>
      <c r="AQ183" s="734"/>
      <c r="AR183" s="734"/>
    </row>
    <row r="184" spans="1:46">
      <c r="A184" s="185">
        <v>5</v>
      </c>
      <c r="B184" s="184" t="s">
        <v>130</v>
      </c>
      <c r="C184" s="185">
        <v>400</v>
      </c>
      <c r="D184" s="197"/>
      <c r="E184" s="270"/>
      <c r="F184" s="185">
        <v>1</v>
      </c>
      <c r="G184" s="185">
        <v>1</v>
      </c>
      <c r="H184" s="185">
        <v>1</v>
      </c>
      <c r="I184" s="185">
        <v>1</v>
      </c>
      <c r="J184" s="185">
        <v>1</v>
      </c>
      <c r="K184" s="197"/>
      <c r="L184" s="185">
        <v>1</v>
      </c>
      <c r="M184" s="185">
        <v>1</v>
      </c>
      <c r="N184" s="185">
        <v>1</v>
      </c>
      <c r="O184" s="185">
        <v>1</v>
      </c>
      <c r="P184" s="185">
        <v>1</v>
      </c>
      <c r="Q184" s="185">
        <v>1</v>
      </c>
      <c r="R184" s="197"/>
      <c r="S184" s="185">
        <v>1</v>
      </c>
      <c r="T184" s="185">
        <v>1</v>
      </c>
      <c r="U184" s="185">
        <v>1</v>
      </c>
      <c r="V184" s="185">
        <v>1</v>
      </c>
      <c r="W184" s="185">
        <v>1</v>
      </c>
      <c r="X184" s="185">
        <v>1</v>
      </c>
      <c r="Y184" s="185">
        <v>1</v>
      </c>
      <c r="Z184" s="270"/>
      <c r="AA184" s="270"/>
      <c r="AB184" s="185">
        <v>1</v>
      </c>
      <c r="AC184" s="185">
        <v>1</v>
      </c>
      <c r="AD184" s="185">
        <v>1</v>
      </c>
      <c r="AE184" s="185">
        <v>1</v>
      </c>
      <c r="AF184" s="197"/>
      <c r="AG184" s="185">
        <v>1</v>
      </c>
      <c r="AH184" s="185">
        <v>1</v>
      </c>
      <c r="AI184" s="185">
        <f t="shared" si="183"/>
        <v>24</v>
      </c>
      <c r="AJ184" s="185">
        <v>0</v>
      </c>
      <c r="AK184" s="185">
        <v>0</v>
      </c>
      <c r="AL184" s="185">
        <f>AI184+AJ184-AK184</f>
        <v>24</v>
      </c>
      <c r="AM184" s="185">
        <f t="shared" si="184"/>
        <v>9600</v>
      </c>
      <c r="AN184" s="734">
        <f t="shared" ref="AN184" si="194">AM184+AM185</f>
        <v>11900</v>
      </c>
      <c r="AO184" s="735">
        <v>0</v>
      </c>
      <c r="AP184" s="734">
        <f t="shared" ref="AP184" si="195">AN184-AO184</f>
        <v>11900</v>
      </c>
      <c r="AQ184" s="734"/>
      <c r="AR184" s="734"/>
    </row>
    <row r="185" spans="1:46">
      <c r="A185" s="184"/>
      <c r="B185" s="184"/>
      <c r="C185" s="185">
        <v>50</v>
      </c>
      <c r="D185" s="265"/>
      <c r="E185" s="270"/>
      <c r="F185" s="193">
        <v>2</v>
      </c>
      <c r="G185" s="193">
        <v>2</v>
      </c>
      <c r="H185" s="193">
        <v>2</v>
      </c>
      <c r="I185" s="193">
        <v>2</v>
      </c>
      <c r="J185" s="193">
        <v>2</v>
      </c>
      <c r="K185" s="197"/>
      <c r="L185" s="193">
        <v>2</v>
      </c>
      <c r="M185" s="193">
        <v>2</v>
      </c>
      <c r="N185" s="193">
        <v>2</v>
      </c>
      <c r="O185" s="193">
        <v>2</v>
      </c>
      <c r="P185" s="193">
        <v>2</v>
      </c>
      <c r="Q185" s="193">
        <v>2</v>
      </c>
      <c r="R185" s="197"/>
      <c r="S185" s="193">
        <v>2</v>
      </c>
      <c r="T185" s="193">
        <v>2</v>
      </c>
      <c r="U185" s="193">
        <v>2</v>
      </c>
      <c r="V185" s="193">
        <v>2</v>
      </c>
      <c r="W185" s="193">
        <v>2</v>
      </c>
      <c r="X185" s="193">
        <v>2</v>
      </c>
      <c r="Y185" s="193">
        <v>0</v>
      </c>
      <c r="Z185" s="270"/>
      <c r="AA185" s="270"/>
      <c r="AB185" s="193">
        <v>2</v>
      </c>
      <c r="AC185" s="193">
        <v>2</v>
      </c>
      <c r="AD185" s="193">
        <v>2</v>
      </c>
      <c r="AE185" s="193">
        <v>2</v>
      </c>
      <c r="AF185" s="197"/>
      <c r="AG185" s="193">
        <v>2</v>
      </c>
      <c r="AH185" s="193">
        <v>2</v>
      </c>
      <c r="AI185" s="185">
        <f t="shared" si="183"/>
        <v>46</v>
      </c>
      <c r="AJ185" s="185">
        <v>0</v>
      </c>
      <c r="AK185" s="185">
        <v>0</v>
      </c>
      <c r="AL185" s="185">
        <f t="shared" ref="AL185" si="196">AI185+AJ185-AK185</f>
        <v>46</v>
      </c>
      <c r="AM185" s="185">
        <f t="shared" si="184"/>
        <v>2300</v>
      </c>
      <c r="AN185" s="734"/>
      <c r="AO185" s="735"/>
      <c r="AP185" s="734"/>
      <c r="AQ185" s="734"/>
      <c r="AR185" s="734"/>
    </row>
    <row r="186" spans="1:46">
      <c r="A186" s="185">
        <v>6</v>
      </c>
      <c r="B186" s="184" t="s">
        <v>136</v>
      </c>
      <c r="C186" s="185">
        <v>400</v>
      </c>
      <c r="D186" s="197"/>
      <c r="E186" s="270"/>
      <c r="F186" s="185">
        <v>1</v>
      </c>
      <c r="G186" s="185">
        <v>1</v>
      </c>
      <c r="H186" s="185">
        <v>1</v>
      </c>
      <c r="I186" s="185">
        <v>1</v>
      </c>
      <c r="J186" s="185">
        <v>1</v>
      </c>
      <c r="K186" s="197"/>
      <c r="L186" s="256">
        <v>0</v>
      </c>
      <c r="M186" s="185">
        <v>1</v>
      </c>
      <c r="N186" s="185">
        <v>1</v>
      </c>
      <c r="O186" s="185">
        <v>1</v>
      </c>
      <c r="P186" s="185">
        <v>1</v>
      </c>
      <c r="Q186" s="185">
        <v>1</v>
      </c>
      <c r="R186" s="197"/>
      <c r="S186" s="185">
        <v>1</v>
      </c>
      <c r="T186" s="185">
        <v>1</v>
      </c>
      <c r="U186" s="185">
        <v>1</v>
      </c>
      <c r="V186" s="185">
        <v>1</v>
      </c>
      <c r="W186" s="185">
        <v>1</v>
      </c>
      <c r="X186" s="185">
        <v>1</v>
      </c>
      <c r="Y186" s="185">
        <v>1</v>
      </c>
      <c r="Z186" s="270"/>
      <c r="AA186" s="270"/>
      <c r="AB186" s="256">
        <v>0</v>
      </c>
      <c r="AC186" s="185">
        <v>1</v>
      </c>
      <c r="AD186" s="185">
        <v>1</v>
      </c>
      <c r="AE186" s="185">
        <v>1</v>
      </c>
      <c r="AF186" s="197"/>
      <c r="AG186" s="185">
        <v>1</v>
      </c>
      <c r="AH186" s="185">
        <v>1</v>
      </c>
      <c r="AI186" s="185">
        <f t="shared" si="183"/>
        <v>22</v>
      </c>
      <c r="AJ186" s="185">
        <v>0</v>
      </c>
      <c r="AK186" s="185">
        <v>0</v>
      </c>
      <c r="AL186" s="185">
        <f>AI186+AJ186-AK186</f>
        <v>22</v>
      </c>
      <c r="AM186" s="185">
        <f t="shared" si="184"/>
        <v>8800</v>
      </c>
      <c r="AN186" s="734">
        <f t="shared" ref="AN186" si="197">AM186+AM187</f>
        <v>10900</v>
      </c>
      <c r="AO186" s="735">
        <v>0</v>
      </c>
      <c r="AP186" s="734">
        <f t="shared" ref="AP186" si="198">AN186-AO186</f>
        <v>10900</v>
      </c>
      <c r="AQ186" s="734"/>
      <c r="AR186" s="734"/>
    </row>
    <row r="187" spans="1:46">
      <c r="A187" s="184"/>
      <c r="B187" s="184"/>
      <c r="C187" s="185">
        <v>50</v>
      </c>
      <c r="D187" s="265"/>
      <c r="E187" s="270"/>
      <c r="F187" s="193">
        <v>2</v>
      </c>
      <c r="G187" s="193">
        <v>2</v>
      </c>
      <c r="H187" s="193">
        <v>2</v>
      </c>
      <c r="I187" s="193">
        <v>2</v>
      </c>
      <c r="J187" s="193">
        <v>2</v>
      </c>
      <c r="K187" s="197"/>
      <c r="L187" s="185">
        <v>0</v>
      </c>
      <c r="M187" s="193">
        <v>2</v>
      </c>
      <c r="N187" s="193">
        <v>2</v>
      </c>
      <c r="O187" s="193">
        <v>2</v>
      </c>
      <c r="P187" s="193">
        <v>2</v>
      </c>
      <c r="Q187" s="193">
        <v>2</v>
      </c>
      <c r="R187" s="197"/>
      <c r="S187" s="193">
        <v>2</v>
      </c>
      <c r="T187" s="193">
        <v>2</v>
      </c>
      <c r="U187" s="193">
        <v>2</v>
      </c>
      <c r="V187" s="193">
        <v>2</v>
      </c>
      <c r="W187" s="193">
        <v>2</v>
      </c>
      <c r="X187" s="193">
        <v>2</v>
      </c>
      <c r="Y187" s="193">
        <v>0</v>
      </c>
      <c r="Z187" s="270"/>
      <c r="AA187" s="270"/>
      <c r="AB187" s="185">
        <v>0</v>
      </c>
      <c r="AC187" s="193">
        <v>2</v>
      </c>
      <c r="AD187" s="193">
        <v>2</v>
      </c>
      <c r="AE187" s="193">
        <v>2</v>
      </c>
      <c r="AF187" s="197"/>
      <c r="AG187" s="193">
        <v>2</v>
      </c>
      <c r="AH187" s="193">
        <v>2</v>
      </c>
      <c r="AI187" s="185">
        <f t="shared" si="183"/>
        <v>42</v>
      </c>
      <c r="AJ187" s="185">
        <v>0</v>
      </c>
      <c r="AK187" s="185">
        <v>0</v>
      </c>
      <c r="AL187" s="185">
        <f t="shared" ref="AL187" si="199">AI187+AJ187-AK187</f>
        <v>42</v>
      </c>
      <c r="AM187" s="185">
        <f t="shared" si="184"/>
        <v>2100</v>
      </c>
      <c r="AN187" s="734"/>
      <c r="AO187" s="735"/>
      <c r="AP187" s="734"/>
      <c r="AQ187" s="734"/>
      <c r="AR187" s="734"/>
    </row>
    <row r="188" spans="1:46">
      <c r="A188" s="185"/>
      <c r="B188" s="184"/>
      <c r="C188" s="185"/>
      <c r="D188" s="197"/>
      <c r="E188" s="270"/>
      <c r="F188" s="220"/>
      <c r="G188" s="185"/>
      <c r="H188" s="185"/>
      <c r="I188" s="185"/>
      <c r="J188" s="185"/>
      <c r="K188" s="197"/>
      <c r="L188" s="185"/>
      <c r="M188" s="185"/>
      <c r="N188" s="185"/>
      <c r="O188" s="185"/>
      <c r="P188" s="185"/>
      <c r="Q188" s="185"/>
      <c r="R188" s="197"/>
      <c r="S188" s="185"/>
      <c r="T188" s="185"/>
      <c r="U188" s="185"/>
      <c r="V188" s="185"/>
      <c r="W188" s="185"/>
      <c r="X188" s="185"/>
      <c r="Y188" s="185"/>
      <c r="Z188" s="270"/>
      <c r="AA188" s="270"/>
      <c r="AB188" s="185"/>
      <c r="AC188" s="185"/>
      <c r="AD188" s="185"/>
      <c r="AE188" s="185"/>
      <c r="AF188" s="197"/>
      <c r="AG188" s="185"/>
      <c r="AH188" s="185"/>
      <c r="AI188" s="185">
        <f t="shared" ref="AI188:AI189" si="200">SUM(D188:AH188)</f>
        <v>0</v>
      </c>
      <c r="AJ188" s="185">
        <v>0</v>
      </c>
      <c r="AK188" s="185">
        <v>0</v>
      </c>
      <c r="AL188" s="185">
        <f>AI188+AJ188-AK188</f>
        <v>0</v>
      </c>
      <c r="AM188" s="185">
        <f t="shared" si="184"/>
        <v>0</v>
      </c>
      <c r="AN188" s="734">
        <f t="shared" ref="AN188" si="201">AM188+AM189</f>
        <v>0</v>
      </c>
      <c r="AO188" s="735">
        <v>0</v>
      </c>
      <c r="AP188" s="734">
        <f t="shared" ref="AP188" si="202">AN188-AO188</f>
        <v>0</v>
      </c>
      <c r="AQ188" s="734"/>
      <c r="AR188" s="734"/>
    </row>
    <row r="189" spans="1:46">
      <c r="A189" s="184"/>
      <c r="B189" s="184"/>
      <c r="C189" s="185"/>
      <c r="D189" s="197"/>
      <c r="E189" s="270"/>
      <c r="F189" s="220"/>
      <c r="G189" s="185"/>
      <c r="H189" s="185"/>
      <c r="I189" s="185"/>
      <c r="J189" s="185"/>
      <c r="K189" s="197"/>
      <c r="L189" s="185"/>
      <c r="M189" s="185"/>
      <c r="N189" s="185"/>
      <c r="O189" s="185"/>
      <c r="P189" s="185"/>
      <c r="Q189" s="185"/>
      <c r="R189" s="197"/>
      <c r="S189" s="185"/>
      <c r="T189" s="185"/>
      <c r="U189" s="185"/>
      <c r="V189" s="185"/>
      <c r="W189" s="185"/>
      <c r="X189" s="185"/>
      <c r="Y189" s="185"/>
      <c r="Z189" s="270"/>
      <c r="AA189" s="270"/>
      <c r="AB189" s="185"/>
      <c r="AC189" s="185"/>
      <c r="AD189" s="185"/>
      <c r="AE189" s="185"/>
      <c r="AF189" s="197"/>
      <c r="AG189" s="185"/>
      <c r="AH189" s="185"/>
      <c r="AI189" s="185">
        <f t="shared" si="200"/>
        <v>0</v>
      </c>
      <c r="AJ189" s="185">
        <v>0</v>
      </c>
      <c r="AK189" s="185">
        <v>0</v>
      </c>
      <c r="AL189" s="185">
        <f t="shared" ref="AL189" si="203">AI189+AJ189-AK189</f>
        <v>0</v>
      </c>
      <c r="AM189" s="185">
        <f t="shared" si="184"/>
        <v>0</v>
      </c>
      <c r="AN189" s="734"/>
      <c r="AO189" s="735"/>
      <c r="AP189" s="734"/>
      <c r="AQ189" s="734"/>
      <c r="AR189" s="734"/>
    </row>
    <row r="190" spans="1:46">
      <c r="A190" s="765" t="s">
        <v>103</v>
      </c>
      <c r="B190" s="765"/>
      <c r="C190" s="264"/>
      <c r="D190" s="264">
        <f>X185+D180+D182+D184+D186+D188+D178</f>
        <v>2</v>
      </c>
      <c r="E190" s="264">
        <f t="shared" ref="E190:V190" si="204">E176+E180+E182+E184+E186+E188+E178</f>
        <v>0</v>
      </c>
      <c r="F190" s="264">
        <f t="shared" si="204"/>
        <v>5</v>
      </c>
      <c r="G190" s="264">
        <f t="shared" si="204"/>
        <v>6</v>
      </c>
      <c r="H190" s="264">
        <f t="shared" si="204"/>
        <v>4</v>
      </c>
      <c r="I190" s="264">
        <f t="shared" si="204"/>
        <v>5</v>
      </c>
      <c r="J190" s="264">
        <f t="shared" si="204"/>
        <v>4</v>
      </c>
      <c r="K190" s="264">
        <f t="shared" si="204"/>
        <v>0</v>
      </c>
      <c r="L190" s="264">
        <f t="shared" si="204"/>
        <v>4</v>
      </c>
      <c r="M190" s="264">
        <f t="shared" si="204"/>
        <v>5</v>
      </c>
      <c r="N190" s="264">
        <f t="shared" si="204"/>
        <v>5</v>
      </c>
      <c r="O190" s="264">
        <f t="shared" si="204"/>
        <v>5</v>
      </c>
      <c r="P190" s="264">
        <f t="shared" si="204"/>
        <v>4</v>
      </c>
      <c r="Q190" s="264">
        <f t="shared" si="204"/>
        <v>4</v>
      </c>
      <c r="R190" s="264">
        <f t="shared" si="204"/>
        <v>0</v>
      </c>
      <c r="S190" s="264">
        <f t="shared" si="204"/>
        <v>3</v>
      </c>
      <c r="T190" s="264">
        <f t="shared" si="204"/>
        <v>4</v>
      </c>
      <c r="U190" s="264">
        <f t="shared" si="204"/>
        <v>4</v>
      </c>
      <c r="V190" s="264">
        <f t="shared" si="204"/>
        <v>4</v>
      </c>
      <c r="W190" s="264">
        <f>V176+V180+V182+V184+V186+V188+V178</f>
        <v>4</v>
      </c>
      <c r="X190" s="264">
        <f t="shared" ref="X190:AR190" si="205">X176+X180+X182+X184+X186+X188+X178</f>
        <v>4</v>
      </c>
      <c r="Y190" s="264">
        <f t="shared" si="205"/>
        <v>4</v>
      </c>
      <c r="Z190" s="264">
        <f t="shared" si="205"/>
        <v>0</v>
      </c>
      <c r="AA190" s="264">
        <f t="shared" si="205"/>
        <v>0</v>
      </c>
      <c r="AB190" s="264">
        <f t="shared" si="205"/>
        <v>4</v>
      </c>
      <c r="AC190" s="264">
        <f t="shared" si="205"/>
        <v>5</v>
      </c>
      <c r="AD190" s="264">
        <f t="shared" si="205"/>
        <v>5</v>
      </c>
      <c r="AE190" s="264">
        <f t="shared" si="205"/>
        <v>5</v>
      </c>
      <c r="AF190" s="264">
        <f t="shared" si="205"/>
        <v>0</v>
      </c>
      <c r="AG190" s="264">
        <f t="shared" si="205"/>
        <v>5</v>
      </c>
      <c r="AH190" s="264">
        <f t="shared" si="205"/>
        <v>5</v>
      </c>
      <c r="AI190" s="264">
        <f t="shared" si="205"/>
        <v>107</v>
      </c>
      <c r="AJ190" s="264">
        <f t="shared" si="205"/>
        <v>3</v>
      </c>
      <c r="AK190" s="264">
        <f t="shared" si="205"/>
        <v>25</v>
      </c>
      <c r="AL190" s="264">
        <f t="shared" si="205"/>
        <v>85</v>
      </c>
      <c r="AM190" s="264">
        <f t="shared" si="205"/>
        <v>32774.75</v>
      </c>
      <c r="AN190" s="264">
        <f t="shared" si="205"/>
        <v>42484.75</v>
      </c>
      <c r="AO190" s="264">
        <f t="shared" si="205"/>
        <v>0</v>
      </c>
      <c r="AP190" s="264">
        <f t="shared" si="205"/>
        <v>42484.75</v>
      </c>
      <c r="AQ190" s="264">
        <f t="shared" si="205"/>
        <v>0</v>
      </c>
      <c r="AR190" s="264">
        <f t="shared" si="205"/>
        <v>0</v>
      </c>
    </row>
    <row r="191" spans="1:46">
      <c r="A191" s="766" t="s">
        <v>106</v>
      </c>
      <c r="B191" s="766"/>
      <c r="C191" s="265"/>
      <c r="D191" s="265">
        <f>D177+D179+D181+D183+D185++D187+D189</f>
        <v>0</v>
      </c>
      <c r="E191" s="265">
        <f t="shared" ref="E191:V191" si="206">E177+E179+E181+E183+E185++E187+E189</f>
        <v>0</v>
      </c>
      <c r="F191" s="265">
        <f t="shared" si="206"/>
        <v>8</v>
      </c>
      <c r="G191" s="265">
        <f t="shared" si="206"/>
        <v>10</v>
      </c>
      <c r="H191" s="265">
        <f t="shared" si="206"/>
        <v>8</v>
      </c>
      <c r="I191" s="265">
        <f t="shared" si="206"/>
        <v>10</v>
      </c>
      <c r="J191" s="265">
        <f t="shared" si="206"/>
        <v>8</v>
      </c>
      <c r="K191" s="265">
        <f t="shared" si="206"/>
        <v>0</v>
      </c>
      <c r="L191" s="265">
        <f t="shared" si="206"/>
        <v>8</v>
      </c>
      <c r="M191" s="265">
        <f t="shared" si="206"/>
        <v>10</v>
      </c>
      <c r="N191" s="265">
        <f t="shared" si="206"/>
        <v>10</v>
      </c>
      <c r="O191" s="265">
        <f t="shared" si="206"/>
        <v>10</v>
      </c>
      <c r="P191" s="265">
        <f t="shared" si="206"/>
        <v>8</v>
      </c>
      <c r="Q191" s="265">
        <f t="shared" si="206"/>
        <v>8</v>
      </c>
      <c r="R191" s="265">
        <f t="shared" si="206"/>
        <v>0</v>
      </c>
      <c r="S191" s="265">
        <f t="shared" si="206"/>
        <v>6</v>
      </c>
      <c r="T191" s="265">
        <f t="shared" si="206"/>
        <v>8</v>
      </c>
      <c r="U191" s="265">
        <f t="shared" si="206"/>
        <v>8</v>
      </c>
      <c r="V191" s="265">
        <f t="shared" si="206"/>
        <v>8</v>
      </c>
      <c r="W191" s="265">
        <f>V177+V179+V181+V183+V185++V187+V189</f>
        <v>8</v>
      </c>
      <c r="X191" s="265">
        <f t="shared" ref="X191:AR191" si="207">X177+X179+X181+X183+X185++X187+X189</f>
        <v>8</v>
      </c>
      <c r="Y191" s="265">
        <f t="shared" si="207"/>
        <v>0</v>
      </c>
      <c r="Z191" s="265">
        <f t="shared" si="207"/>
        <v>0</v>
      </c>
      <c r="AA191" s="265">
        <f t="shared" si="207"/>
        <v>0</v>
      </c>
      <c r="AB191" s="265">
        <f t="shared" si="207"/>
        <v>6</v>
      </c>
      <c r="AC191" s="267">
        <f t="shared" si="207"/>
        <v>8</v>
      </c>
      <c r="AD191" s="265">
        <f t="shared" si="207"/>
        <v>8</v>
      </c>
      <c r="AE191" s="265">
        <f t="shared" si="207"/>
        <v>8</v>
      </c>
      <c r="AF191" s="265">
        <f t="shared" si="207"/>
        <v>0</v>
      </c>
      <c r="AG191" s="265">
        <f t="shared" si="207"/>
        <v>8</v>
      </c>
      <c r="AH191" s="265">
        <f t="shared" si="207"/>
        <v>8</v>
      </c>
      <c r="AI191" s="265">
        <f t="shared" si="207"/>
        <v>190</v>
      </c>
      <c r="AJ191" s="265">
        <f t="shared" si="207"/>
        <v>0</v>
      </c>
      <c r="AK191" s="265">
        <f t="shared" si="207"/>
        <v>0</v>
      </c>
      <c r="AL191" s="265">
        <f t="shared" si="207"/>
        <v>190</v>
      </c>
      <c r="AM191" s="265">
        <f t="shared" si="207"/>
        <v>9710</v>
      </c>
      <c r="AN191" s="265">
        <f t="shared" si="207"/>
        <v>0</v>
      </c>
      <c r="AO191" s="265">
        <f t="shared" si="207"/>
        <v>0</v>
      </c>
      <c r="AP191" s="265">
        <f t="shared" si="207"/>
        <v>0</v>
      </c>
      <c r="AQ191" s="265">
        <f t="shared" si="207"/>
        <v>0</v>
      </c>
      <c r="AR191" s="265">
        <f t="shared" si="207"/>
        <v>0</v>
      </c>
    </row>
    <row r="193" spans="1:44" ht="23.25">
      <c r="A193" s="717" t="s">
        <v>113</v>
      </c>
      <c r="B193" s="719" t="s">
        <v>1</v>
      </c>
      <c r="C193" s="720"/>
      <c r="D193" s="723" t="s">
        <v>139</v>
      </c>
      <c r="E193" s="724"/>
      <c r="F193" s="724"/>
      <c r="G193" s="724"/>
      <c r="H193" s="724"/>
      <c r="I193" s="724"/>
      <c r="J193" s="724"/>
      <c r="K193" s="724"/>
      <c r="L193" s="724"/>
      <c r="M193" s="724"/>
      <c r="N193" s="724"/>
      <c r="O193" s="724"/>
      <c r="P193" s="724"/>
      <c r="Q193" s="724"/>
      <c r="R193" s="724"/>
      <c r="S193" s="724"/>
      <c r="T193" s="724"/>
      <c r="U193" s="724"/>
      <c r="V193" s="724"/>
      <c r="W193" s="724"/>
      <c r="X193" s="724"/>
      <c r="Y193" s="724"/>
      <c r="Z193" s="724"/>
      <c r="AA193" s="724"/>
      <c r="AB193" s="724"/>
      <c r="AC193" s="724"/>
      <c r="AD193" s="724"/>
      <c r="AE193" s="724"/>
      <c r="AF193" s="725"/>
      <c r="AG193" s="726">
        <v>30</v>
      </c>
      <c r="AH193" s="727"/>
      <c r="AI193" s="715" t="s">
        <v>107</v>
      </c>
      <c r="AJ193" s="715" t="s">
        <v>45</v>
      </c>
      <c r="AK193" s="715" t="s">
        <v>108</v>
      </c>
      <c r="AL193" s="715" t="s">
        <v>112</v>
      </c>
      <c r="AM193" s="728" t="s">
        <v>7</v>
      </c>
      <c r="AN193" s="729"/>
      <c r="AO193" s="715" t="s">
        <v>93</v>
      </c>
      <c r="AP193" s="715" t="s">
        <v>109</v>
      </c>
      <c r="AQ193" s="715" t="s">
        <v>33</v>
      </c>
      <c r="AR193" s="715" t="s">
        <v>111</v>
      </c>
    </row>
    <row r="194" spans="1:44">
      <c r="A194" s="718"/>
      <c r="B194" s="721"/>
      <c r="C194" s="722"/>
      <c r="D194" s="257">
        <v>1</v>
      </c>
      <c r="E194" s="257">
        <v>2</v>
      </c>
      <c r="F194" s="257">
        <v>3</v>
      </c>
      <c r="G194" s="257">
        <v>4</v>
      </c>
      <c r="H194" s="257">
        <v>5</v>
      </c>
      <c r="I194" s="257">
        <v>6</v>
      </c>
      <c r="J194" s="257">
        <v>7</v>
      </c>
      <c r="K194" s="257">
        <v>8</v>
      </c>
      <c r="L194" s="257">
        <v>9</v>
      </c>
      <c r="M194" s="257">
        <v>10</v>
      </c>
      <c r="N194" s="257">
        <v>11</v>
      </c>
      <c r="O194" s="257">
        <v>12</v>
      </c>
      <c r="P194" s="257">
        <v>13</v>
      </c>
      <c r="Q194" s="257">
        <v>14</v>
      </c>
      <c r="R194" s="257">
        <v>15</v>
      </c>
      <c r="S194" s="257">
        <v>16</v>
      </c>
      <c r="T194" s="257">
        <v>17</v>
      </c>
      <c r="U194" s="257">
        <v>18</v>
      </c>
      <c r="V194" s="257">
        <v>19</v>
      </c>
      <c r="W194" s="257">
        <v>20</v>
      </c>
      <c r="X194" s="257">
        <v>21</v>
      </c>
      <c r="Y194" s="257">
        <v>22</v>
      </c>
      <c r="Z194" s="257">
        <v>23</v>
      </c>
      <c r="AA194" s="257">
        <v>24</v>
      </c>
      <c r="AB194" s="257">
        <v>25</v>
      </c>
      <c r="AC194" s="257">
        <v>26</v>
      </c>
      <c r="AD194" s="257">
        <v>27</v>
      </c>
      <c r="AE194" s="257">
        <v>28</v>
      </c>
      <c r="AF194" s="257">
        <v>29</v>
      </c>
      <c r="AG194" s="257">
        <v>30</v>
      </c>
      <c r="AH194" s="257">
        <v>31</v>
      </c>
      <c r="AI194" s="716"/>
      <c r="AJ194" s="716"/>
      <c r="AK194" s="716"/>
      <c r="AL194" s="716"/>
      <c r="AM194" s="730"/>
      <c r="AN194" s="731"/>
      <c r="AO194" s="716"/>
      <c r="AP194" s="716"/>
      <c r="AQ194" s="716"/>
      <c r="AR194" s="716"/>
    </row>
    <row r="195" spans="1:44">
      <c r="A195" s="185">
        <v>1</v>
      </c>
      <c r="B195" s="184" t="s">
        <v>135</v>
      </c>
      <c r="C195" s="185">
        <f>C196*11.5</f>
        <v>500.25</v>
      </c>
      <c r="D195" s="238">
        <v>0</v>
      </c>
      <c r="E195" s="238">
        <v>0</v>
      </c>
      <c r="F195" s="238">
        <v>0</v>
      </c>
      <c r="G195" s="238">
        <v>0</v>
      </c>
      <c r="H195" s="221">
        <v>0</v>
      </c>
      <c r="I195" s="238">
        <v>0</v>
      </c>
      <c r="J195" s="238">
        <v>0</v>
      </c>
      <c r="K195" s="238">
        <v>0</v>
      </c>
      <c r="L195" s="185">
        <v>1</v>
      </c>
      <c r="M195" s="185">
        <v>1</v>
      </c>
      <c r="N195" s="185">
        <v>1</v>
      </c>
      <c r="O195" s="272">
        <v>0</v>
      </c>
      <c r="P195" s="272">
        <v>0</v>
      </c>
      <c r="Q195" s="185">
        <v>1</v>
      </c>
      <c r="R195" s="185">
        <v>1</v>
      </c>
      <c r="S195" s="185">
        <v>1</v>
      </c>
      <c r="T195" s="185">
        <v>1</v>
      </c>
      <c r="U195" s="185">
        <v>1</v>
      </c>
      <c r="V195" s="197"/>
      <c r="W195" s="185">
        <v>1</v>
      </c>
      <c r="X195" s="185">
        <v>1</v>
      </c>
      <c r="Y195" s="185">
        <v>1</v>
      </c>
      <c r="Z195" s="185">
        <v>1</v>
      </c>
      <c r="AA195" s="185">
        <v>1</v>
      </c>
      <c r="AB195" s="185">
        <v>1</v>
      </c>
      <c r="AC195" s="197"/>
      <c r="AD195" s="256">
        <v>0</v>
      </c>
      <c r="AE195" s="185">
        <v>1</v>
      </c>
      <c r="AF195" s="185">
        <v>1</v>
      </c>
      <c r="AG195" s="185">
        <v>1</v>
      </c>
      <c r="AH195" s="185"/>
      <c r="AI195" s="185">
        <f t="shared" ref="AI195:AI208" si="208">SUM(D195:AH195)</f>
        <v>17</v>
      </c>
      <c r="AJ195" s="185">
        <v>4</v>
      </c>
      <c r="AK195" s="185">
        <v>8</v>
      </c>
      <c r="AL195" s="185">
        <f>AI195+AJ195-AK195</f>
        <v>13</v>
      </c>
      <c r="AM195" s="185">
        <f>AL195*C195</f>
        <v>6503.25</v>
      </c>
      <c r="AN195" s="711">
        <f>AM195+AM196</f>
        <v>6503.25</v>
      </c>
      <c r="AO195" s="713">
        <v>0</v>
      </c>
      <c r="AP195" s="711">
        <f t="shared" ref="AP195" si="209">AN195-AO195</f>
        <v>6503.25</v>
      </c>
      <c r="AQ195" s="711"/>
      <c r="AR195" s="711"/>
    </row>
    <row r="196" spans="1:44">
      <c r="A196" s="185">
        <f>C195/8</f>
        <v>62.53125</v>
      </c>
      <c r="B196" s="184">
        <v>15000</v>
      </c>
      <c r="C196" s="185">
        <v>43.5</v>
      </c>
      <c r="D196" s="185">
        <v>0</v>
      </c>
      <c r="E196" s="185">
        <v>0</v>
      </c>
      <c r="F196" s="185">
        <v>0</v>
      </c>
      <c r="G196" s="185">
        <v>0</v>
      </c>
      <c r="H196" s="221">
        <v>0</v>
      </c>
      <c r="I196" s="185">
        <v>0</v>
      </c>
      <c r="J196" s="185">
        <v>0</v>
      </c>
      <c r="K196" s="185">
        <v>0</v>
      </c>
      <c r="L196" s="185">
        <v>0</v>
      </c>
      <c r="M196" s="185">
        <v>0</v>
      </c>
      <c r="N196" s="185">
        <v>0</v>
      </c>
      <c r="O196" s="272">
        <v>0</v>
      </c>
      <c r="P196" s="272">
        <v>0</v>
      </c>
      <c r="Q196" s="185">
        <v>0</v>
      </c>
      <c r="R196" s="185">
        <v>0</v>
      </c>
      <c r="S196" s="185">
        <v>0</v>
      </c>
      <c r="T196" s="185">
        <v>0</v>
      </c>
      <c r="U196" s="185">
        <v>0</v>
      </c>
      <c r="V196" s="197"/>
      <c r="W196" s="185">
        <v>0</v>
      </c>
      <c r="X196" s="185">
        <v>0</v>
      </c>
      <c r="Y196" s="185">
        <v>0</v>
      </c>
      <c r="Z196" s="185">
        <v>0</v>
      </c>
      <c r="AA196" s="185">
        <v>0</v>
      </c>
      <c r="AB196" s="185">
        <v>0</v>
      </c>
      <c r="AC196" s="197"/>
      <c r="AD196" s="185">
        <v>0</v>
      </c>
      <c r="AE196" s="185">
        <v>0</v>
      </c>
      <c r="AF196" s="185">
        <v>0</v>
      </c>
      <c r="AG196" s="185">
        <v>0</v>
      </c>
      <c r="AH196" s="185"/>
      <c r="AI196" s="185">
        <f t="shared" si="208"/>
        <v>0</v>
      </c>
      <c r="AJ196" s="185">
        <v>0</v>
      </c>
      <c r="AK196" s="185">
        <v>0</v>
      </c>
      <c r="AL196" s="185">
        <f t="shared" ref="AL196" si="210">AI196+AJ196-AK196</f>
        <v>0</v>
      </c>
      <c r="AM196" s="185">
        <f>AL196*C196</f>
        <v>0</v>
      </c>
      <c r="AN196" s="712"/>
      <c r="AO196" s="714"/>
      <c r="AP196" s="712"/>
      <c r="AQ196" s="712"/>
      <c r="AR196" s="712"/>
    </row>
    <row r="197" spans="1:44">
      <c r="A197" s="185">
        <v>2</v>
      </c>
      <c r="B197" s="184" t="s">
        <v>114</v>
      </c>
      <c r="C197" s="185">
        <v>440</v>
      </c>
      <c r="D197" s="185">
        <v>1</v>
      </c>
      <c r="E197" s="185">
        <v>1</v>
      </c>
      <c r="F197" s="185">
        <v>1</v>
      </c>
      <c r="G197" s="185">
        <v>1</v>
      </c>
      <c r="H197" s="221">
        <v>1</v>
      </c>
      <c r="I197" s="185">
        <v>1</v>
      </c>
      <c r="J197" s="256">
        <v>0</v>
      </c>
      <c r="K197" s="185">
        <v>1</v>
      </c>
      <c r="L197" s="185">
        <v>1</v>
      </c>
      <c r="M197" s="185">
        <v>1</v>
      </c>
      <c r="N197" s="185">
        <v>1</v>
      </c>
      <c r="O197" s="272">
        <v>0</v>
      </c>
      <c r="P197" s="272">
        <v>0</v>
      </c>
      <c r="Q197" s="185">
        <v>1</v>
      </c>
      <c r="R197" s="256">
        <v>0</v>
      </c>
      <c r="S197" s="185">
        <v>1</v>
      </c>
      <c r="T197" s="185">
        <v>1</v>
      </c>
      <c r="U197" s="185">
        <v>1</v>
      </c>
      <c r="V197" s="197"/>
      <c r="W197" s="185">
        <v>1</v>
      </c>
      <c r="X197" s="185">
        <v>1</v>
      </c>
      <c r="Y197" s="185">
        <v>1</v>
      </c>
      <c r="Z197" s="185">
        <v>1</v>
      </c>
      <c r="AA197" s="185">
        <v>1</v>
      </c>
      <c r="AB197" s="185">
        <v>1</v>
      </c>
      <c r="AC197" s="197"/>
      <c r="AD197" s="256">
        <v>0</v>
      </c>
      <c r="AE197" s="185">
        <v>1</v>
      </c>
      <c r="AF197" s="185">
        <v>1</v>
      </c>
      <c r="AG197" s="185">
        <v>1</v>
      </c>
      <c r="AH197" s="185"/>
      <c r="AI197" s="185">
        <f t="shared" si="208"/>
        <v>23</v>
      </c>
      <c r="AJ197" s="185">
        <v>0</v>
      </c>
      <c r="AK197" s="185">
        <v>0</v>
      </c>
      <c r="AL197" s="185">
        <f>AI197+AJ197-AK197</f>
        <v>23</v>
      </c>
      <c r="AM197" s="185">
        <f t="shared" ref="AM197:AM208" si="211">AL197*C197</f>
        <v>10120</v>
      </c>
      <c r="AN197" s="711">
        <f t="shared" ref="AN197" si="212">AM197+AM198</f>
        <v>12210</v>
      </c>
      <c r="AO197" s="713">
        <v>0</v>
      </c>
      <c r="AP197" s="711">
        <f t="shared" ref="AP197" si="213">AN197-AO197</f>
        <v>12210</v>
      </c>
      <c r="AQ197" s="711"/>
      <c r="AR197" s="711"/>
    </row>
    <row r="198" spans="1:44">
      <c r="A198" s="185">
        <f>C197/8</f>
        <v>55</v>
      </c>
      <c r="B198" s="184"/>
      <c r="C198" s="185">
        <v>55</v>
      </c>
      <c r="D198" s="193">
        <v>2</v>
      </c>
      <c r="E198" s="193">
        <v>2</v>
      </c>
      <c r="F198" s="193">
        <v>2</v>
      </c>
      <c r="G198" s="193">
        <v>2</v>
      </c>
      <c r="H198" s="271">
        <v>0</v>
      </c>
      <c r="I198" s="193">
        <v>2</v>
      </c>
      <c r="J198" s="185">
        <v>0</v>
      </c>
      <c r="K198" s="193">
        <v>2</v>
      </c>
      <c r="L198" s="193">
        <v>2</v>
      </c>
      <c r="M198" s="193">
        <v>2</v>
      </c>
      <c r="N198" s="193">
        <v>2</v>
      </c>
      <c r="O198" s="272">
        <v>0</v>
      </c>
      <c r="P198" s="272">
        <v>0</v>
      </c>
      <c r="Q198" s="185">
        <v>0</v>
      </c>
      <c r="R198" s="185">
        <v>0</v>
      </c>
      <c r="S198" s="193">
        <v>2</v>
      </c>
      <c r="T198" s="193">
        <v>2</v>
      </c>
      <c r="U198" s="193">
        <v>2</v>
      </c>
      <c r="V198" s="197"/>
      <c r="W198" s="185">
        <v>0</v>
      </c>
      <c r="X198" s="193">
        <v>2</v>
      </c>
      <c r="Y198" s="193">
        <v>2</v>
      </c>
      <c r="Z198" s="193">
        <v>2</v>
      </c>
      <c r="AA198" s="193">
        <v>2</v>
      </c>
      <c r="AB198" s="185">
        <v>0</v>
      </c>
      <c r="AC198" s="197"/>
      <c r="AD198" s="185">
        <v>0</v>
      </c>
      <c r="AE198" s="193">
        <v>2</v>
      </c>
      <c r="AF198" s="193">
        <v>2</v>
      </c>
      <c r="AG198" s="193">
        <v>2</v>
      </c>
      <c r="AH198" s="185"/>
      <c r="AI198" s="185">
        <f t="shared" si="208"/>
        <v>38</v>
      </c>
      <c r="AJ198" s="185">
        <v>0</v>
      </c>
      <c r="AK198" s="185">
        <v>0</v>
      </c>
      <c r="AL198" s="185">
        <f t="shared" ref="AL198" si="214">AI198+AJ198-AK198</f>
        <v>38</v>
      </c>
      <c r="AM198" s="185">
        <f t="shared" si="211"/>
        <v>2090</v>
      </c>
      <c r="AN198" s="712"/>
      <c r="AO198" s="714"/>
      <c r="AP198" s="712"/>
      <c r="AQ198" s="712"/>
      <c r="AR198" s="712"/>
    </row>
    <row r="199" spans="1:44">
      <c r="A199" s="185">
        <v>3</v>
      </c>
      <c r="B199" s="184" t="s">
        <v>127</v>
      </c>
      <c r="C199" s="184">
        <v>400</v>
      </c>
      <c r="D199" s="185">
        <v>1</v>
      </c>
      <c r="E199" s="256">
        <v>0</v>
      </c>
      <c r="F199" s="185">
        <v>1</v>
      </c>
      <c r="G199" s="185">
        <v>1</v>
      </c>
      <c r="H199" s="221">
        <v>1</v>
      </c>
      <c r="I199" s="185">
        <v>1</v>
      </c>
      <c r="J199" s="185">
        <v>1</v>
      </c>
      <c r="K199" s="185">
        <v>1</v>
      </c>
      <c r="L199" s="185">
        <v>1</v>
      </c>
      <c r="M199" s="185">
        <v>1</v>
      </c>
      <c r="N199" s="185">
        <v>1</v>
      </c>
      <c r="O199" s="272">
        <v>0</v>
      </c>
      <c r="P199" s="272">
        <v>0</v>
      </c>
      <c r="Q199" s="185">
        <v>1</v>
      </c>
      <c r="R199" s="185">
        <v>1</v>
      </c>
      <c r="S199" s="185">
        <v>1</v>
      </c>
      <c r="T199" s="185">
        <v>1</v>
      </c>
      <c r="U199" s="185">
        <v>1</v>
      </c>
      <c r="V199" s="197"/>
      <c r="W199" s="185">
        <v>1</v>
      </c>
      <c r="X199" s="185">
        <v>1</v>
      </c>
      <c r="Y199" s="185">
        <v>1</v>
      </c>
      <c r="Z199" s="185">
        <v>1</v>
      </c>
      <c r="AA199" s="185">
        <v>1</v>
      </c>
      <c r="AB199" s="185">
        <v>1</v>
      </c>
      <c r="AC199" s="197"/>
      <c r="AD199" s="256">
        <v>0</v>
      </c>
      <c r="AE199" s="185">
        <v>1</v>
      </c>
      <c r="AF199" s="185">
        <v>1</v>
      </c>
      <c r="AG199" s="185">
        <v>1</v>
      </c>
      <c r="AH199" s="185"/>
      <c r="AI199" s="185">
        <f t="shared" si="208"/>
        <v>24</v>
      </c>
      <c r="AJ199" s="185">
        <v>0</v>
      </c>
      <c r="AK199" s="185">
        <v>0</v>
      </c>
      <c r="AL199" s="185">
        <f>AI199+AJ199-AK199</f>
        <v>24</v>
      </c>
      <c r="AM199" s="185">
        <f t="shared" si="211"/>
        <v>9600</v>
      </c>
      <c r="AN199" s="711">
        <f t="shared" ref="AN199" si="215">AM199+AM200</f>
        <v>11900</v>
      </c>
      <c r="AO199" s="713">
        <v>0</v>
      </c>
      <c r="AP199" s="711">
        <f t="shared" ref="AP199" si="216">AN199-AO199</f>
        <v>11900</v>
      </c>
      <c r="AQ199" s="711"/>
      <c r="AR199" s="711"/>
    </row>
    <row r="200" spans="1:44">
      <c r="A200" s="184"/>
      <c r="B200" s="184"/>
      <c r="C200" s="185">
        <v>50</v>
      </c>
      <c r="D200" s="193">
        <v>2</v>
      </c>
      <c r="E200" s="185">
        <v>0</v>
      </c>
      <c r="F200" s="193">
        <v>2</v>
      </c>
      <c r="G200" s="193">
        <v>2</v>
      </c>
      <c r="H200" s="271">
        <v>0</v>
      </c>
      <c r="I200" s="193">
        <v>2</v>
      </c>
      <c r="J200" s="193">
        <v>2</v>
      </c>
      <c r="K200" s="193">
        <v>2</v>
      </c>
      <c r="L200" s="193">
        <v>2</v>
      </c>
      <c r="M200" s="193">
        <v>2</v>
      </c>
      <c r="N200" s="193">
        <v>2</v>
      </c>
      <c r="O200" s="272">
        <v>0</v>
      </c>
      <c r="P200" s="272">
        <v>0</v>
      </c>
      <c r="Q200" s="193">
        <v>2</v>
      </c>
      <c r="R200" s="193">
        <v>2</v>
      </c>
      <c r="S200" s="193">
        <v>2</v>
      </c>
      <c r="T200" s="193">
        <v>2</v>
      </c>
      <c r="U200" s="193">
        <v>2</v>
      </c>
      <c r="V200" s="197"/>
      <c r="W200" s="193">
        <v>2</v>
      </c>
      <c r="X200" s="193">
        <v>2</v>
      </c>
      <c r="Y200" s="193">
        <v>2</v>
      </c>
      <c r="Z200" s="193">
        <v>2</v>
      </c>
      <c r="AA200" s="193">
        <v>2</v>
      </c>
      <c r="AB200" s="193">
        <v>2</v>
      </c>
      <c r="AC200" s="197"/>
      <c r="AD200" s="185">
        <v>0</v>
      </c>
      <c r="AE200" s="193">
        <v>2</v>
      </c>
      <c r="AF200" s="193">
        <v>2</v>
      </c>
      <c r="AG200" s="193">
        <v>2</v>
      </c>
      <c r="AH200" s="185"/>
      <c r="AI200" s="185">
        <f t="shared" si="208"/>
        <v>46</v>
      </c>
      <c r="AJ200" s="185">
        <v>0</v>
      </c>
      <c r="AK200" s="185">
        <v>0</v>
      </c>
      <c r="AL200" s="185">
        <f t="shared" ref="AL200" si="217">AI200+AJ200-AK200</f>
        <v>46</v>
      </c>
      <c r="AM200" s="185">
        <f t="shared" si="211"/>
        <v>2300</v>
      </c>
      <c r="AN200" s="712"/>
      <c r="AO200" s="714"/>
      <c r="AP200" s="712"/>
      <c r="AQ200" s="712"/>
      <c r="AR200" s="712"/>
    </row>
    <row r="201" spans="1:44">
      <c r="A201" s="185">
        <v>4</v>
      </c>
      <c r="B201" s="184" t="s">
        <v>130</v>
      </c>
      <c r="C201" s="185">
        <v>400</v>
      </c>
      <c r="D201" s="185">
        <v>1</v>
      </c>
      <c r="E201" s="185">
        <v>1</v>
      </c>
      <c r="F201" s="185">
        <v>1</v>
      </c>
      <c r="G201" s="185">
        <v>1</v>
      </c>
      <c r="H201" s="221">
        <v>1</v>
      </c>
      <c r="I201" s="185">
        <v>1</v>
      </c>
      <c r="J201" s="185">
        <v>1</v>
      </c>
      <c r="K201" s="185">
        <v>1</v>
      </c>
      <c r="L201" s="185">
        <v>1</v>
      </c>
      <c r="M201" s="185">
        <v>1</v>
      </c>
      <c r="N201" s="185">
        <v>1</v>
      </c>
      <c r="O201" s="272">
        <v>0</v>
      </c>
      <c r="P201" s="272">
        <v>0</v>
      </c>
      <c r="Q201" s="185">
        <v>1</v>
      </c>
      <c r="R201" s="185">
        <v>1</v>
      </c>
      <c r="S201" s="185">
        <v>1</v>
      </c>
      <c r="T201" s="256">
        <v>0</v>
      </c>
      <c r="U201" s="185">
        <v>1</v>
      </c>
      <c r="V201" s="197"/>
      <c r="W201" s="185">
        <v>1</v>
      </c>
      <c r="X201" s="185">
        <v>1</v>
      </c>
      <c r="Y201" s="185">
        <v>1</v>
      </c>
      <c r="Z201" s="185">
        <v>1</v>
      </c>
      <c r="AA201" s="185">
        <v>1</v>
      </c>
      <c r="AB201" s="185">
        <v>1</v>
      </c>
      <c r="AC201" s="197"/>
      <c r="AD201" s="185">
        <v>1</v>
      </c>
      <c r="AE201" s="185">
        <v>1</v>
      </c>
      <c r="AF201" s="185">
        <v>1</v>
      </c>
      <c r="AG201" s="185">
        <v>1</v>
      </c>
      <c r="AH201" s="185"/>
      <c r="AI201" s="185">
        <f t="shared" si="208"/>
        <v>25</v>
      </c>
      <c r="AJ201" s="185">
        <v>0</v>
      </c>
      <c r="AK201" s="185">
        <v>0</v>
      </c>
      <c r="AL201" s="185">
        <f>AI201+AJ201-AK201</f>
        <v>25</v>
      </c>
      <c r="AM201" s="185">
        <f t="shared" si="211"/>
        <v>10000</v>
      </c>
      <c r="AN201" s="711">
        <f t="shared" ref="AN201" si="218">AM201+AM202</f>
        <v>12400</v>
      </c>
      <c r="AO201" s="713">
        <v>0</v>
      </c>
      <c r="AP201" s="711">
        <f t="shared" ref="AP201" si="219">AN201-AO201</f>
        <v>12400</v>
      </c>
      <c r="AQ201" s="711"/>
      <c r="AR201" s="711"/>
    </row>
    <row r="202" spans="1:44">
      <c r="A202" s="184"/>
      <c r="B202" s="184"/>
      <c r="C202" s="185">
        <v>50</v>
      </c>
      <c r="D202" s="193">
        <v>2</v>
      </c>
      <c r="E202" s="193">
        <v>2</v>
      </c>
      <c r="F202" s="193">
        <v>2</v>
      </c>
      <c r="G202" s="193">
        <v>2</v>
      </c>
      <c r="H202" s="271">
        <v>0</v>
      </c>
      <c r="I202" s="193">
        <v>2</v>
      </c>
      <c r="J202" s="193">
        <v>2</v>
      </c>
      <c r="K202" s="193">
        <v>2</v>
      </c>
      <c r="L202" s="193">
        <v>2</v>
      </c>
      <c r="M202" s="193">
        <v>2</v>
      </c>
      <c r="N202" s="193">
        <v>2</v>
      </c>
      <c r="O202" s="272">
        <v>0</v>
      </c>
      <c r="P202" s="272">
        <v>0</v>
      </c>
      <c r="Q202" s="193">
        <v>2</v>
      </c>
      <c r="R202" s="193">
        <v>2</v>
      </c>
      <c r="S202" s="193">
        <v>2</v>
      </c>
      <c r="T202" s="185">
        <v>0</v>
      </c>
      <c r="U202" s="193">
        <v>2</v>
      </c>
      <c r="V202" s="197"/>
      <c r="W202" s="193">
        <v>2</v>
      </c>
      <c r="X202" s="193">
        <v>2</v>
      </c>
      <c r="Y202" s="193">
        <v>2</v>
      </c>
      <c r="Z202" s="193">
        <v>2</v>
      </c>
      <c r="AA202" s="193">
        <v>2</v>
      </c>
      <c r="AB202" s="193">
        <v>2</v>
      </c>
      <c r="AC202" s="197"/>
      <c r="AD202" s="193">
        <v>2</v>
      </c>
      <c r="AE202" s="193">
        <v>2</v>
      </c>
      <c r="AF202" s="193">
        <v>2</v>
      </c>
      <c r="AG202" s="193">
        <v>2</v>
      </c>
      <c r="AH202" s="185"/>
      <c r="AI202" s="185">
        <f t="shared" si="208"/>
        <v>48</v>
      </c>
      <c r="AJ202" s="185">
        <v>0</v>
      </c>
      <c r="AK202" s="185">
        <v>0</v>
      </c>
      <c r="AL202" s="185">
        <f t="shared" ref="AL202" si="220">AI202+AJ202-AK202</f>
        <v>48</v>
      </c>
      <c r="AM202" s="185">
        <f t="shared" si="211"/>
        <v>2400</v>
      </c>
      <c r="AN202" s="712"/>
      <c r="AO202" s="714"/>
      <c r="AP202" s="712"/>
      <c r="AQ202" s="712"/>
      <c r="AR202" s="712"/>
    </row>
    <row r="203" spans="1:44">
      <c r="A203" s="185">
        <v>5</v>
      </c>
      <c r="B203" s="184" t="s">
        <v>136</v>
      </c>
      <c r="C203" s="185">
        <v>400</v>
      </c>
      <c r="D203" s="185">
        <v>1</v>
      </c>
      <c r="E203" s="185">
        <v>1</v>
      </c>
      <c r="F203" s="185">
        <v>1</v>
      </c>
      <c r="G203" s="185">
        <v>1</v>
      </c>
      <c r="H203" s="275">
        <v>0</v>
      </c>
      <c r="I203" s="185">
        <v>1</v>
      </c>
      <c r="J203" s="185">
        <v>1</v>
      </c>
      <c r="K203" s="185">
        <v>1</v>
      </c>
      <c r="L203" s="185">
        <v>1</v>
      </c>
      <c r="M203" s="185">
        <v>1</v>
      </c>
      <c r="N203" s="185">
        <v>1</v>
      </c>
      <c r="O203" s="272">
        <v>0</v>
      </c>
      <c r="P203" s="272">
        <v>0</v>
      </c>
      <c r="Q203" s="256">
        <v>0</v>
      </c>
      <c r="R203" s="185">
        <v>1</v>
      </c>
      <c r="S203" s="185">
        <v>1</v>
      </c>
      <c r="T203" s="185">
        <v>1</v>
      </c>
      <c r="U203" s="185">
        <v>1</v>
      </c>
      <c r="V203" s="197"/>
      <c r="W203" s="185">
        <v>1</v>
      </c>
      <c r="X203" s="185">
        <v>1</v>
      </c>
      <c r="Y203" s="256">
        <v>0</v>
      </c>
      <c r="Z203" s="185">
        <v>1</v>
      </c>
      <c r="AA203" s="185">
        <v>1</v>
      </c>
      <c r="AB203" s="185">
        <v>1</v>
      </c>
      <c r="AC203" s="197"/>
      <c r="AD203" s="185">
        <v>1</v>
      </c>
      <c r="AE203" s="185">
        <v>1</v>
      </c>
      <c r="AF203" s="185">
        <v>1</v>
      </c>
      <c r="AG203" s="185">
        <v>1</v>
      </c>
      <c r="AH203" s="185"/>
      <c r="AI203" s="185">
        <f t="shared" si="208"/>
        <v>23</v>
      </c>
      <c r="AJ203" s="185">
        <v>0</v>
      </c>
      <c r="AK203" s="185">
        <v>0</v>
      </c>
      <c r="AL203" s="185">
        <f>AI203+AJ203-AK203</f>
        <v>23</v>
      </c>
      <c r="AM203" s="185">
        <f t="shared" si="211"/>
        <v>9200</v>
      </c>
      <c r="AN203" s="711">
        <f t="shared" ref="AN203" si="221">AM203+AM204</f>
        <v>11500</v>
      </c>
      <c r="AO203" s="713">
        <v>0</v>
      </c>
      <c r="AP203" s="711">
        <f t="shared" ref="AP203" si="222">AN203-AO203</f>
        <v>11500</v>
      </c>
      <c r="AQ203" s="711"/>
      <c r="AR203" s="711"/>
    </row>
    <row r="204" spans="1:44">
      <c r="A204" s="184"/>
      <c r="B204" s="184"/>
      <c r="C204" s="185">
        <v>50</v>
      </c>
      <c r="D204" s="193">
        <v>2</v>
      </c>
      <c r="E204" s="193">
        <v>2</v>
      </c>
      <c r="F204" s="193">
        <v>2</v>
      </c>
      <c r="G204" s="193">
        <v>2</v>
      </c>
      <c r="H204" s="276">
        <v>0</v>
      </c>
      <c r="I204" s="193">
        <v>2</v>
      </c>
      <c r="J204" s="193">
        <v>2</v>
      </c>
      <c r="K204" s="193">
        <v>2</v>
      </c>
      <c r="L204" s="193">
        <v>2</v>
      </c>
      <c r="M204" s="193">
        <v>2</v>
      </c>
      <c r="N204" s="193">
        <v>2</v>
      </c>
      <c r="O204" s="272">
        <v>0</v>
      </c>
      <c r="P204" s="272">
        <v>0</v>
      </c>
      <c r="Q204" s="185">
        <v>0</v>
      </c>
      <c r="R204" s="193">
        <v>2</v>
      </c>
      <c r="S204" s="193">
        <v>2</v>
      </c>
      <c r="T204" s="193">
        <v>2</v>
      </c>
      <c r="U204" s="193">
        <v>2</v>
      </c>
      <c r="V204" s="197"/>
      <c r="W204" s="193">
        <v>2</v>
      </c>
      <c r="X204" s="193">
        <v>2</v>
      </c>
      <c r="Y204" s="185">
        <v>0</v>
      </c>
      <c r="Z204" s="193">
        <v>2</v>
      </c>
      <c r="AA204" s="193">
        <v>2</v>
      </c>
      <c r="AB204" s="193">
        <v>2</v>
      </c>
      <c r="AC204" s="197"/>
      <c r="AD204" s="193">
        <v>2</v>
      </c>
      <c r="AE204" s="193">
        <v>2</v>
      </c>
      <c r="AF204" s="193">
        <v>2</v>
      </c>
      <c r="AG204" s="193">
        <v>2</v>
      </c>
      <c r="AH204" s="185"/>
      <c r="AI204" s="185">
        <f t="shared" si="208"/>
        <v>46</v>
      </c>
      <c r="AJ204" s="185">
        <v>0</v>
      </c>
      <c r="AK204" s="185">
        <v>0</v>
      </c>
      <c r="AL204" s="185">
        <f t="shared" ref="AL204" si="223">AI204+AJ204-AK204</f>
        <v>46</v>
      </c>
      <c r="AM204" s="185">
        <f t="shared" si="211"/>
        <v>2300</v>
      </c>
      <c r="AN204" s="712"/>
      <c r="AO204" s="714"/>
      <c r="AP204" s="712"/>
      <c r="AQ204" s="712"/>
      <c r="AR204" s="712"/>
    </row>
    <row r="205" spans="1:44">
      <c r="A205" s="185">
        <v>6</v>
      </c>
      <c r="B205" s="184" t="s">
        <v>140</v>
      </c>
      <c r="C205" s="185">
        <v>400</v>
      </c>
      <c r="D205" s="185">
        <v>1</v>
      </c>
      <c r="E205" s="185">
        <v>1</v>
      </c>
      <c r="F205" s="185">
        <v>1</v>
      </c>
      <c r="G205" s="185">
        <v>1</v>
      </c>
      <c r="H205" s="221">
        <v>1</v>
      </c>
      <c r="I205" s="256">
        <v>0</v>
      </c>
      <c r="J205" s="185">
        <v>1</v>
      </c>
      <c r="K205" s="185">
        <v>1</v>
      </c>
      <c r="L205" s="185">
        <v>1</v>
      </c>
      <c r="M205" s="185">
        <v>1</v>
      </c>
      <c r="N205" s="185">
        <v>1</v>
      </c>
      <c r="O205" s="272">
        <v>0</v>
      </c>
      <c r="P205" s="272">
        <v>0</v>
      </c>
      <c r="Q205" s="256">
        <v>0</v>
      </c>
      <c r="R205" s="256">
        <v>0</v>
      </c>
      <c r="S205" s="256">
        <v>0</v>
      </c>
      <c r="T205" s="256">
        <v>0</v>
      </c>
      <c r="U205" s="256">
        <v>0</v>
      </c>
      <c r="V205" s="197"/>
      <c r="W205" s="256">
        <v>0</v>
      </c>
      <c r="X205" s="256">
        <v>0</v>
      </c>
      <c r="Y205" s="256">
        <v>0</v>
      </c>
      <c r="Z205" s="256">
        <v>0</v>
      </c>
      <c r="AA205" s="256">
        <v>0</v>
      </c>
      <c r="AB205" s="256">
        <v>0</v>
      </c>
      <c r="AC205" s="197"/>
      <c r="AD205" s="256">
        <v>0</v>
      </c>
      <c r="AE205" s="256">
        <v>0</v>
      </c>
      <c r="AF205" s="256">
        <v>0</v>
      </c>
      <c r="AG205" s="256">
        <v>0</v>
      </c>
      <c r="AH205" s="185"/>
      <c r="AI205" s="185">
        <f t="shared" si="208"/>
        <v>10</v>
      </c>
      <c r="AJ205" s="185">
        <v>0</v>
      </c>
      <c r="AK205" s="185">
        <v>0</v>
      </c>
      <c r="AL205" s="185">
        <f>AI205+AJ205-AK205</f>
        <v>10</v>
      </c>
      <c r="AM205" s="185">
        <f t="shared" si="211"/>
        <v>4000</v>
      </c>
      <c r="AN205" s="711">
        <f t="shared" ref="AN205" si="224">AM205+AM206</f>
        <v>4000</v>
      </c>
      <c r="AO205" s="713">
        <v>0</v>
      </c>
      <c r="AP205" s="711">
        <f t="shared" ref="AP205" si="225">AN205-AO205</f>
        <v>4000</v>
      </c>
      <c r="AQ205" s="711"/>
      <c r="AR205" s="711"/>
    </row>
    <row r="206" spans="1:44">
      <c r="A206" s="184"/>
      <c r="B206" s="184"/>
      <c r="C206" s="185">
        <v>50</v>
      </c>
      <c r="D206" s="185">
        <v>0</v>
      </c>
      <c r="E206" s="185">
        <v>0</v>
      </c>
      <c r="F206" s="185">
        <v>0</v>
      </c>
      <c r="G206" s="185">
        <v>0</v>
      </c>
      <c r="H206" s="221">
        <v>0</v>
      </c>
      <c r="I206" s="185">
        <v>0</v>
      </c>
      <c r="J206" s="185">
        <v>0</v>
      </c>
      <c r="K206" s="185">
        <v>0</v>
      </c>
      <c r="L206" s="185">
        <v>0</v>
      </c>
      <c r="M206" s="185">
        <v>0</v>
      </c>
      <c r="N206" s="185">
        <v>0</v>
      </c>
      <c r="O206" s="272">
        <v>0</v>
      </c>
      <c r="P206" s="272">
        <v>0</v>
      </c>
      <c r="Q206" s="185">
        <v>0</v>
      </c>
      <c r="R206" s="185">
        <v>0</v>
      </c>
      <c r="S206" s="185">
        <v>0</v>
      </c>
      <c r="T206" s="185">
        <v>0</v>
      </c>
      <c r="U206" s="185">
        <v>0</v>
      </c>
      <c r="V206" s="197"/>
      <c r="W206" s="185">
        <v>0</v>
      </c>
      <c r="X206" s="185">
        <v>0</v>
      </c>
      <c r="Y206" s="185">
        <v>0</v>
      </c>
      <c r="Z206" s="185">
        <v>0</v>
      </c>
      <c r="AA206" s="185">
        <v>0</v>
      </c>
      <c r="AB206" s="185">
        <v>0</v>
      </c>
      <c r="AC206" s="197"/>
      <c r="AD206" s="185">
        <v>0</v>
      </c>
      <c r="AE206" s="185">
        <v>0</v>
      </c>
      <c r="AF206" s="185">
        <v>0</v>
      </c>
      <c r="AG206" s="185">
        <v>0</v>
      </c>
      <c r="AH206" s="185"/>
      <c r="AI206" s="185">
        <f t="shared" si="208"/>
        <v>0</v>
      </c>
      <c r="AJ206" s="185">
        <v>0</v>
      </c>
      <c r="AK206" s="185">
        <v>0</v>
      </c>
      <c r="AL206" s="185">
        <f t="shared" ref="AL206" si="226">AI206+AJ206-AK206</f>
        <v>0</v>
      </c>
      <c r="AM206" s="185">
        <f t="shared" si="211"/>
        <v>0</v>
      </c>
      <c r="AN206" s="712"/>
      <c r="AO206" s="714"/>
      <c r="AP206" s="712"/>
      <c r="AQ206" s="712"/>
      <c r="AR206" s="712"/>
    </row>
    <row r="207" spans="1:44">
      <c r="A207" s="185"/>
      <c r="B207" s="184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>
        <f t="shared" si="208"/>
        <v>0</v>
      </c>
      <c r="AJ207" s="185">
        <v>0</v>
      </c>
      <c r="AK207" s="185">
        <v>0</v>
      </c>
      <c r="AL207" s="185">
        <f>AI207+AJ207-AK207</f>
        <v>0</v>
      </c>
      <c r="AM207" s="185">
        <f t="shared" si="211"/>
        <v>0</v>
      </c>
      <c r="AN207" s="711">
        <f t="shared" ref="AN207" si="227">AM207+AM208</f>
        <v>0</v>
      </c>
      <c r="AO207" s="713">
        <v>0</v>
      </c>
      <c r="AP207" s="711">
        <f t="shared" ref="AP207" si="228">AN207-AO207</f>
        <v>0</v>
      </c>
      <c r="AQ207" s="711"/>
      <c r="AR207" s="711"/>
    </row>
    <row r="208" spans="1:44">
      <c r="A208" s="184"/>
      <c r="B208" s="184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>
        <f t="shared" si="208"/>
        <v>0</v>
      </c>
      <c r="AJ208" s="185">
        <v>0</v>
      </c>
      <c r="AK208" s="185">
        <v>0</v>
      </c>
      <c r="AL208" s="185">
        <f t="shared" ref="AL208" si="229">AI208+AJ208-AK208</f>
        <v>0</v>
      </c>
      <c r="AM208" s="185">
        <f t="shared" si="211"/>
        <v>0</v>
      </c>
      <c r="AN208" s="712"/>
      <c r="AO208" s="714"/>
      <c r="AP208" s="712"/>
      <c r="AQ208" s="712"/>
      <c r="AR208" s="712"/>
    </row>
    <row r="209" spans="1:47">
      <c r="A209" s="707" t="s">
        <v>103</v>
      </c>
      <c r="B209" s="708"/>
      <c r="C209" s="273"/>
      <c r="D209" s="273">
        <f>X204+D199+D201+D203+D205+D207+D197</f>
        <v>7</v>
      </c>
      <c r="E209" s="273">
        <f t="shared" ref="E209:V209" si="230">E195+E199+E201+E203+E205+E207+E197</f>
        <v>4</v>
      </c>
      <c r="F209" s="273">
        <f t="shared" si="230"/>
        <v>5</v>
      </c>
      <c r="G209" s="273">
        <f t="shared" si="230"/>
        <v>5</v>
      </c>
      <c r="H209" s="273">
        <f t="shared" si="230"/>
        <v>4</v>
      </c>
      <c r="I209" s="273">
        <f t="shared" si="230"/>
        <v>4</v>
      </c>
      <c r="J209" s="273">
        <f t="shared" si="230"/>
        <v>4</v>
      </c>
      <c r="K209" s="273">
        <f t="shared" si="230"/>
        <v>5</v>
      </c>
      <c r="L209" s="273">
        <f t="shared" si="230"/>
        <v>6</v>
      </c>
      <c r="M209" s="273">
        <f t="shared" si="230"/>
        <v>6</v>
      </c>
      <c r="N209" s="273">
        <f t="shared" si="230"/>
        <v>6</v>
      </c>
      <c r="O209" s="273">
        <f t="shared" si="230"/>
        <v>0</v>
      </c>
      <c r="P209" s="273">
        <f t="shared" si="230"/>
        <v>0</v>
      </c>
      <c r="Q209" s="273">
        <f t="shared" si="230"/>
        <v>4</v>
      </c>
      <c r="R209" s="273">
        <f t="shared" si="230"/>
        <v>4</v>
      </c>
      <c r="S209" s="273">
        <f t="shared" si="230"/>
        <v>5</v>
      </c>
      <c r="T209" s="273">
        <f t="shared" si="230"/>
        <v>4</v>
      </c>
      <c r="U209" s="273">
        <f t="shared" si="230"/>
        <v>5</v>
      </c>
      <c r="V209" s="273">
        <f t="shared" si="230"/>
        <v>0</v>
      </c>
      <c r="W209" s="273">
        <f>V195+V199+V201+V203+V205+V207+V197</f>
        <v>0</v>
      </c>
      <c r="X209" s="273">
        <f t="shared" ref="X209:AR209" si="231">X195+X199+X201+X203+X205+X207+X197</f>
        <v>5</v>
      </c>
      <c r="Y209" s="273">
        <f t="shared" si="231"/>
        <v>4</v>
      </c>
      <c r="Z209" s="273">
        <f t="shared" si="231"/>
        <v>5</v>
      </c>
      <c r="AA209" s="273">
        <f t="shared" si="231"/>
        <v>5</v>
      </c>
      <c r="AB209" s="273">
        <f t="shared" si="231"/>
        <v>5</v>
      </c>
      <c r="AC209" s="273">
        <f t="shared" si="231"/>
        <v>0</v>
      </c>
      <c r="AD209" s="273">
        <f t="shared" si="231"/>
        <v>2</v>
      </c>
      <c r="AE209" s="273">
        <f t="shared" si="231"/>
        <v>5</v>
      </c>
      <c r="AF209" s="273">
        <f t="shared" si="231"/>
        <v>5</v>
      </c>
      <c r="AG209" s="273">
        <f t="shared" si="231"/>
        <v>5</v>
      </c>
      <c r="AH209" s="273">
        <f t="shared" si="231"/>
        <v>0</v>
      </c>
      <c r="AI209" s="273">
        <f t="shared" si="231"/>
        <v>122</v>
      </c>
      <c r="AJ209" s="273">
        <f t="shared" si="231"/>
        <v>4</v>
      </c>
      <c r="AK209" s="273">
        <f t="shared" si="231"/>
        <v>8</v>
      </c>
      <c r="AL209" s="273">
        <f t="shared" si="231"/>
        <v>118</v>
      </c>
      <c r="AM209" s="273">
        <f t="shared" si="231"/>
        <v>49423.25</v>
      </c>
      <c r="AN209" s="273">
        <f t="shared" si="231"/>
        <v>58513.25</v>
      </c>
      <c r="AO209" s="273">
        <f t="shared" si="231"/>
        <v>0</v>
      </c>
      <c r="AP209" s="273">
        <f t="shared" si="231"/>
        <v>58513.25</v>
      </c>
      <c r="AQ209" s="273">
        <f t="shared" si="231"/>
        <v>0</v>
      </c>
      <c r="AR209" s="273">
        <f t="shared" si="231"/>
        <v>0</v>
      </c>
    </row>
    <row r="210" spans="1:47">
      <c r="A210" s="709" t="s">
        <v>106</v>
      </c>
      <c r="B210" s="710"/>
      <c r="C210" s="274"/>
      <c r="D210" s="274">
        <f>D196+D198+D200+D202+D204++D206+D208</f>
        <v>8</v>
      </c>
      <c r="E210" s="274">
        <f t="shared" ref="E210:V210" si="232">E196+E198+E200+E202+E204++E206+E208</f>
        <v>6</v>
      </c>
      <c r="F210" s="274">
        <f t="shared" si="232"/>
        <v>8</v>
      </c>
      <c r="G210" s="274">
        <f t="shared" si="232"/>
        <v>8</v>
      </c>
      <c r="H210" s="274">
        <f t="shared" si="232"/>
        <v>0</v>
      </c>
      <c r="I210" s="274">
        <f t="shared" si="232"/>
        <v>8</v>
      </c>
      <c r="J210" s="274">
        <f t="shared" si="232"/>
        <v>6</v>
      </c>
      <c r="K210" s="274">
        <f t="shared" si="232"/>
        <v>8</v>
      </c>
      <c r="L210" s="274">
        <f t="shared" si="232"/>
        <v>8</v>
      </c>
      <c r="M210" s="274">
        <f t="shared" si="232"/>
        <v>8</v>
      </c>
      <c r="N210" s="274">
        <f t="shared" si="232"/>
        <v>8</v>
      </c>
      <c r="O210" s="274">
        <f t="shared" si="232"/>
        <v>0</v>
      </c>
      <c r="P210" s="274">
        <f t="shared" si="232"/>
        <v>0</v>
      </c>
      <c r="Q210" s="274">
        <f t="shared" si="232"/>
        <v>4</v>
      </c>
      <c r="R210" s="274">
        <f t="shared" si="232"/>
        <v>6</v>
      </c>
      <c r="S210" s="274">
        <f t="shared" si="232"/>
        <v>8</v>
      </c>
      <c r="T210" s="274">
        <f t="shared" si="232"/>
        <v>6</v>
      </c>
      <c r="U210" s="274">
        <f t="shared" si="232"/>
        <v>8</v>
      </c>
      <c r="V210" s="274">
        <f t="shared" si="232"/>
        <v>0</v>
      </c>
      <c r="W210" s="274">
        <f>V196+V198+V200+V202+V204++V206+V208</f>
        <v>0</v>
      </c>
      <c r="X210" s="274">
        <f t="shared" ref="X210:AR210" si="233">X196+X198+X200+X202+X204++X206+X208</f>
        <v>8</v>
      </c>
      <c r="Y210" s="274">
        <f t="shared" si="233"/>
        <v>6</v>
      </c>
      <c r="Z210" s="274">
        <f t="shared" si="233"/>
        <v>8</v>
      </c>
      <c r="AA210" s="274">
        <f t="shared" si="233"/>
        <v>8</v>
      </c>
      <c r="AB210" s="274">
        <f t="shared" si="233"/>
        <v>6</v>
      </c>
      <c r="AC210" s="274">
        <f t="shared" si="233"/>
        <v>0</v>
      </c>
      <c r="AD210" s="274">
        <f t="shared" si="233"/>
        <v>4</v>
      </c>
      <c r="AE210" s="274">
        <f t="shared" si="233"/>
        <v>8</v>
      </c>
      <c r="AF210" s="274">
        <f t="shared" si="233"/>
        <v>8</v>
      </c>
      <c r="AG210" s="274">
        <f t="shared" si="233"/>
        <v>8</v>
      </c>
      <c r="AH210" s="274">
        <f t="shared" si="233"/>
        <v>0</v>
      </c>
      <c r="AI210" s="274">
        <f t="shared" si="233"/>
        <v>178</v>
      </c>
      <c r="AJ210" s="274">
        <f t="shared" si="233"/>
        <v>0</v>
      </c>
      <c r="AK210" s="274">
        <f t="shared" si="233"/>
        <v>0</v>
      </c>
      <c r="AL210" s="274">
        <f t="shared" si="233"/>
        <v>178</v>
      </c>
      <c r="AM210" s="274">
        <f t="shared" si="233"/>
        <v>9090</v>
      </c>
      <c r="AN210" s="274">
        <f t="shared" si="233"/>
        <v>0</v>
      </c>
      <c r="AO210" s="274">
        <f t="shared" si="233"/>
        <v>0</v>
      </c>
      <c r="AP210" s="274">
        <f t="shared" si="233"/>
        <v>0</v>
      </c>
      <c r="AQ210" s="274">
        <f t="shared" si="233"/>
        <v>0</v>
      </c>
      <c r="AR210" s="274">
        <f t="shared" si="233"/>
        <v>0</v>
      </c>
    </row>
    <row r="212" spans="1:47" ht="23.25">
      <c r="A212" s="717" t="s">
        <v>113</v>
      </c>
      <c r="B212" s="719" t="s">
        <v>1</v>
      </c>
      <c r="C212" s="720"/>
      <c r="D212" s="723" t="s">
        <v>141</v>
      </c>
      <c r="E212" s="724"/>
      <c r="F212" s="724"/>
      <c r="G212" s="724"/>
      <c r="H212" s="724"/>
      <c r="I212" s="724"/>
      <c r="J212" s="724"/>
      <c r="K212" s="724"/>
      <c r="L212" s="724"/>
      <c r="M212" s="724"/>
      <c r="N212" s="724"/>
      <c r="O212" s="724"/>
      <c r="P212" s="724"/>
      <c r="Q212" s="724"/>
      <c r="R212" s="724"/>
      <c r="S212" s="724"/>
      <c r="T212" s="724"/>
      <c r="U212" s="724"/>
      <c r="V212" s="724"/>
      <c r="W212" s="724"/>
      <c r="X212" s="724"/>
      <c r="Y212" s="724"/>
      <c r="Z212" s="724"/>
      <c r="AA212" s="724"/>
      <c r="AB212" s="724"/>
      <c r="AC212" s="724"/>
      <c r="AD212" s="724"/>
      <c r="AE212" s="724"/>
      <c r="AF212" s="725"/>
      <c r="AG212" s="726">
        <v>31</v>
      </c>
      <c r="AH212" s="727"/>
      <c r="AI212" s="715" t="s">
        <v>107</v>
      </c>
      <c r="AJ212" s="715" t="s">
        <v>45</v>
      </c>
      <c r="AK212" s="715" t="s">
        <v>108</v>
      </c>
      <c r="AL212" s="715" t="s">
        <v>112</v>
      </c>
      <c r="AM212" s="728" t="s">
        <v>7</v>
      </c>
      <c r="AN212" s="729"/>
      <c r="AO212" s="715" t="s">
        <v>93</v>
      </c>
      <c r="AP212" s="715" t="s">
        <v>109</v>
      </c>
      <c r="AQ212" s="715" t="s">
        <v>33</v>
      </c>
      <c r="AR212" s="715" t="s">
        <v>111</v>
      </c>
    </row>
    <row r="213" spans="1:47">
      <c r="A213" s="718"/>
      <c r="B213" s="721"/>
      <c r="C213" s="722"/>
      <c r="D213" s="257">
        <v>1</v>
      </c>
      <c r="E213" s="257">
        <v>2</v>
      </c>
      <c r="F213" s="257">
        <v>3</v>
      </c>
      <c r="G213" s="257">
        <v>4</v>
      </c>
      <c r="H213" s="257">
        <v>5</v>
      </c>
      <c r="I213" s="257">
        <v>6</v>
      </c>
      <c r="J213" s="257">
        <v>7</v>
      </c>
      <c r="K213" s="257">
        <v>8</v>
      </c>
      <c r="L213" s="257">
        <v>9</v>
      </c>
      <c r="M213" s="257">
        <v>10</v>
      </c>
      <c r="N213" s="257">
        <v>11</v>
      </c>
      <c r="O213" s="257">
        <v>12</v>
      </c>
      <c r="P213" s="257">
        <v>13</v>
      </c>
      <c r="Q213" s="257">
        <v>14</v>
      </c>
      <c r="R213" s="257">
        <v>15</v>
      </c>
      <c r="S213" s="257">
        <v>16</v>
      </c>
      <c r="T213" s="257">
        <v>17</v>
      </c>
      <c r="U213" s="257">
        <v>18</v>
      </c>
      <c r="V213" s="257">
        <v>19</v>
      </c>
      <c r="W213" s="257">
        <v>20</v>
      </c>
      <c r="X213" s="257">
        <v>21</v>
      </c>
      <c r="Y213" s="257">
        <v>22</v>
      </c>
      <c r="Z213" s="257">
        <v>23</v>
      </c>
      <c r="AA213" s="257">
        <v>24</v>
      </c>
      <c r="AB213" s="257">
        <v>25</v>
      </c>
      <c r="AC213" s="257">
        <v>26</v>
      </c>
      <c r="AD213" s="257">
        <v>27</v>
      </c>
      <c r="AE213" s="257">
        <v>28</v>
      </c>
      <c r="AF213" s="257">
        <v>29</v>
      </c>
      <c r="AG213" s="257">
        <v>30</v>
      </c>
      <c r="AH213" s="257">
        <v>31</v>
      </c>
      <c r="AI213" s="716"/>
      <c r="AJ213" s="716"/>
      <c r="AK213" s="716"/>
      <c r="AL213" s="716"/>
      <c r="AM213" s="730"/>
      <c r="AN213" s="731"/>
      <c r="AO213" s="716"/>
      <c r="AP213" s="716"/>
      <c r="AQ213" s="716"/>
      <c r="AR213" s="716"/>
    </row>
    <row r="214" spans="1:47" ht="16.5" customHeight="1">
      <c r="A214" s="185">
        <v>1</v>
      </c>
      <c r="B214" s="184" t="s">
        <v>135</v>
      </c>
      <c r="C214" s="185">
        <f>C215*11.5</f>
        <v>500.25</v>
      </c>
      <c r="D214" s="185">
        <v>1</v>
      </c>
      <c r="E214" s="185">
        <v>1</v>
      </c>
      <c r="F214" s="279"/>
      <c r="G214" s="279"/>
      <c r="H214" s="279"/>
      <c r="I214" s="185">
        <v>1</v>
      </c>
      <c r="J214" s="185">
        <v>1</v>
      </c>
      <c r="K214" s="185">
        <v>1</v>
      </c>
      <c r="L214" s="185">
        <v>1</v>
      </c>
      <c r="M214" s="279"/>
      <c r="N214" s="272">
        <v>0</v>
      </c>
      <c r="O214" s="185">
        <v>1</v>
      </c>
      <c r="P214" s="185">
        <v>1</v>
      </c>
      <c r="Q214" s="185">
        <v>1</v>
      </c>
      <c r="R214" s="185">
        <v>1</v>
      </c>
      <c r="S214" s="279"/>
      <c r="T214" s="279"/>
      <c r="U214" s="185">
        <v>1</v>
      </c>
      <c r="V214" s="185">
        <v>1</v>
      </c>
      <c r="W214" s="185">
        <v>1</v>
      </c>
      <c r="X214" s="185">
        <v>1</v>
      </c>
      <c r="Y214" s="185">
        <v>1</v>
      </c>
      <c r="Z214" s="185">
        <v>1</v>
      </c>
      <c r="AA214" s="279"/>
      <c r="AB214" s="279"/>
      <c r="AC214" s="185">
        <v>1</v>
      </c>
      <c r="AD214" s="185">
        <v>1</v>
      </c>
      <c r="AE214" s="185">
        <v>1</v>
      </c>
      <c r="AF214" s="185">
        <v>1</v>
      </c>
      <c r="AG214" s="185">
        <v>1</v>
      </c>
      <c r="AH214" s="279"/>
      <c r="AI214" s="185">
        <f t="shared" ref="AI214:AI227" si="234">SUM(D214:AH214)</f>
        <v>21</v>
      </c>
      <c r="AJ214" s="185">
        <v>6</v>
      </c>
      <c r="AK214" s="185">
        <v>1</v>
      </c>
      <c r="AL214" s="185">
        <f>AI214+AJ214-AK214</f>
        <v>26</v>
      </c>
      <c r="AM214" s="185">
        <f>AL214*C214</f>
        <v>13006.5</v>
      </c>
      <c r="AN214" s="711">
        <f>AM214+AM215</f>
        <v>13006.5</v>
      </c>
      <c r="AO214" s="713">
        <v>0</v>
      </c>
      <c r="AP214" s="711">
        <f t="shared" ref="AP214" si="235">AN214-AO214</f>
        <v>13006.5</v>
      </c>
      <c r="AQ214" s="711">
        <v>13000</v>
      </c>
      <c r="AR214" s="711"/>
    </row>
    <row r="215" spans="1:47">
      <c r="A215" s="185">
        <f>C214/8</f>
        <v>62.53125</v>
      </c>
      <c r="B215" s="184">
        <v>15000</v>
      </c>
      <c r="C215" s="185">
        <v>43.5</v>
      </c>
      <c r="D215" s="185">
        <v>0</v>
      </c>
      <c r="E215" s="185">
        <v>0</v>
      </c>
      <c r="F215" s="279"/>
      <c r="G215" s="279"/>
      <c r="H215" s="279"/>
      <c r="I215" s="185">
        <v>0</v>
      </c>
      <c r="J215" s="185">
        <v>0</v>
      </c>
      <c r="K215" s="185">
        <v>0</v>
      </c>
      <c r="L215" s="185">
        <v>0</v>
      </c>
      <c r="M215" s="279"/>
      <c r="N215" s="185">
        <v>0</v>
      </c>
      <c r="O215" s="185">
        <v>0</v>
      </c>
      <c r="P215" s="185">
        <v>0</v>
      </c>
      <c r="Q215" s="185">
        <v>0</v>
      </c>
      <c r="R215" s="185">
        <v>0</v>
      </c>
      <c r="S215" s="279"/>
      <c r="T215" s="279"/>
      <c r="U215" s="185">
        <v>0</v>
      </c>
      <c r="V215" s="185">
        <v>0</v>
      </c>
      <c r="W215" s="185">
        <v>0</v>
      </c>
      <c r="X215" s="185">
        <v>0</v>
      </c>
      <c r="Y215" s="185">
        <v>0</v>
      </c>
      <c r="Z215" s="185">
        <v>0</v>
      </c>
      <c r="AA215" s="279"/>
      <c r="AB215" s="279"/>
      <c r="AC215" s="185">
        <v>0</v>
      </c>
      <c r="AD215" s="185">
        <v>0</v>
      </c>
      <c r="AE215" s="185">
        <v>0</v>
      </c>
      <c r="AF215" s="185">
        <v>0</v>
      </c>
      <c r="AG215" s="185">
        <v>0</v>
      </c>
      <c r="AH215" s="279"/>
      <c r="AI215" s="185">
        <f t="shared" si="234"/>
        <v>0</v>
      </c>
      <c r="AJ215" s="185">
        <v>0</v>
      </c>
      <c r="AK215" s="185">
        <v>0</v>
      </c>
      <c r="AL215" s="185">
        <f t="shared" ref="AL215" si="236">AI215+AJ215-AK215</f>
        <v>0</v>
      </c>
      <c r="AM215" s="185">
        <f>AL215*C215</f>
        <v>0</v>
      </c>
      <c r="AN215" s="712"/>
      <c r="AO215" s="714"/>
      <c r="AP215" s="712"/>
      <c r="AQ215" s="712"/>
      <c r="AR215" s="712"/>
    </row>
    <row r="216" spans="1:47">
      <c r="A216" s="185">
        <v>2</v>
      </c>
      <c r="B216" s="184" t="s">
        <v>114</v>
      </c>
      <c r="C216" s="185">
        <v>440</v>
      </c>
      <c r="D216" s="185">
        <v>1</v>
      </c>
      <c r="E216" s="185">
        <v>1</v>
      </c>
      <c r="F216" s="279"/>
      <c r="G216" s="279"/>
      <c r="H216" s="279"/>
      <c r="I216" s="185">
        <v>1</v>
      </c>
      <c r="J216" s="185">
        <v>1</v>
      </c>
      <c r="K216" s="185">
        <v>1</v>
      </c>
      <c r="L216" s="185">
        <v>1</v>
      </c>
      <c r="M216" s="279"/>
      <c r="N216" s="185">
        <v>1</v>
      </c>
      <c r="O216" s="185">
        <v>1</v>
      </c>
      <c r="P216" s="185">
        <v>1</v>
      </c>
      <c r="Q216" s="185">
        <v>1</v>
      </c>
      <c r="R216" s="185">
        <v>1</v>
      </c>
      <c r="S216" s="279"/>
      <c r="T216" s="279"/>
      <c r="U216" s="185">
        <v>1</v>
      </c>
      <c r="V216" s="185">
        <v>1</v>
      </c>
      <c r="W216" s="185">
        <v>1</v>
      </c>
      <c r="X216" s="185">
        <v>1</v>
      </c>
      <c r="Y216" s="185">
        <v>1</v>
      </c>
      <c r="Z216" s="185">
        <v>1</v>
      </c>
      <c r="AA216" s="279"/>
      <c r="AB216" s="279"/>
      <c r="AC216" s="185">
        <v>1</v>
      </c>
      <c r="AD216" s="185">
        <v>1</v>
      </c>
      <c r="AE216" s="185">
        <v>1</v>
      </c>
      <c r="AF216" s="185">
        <v>1</v>
      </c>
      <c r="AG216" s="185">
        <v>1</v>
      </c>
      <c r="AH216" s="279"/>
      <c r="AI216" s="185">
        <f t="shared" si="234"/>
        <v>22</v>
      </c>
      <c r="AJ216" s="185">
        <v>0</v>
      </c>
      <c r="AK216" s="185">
        <v>0</v>
      </c>
      <c r="AL216" s="185">
        <f>AI216+AJ216-AK216</f>
        <v>22</v>
      </c>
      <c r="AM216" s="185">
        <f t="shared" ref="AM216:AM227" si="237">AL216*C216</f>
        <v>9680</v>
      </c>
      <c r="AN216" s="711">
        <f t="shared" ref="AN216" si="238">AM216+AM217</f>
        <v>11550</v>
      </c>
      <c r="AO216" s="713">
        <v>0</v>
      </c>
      <c r="AP216" s="711">
        <f t="shared" ref="AP216" si="239">AN216-AO216</f>
        <v>11550</v>
      </c>
      <c r="AQ216" s="711">
        <v>11500</v>
      </c>
      <c r="AR216" s="711"/>
    </row>
    <row r="217" spans="1:47">
      <c r="A217" s="185">
        <f>C216/8</f>
        <v>55</v>
      </c>
      <c r="B217" s="184"/>
      <c r="C217" s="185">
        <v>55</v>
      </c>
      <c r="D217" s="280">
        <v>2</v>
      </c>
      <c r="E217" s="185">
        <v>0</v>
      </c>
      <c r="F217" s="279"/>
      <c r="G217" s="279"/>
      <c r="H217" s="279"/>
      <c r="I217" s="185">
        <v>0</v>
      </c>
      <c r="J217" s="280">
        <v>2</v>
      </c>
      <c r="K217" s="280">
        <v>2</v>
      </c>
      <c r="L217" s="280">
        <v>2</v>
      </c>
      <c r="M217" s="279"/>
      <c r="N217" s="280">
        <v>2</v>
      </c>
      <c r="O217" s="280">
        <v>2</v>
      </c>
      <c r="P217" s="280">
        <v>2</v>
      </c>
      <c r="Q217" s="280">
        <v>2</v>
      </c>
      <c r="R217" s="280">
        <v>0</v>
      </c>
      <c r="S217" s="279"/>
      <c r="T217" s="279"/>
      <c r="U217" s="280">
        <v>2</v>
      </c>
      <c r="V217" s="280">
        <v>2</v>
      </c>
      <c r="W217" s="280">
        <v>2</v>
      </c>
      <c r="X217" s="280">
        <v>2</v>
      </c>
      <c r="Y217" s="280">
        <v>0</v>
      </c>
      <c r="Z217" s="280">
        <v>0</v>
      </c>
      <c r="AA217" s="279"/>
      <c r="AB217" s="279"/>
      <c r="AC217" s="280">
        <v>2</v>
      </c>
      <c r="AD217" s="280">
        <v>2</v>
      </c>
      <c r="AE217" s="280">
        <v>2</v>
      </c>
      <c r="AF217" s="280">
        <v>2</v>
      </c>
      <c r="AG217" s="280">
        <v>2</v>
      </c>
      <c r="AH217" s="279"/>
      <c r="AI217" s="185">
        <f t="shared" si="234"/>
        <v>34</v>
      </c>
      <c r="AJ217" s="185">
        <v>0</v>
      </c>
      <c r="AK217" s="185">
        <v>0</v>
      </c>
      <c r="AL217" s="185">
        <f t="shared" ref="AL217" si="240">AI217+AJ217-AK217</f>
        <v>34</v>
      </c>
      <c r="AM217" s="185">
        <f t="shared" si="237"/>
        <v>1870</v>
      </c>
      <c r="AN217" s="712"/>
      <c r="AO217" s="714"/>
      <c r="AP217" s="712"/>
      <c r="AQ217" s="712"/>
      <c r="AR217" s="712"/>
    </row>
    <row r="218" spans="1:47">
      <c r="A218" s="185">
        <v>3</v>
      </c>
      <c r="B218" s="184" t="s">
        <v>127</v>
      </c>
      <c r="C218" s="184">
        <v>400</v>
      </c>
      <c r="D218" s="185">
        <v>1</v>
      </c>
      <c r="E218" s="185">
        <v>1</v>
      </c>
      <c r="F218" s="279"/>
      <c r="G218" s="279"/>
      <c r="H218" s="279"/>
      <c r="I218" s="279"/>
      <c r="J218" s="185">
        <v>1</v>
      </c>
      <c r="K218" s="185">
        <v>1</v>
      </c>
      <c r="L218" s="185">
        <v>1</v>
      </c>
      <c r="M218" s="279"/>
      <c r="N218" s="185">
        <v>1</v>
      </c>
      <c r="O218" s="185">
        <v>1</v>
      </c>
      <c r="P218" s="272">
        <v>0</v>
      </c>
      <c r="Q218" s="185">
        <v>1</v>
      </c>
      <c r="R218" s="272">
        <v>0</v>
      </c>
      <c r="S218" s="279"/>
      <c r="T218" s="279"/>
      <c r="U218" s="272">
        <v>0</v>
      </c>
      <c r="V218" s="272">
        <v>0</v>
      </c>
      <c r="W218" s="272">
        <v>0</v>
      </c>
      <c r="X218" s="272">
        <v>0</v>
      </c>
      <c r="Y218" s="272">
        <v>0</v>
      </c>
      <c r="Z218" s="272">
        <v>0</v>
      </c>
      <c r="AA218" s="279"/>
      <c r="AB218" s="279"/>
      <c r="AC218" s="272">
        <v>0</v>
      </c>
      <c r="AD218" s="272">
        <v>0</v>
      </c>
      <c r="AE218" s="272">
        <v>0</v>
      </c>
      <c r="AF218" s="272">
        <v>0</v>
      </c>
      <c r="AG218" s="272">
        <v>0</v>
      </c>
      <c r="AH218" s="279"/>
      <c r="AI218" s="185">
        <f t="shared" si="234"/>
        <v>8</v>
      </c>
      <c r="AJ218" s="185">
        <v>0</v>
      </c>
      <c r="AK218" s="185">
        <v>0</v>
      </c>
      <c r="AL218" s="185">
        <f>AI218+AJ218-AK218</f>
        <v>8</v>
      </c>
      <c r="AM218" s="185">
        <f t="shared" si="237"/>
        <v>3200</v>
      </c>
      <c r="AN218" s="711">
        <f t="shared" ref="AN218" si="241">AM218+AM219</f>
        <v>3900</v>
      </c>
      <c r="AO218" s="713">
        <v>0</v>
      </c>
      <c r="AP218" s="711">
        <f t="shared" ref="AP218" si="242">AN218-AO218</f>
        <v>3900</v>
      </c>
      <c r="AQ218" s="711">
        <v>3500</v>
      </c>
      <c r="AR218" s="711"/>
    </row>
    <row r="219" spans="1:47">
      <c r="A219" s="184"/>
      <c r="B219" s="184"/>
      <c r="C219" s="185">
        <v>50</v>
      </c>
      <c r="D219" s="280">
        <v>2</v>
      </c>
      <c r="E219" s="185">
        <v>0</v>
      </c>
      <c r="F219" s="279"/>
      <c r="G219" s="279"/>
      <c r="H219" s="279"/>
      <c r="I219" s="185">
        <v>0</v>
      </c>
      <c r="J219" s="280">
        <v>2</v>
      </c>
      <c r="K219" s="280">
        <v>2</v>
      </c>
      <c r="L219" s="280">
        <v>2</v>
      </c>
      <c r="M219" s="279"/>
      <c r="N219" s="280">
        <v>2</v>
      </c>
      <c r="O219" s="280">
        <v>2</v>
      </c>
      <c r="P219" s="185">
        <v>0</v>
      </c>
      <c r="Q219" s="280">
        <v>2</v>
      </c>
      <c r="R219" s="185">
        <v>0</v>
      </c>
      <c r="S219" s="279"/>
      <c r="T219" s="279"/>
      <c r="U219" s="185">
        <v>0</v>
      </c>
      <c r="V219" s="185">
        <v>0</v>
      </c>
      <c r="W219" s="185">
        <v>0</v>
      </c>
      <c r="X219" s="185">
        <v>0</v>
      </c>
      <c r="Y219" s="185">
        <v>0</v>
      </c>
      <c r="Z219" s="185">
        <v>0</v>
      </c>
      <c r="AA219" s="279"/>
      <c r="AB219" s="279"/>
      <c r="AC219" s="185">
        <v>0</v>
      </c>
      <c r="AD219" s="185">
        <v>0</v>
      </c>
      <c r="AE219" s="185">
        <v>0</v>
      </c>
      <c r="AF219" s="185">
        <v>0</v>
      </c>
      <c r="AG219" s="185">
        <v>0</v>
      </c>
      <c r="AH219" s="279"/>
      <c r="AI219" s="185">
        <f t="shared" si="234"/>
        <v>14</v>
      </c>
      <c r="AJ219" s="185">
        <v>0</v>
      </c>
      <c r="AK219" s="185">
        <v>0</v>
      </c>
      <c r="AL219" s="185">
        <f t="shared" ref="AL219" si="243">AI219+AJ219-AK219</f>
        <v>14</v>
      </c>
      <c r="AM219" s="185">
        <f t="shared" si="237"/>
        <v>700</v>
      </c>
      <c r="AN219" s="712"/>
      <c r="AO219" s="714"/>
      <c r="AP219" s="712"/>
      <c r="AQ219" s="712"/>
      <c r="AR219" s="712"/>
    </row>
    <row r="220" spans="1:47">
      <c r="A220" s="185">
        <v>4</v>
      </c>
      <c r="B220" s="184" t="s">
        <v>130</v>
      </c>
      <c r="C220" s="185">
        <v>400</v>
      </c>
      <c r="D220" s="185">
        <v>1</v>
      </c>
      <c r="E220" s="185">
        <v>1</v>
      </c>
      <c r="F220" s="279"/>
      <c r="G220" s="279"/>
      <c r="H220" s="279"/>
      <c r="I220" s="279"/>
      <c r="J220" s="279"/>
      <c r="K220" s="185">
        <v>1</v>
      </c>
      <c r="L220" s="185">
        <v>1</v>
      </c>
      <c r="M220" s="279"/>
      <c r="N220" s="185">
        <v>1</v>
      </c>
      <c r="O220" s="185">
        <v>1</v>
      </c>
      <c r="P220" s="272">
        <v>0</v>
      </c>
      <c r="Q220" s="185">
        <v>1</v>
      </c>
      <c r="R220" s="272">
        <v>0</v>
      </c>
      <c r="S220" s="279"/>
      <c r="T220" s="279"/>
      <c r="U220" s="272">
        <v>0</v>
      </c>
      <c r="V220" s="272">
        <v>0</v>
      </c>
      <c r="W220" s="272">
        <v>0</v>
      </c>
      <c r="X220" s="272">
        <v>0</v>
      </c>
      <c r="Y220" s="272">
        <v>0</v>
      </c>
      <c r="Z220" s="272">
        <v>0</v>
      </c>
      <c r="AA220" s="279"/>
      <c r="AB220" s="279"/>
      <c r="AC220" s="272">
        <v>0</v>
      </c>
      <c r="AD220" s="272">
        <v>0</v>
      </c>
      <c r="AE220" s="272">
        <v>0</v>
      </c>
      <c r="AF220" s="272">
        <v>0</v>
      </c>
      <c r="AG220" s="272">
        <v>0</v>
      </c>
      <c r="AH220" s="279"/>
      <c r="AI220" s="185">
        <f t="shared" si="234"/>
        <v>7</v>
      </c>
      <c r="AJ220" s="185">
        <v>0</v>
      </c>
      <c r="AK220" s="185">
        <v>0</v>
      </c>
      <c r="AL220" s="185">
        <f>AI220+AJ220-AK220</f>
        <v>7</v>
      </c>
      <c r="AM220" s="185">
        <f t="shared" si="237"/>
        <v>2800</v>
      </c>
      <c r="AN220" s="711">
        <f t="shared" ref="AN220" si="244">AM220+AM221</f>
        <v>3400</v>
      </c>
      <c r="AO220" s="713">
        <v>0</v>
      </c>
      <c r="AP220" s="711">
        <f t="shared" ref="AP220" si="245">AN220-AO220</f>
        <v>3400</v>
      </c>
      <c r="AQ220" s="711">
        <v>3500</v>
      </c>
      <c r="AR220" s="711"/>
    </row>
    <row r="221" spans="1:47">
      <c r="A221" s="184"/>
      <c r="B221" s="184"/>
      <c r="C221" s="185">
        <v>50</v>
      </c>
      <c r="D221" s="280">
        <v>2</v>
      </c>
      <c r="E221" s="185">
        <v>0</v>
      </c>
      <c r="F221" s="279"/>
      <c r="G221" s="279"/>
      <c r="H221" s="279"/>
      <c r="I221" s="185">
        <v>0</v>
      </c>
      <c r="J221" s="185">
        <v>0</v>
      </c>
      <c r="K221" s="280">
        <v>2</v>
      </c>
      <c r="L221" s="280">
        <v>2</v>
      </c>
      <c r="M221" s="279"/>
      <c r="N221" s="280">
        <v>2</v>
      </c>
      <c r="O221" s="280">
        <v>2</v>
      </c>
      <c r="P221" s="185">
        <v>0</v>
      </c>
      <c r="Q221" s="280">
        <v>2</v>
      </c>
      <c r="R221" s="185">
        <v>0</v>
      </c>
      <c r="S221" s="279"/>
      <c r="T221" s="279"/>
      <c r="U221" s="185">
        <v>0</v>
      </c>
      <c r="V221" s="185">
        <v>0</v>
      </c>
      <c r="W221" s="185">
        <v>0</v>
      </c>
      <c r="X221" s="185">
        <v>0</v>
      </c>
      <c r="Y221" s="185">
        <v>0</v>
      </c>
      <c r="Z221" s="185">
        <v>0</v>
      </c>
      <c r="AA221" s="279"/>
      <c r="AB221" s="279"/>
      <c r="AC221" s="185">
        <v>0</v>
      </c>
      <c r="AD221" s="185">
        <v>0</v>
      </c>
      <c r="AE221" s="185">
        <v>0</v>
      </c>
      <c r="AF221" s="185">
        <v>0</v>
      </c>
      <c r="AG221" s="185">
        <v>0</v>
      </c>
      <c r="AH221" s="279"/>
      <c r="AI221" s="185">
        <f t="shared" si="234"/>
        <v>12</v>
      </c>
      <c r="AJ221" s="185">
        <v>0</v>
      </c>
      <c r="AK221" s="185">
        <v>0</v>
      </c>
      <c r="AL221" s="185">
        <f t="shared" ref="AL221" si="246">AI221+AJ221-AK221</f>
        <v>12</v>
      </c>
      <c r="AM221" s="185">
        <f t="shared" si="237"/>
        <v>600</v>
      </c>
      <c r="AN221" s="712"/>
      <c r="AO221" s="714"/>
      <c r="AP221" s="712"/>
      <c r="AQ221" s="712"/>
      <c r="AR221" s="712"/>
      <c r="AT221" s="183" t="s">
        <v>143</v>
      </c>
      <c r="AU221" s="183">
        <v>81400</v>
      </c>
    </row>
    <row r="222" spans="1:47">
      <c r="A222" s="185">
        <v>5</v>
      </c>
      <c r="B222" s="184" t="s">
        <v>136</v>
      </c>
      <c r="C222" s="185">
        <v>400</v>
      </c>
      <c r="D222" s="185">
        <v>1</v>
      </c>
      <c r="E222" s="185">
        <v>1</v>
      </c>
      <c r="F222" s="279"/>
      <c r="G222" s="279"/>
      <c r="H222" s="279"/>
      <c r="I222" s="185">
        <v>1</v>
      </c>
      <c r="J222" s="185">
        <v>1</v>
      </c>
      <c r="K222" s="185">
        <v>1</v>
      </c>
      <c r="L222" s="185">
        <v>1</v>
      </c>
      <c r="M222" s="279"/>
      <c r="N222" s="185">
        <v>1</v>
      </c>
      <c r="O222" s="272">
        <v>0</v>
      </c>
      <c r="P222" s="185">
        <v>1</v>
      </c>
      <c r="Q222" s="185">
        <v>1</v>
      </c>
      <c r="R222" s="185">
        <v>1</v>
      </c>
      <c r="S222" s="279"/>
      <c r="T222" s="279"/>
      <c r="U222" s="185">
        <v>1</v>
      </c>
      <c r="V222" s="185">
        <v>1</v>
      </c>
      <c r="W222" s="185">
        <v>1</v>
      </c>
      <c r="X222" s="185">
        <v>1</v>
      </c>
      <c r="Y222" s="185">
        <v>1</v>
      </c>
      <c r="Z222" s="185">
        <v>1</v>
      </c>
      <c r="AA222" s="279"/>
      <c r="AB222" s="279"/>
      <c r="AC222" s="185">
        <v>1</v>
      </c>
      <c r="AD222" s="185">
        <v>1</v>
      </c>
      <c r="AE222" s="185">
        <v>1</v>
      </c>
      <c r="AF222" s="185">
        <v>1</v>
      </c>
      <c r="AG222" s="185">
        <v>1</v>
      </c>
      <c r="AH222" s="279"/>
      <c r="AI222" s="185">
        <f t="shared" si="234"/>
        <v>21</v>
      </c>
      <c r="AJ222" s="185">
        <v>0</v>
      </c>
      <c r="AK222" s="185">
        <v>0</v>
      </c>
      <c r="AL222" s="185">
        <f>AI222+AJ222-AK222</f>
        <v>21</v>
      </c>
      <c r="AM222" s="185">
        <f t="shared" si="237"/>
        <v>8400</v>
      </c>
      <c r="AN222" s="711">
        <f t="shared" ref="AN222" si="247">AM222+AM223</f>
        <v>10000</v>
      </c>
      <c r="AO222" s="713">
        <v>0</v>
      </c>
      <c r="AP222" s="711">
        <f t="shared" ref="AP222" si="248">AN222-AO222</f>
        <v>10000</v>
      </c>
      <c r="AQ222" s="711">
        <v>10500</v>
      </c>
      <c r="AR222" s="711"/>
      <c r="AT222" s="183" t="s">
        <v>7</v>
      </c>
      <c r="AU222" s="183">
        <v>54000</v>
      </c>
    </row>
    <row r="223" spans="1:47">
      <c r="A223" s="184"/>
      <c r="B223" s="184"/>
      <c r="C223" s="185">
        <v>50</v>
      </c>
      <c r="D223" s="280">
        <v>2</v>
      </c>
      <c r="E223" s="185">
        <v>0</v>
      </c>
      <c r="F223" s="279"/>
      <c r="G223" s="279"/>
      <c r="H223" s="279"/>
      <c r="I223" s="185">
        <v>0</v>
      </c>
      <c r="J223" s="280">
        <v>2</v>
      </c>
      <c r="K223" s="280">
        <v>2</v>
      </c>
      <c r="L223" s="280">
        <v>2</v>
      </c>
      <c r="M223" s="279"/>
      <c r="N223" s="280">
        <v>2</v>
      </c>
      <c r="O223" s="185">
        <v>0</v>
      </c>
      <c r="P223" s="280">
        <v>2</v>
      </c>
      <c r="Q223" s="280">
        <v>2</v>
      </c>
      <c r="R223" s="280">
        <v>0</v>
      </c>
      <c r="S223" s="279"/>
      <c r="T223" s="279"/>
      <c r="U223" s="280">
        <v>2</v>
      </c>
      <c r="V223" s="280">
        <v>2</v>
      </c>
      <c r="W223" s="280">
        <v>2</v>
      </c>
      <c r="X223" s="280">
        <v>2</v>
      </c>
      <c r="Y223" s="280">
        <v>0</v>
      </c>
      <c r="Z223" s="280">
        <v>0</v>
      </c>
      <c r="AA223" s="279"/>
      <c r="AB223" s="279"/>
      <c r="AC223" s="280">
        <v>2</v>
      </c>
      <c r="AD223" s="280">
        <v>2</v>
      </c>
      <c r="AE223" s="280">
        <v>2</v>
      </c>
      <c r="AF223" s="280">
        <v>2</v>
      </c>
      <c r="AG223" s="280">
        <v>2</v>
      </c>
      <c r="AH223" s="279"/>
      <c r="AI223" s="185">
        <f t="shared" si="234"/>
        <v>32</v>
      </c>
      <c r="AJ223" s="185">
        <v>0</v>
      </c>
      <c r="AK223" s="185">
        <v>0</v>
      </c>
      <c r="AL223" s="185">
        <f t="shared" ref="AL223" si="249">AI223+AJ223-AK223</f>
        <v>32</v>
      </c>
      <c r="AM223" s="185">
        <f t="shared" si="237"/>
        <v>1600</v>
      </c>
      <c r="AN223" s="712"/>
      <c r="AO223" s="714"/>
      <c r="AP223" s="712"/>
      <c r="AQ223" s="712"/>
      <c r="AR223" s="712"/>
      <c r="AT223" s="183" t="s">
        <v>101</v>
      </c>
      <c r="AU223" s="183">
        <f>AU221-AU222</f>
        <v>27400</v>
      </c>
    </row>
    <row r="224" spans="1:47">
      <c r="A224" s="185">
        <v>6</v>
      </c>
      <c r="B224" s="184" t="s">
        <v>61</v>
      </c>
      <c r="C224" s="185">
        <v>500</v>
      </c>
      <c r="D224" s="185">
        <v>1</v>
      </c>
      <c r="E224" s="185">
        <v>1</v>
      </c>
      <c r="F224" s="279"/>
      <c r="G224" s="279"/>
      <c r="H224" s="279"/>
      <c r="I224" s="279"/>
      <c r="J224" s="185">
        <v>1</v>
      </c>
      <c r="K224" s="185">
        <v>1</v>
      </c>
      <c r="L224" s="185">
        <v>1</v>
      </c>
      <c r="M224" s="279"/>
      <c r="N224" s="185">
        <v>1</v>
      </c>
      <c r="O224" s="185">
        <v>1</v>
      </c>
      <c r="P224" s="185">
        <v>1</v>
      </c>
      <c r="Q224" s="185">
        <v>1</v>
      </c>
      <c r="R224" s="185">
        <v>1</v>
      </c>
      <c r="S224" s="279"/>
      <c r="T224" s="279"/>
      <c r="U224" s="185">
        <v>1</v>
      </c>
      <c r="V224" s="185">
        <v>1</v>
      </c>
      <c r="W224" s="185">
        <v>1</v>
      </c>
      <c r="X224" s="185">
        <v>1</v>
      </c>
      <c r="Y224" s="185">
        <v>1</v>
      </c>
      <c r="Z224" s="185">
        <v>1</v>
      </c>
      <c r="AA224" s="279"/>
      <c r="AB224" s="279"/>
      <c r="AC224" s="272">
        <v>0</v>
      </c>
      <c r="AD224" s="272">
        <v>0</v>
      </c>
      <c r="AE224" s="185">
        <v>1</v>
      </c>
      <c r="AF224" s="185">
        <v>1</v>
      </c>
      <c r="AG224" s="185">
        <v>1</v>
      </c>
      <c r="AH224" s="279"/>
      <c r="AI224" s="185">
        <f t="shared" si="234"/>
        <v>19</v>
      </c>
      <c r="AJ224" s="185">
        <v>6</v>
      </c>
      <c r="AK224" s="185">
        <v>0</v>
      </c>
      <c r="AL224" s="185">
        <f>AI224+AJ224-AK224</f>
        <v>25</v>
      </c>
      <c r="AM224" s="185">
        <f t="shared" si="237"/>
        <v>12500</v>
      </c>
      <c r="AN224" s="711">
        <f t="shared" ref="AN224" si="250">AM224+AM225</f>
        <v>12500</v>
      </c>
      <c r="AO224" s="713">
        <v>0</v>
      </c>
      <c r="AP224" s="711">
        <f t="shared" ref="AP224" si="251">AN224-AO224</f>
        <v>12500</v>
      </c>
      <c r="AQ224" s="711">
        <v>12000</v>
      </c>
      <c r="AR224" s="711"/>
    </row>
    <row r="225" spans="1:44">
      <c r="A225" s="184"/>
      <c r="B225" s="184"/>
      <c r="C225" s="185">
        <v>50</v>
      </c>
      <c r="D225" s="185">
        <v>0</v>
      </c>
      <c r="E225" s="185">
        <v>0</v>
      </c>
      <c r="F225" s="279"/>
      <c r="G225" s="279"/>
      <c r="H225" s="279"/>
      <c r="I225" s="185">
        <v>0</v>
      </c>
      <c r="J225" s="185">
        <v>0</v>
      </c>
      <c r="K225" s="185">
        <v>0</v>
      </c>
      <c r="L225" s="185">
        <v>0</v>
      </c>
      <c r="M225" s="279"/>
      <c r="N225" s="185">
        <v>0</v>
      </c>
      <c r="O225" s="185">
        <v>0</v>
      </c>
      <c r="P225" s="185">
        <v>0</v>
      </c>
      <c r="Q225" s="185">
        <v>0</v>
      </c>
      <c r="R225" s="185">
        <v>0</v>
      </c>
      <c r="S225" s="279"/>
      <c r="T225" s="279"/>
      <c r="U225" s="185">
        <v>0</v>
      </c>
      <c r="V225" s="185">
        <v>0</v>
      </c>
      <c r="W225" s="185">
        <v>0</v>
      </c>
      <c r="X225" s="185">
        <v>0</v>
      </c>
      <c r="Y225" s="185">
        <v>0</v>
      </c>
      <c r="Z225" s="185">
        <v>0</v>
      </c>
      <c r="AA225" s="279"/>
      <c r="AB225" s="279"/>
      <c r="AC225" s="185">
        <v>0</v>
      </c>
      <c r="AD225" s="185">
        <v>0</v>
      </c>
      <c r="AE225" s="185">
        <v>0</v>
      </c>
      <c r="AF225" s="185">
        <v>0</v>
      </c>
      <c r="AG225" s="185">
        <v>0</v>
      </c>
      <c r="AH225" s="279"/>
      <c r="AI225" s="185">
        <f t="shared" si="234"/>
        <v>0</v>
      </c>
      <c r="AJ225" s="185">
        <v>0</v>
      </c>
      <c r="AK225" s="185">
        <v>0</v>
      </c>
      <c r="AL225" s="185">
        <f t="shared" ref="AL225" si="252">AI225+AJ225-AK225</f>
        <v>0</v>
      </c>
      <c r="AM225" s="185">
        <f t="shared" si="237"/>
        <v>0</v>
      </c>
      <c r="AN225" s="712"/>
      <c r="AO225" s="714"/>
      <c r="AP225" s="712"/>
      <c r="AQ225" s="712"/>
      <c r="AR225" s="712"/>
    </row>
    <row r="226" spans="1:44">
      <c r="A226" s="185"/>
      <c r="B226" s="184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>
        <f t="shared" si="234"/>
        <v>0</v>
      </c>
      <c r="AJ226" s="185"/>
      <c r="AK226" s="185">
        <v>0</v>
      </c>
      <c r="AL226" s="185">
        <f>AI226+AJ226-AK226</f>
        <v>0</v>
      </c>
      <c r="AM226" s="185">
        <f t="shared" si="237"/>
        <v>0</v>
      </c>
      <c r="AN226" s="711">
        <f t="shared" ref="AN226" si="253">AM226+AM227</f>
        <v>0</v>
      </c>
      <c r="AO226" s="713">
        <v>0</v>
      </c>
      <c r="AP226" s="711">
        <f t="shared" ref="AP226" si="254">AN226-AO226</f>
        <v>0</v>
      </c>
      <c r="AQ226" s="711">
        <v>0</v>
      </c>
      <c r="AR226" s="711"/>
    </row>
    <row r="227" spans="1:44">
      <c r="A227" s="184"/>
      <c r="B227" s="184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>
        <f t="shared" si="234"/>
        <v>0</v>
      </c>
      <c r="AJ227" s="185">
        <v>0</v>
      </c>
      <c r="AK227" s="185">
        <v>0</v>
      </c>
      <c r="AL227" s="185">
        <f t="shared" ref="AL227" si="255">AI227+AJ227-AK227</f>
        <v>0</v>
      </c>
      <c r="AM227" s="185">
        <f t="shared" si="237"/>
        <v>0</v>
      </c>
      <c r="AN227" s="712"/>
      <c r="AO227" s="714"/>
      <c r="AP227" s="712"/>
      <c r="AQ227" s="712"/>
      <c r="AR227" s="712"/>
    </row>
    <row r="228" spans="1:44">
      <c r="A228" s="707" t="s">
        <v>103</v>
      </c>
      <c r="B228" s="708"/>
      <c r="C228" s="277"/>
      <c r="D228" s="277">
        <f>X223+D218+D220+D222+D224+D226+D216</f>
        <v>7</v>
      </c>
      <c r="E228" s="277">
        <f t="shared" ref="E228:V228" si="256">E214+E218+E220+E222+E224+E226+E216</f>
        <v>6</v>
      </c>
      <c r="F228" s="277">
        <f t="shared" si="256"/>
        <v>0</v>
      </c>
      <c r="G228" s="277">
        <f t="shared" si="256"/>
        <v>0</v>
      </c>
      <c r="H228" s="277">
        <f t="shared" si="256"/>
        <v>0</v>
      </c>
      <c r="I228" s="277">
        <f t="shared" si="256"/>
        <v>3</v>
      </c>
      <c r="J228" s="277">
        <f t="shared" si="256"/>
        <v>5</v>
      </c>
      <c r="K228" s="277">
        <f t="shared" si="256"/>
        <v>6</v>
      </c>
      <c r="L228" s="277">
        <f t="shared" si="256"/>
        <v>6</v>
      </c>
      <c r="M228" s="277">
        <f t="shared" si="256"/>
        <v>0</v>
      </c>
      <c r="N228" s="277">
        <f t="shared" si="256"/>
        <v>5</v>
      </c>
      <c r="O228" s="277">
        <f t="shared" si="256"/>
        <v>5</v>
      </c>
      <c r="P228" s="277">
        <f t="shared" si="256"/>
        <v>4</v>
      </c>
      <c r="Q228" s="277">
        <f t="shared" si="256"/>
        <v>6</v>
      </c>
      <c r="R228" s="277">
        <f t="shared" si="256"/>
        <v>4</v>
      </c>
      <c r="S228" s="277">
        <f t="shared" si="256"/>
        <v>0</v>
      </c>
      <c r="T228" s="277">
        <f t="shared" si="256"/>
        <v>0</v>
      </c>
      <c r="U228" s="277">
        <f t="shared" si="256"/>
        <v>4</v>
      </c>
      <c r="V228" s="277">
        <f t="shared" si="256"/>
        <v>4</v>
      </c>
      <c r="W228" s="277">
        <f>V214+V218+V220+V222+V224+V226+V216</f>
        <v>4</v>
      </c>
      <c r="X228" s="277">
        <f t="shared" ref="X228:AR228" si="257">X214+X218+X220+X222+X224+X226+X216</f>
        <v>4</v>
      </c>
      <c r="Y228" s="277">
        <f t="shared" si="257"/>
        <v>4</v>
      </c>
      <c r="Z228" s="277">
        <f t="shared" si="257"/>
        <v>4</v>
      </c>
      <c r="AA228" s="277">
        <f t="shared" si="257"/>
        <v>0</v>
      </c>
      <c r="AB228" s="277">
        <f>AB214+AB218+AB220+AB222+AB224+AB226+AB216</f>
        <v>0</v>
      </c>
      <c r="AC228" s="277">
        <f t="shared" si="257"/>
        <v>3</v>
      </c>
      <c r="AD228" s="277">
        <f t="shared" si="257"/>
        <v>3</v>
      </c>
      <c r="AE228" s="277">
        <f t="shared" si="257"/>
        <v>4</v>
      </c>
      <c r="AF228" s="277">
        <f t="shared" si="257"/>
        <v>4</v>
      </c>
      <c r="AG228" s="277">
        <f t="shared" si="257"/>
        <v>4</v>
      </c>
      <c r="AH228" s="277">
        <f t="shared" si="257"/>
        <v>0</v>
      </c>
      <c r="AI228" s="277">
        <f t="shared" si="257"/>
        <v>98</v>
      </c>
      <c r="AJ228" s="277">
        <f t="shared" si="257"/>
        <v>12</v>
      </c>
      <c r="AK228" s="277">
        <f t="shared" si="257"/>
        <v>1</v>
      </c>
      <c r="AL228" s="277">
        <f t="shared" si="257"/>
        <v>109</v>
      </c>
      <c r="AM228" s="277">
        <f t="shared" si="257"/>
        <v>49586.5</v>
      </c>
      <c r="AN228" s="277">
        <f t="shared" si="257"/>
        <v>54356.5</v>
      </c>
      <c r="AO228" s="277">
        <f t="shared" si="257"/>
        <v>0</v>
      </c>
      <c r="AP228" s="277">
        <f t="shared" si="257"/>
        <v>54356.5</v>
      </c>
      <c r="AQ228" s="277">
        <f t="shared" si="257"/>
        <v>54000</v>
      </c>
      <c r="AR228" s="277">
        <f t="shared" si="257"/>
        <v>0</v>
      </c>
    </row>
    <row r="229" spans="1:44">
      <c r="A229" s="709" t="s">
        <v>106</v>
      </c>
      <c r="B229" s="710"/>
      <c r="C229" s="278"/>
      <c r="D229" s="278">
        <f>D215+D217+D219+D221+D223++D225+D227</f>
        <v>8</v>
      </c>
      <c r="E229" s="278">
        <f t="shared" ref="E229:V229" si="258">E215+E217+E219+E221+E223++E225+E227</f>
        <v>0</v>
      </c>
      <c r="F229" s="278">
        <f t="shared" si="258"/>
        <v>0</v>
      </c>
      <c r="G229" s="278">
        <f t="shared" si="258"/>
        <v>0</v>
      </c>
      <c r="H229" s="278">
        <f t="shared" si="258"/>
        <v>0</v>
      </c>
      <c r="I229" s="278">
        <f t="shared" si="258"/>
        <v>0</v>
      </c>
      <c r="J229" s="278">
        <f t="shared" si="258"/>
        <v>6</v>
      </c>
      <c r="K229" s="278">
        <f t="shared" si="258"/>
        <v>8</v>
      </c>
      <c r="L229" s="278">
        <f t="shared" si="258"/>
        <v>8</v>
      </c>
      <c r="M229" s="278">
        <f t="shared" si="258"/>
        <v>0</v>
      </c>
      <c r="N229" s="278">
        <f t="shared" si="258"/>
        <v>8</v>
      </c>
      <c r="O229" s="278">
        <f t="shared" si="258"/>
        <v>6</v>
      </c>
      <c r="P229" s="278">
        <f t="shared" si="258"/>
        <v>4</v>
      </c>
      <c r="Q229" s="278">
        <f t="shared" si="258"/>
        <v>8</v>
      </c>
      <c r="R229" s="278">
        <f t="shared" si="258"/>
        <v>0</v>
      </c>
      <c r="S229" s="278">
        <f t="shared" si="258"/>
        <v>0</v>
      </c>
      <c r="T229" s="278">
        <f t="shared" si="258"/>
        <v>0</v>
      </c>
      <c r="U229" s="278">
        <f t="shared" si="258"/>
        <v>4</v>
      </c>
      <c r="V229" s="278">
        <f t="shared" si="258"/>
        <v>4</v>
      </c>
      <c r="W229" s="278">
        <f>V215+V217+V219+V221+V223++V225+V227</f>
        <v>4</v>
      </c>
      <c r="X229" s="278">
        <f t="shared" ref="X229:AR229" si="259">X215+X217+X219+X221+X223++X225+X227</f>
        <v>4</v>
      </c>
      <c r="Y229" s="278">
        <f t="shared" si="259"/>
        <v>0</v>
      </c>
      <c r="Z229" s="278">
        <f t="shared" si="259"/>
        <v>0</v>
      </c>
      <c r="AA229" s="278">
        <f t="shared" si="259"/>
        <v>0</v>
      </c>
      <c r="AB229" s="278">
        <f>AB215+AB217+AB219+AB221+AB223++AB225+AB227</f>
        <v>0</v>
      </c>
      <c r="AC229" s="278">
        <f t="shared" si="259"/>
        <v>4</v>
      </c>
      <c r="AD229" s="278">
        <f t="shared" si="259"/>
        <v>4</v>
      </c>
      <c r="AE229" s="278">
        <f t="shared" si="259"/>
        <v>4</v>
      </c>
      <c r="AF229" s="278">
        <f t="shared" si="259"/>
        <v>4</v>
      </c>
      <c r="AG229" s="278">
        <f t="shared" si="259"/>
        <v>4</v>
      </c>
      <c r="AH229" s="278">
        <f t="shared" si="259"/>
        <v>0</v>
      </c>
      <c r="AI229" s="278">
        <f t="shared" si="259"/>
        <v>92</v>
      </c>
      <c r="AJ229" s="278">
        <f t="shared" si="259"/>
        <v>0</v>
      </c>
      <c r="AK229" s="278">
        <f t="shared" si="259"/>
        <v>0</v>
      </c>
      <c r="AL229" s="278">
        <f t="shared" si="259"/>
        <v>92</v>
      </c>
      <c r="AM229" s="278">
        <f t="shared" si="259"/>
        <v>4770</v>
      </c>
      <c r="AN229" s="278">
        <f t="shared" si="259"/>
        <v>0</v>
      </c>
      <c r="AO229" s="278">
        <f t="shared" si="259"/>
        <v>0</v>
      </c>
      <c r="AP229" s="278">
        <f t="shared" si="259"/>
        <v>0</v>
      </c>
      <c r="AQ229" s="278">
        <f t="shared" si="259"/>
        <v>0</v>
      </c>
      <c r="AR229" s="278">
        <f t="shared" si="259"/>
        <v>0</v>
      </c>
    </row>
  </sheetData>
  <mergeCells count="595">
    <mergeCell ref="A209:B209"/>
    <mergeCell ref="A210:B210"/>
    <mergeCell ref="AN205:AN206"/>
    <mergeCell ref="AO205:AO206"/>
    <mergeCell ref="AP205:AP206"/>
    <mergeCell ref="AQ205:AQ206"/>
    <mergeCell ref="AR205:AR206"/>
    <mergeCell ref="AN207:AN208"/>
    <mergeCell ref="AO207:AO208"/>
    <mergeCell ref="AP207:AP208"/>
    <mergeCell ref="AQ207:AQ208"/>
    <mergeCell ref="AR207:AR208"/>
    <mergeCell ref="AN201:AN202"/>
    <mergeCell ref="AO201:AO202"/>
    <mergeCell ref="AP201:AP202"/>
    <mergeCell ref="AQ201:AQ202"/>
    <mergeCell ref="AR201:AR202"/>
    <mergeCell ref="AN203:AN204"/>
    <mergeCell ref="AO203:AO204"/>
    <mergeCell ref="AP203:AP204"/>
    <mergeCell ref="AQ203:AQ204"/>
    <mergeCell ref="AR203:AR204"/>
    <mergeCell ref="AN197:AN198"/>
    <mergeCell ref="AO197:AO198"/>
    <mergeCell ref="AP197:AP198"/>
    <mergeCell ref="AQ197:AQ198"/>
    <mergeCell ref="AR197:AR198"/>
    <mergeCell ref="AN199:AN200"/>
    <mergeCell ref="AO199:AO200"/>
    <mergeCell ref="AP199:AP200"/>
    <mergeCell ref="AQ199:AQ200"/>
    <mergeCell ref="AR199:AR200"/>
    <mergeCell ref="AO193:AO194"/>
    <mergeCell ref="AP193:AP194"/>
    <mergeCell ref="AQ193:AQ194"/>
    <mergeCell ref="AR193:AR194"/>
    <mergeCell ref="AN195:AN196"/>
    <mergeCell ref="AO195:AO196"/>
    <mergeCell ref="AP195:AP196"/>
    <mergeCell ref="AQ195:AQ196"/>
    <mergeCell ref="AR195:AR196"/>
    <mergeCell ref="A193:A194"/>
    <mergeCell ref="B193:C194"/>
    <mergeCell ref="D193:AF193"/>
    <mergeCell ref="AG193:AH193"/>
    <mergeCell ref="AI193:AI194"/>
    <mergeCell ref="AJ193:AJ194"/>
    <mergeCell ref="AK193:AK194"/>
    <mergeCell ref="AL193:AL194"/>
    <mergeCell ref="AM193:AN194"/>
    <mergeCell ref="A190:B190"/>
    <mergeCell ref="A191:B191"/>
    <mergeCell ref="AN186:AN187"/>
    <mergeCell ref="AO186:AO187"/>
    <mergeCell ref="AP186:AP187"/>
    <mergeCell ref="AQ186:AQ187"/>
    <mergeCell ref="AR186:AR187"/>
    <mergeCell ref="AN188:AN189"/>
    <mergeCell ref="AO188:AO189"/>
    <mergeCell ref="AP188:AP189"/>
    <mergeCell ref="AQ188:AQ189"/>
    <mergeCell ref="AR188:AR189"/>
    <mergeCell ref="AN182:AN183"/>
    <mergeCell ref="AO182:AO183"/>
    <mergeCell ref="AP182:AP183"/>
    <mergeCell ref="AQ182:AQ183"/>
    <mergeCell ref="AR182:AR183"/>
    <mergeCell ref="AN184:AN185"/>
    <mergeCell ref="AO184:AO185"/>
    <mergeCell ref="AP184:AP185"/>
    <mergeCell ref="AQ184:AQ185"/>
    <mergeCell ref="AR184:AR185"/>
    <mergeCell ref="AN178:AN179"/>
    <mergeCell ref="AO178:AO179"/>
    <mergeCell ref="AP178:AP179"/>
    <mergeCell ref="AQ178:AQ179"/>
    <mergeCell ref="AR178:AR179"/>
    <mergeCell ref="AN180:AN181"/>
    <mergeCell ref="AO180:AO181"/>
    <mergeCell ref="AP180:AP181"/>
    <mergeCell ref="AQ180:AQ181"/>
    <mergeCell ref="AR180:AR181"/>
    <mergeCell ref="AO174:AO175"/>
    <mergeCell ref="AP174:AP175"/>
    <mergeCell ref="AQ174:AQ175"/>
    <mergeCell ref="AR174:AR175"/>
    <mergeCell ref="AN176:AN177"/>
    <mergeCell ref="AO176:AO177"/>
    <mergeCell ref="AP176:AP177"/>
    <mergeCell ref="AQ176:AQ177"/>
    <mergeCell ref="AR176:AR177"/>
    <mergeCell ref="A174:A175"/>
    <mergeCell ref="B174:C175"/>
    <mergeCell ref="D174:AF174"/>
    <mergeCell ref="AG174:AH174"/>
    <mergeCell ref="AI174:AI175"/>
    <mergeCell ref="AJ174:AJ175"/>
    <mergeCell ref="AK174:AK175"/>
    <mergeCell ref="AL174:AL175"/>
    <mergeCell ref="AM174:AN175"/>
    <mergeCell ref="A171:B171"/>
    <mergeCell ref="A172:B172"/>
    <mergeCell ref="AN167:AN168"/>
    <mergeCell ref="AO167:AO168"/>
    <mergeCell ref="AP167:AP168"/>
    <mergeCell ref="AQ167:AQ168"/>
    <mergeCell ref="AR167:AR168"/>
    <mergeCell ref="AN169:AN170"/>
    <mergeCell ref="AO169:AO170"/>
    <mergeCell ref="AP169:AP170"/>
    <mergeCell ref="AQ169:AQ170"/>
    <mergeCell ref="AR169:AR170"/>
    <mergeCell ref="AN163:AN164"/>
    <mergeCell ref="AO163:AO164"/>
    <mergeCell ref="AP163:AP164"/>
    <mergeCell ref="AQ163:AQ164"/>
    <mergeCell ref="AR163:AR164"/>
    <mergeCell ref="AN165:AN166"/>
    <mergeCell ref="AO165:AO166"/>
    <mergeCell ref="AP165:AP166"/>
    <mergeCell ref="AQ165:AQ166"/>
    <mergeCell ref="AR165:AR166"/>
    <mergeCell ref="AN159:AN160"/>
    <mergeCell ref="AO159:AO160"/>
    <mergeCell ref="AP159:AP160"/>
    <mergeCell ref="AQ159:AQ160"/>
    <mergeCell ref="AR159:AR160"/>
    <mergeCell ref="AN161:AN162"/>
    <mergeCell ref="AO161:AO162"/>
    <mergeCell ref="AP161:AP162"/>
    <mergeCell ref="AQ161:AQ162"/>
    <mergeCell ref="AR161:AR162"/>
    <mergeCell ref="AO155:AO156"/>
    <mergeCell ref="AP155:AP156"/>
    <mergeCell ref="AQ155:AQ156"/>
    <mergeCell ref="AR155:AR156"/>
    <mergeCell ref="AN157:AN158"/>
    <mergeCell ref="AO157:AO158"/>
    <mergeCell ref="AP157:AP158"/>
    <mergeCell ref="AQ157:AQ158"/>
    <mergeCell ref="AR157:AR158"/>
    <mergeCell ref="A155:A156"/>
    <mergeCell ref="B155:C156"/>
    <mergeCell ref="D155:AF155"/>
    <mergeCell ref="AG155:AH155"/>
    <mergeCell ref="AI155:AI156"/>
    <mergeCell ref="AJ155:AJ156"/>
    <mergeCell ref="AK155:AK156"/>
    <mergeCell ref="AL155:AL156"/>
    <mergeCell ref="AM155:AN156"/>
    <mergeCell ref="A133:B133"/>
    <mergeCell ref="A134:B134"/>
    <mergeCell ref="AN129:AN130"/>
    <mergeCell ref="AO129:AO130"/>
    <mergeCell ref="AP129:AP130"/>
    <mergeCell ref="AQ129:AQ130"/>
    <mergeCell ref="AR129:AR130"/>
    <mergeCell ref="AN131:AN132"/>
    <mergeCell ref="AO131:AO132"/>
    <mergeCell ref="AP131:AP132"/>
    <mergeCell ref="AQ131:AQ132"/>
    <mergeCell ref="AR131:AR132"/>
    <mergeCell ref="AN125:AN126"/>
    <mergeCell ref="AO125:AO126"/>
    <mergeCell ref="AP125:AP126"/>
    <mergeCell ref="AQ125:AQ126"/>
    <mergeCell ref="AR125:AR126"/>
    <mergeCell ref="AN127:AN128"/>
    <mergeCell ref="AO127:AO128"/>
    <mergeCell ref="AP127:AP128"/>
    <mergeCell ref="AQ127:AQ128"/>
    <mergeCell ref="AR127:AR128"/>
    <mergeCell ref="AN121:AN122"/>
    <mergeCell ref="AO121:AO122"/>
    <mergeCell ref="AP121:AP122"/>
    <mergeCell ref="AQ121:AQ122"/>
    <mergeCell ref="AR121:AR122"/>
    <mergeCell ref="AN123:AN124"/>
    <mergeCell ref="AO123:AO124"/>
    <mergeCell ref="AP123:AP124"/>
    <mergeCell ref="AQ123:AQ124"/>
    <mergeCell ref="AR123:AR124"/>
    <mergeCell ref="AO117:AO118"/>
    <mergeCell ref="AP117:AP118"/>
    <mergeCell ref="AQ117:AQ118"/>
    <mergeCell ref="AR117:AR118"/>
    <mergeCell ref="AN119:AN120"/>
    <mergeCell ref="AO119:AO120"/>
    <mergeCell ref="AP119:AP120"/>
    <mergeCell ref="AQ119:AQ120"/>
    <mergeCell ref="AR119:AR120"/>
    <mergeCell ref="A117:A118"/>
    <mergeCell ref="B117:C118"/>
    <mergeCell ref="D117:AF117"/>
    <mergeCell ref="AG117:AH117"/>
    <mergeCell ref="AI117:AI118"/>
    <mergeCell ref="AJ117:AJ118"/>
    <mergeCell ref="AK117:AK118"/>
    <mergeCell ref="AL117:AL118"/>
    <mergeCell ref="AM117:AN118"/>
    <mergeCell ref="A93:B93"/>
    <mergeCell ref="A94:B94"/>
    <mergeCell ref="AN89:AN90"/>
    <mergeCell ref="AO89:AO90"/>
    <mergeCell ref="AP89:AP90"/>
    <mergeCell ref="AQ89:AQ90"/>
    <mergeCell ref="AR89:AR90"/>
    <mergeCell ref="AN91:AN92"/>
    <mergeCell ref="AO91:AO92"/>
    <mergeCell ref="AP91:AP92"/>
    <mergeCell ref="AQ91:AQ92"/>
    <mergeCell ref="AR91:AR92"/>
    <mergeCell ref="AN85:AN86"/>
    <mergeCell ref="AO85:AO86"/>
    <mergeCell ref="AP85:AP86"/>
    <mergeCell ref="AQ85:AQ86"/>
    <mergeCell ref="AR85:AR86"/>
    <mergeCell ref="AN87:AN88"/>
    <mergeCell ref="AO87:AO88"/>
    <mergeCell ref="AP87:AP88"/>
    <mergeCell ref="AQ87:AQ88"/>
    <mergeCell ref="AR87:AR88"/>
    <mergeCell ref="AN81:AN82"/>
    <mergeCell ref="AO81:AO82"/>
    <mergeCell ref="AP81:AP82"/>
    <mergeCell ref="AQ81:AQ82"/>
    <mergeCell ref="AR81:AR82"/>
    <mergeCell ref="AN83:AN84"/>
    <mergeCell ref="AO83:AO84"/>
    <mergeCell ref="AP83:AP84"/>
    <mergeCell ref="AQ83:AQ84"/>
    <mergeCell ref="AR83:AR84"/>
    <mergeCell ref="AO77:AO78"/>
    <mergeCell ref="AP77:AP78"/>
    <mergeCell ref="AQ77:AQ78"/>
    <mergeCell ref="AR77:AR78"/>
    <mergeCell ref="AN79:AN80"/>
    <mergeCell ref="AO79:AO80"/>
    <mergeCell ref="AP79:AP80"/>
    <mergeCell ref="AQ79:AQ80"/>
    <mergeCell ref="AR79:AR80"/>
    <mergeCell ref="A77:A78"/>
    <mergeCell ref="B77:C78"/>
    <mergeCell ref="D77:AF77"/>
    <mergeCell ref="AG77:AH77"/>
    <mergeCell ref="AI77:AI78"/>
    <mergeCell ref="AJ77:AJ78"/>
    <mergeCell ref="AK77:AK78"/>
    <mergeCell ref="AL77:AL78"/>
    <mergeCell ref="AM77:AN78"/>
    <mergeCell ref="A16:B16"/>
    <mergeCell ref="AI1:AI2"/>
    <mergeCell ref="AG1:AH1"/>
    <mergeCell ref="D1:AF1"/>
    <mergeCell ref="B1:C2"/>
    <mergeCell ref="AN13:AN14"/>
    <mergeCell ref="AJ1:AJ2"/>
    <mergeCell ref="AK1:AK2"/>
    <mergeCell ref="AL1:AL2"/>
    <mergeCell ref="AN7:AN8"/>
    <mergeCell ref="AN9:AN10"/>
    <mergeCell ref="AN11:AN12"/>
    <mergeCell ref="AO7:AO8"/>
    <mergeCell ref="AQ1:AQ2"/>
    <mergeCell ref="AO1:AO2"/>
    <mergeCell ref="AP1:AP2"/>
    <mergeCell ref="AN3:AN4"/>
    <mergeCell ref="AN5:AN6"/>
    <mergeCell ref="AO3:AO4"/>
    <mergeCell ref="A1:A2"/>
    <mergeCell ref="A15:B15"/>
    <mergeCell ref="AR11:AR12"/>
    <mergeCell ref="AR13:AR14"/>
    <mergeCell ref="AM1:AN2"/>
    <mergeCell ref="AR1:AR2"/>
    <mergeCell ref="AR3:AR4"/>
    <mergeCell ref="AR5:AR6"/>
    <mergeCell ref="AR7:AR8"/>
    <mergeCell ref="AR9:AR10"/>
    <mergeCell ref="AP3:AP4"/>
    <mergeCell ref="AP5:AP6"/>
    <mergeCell ref="AP7:AP8"/>
    <mergeCell ref="AP9:AP10"/>
    <mergeCell ref="AP11:AP12"/>
    <mergeCell ref="AP13:AP14"/>
    <mergeCell ref="AQ3:AQ4"/>
    <mergeCell ref="AO9:AO10"/>
    <mergeCell ref="AO11:AO12"/>
    <mergeCell ref="AO13:AO14"/>
    <mergeCell ref="AQ5:AQ6"/>
    <mergeCell ref="AQ7:AQ8"/>
    <mergeCell ref="AQ9:AQ10"/>
    <mergeCell ref="AO5:AO6"/>
    <mergeCell ref="AQ11:AQ12"/>
    <mergeCell ref="AQ13:AQ14"/>
    <mergeCell ref="AJ18:AJ19"/>
    <mergeCell ref="AK18:AK19"/>
    <mergeCell ref="AL18:AL19"/>
    <mergeCell ref="AM18:AN19"/>
    <mergeCell ref="AO18:AO19"/>
    <mergeCell ref="A18:A19"/>
    <mergeCell ref="B18:C19"/>
    <mergeCell ref="D18:AF18"/>
    <mergeCell ref="AG18:AH18"/>
    <mergeCell ref="AI18:AI19"/>
    <mergeCell ref="AN22:AN23"/>
    <mergeCell ref="AO22:AO23"/>
    <mergeCell ref="AP22:AP23"/>
    <mergeCell ref="AQ22:AQ23"/>
    <mergeCell ref="AR22:AR23"/>
    <mergeCell ref="AP18:AP19"/>
    <mergeCell ref="AQ18:AQ19"/>
    <mergeCell ref="AR18:AR19"/>
    <mergeCell ref="AN20:AN21"/>
    <mergeCell ref="AO20:AO21"/>
    <mergeCell ref="AP20:AP21"/>
    <mergeCell ref="AQ20:AQ21"/>
    <mergeCell ref="AR20:AR21"/>
    <mergeCell ref="AN26:AN27"/>
    <mergeCell ref="AO26:AO27"/>
    <mergeCell ref="AP26:AP27"/>
    <mergeCell ref="AQ26:AQ27"/>
    <mergeCell ref="AR26:AR27"/>
    <mergeCell ref="AN24:AN25"/>
    <mergeCell ref="AO24:AO25"/>
    <mergeCell ref="AP24:AP25"/>
    <mergeCell ref="AQ24:AQ25"/>
    <mergeCell ref="AR24:AR25"/>
    <mergeCell ref="AP32:AP33"/>
    <mergeCell ref="AQ32:AQ33"/>
    <mergeCell ref="AR32:AR33"/>
    <mergeCell ref="AN28:AN29"/>
    <mergeCell ref="AO28:AO29"/>
    <mergeCell ref="AP28:AP29"/>
    <mergeCell ref="AQ28:AQ29"/>
    <mergeCell ref="AR28:AR29"/>
    <mergeCell ref="AN30:AN31"/>
    <mergeCell ref="AO30:AO31"/>
    <mergeCell ref="AP30:AP31"/>
    <mergeCell ref="AQ30:AQ31"/>
    <mergeCell ref="AR30:AR31"/>
    <mergeCell ref="A37:A38"/>
    <mergeCell ref="B37:C38"/>
    <mergeCell ref="D37:AF37"/>
    <mergeCell ref="AG37:AH37"/>
    <mergeCell ref="AI37:AI38"/>
    <mergeCell ref="A34:B34"/>
    <mergeCell ref="A35:B35"/>
    <mergeCell ref="AN32:AN33"/>
    <mergeCell ref="AO32:AO33"/>
    <mergeCell ref="AP37:AP38"/>
    <mergeCell ref="AQ37:AQ38"/>
    <mergeCell ref="AR37:AR38"/>
    <mergeCell ref="AN39:AN40"/>
    <mergeCell ref="AO39:AO40"/>
    <mergeCell ref="AP39:AP40"/>
    <mergeCell ref="AQ39:AQ40"/>
    <mergeCell ref="AR39:AR40"/>
    <mergeCell ref="AJ37:AJ38"/>
    <mergeCell ref="AK37:AK38"/>
    <mergeCell ref="AL37:AL38"/>
    <mergeCell ref="AM37:AN38"/>
    <mergeCell ref="AO37:AO38"/>
    <mergeCell ref="AN43:AN44"/>
    <mergeCell ref="AO43:AO44"/>
    <mergeCell ref="AP43:AP44"/>
    <mergeCell ref="AQ43:AQ44"/>
    <mergeCell ref="AR43:AR44"/>
    <mergeCell ref="AN41:AN42"/>
    <mergeCell ref="AO41:AO42"/>
    <mergeCell ref="AP41:AP42"/>
    <mergeCell ref="AQ41:AQ42"/>
    <mergeCell ref="AR41:AR42"/>
    <mergeCell ref="AN47:AN48"/>
    <mergeCell ref="AO47:AO48"/>
    <mergeCell ref="AP47:AP48"/>
    <mergeCell ref="AQ47:AQ48"/>
    <mergeCell ref="AR47:AR48"/>
    <mergeCell ref="AN45:AN46"/>
    <mergeCell ref="AO45:AO46"/>
    <mergeCell ref="AP45:AP46"/>
    <mergeCell ref="AQ45:AQ46"/>
    <mergeCell ref="AR45:AR46"/>
    <mergeCell ref="A53:B53"/>
    <mergeCell ref="A54:B54"/>
    <mergeCell ref="AN51:AN52"/>
    <mergeCell ref="AO51:AO52"/>
    <mergeCell ref="AP51:AP52"/>
    <mergeCell ref="AQ51:AQ52"/>
    <mergeCell ref="AR51:AR52"/>
    <mergeCell ref="AN49:AN50"/>
    <mergeCell ref="AO49:AO50"/>
    <mergeCell ref="AP49:AP50"/>
    <mergeCell ref="AQ49:AQ50"/>
    <mergeCell ref="AR49:AR50"/>
    <mergeCell ref="A57:A58"/>
    <mergeCell ref="B57:C58"/>
    <mergeCell ref="D57:AF57"/>
    <mergeCell ref="AG57:AH57"/>
    <mergeCell ref="AI57:AI58"/>
    <mergeCell ref="AJ57:AJ58"/>
    <mergeCell ref="AK57:AK58"/>
    <mergeCell ref="AL57:AL58"/>
    <mergeCell ref="AM57:AN58"/>
    <mergeCell ref="AP63:AP64"/>
    <mergeCell ref="AQ63:AQ64"/>
    <mergeCell ref="AR63:AR64"/>
    <mergeCell ref="AN65:AN66"/>
    <mergeCell ref="AO65:AO66"/>
    <mergeCell ref="AP65:AP66"/>
    <mergeCell ref="AQ65:AQ66"/>
    <mergeCell ref="AR65:AR66"/>
    <mergeCell ref="AO57:AO58"/>
    <mergeCell ref="AP57:AP58"/>
    <mergeCell ref="AQ57:AQ58"/>
    <mergeCell ref="AR57:AR58"/>
    <mergeCell ref="AN59:AN60"/>
    <mergeCell ref="AO59:AO60"/>
    <mergeCell ref="AP59:AP60"/>
    <mergeCell ref="AQ59:AQ60"/>
    <mergeCell ref="AR59:AR60"/>
    <mergeCell ref="A73:B73"/>
    <mergeCell ref="A74:B74"/>
    <mergeCell ref="AN71:AN72"/>
    <mergeCell ref="AO71:AO72"/>
    <mergeCell ref="AP71:AP72"/>
    <mergeCell ref="AQ71:AQ72"/>
    <mergeCell ref="AR71:AR72"/>
    <mergeCell ref="AN61:AN62"/>
    <mergeCell ref="AO61:AO62"/>
    <mergeCell ref="AP61:AP62"/>
    <mergeCell ref="AQ61:AQ62"/>
    <mergeCell ref="AR61:AR62"/>
    <mergeCell ref="AN67:AN68"/>
    <mergeCell ref="AO67:AO68"/>
    <mergeCell ref="AP67:AP68"/>
    <mergeCell ref="AQ67:AQ68"/>
    <mergeCell ref="AR67:AR68"/>
    <mergeCell ref="AN69:AN70"/>
    <mergeCell ref="AO69:AO70"/>
    <mergeCell ref="AP69:AP70"/>
    <mergeCell ref="AQ69:AQ70"/>
    <mergeCell ref="AR69:AR70"/>
    <mergeCell ref="AN63:AN64"/>
    <mergeCell ref="AO63:AO64"/>
    <mergeCell ref="A97:A98"/>
    <mergeCell ref="B97:C98"/>
    <mergeCell ref="D97:AF97"/>
    <mergeCell ref="AG97:AH97"/>
    <mergeCell ref="AI97:AI98"/>
    <mergeCell ref="AJ97:AJ98"/>
    <mergeCell ref="AK97:AK98"/>
    <mergeCell ref="AL97:AL98"/>
    <mergeCell ref="AM97:AN98"/>
    <mergeCell ref="AO97:AO98"/>
    <mergeCell ref="AP97:AP98"/>
    <mergeCell ref="AQ97:AQ98"/>
    <mergeCell ref="AR97:AR98"/>
    <mergeCell ref="AN99:AN100"/>
    <mergeCell ref="AO99:AO100"/>
    <mergeCell ref="AP99:AP100"/>
    <mergeCell ref="AQ99:AQ100"/>
    <mergeCell ref="AR99:AR100"/>
    <mergeCell ref="AN101:AN102"/>
    <mergeCell ref="AO101:AO102"/>
    <mergeCell ref="AP101:AP102"/>
    <mergeCell ref="AQ101:AQ102"/>
    <mergeCell ref="AR101:AR102"/>
    <mergeCell ref="AN103:AN104"/>
    <mergeCell ref="AO103:AO104"/>
    <mergeCell ref="AP103:AP104"/>
    <mergeCell ref="AQ103:AQ104"/>
    <mergeCell ref="AR103:AR104"/>
    <mergeCell ref="AN105:AN106"/>
    <mergeCell ref="AO105:AO106"/>
    <mergeCell ref="AP105:AP106"/>
    <mergeCell ref="AQ105:AQ106"/>
    <mergeCell ref="AR105:AR106"/>
    <mergeCell ref="AN107:AN108"/>
    <mergeCell ref="AO107:AO108"/>
    <mergeCell ref="AP107:AP108"/>
    <mergeCell ref="AQ107:AQ108"/>
    <mergeCell ref="AR107:AR108"/>
    <mergeCell ref="A113:B113"/>
    <mergeCell ref="A114:B114"/>
    <mergeCell ref="AN109:AN110"/>
    <mergeCell ref="AO109:AO110"/>
    <mergeCell ref="AP109:AP110"/>
    <mergeCell ref="AQ109:AQ110"/>
    <mergeCell ref="AR109:AR110"/>
    <mergeCell ref="AN111:AN112"/>
    <mergeCell ref="AO111:AO112"/>
    <mergeCell ref="AP111:AP112"/>
    <mergeCell ref="AQ111:AQ112"/>
    <mergeCell ref="AR111:AR112"/>
    <mergeCell ref="A136:A137"/>
    <mergeCell ref="B136:C137"/>
    <mergeCell ref="D136:AF136"/>
    <mergeCell ref="AG136:AH136"/>
    <mergeCell ref="AI136:AI137"/>
    <mergeCell ref="AJ136:AJ137"/>
    <mergeCell ref="AK136:AK137"/>
    <mergeCell ref="AL136:AL137"/>
    <mergeCell ref="AM136:AN137"/>
    <mergeCell ref="AO136:AO137"/>
    <mergeCell ref="AP136:AP137"/>
    <mergeCell ref="AQ136:AQ137"/>
    <mergeCell ref="AR136:AR137"/>
    <mergeCell ref="AN138:AN139"/>
    <mergeCell ref="AO138:AO139"/>
    <mergeCell ref="AP138:AP139"/>
    <mergeCell ref="AQ138:AQ139"/>
    <mergeCell ref="AR138:AR139"/>
    <mergeCell ref="AN140:AN141"/>
    <mergeCell ref="AO140:AO141"/>
    <mergeCell ref="AP140:AP141"/>
    <mergeCell ref="AQ140:AQ141"/>
    <mergeCell ref="AR140:AR141"/>
    <mergeCell ref="AN142:AN143"/>
    <mergeCell ref="AO142:AO143"/>
    <mergeCell ref="AP142:AP143"/>
    <mergeCell ref="AQ142:AQ143"/>
    <mergeCell ref="AR142:AR143"/>
    <mergeCell ref="AN144:AN145"/>
    <mergeCell ref="AO144:AO145"/>
    <mergeCell ref="AP144:AP145"/>
    <mergeCell ref="AQ144:AQ145"/>
    <mergeCell ref="AR144:AR145"/>
    <mergeCell ref="AN146:AN147"/>
    <mergeCell ref="AO146:AO147"/>
    <mergeCell ref="AP146:AP147"/>
    <mergeCell ref="AQ146:AQ147"/>
    <mergeCell ref="AR146:AR147"/>
    <mergeCell ref="A152:B152"/>
    <mergeCell ref="A153:B153"/>
    <mergeCell ref="AN148:AN149"/>
    <mergeCell ref="AO148:AO149"/>
    <mergeCell ref="AP148:AP149"/>
    <mergeCell ref="AQ148:AQ149"/>
    <mergeCell ref="AR148:AR149"/>
    <mergeCell ref="AN150:AN151"/>
    <mergeCell ref="AO150:AO151"/>
    <mergeCell ref="AP150:AP151"/>
    <mergeCell ref="AQ150:AQ151"/>
    <mergeCell ref="AR150:AR151"/>
    <mergeCell ref="A212:A213"/>
    <mergeCell ref="B212:C213"/>
    <mergeCell ref="D212:AF212"/>
    <mergeCell ref="AG212:AH212"/>
    <mergeCell ref="AI212:AI213"/>
    <mergeCell ref="AJ212:AJ213"/>
    <mergeCell ref="AK212:AK213"/>
    <mergeCell ref="AL212:AL213"/>
    <mergeCell ref="AM212:AN213"/>
    <mergeCell ref="AO212:AO213"/>
    <mergeCell ref="AP212:AP213"/>
    <mergeCell ref="AQ212:AQ213"/>
    <mergeCell ref="AR212:AR213"/>
    <mergeCell ref="AN214:AN215"/>
    <mergeCell ref="AO214:AO215"/>
    <mergeCell ref="AP214:AP215"/>
    <mergeCell ref="AQ214:AQ215"/>
    <mergeCell ref="AR214:AR215"/>
    <mergeCell ref="AN216:AN217"/>
    <mergeCell ref="AO216:AO217"/>
    <mergeCell ref="AP216:AP217"/>
    <mergeCell ref="AQ216:AQ217"/>
    <mergeCell ref="AR216:AR217"/>
    <mergeCell ref="AN218:AN219"/>
    <mergeCell ref="AO218:AO219"/>
    <mergeCell ref="AP218:AP219"/>
    <mergeCell ref="AQ218:AQ219"/>
    <mergeCell ref="AR218:AR219"/>
    <mergeCell ref="AN220:AN221"/>
    <mergeCell ref="AO220:AO221"/>
    <mergeCell ref="AP220:AP221"/>
    <mergeCell ref="AQ220:AQ221"/>
    <mergeCell ref="AR220:AR221"/>
    <mergeCell ref="AN222:AN223"/>
    <mergeCell ref="AO222:AO223"/>
    <mergeCell ref="AP222:AP223"/>
    <mergeCell ref="AQ222:AQ223"/>
    <mergeCell ref="AR222:AR223"/>
    <mergeCell ref="A228:B228"/>
    <mergeCell ref="A229:B229"/>
    <mergeCell ref="AN224:AN225"/>
    <mergeCell ref="AO224:AO225"/>
    <mergeCell ref="AP224:AP225"/>
    <mergeCell ref="AQ224:AQ225"/>
    <mergeCell ref="AR224:AR225"/>
    <mergeCell ref="AN226:AN227"/>
    <mergeCell ref="AO226:AO227"/>
    <mergeCell ref="AP226:AP227"/>
    <mergeCell ref="AQ226:AQ227"/>
    <mergeCell ref="AR226:AR227"/>
  </mergeCells>
  <pageMargins left="0.7" right="0.7" top="0.75" bottom="0.75" header="0.3" footer="0.3"/>
  <pageSetup orientation="portrait" horizontalDpi="0" verticalDpi="0" r:id="rId1"/>
  <ignoredErrors>
    <ignoredError sqref="AI15:AI16 AL4:AL5 AI34 AL21 C61 C81 W171:W172 W228:W229" formula="1"/>
    <ignoredError sqref="AI5:AI14 AI31:AI33 AI22:AI30 AI41:AI52 AI63:AI72 AI83:AI92 AI103:AI112 AI99:AI100 AI121:AI132 AI140:AI151 AI158:AI162 AI168:AI170 AI163:AI167 AI177:AI187 AI196:AI206 AI215:AI225" formulaRange="1"/>
    <ignoredError sqref="P229" evalErro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R247"/>
  <sheetViews>
    <sheetView topLeftCell="A227" workbookViewId="0">
      <selection activeCell="E236" sqref="E236:AH236"/>
    </sheetView>
  </sheetViews>
  <sheetFormatPr defaultRowHeight="15"/>
  <cols>
    <col min="1" max="1" width="3.42578125" customWidth="1"/>
    <col min="2" max="2" width="8.5703125" customWidth="1"/>
    <col min="3" max="3" width="4.28515625" customWidth="1"/>
    <col min="4" max="34" width="3.28515625" customWidth="1"/>
    <col min="35" max="38" width="4.7109375" customWidth="1"/>
    <col min="39" max="39" width="6.42578125" customWidth="1"/>
    <col min="40" max="40" width="6.85546875" customWidth="1"/>
    <col min="41" max="41" width="5.28515625" customWidth="1"/>
    <col min="42" max="42" width="6.140625" customWidth="1"/>
    <col min="43" max="43" width="7.140625" customWidth="1"/>
    <col min="44" max="44" width="5.28515625" customWidth="1"/>
  </cols>
  <sheetData>
    <row r="1" spans="1:44" ht="23.25">
      <c r="A1" s="838" t="s">
        <v>113</v>
      </c>
      <c r="B1" s="840" t="s">
        <v>1</v>
      </c>
      <c r="C1" s="841"/>
      <c r="D1" s="844" t="s">
        <v>142</v>
      </c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6"/>
      <c r="AG1" s="847">
        <v>31</v>
      </c>
      <c r="AH1" s="848"/>
      <c r="AI1" s="832" t="s">
        <v>107</v>
      </c>
      <c r="AJ1" s="832" t="s">
        <v>45</v>
      </c>
      <c r="AK1" s="832" t="s">
        <v>108</v>
      </c>
      <c r="AL1" s="832" t="s">
        <v>112</v>
      </c>
      <c r="AM1" s="834" t="s">
        <v>7</v>
      </c>
      <c r="AN1" s="835"/>
      <c r="AO1" s="832" t="s">
        <v>93</v>
      </c>
      <c r="AP1" s="832" t="s">
        <v>109</v>
      </c>
      <c r="AQ1" s="832" t="s">
        <v>33</v>
      </c>
      <c r="AR1" s="832" t="s">
        <v>111</v>
      </c>
    </row>
    <row r="2" spans="1:44">
      <c r="A2" s="839"/>
      <c r="B2" s="842"/>
      <c r="C2" s="843"/>
      <c r="D2" s="281">
        <v>1</v>
      </c>
      <c r="E2" s="281">
        <v>2</v>
      </c>
      <c r="F2" s="281">
        <v>3</v>
      </c>
      <c r="G2" s="281">
        <v>4</v>
      </c>
      <c r="H2" s="281">
        <v>5</v>
      </c>
      <c r="I2" s="281">
        <v>6</v>
      </c>
      <c r="J2" s="281">
        <v>7</v>
      </c>
      <c r="K2" s="281">
        <v>8</v>
      </c>
      <c r="L2" s="281">
        <v>9</v>
      </c>
      <c r="M2" s="281">
        <v>10</v>
      </c>
      <c r="N2" s="281">
        <v>11</v>
      </c>
      <c r="O2" s="281">
        <v>12</v>
      </c>
      <c r="P2" s="281">
        <v>13</v>
      </c>
      <c r="Q2" s="281">
        <v>14</v>
      </c>
      <c r="R2" s="281">
        <v>15</v>
      </c>
      <c r="S2" s="281">
        <v>16</v>
      </c>
      <c r="T2" s="281">
        <v>17</v>
      </c>
      <c r="U2" s="281">
        <v>18</v>
      </c>
      <c r="V2" s="281">
        <v>19</v>
      </c>
      <c r="W2" s="281">
        <v>20</v>
      </c>
      <c r="X2" s="281">
        <v>21</v>
      </c>
      <c r="Y2" s="281">
        <v>22</v>
      </c>
      <c r="Z2" s="281">
        <v>23</v>
      </c>
      <c r="AA2" s="281">
        <v>24</v>
      </c>
      <c r="AB2" s="281">
        <v>25</v>
      </c>
      <c r="AC2" s="281">
        <v>26</v>
      </c>
      <c r="AD2" s="281">
        <v>27</v>
      </c>
      <c r="AE2" s="281">
        <v>28</v>
      </c>
      <c r="AF2" s="281">
        <v>29</v>
      </c>
      <c r="AG2" s="281">
        <v>30</v>
      </c>
      <c r="AH2" s="281">
        <v>31</v>
      </c>
      <c r="AI2" s="833"/>
      <c r="AJ2" s="833"/>
      <c r="AK2" s="833"/>
      <c r="AL2" s="833"/>
      <c r="AM2" s="836"/>
      <c r="AN2" s="837"/>
      <c r="AO2" s="833"/>
      <c r="AP2" s="833"/>
      <c r="AQ2" s="833"/>
      <c r="AR2" s="833"/>
    </row>
    <row r="3" spans="1:44">
      <c r="A3" s="185">
        <v>1</v>
      </c>
      <c r="B3" s="184" t="s">
        <v>135</v>
      </c>
      <c r="C3" s="185">
        <f>C4*11.5</f>
        <v>500.25</v>
      </c>
      <c r="D3" s="284">
        <v>0</v>
      </c>
      <c r="E3" s="185">
        <v>1</v>
      </c>
      <c r="F3" s="185">
        <v>1</v>
      </c>
      <c r="G3" s="285">
        <v>0</v>
      </c>
      <c r="H3" s="285">
        <v>0</v>
      </c>
      <c r="I3" s="285">
        <v>0</v>
      </c>
      <c r="J3" s="285">
        <v>0</v>
      </c>
      <c r="K3" s="285">
        <v>0</v>
      </c>
      <c r="L3" s="185">
        <v>1</v>
      </c>
      <c r="M3" s="185">
        <v>1</v>
      </c>
      <c r="N3" s="185">
        <v>1</v>
      </c>
      <c r="O3" s="185">
        <v>1</v>
      </c>
      <c r="P3" s="185">
        <v>1</v>
      </c>
      <c r="Q3" s="284">
        <v>0</v>
      </c>
      <c r="R3" s="284">
        <v>0</v>
      </c>
      <c r="S3" s="284">
        <v>0</v>
      </c>
      <c r="T3" s="185">
        <v>1</v>
      </c>
      <c r="U3" s="285">
        <v>0</v>
      </c>
      <c r="V3" s="285">
        <v>0</v>
      </c>
      <c r="W3" s="285">
        <v>0</v>
      </c>
      <c r="X3" s="284">
        <v>0</v>
      </c>
      <c r="Y3" s="285">
        <v>0</v>
      </c>
      <c r="Z3" s="285">
        <v>0</v>
      </c>
      <c r="AA3" s="185">
        <v>1</v>
      </c>
      <c r="AB3" s="185">
        <v>1</v>
      </c>
      <c r="AC3" s="284">
        <v>0</v>
      </c>
      <c r="AD3" s="185">
        <v>1</v>
      </c>
      <c r="AE3" s="284">
        <v>0</v>
      </c>
      <c r="AF3" s="185">
        <v>1</v>
      </c>
      <c r="AG3" s="185">
        <v>1</v>
      </c>
      <c r="AH3" s="185">
        <v>1</v>
      </c>
      <c r="AI3" s="185">
        <f t="shared" ref="AI3:AI16" si="0">SUM(D3:AH3)</f>
        <v>14</v>
      </c>
      <c r="AJ3" s="185">
        <v>5</v>
      </c>
      <c r="AK3" s="185">
        <v>0</v>
      </c>
      <c r="AL3" s="185">
        <f>AI3+AJ3-AK3</f>
        <v>19</v>
      </c>
      <c r="AM3" s="185">
        <f>AL3*C3</f>
        <v>9504.75</v>
      </c>
      <c r="AN3" s="711">
        <f>AM3+AM4</f>
        <v>9504.75</v>
      </c>
      <c r="AO3" s="713">
        <v>0</v>
      </c>
      <c r="AP3" s="711">
        <f t="shared" ref="AP3" si="1">AN3-AO3</f>
        <v>9504.75</v>
      </c>
      <c r="AQ3" s="711"/>
      <c r="AR3" s="711"/>
    </row>
    <row r="4" spans="1:44">
      <c r="A4" s="185">
        <f>C3/8</f>
        <v>62.53125</v>
      </c>
      <c r="B4" s="184">
        <v>15000</v>
      </c>
      <c r="C4" s="185">
        <v>43.5</v>
      </c>
      <c r="D4" s="284">
        <v>0</v>
      </c>
      <c r="E4" s="185">
        <v>0</v>
      </c>
      <c r="F4" s="185">
        <v>0</v>
      </c>
      <c r="G4" s="285">
        <v>0</v>
      </c>
      <c r="H4" s="285">
        <v>0</v>
      </c>
      <c r="I4" s="285">
        <v>0</v>
      </c>
      <c r="J4" s="284">
        <v>0</v>
      </c>
      <c r="K4" s="2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284">
        <v>0</v>
      </c>
      <c r="R4" s="284">
        <v>0</v>
      </c>
      <c r="S4" s="284">
        <v>0</v>
      </c>
      <c r="T4" s="185">
        <v>0</v>
      </c>
      <c r="U4" s="285">
        <v>0</v>
      </c>
      <c r="V4" s="285">
        <v>0</v>
      </c>
      <c r="W4" s="285">
        <v>0</v>
      </c>
      <c r="X4" s="284">
        <v>0</v>
      </c>
      <c r="Y4" s="285">
        <v>0</v>
      </c>
      <c r="Z4" s="285">
        <v>0</v>
      </c>
      <c r="AA4" s="185">
        <v>0</v>
      </c>
      <c r="AB4" s="185">
        <v>0</v>
      </c>
      <c r="AC4" s="284">
        <v>0</v>
      </c>
      <c r="AD4" s="185">
        <v>0</v>
      </c>
      <c r="AE4" s="284">
        <v>0</v>
      </c>
      <c r="AF4" s="185">
        <v>0</v>
      </c>
      <c r="AG4" s="185">
        <v>0</v>
      </c>
      <c r="AH4" s="185">
        <v>0</v>
      </c>
      <c r="AI4" s="185">
        <f t="shared" si="0"/>
        <v>0</v>
      </c>
      <c r="AJ4" s="185">
        <v>0</v>
      </c>
      <c r="AK4" s="185">
        <v>0</v>
      </c>
      <c r="AL4" s="185">
        <f t="shared" ref="AL4" si="2">AI4+AJ4-AK4</f>
        <v>0</v>
      </c>
      <c r="AM4" s="185">
        <f>AL4*C4</f>
        <v>0</v>
      </c>
      <c r="AN4" s="712"/>
      <c r="AO4" s="714"/>
      <c r="AP4" s="712"/>
      <c r="AQ4" s="712"/>
      <c r="AR4" s="712"/>
    </row>
    <row r="5" spans="1:44">
      <c r="A5" s="185">
        <v>2</v>
      </c>
      <c r="B5" s="184" t="s">
        <v>114</v>
      </c>
      <c r="C5" s="185">
        <f>C6*8</f>
        <v>480</v>
      </c>
      <c r="D5" s="284">
        <v>0</v>
      </c>
      <c r="E5" s="185">
        <v>1</v>
      </c>
      <c r="F5" s="185">
        <v>1</v>
      </c>
      <c r="G5" s="185">
        <v>1</v>
      </c>
      <c r="H5" s="185">
        <v>1</v>
      </c>
      <c r="I5" s="185">
        <v>1</v>
      </c>
      <c r="J5" s="284">
        <v>0</v>
      </c>
      <c r="K5" s="185">
        <v>1</v>
      </c>
      <c r="L5" s="185">
        <v>1</v>
      </c>
      <c r="M5" s="185">
        <v>1</v>
      </c>
      <c r="N5" s="285">
        <v>0</v>
      </c>
      <c r="O5" s="185">
        <v>1</v>
      </c>
      <c r="P5" s="185">
        <v>1</v>
      </c>
      <c r="Q5" s="284">
        <v>0</v>
      </c>
      <c r="R5" s="284">
        <v>0</v>
      </c>
      <c r="S5" s="284">
        <v>0</v>
      </c>
      <c r="T5" s="185">
        <v>1</v>
      </c>
      <c r="U5" s="285">
        <v>0</v>
      </c>
      <c r="V5" s="185">
        <v>1</v>
      </c>
      <c r="W5" s="185">
        <v>1</v>
      </c>
      <c r="X5" s="284">
        <v>0</v>
      </c>
      <c r="Y5" s="185">
        <v>1</v>
      </c>
      <c r="Z5" s="185">
        <v>1</v>
      </c>
      <c r="AA5" s="185">
        <v>1</v>
      </c>
      <c r="AB5" s="185">
        <v>1</v>
      </c>
      <c r="AC5" s="284">
        <v>0</v>
      </c>
      <c r="AD5" s="285">
        <v>0</v>
      </c>
      <c r="AE5" s="284">
        <v>0</v>
      </c>
      <c r="AF5" s="185">
        <v>1</v>
      </c>
      <c r="AG5" s="285">
        <v>0</v>
      </c>
      <c r="AH5" s="285">
        <v>0</v>
      </c>
      <c r="AI5" s="185">
        <f t="shared" si="0"/>
        <v>18</v>
      </c>
      <c r="AJ5" s="185">
        <v>0</v>
      </c>
      <c r="AK5" s="185">
        <v>0</v>
      </c>
      <c r="AL5" s="185">
        <f>AI5+AJ5-AK5</f>
        <v>18</v>
      </c>
      <c r="AM5" s="185">
        <f t="shared" ref="AM5:AM16" si="3">AL5*C5</f>
        <v>8640</v>
      </c>
      <c r="AN5" s="711">
        <f t="shared" ref="AN5" si="4">AM5+AM6</f>
        <v>10800</v>
      </c>
      <c r="AO5" s="713">
        <v>0</v>
      </c>
      <c r="AP5" s="711">
        <f t="shared" ref="AP5" si="5">AN5-AO5</f>
        <v>10800</v>
      </c>
      <c r="AQ5" s="711"/>
      <c r="AR5" s="711"/>
    </row>
    <row r="6" spans="1:44">
      <c r="A6" s="185">
        <f>C5/8</f>
        <v>60</v>
      </c>
      <c r="B6" s="184"/>
      <c r="C6" s="185">
        <v>60</v>
      </c>
      <c r="D6" s="284">
        <v>0</v>
      </c>
      <c r="E6" s="185">
        <v>2</v>
      </c>
      <c r="F6" s="185">
        <v>2</v>
      </c>
      <c r="G6" s="185">
        <v>2</v>
      </c>
      <c r="H6" s="185">
        <v>2</v>
      </c>
      <c r="I6" s="185">
        <v>2</v>
      </c>
      <c r="J6" s="284">
        <v>0</v>
      </c>
      <c r="K6" s="185">
        <v>2</v>
      </c>
      <c r="L6" s="185">
        <v>2</v>
      </c>
      <c r="M6" s="185">
        <v>2</v>
      </c>
      <c r="N6" s="285">
        <v>0</v>
      </c>
      <c r="O6" s="185">
        <v>2</v>
      </c>
      <c r="P6" s="185">
        <v>2</v>
      </c>
      <c r="Q6" s="284">
        <v>0</v>
      </c>
      <c r="R6" s="284">
        <v>0</v>
      </c>
      <c r="S6" s="284">
        <v>0</v>
      </c>
      <c r="T6" s="185">
        <v>2</v>
      </c>
      <c r="U6" s="285">
        <v>0</v>
      </c>
      <c r="V6" s="185">
        <v>2</v>
      </c>
      <c r="W6" s="185">
        <v>2</v>
      </c>
      <c r="X6" s="284">
        <v>0</v>
      </c>
      <c r="Y6" s="185">
        <v>2</v>
      </c>
      <c r="Z6" s="185">
        <v>2</v>
      </c>
      <c r="AA6" s="185">
        <v>2</v>
      </c>
      <c r="AB6" s="185">
        <v>2</v>
      </c>
      <c r="AC6" s="284">
        <v>0</v>
      </c>
      <c r="AD6" s="285">
        <v>0</v>
      </c>
      <c r="AE6" s="284">
        <v>0</v>
      </c>
      <c r="AF6" s="185">
        <v>2</v>
      </c>
      <c r="AG6" s="285">
        <v>0</v>
      </c>
      <c r="AH6" s="285">
        <v>0</v>
      </c>
      <c r="AI6" s="185">
        <f t="shared" si="0"/>
        <v>36</v>
      </c>
      <c r="AJ6" s="185">
        <v>0</v>
      </c>
      <c r="AK6" s="185">
        <v>0</v>
      </c>
      <c r="AL6" s="185">
        <f t="shared" ref="AL6" si="6">AI6+AJ6-AK6</f>
        <v>36</v>
      </c>
      <c r="AM6" s="185">
        <f t="shared" si="3"/>
        <v>2160</v>
      </c>
      <c r="AN6" s="712"/>
      <c r="AO6" s="714"/>
      <c r="AP6" s="712"/>
      <c r="AQ6" s="712"/>
      <c r="AR6" s="712"/>
    </row>
    <row r="7" spans="1:44">
      <c r="A7" s="185">
        <v>3</v>
      </c>
      <c r="B7" s="184" t="s">
        <v>136</v>
      </c>
      <c r="C7" s="185">
        <f>C8*8</f>
        <v>440</v>
      </c>
      <c r="D7" s="284">
        <v>0</v>
      </c>
      <c r="E7" s="285">
        <v>0</v>
      </c>
      <c r="F7" s="185">
        <v>1</v>
      </c>
      <c r="G7" s="185">
        <v>1</v>
      </c>
      <c r="H7" s="185">
        <v>1</v>
      </c>
      <c r="I7" s="185">
        <v>1</v>
      </c>
      <c r="J7" s="284">
        <v>0</v>
      </c>
      <c r="K7" s="185">
        <v>1</v>
      </c>
      <c r="L7" s="185">
        <v>1</v>
      </c>
      <c r="M7" s="185">
        <v>1</v>
      </c>
      <c r="N7" s="185">
        <v>1</v>
      </c>
      <c r="O7" s="185">
        <v>1</v>
      </c>
      <c r="P7" s="203">
        <v>0</v>
      </c>
      <c r="Q7" s="284">
        <v>0</v>
      </c>
      <c r="R7" s="284">
        <v>0</v>
      </c>
      <c r="S7" s="284">
        <v>0</v>
      </c>
      <c r="T7" s="185">
        <v>1</v>
      </c>
      <c r="U7" s="185">
        <v>1</v>
      </c>
      <c r="V7" s="185">
        <v>1</v>
      </c>
      <c r="W7" s="185">
        <v>1</v>
      </c>
      <c r="X7" s="284">
        <v>0</v>
      </c>
      <c r="Y7" s="285">
        <v>0</v>
      </c>
      <c r="Z7" s="185">
        <v>1</v>
      </c>
      <c r="AA7" s="185">
        <v>1</v>
      </c>
      <c r="AB7" s="185">
        <v>1</v>
      </c>
      <c r="AC7" s="284">
        <v>0</v>
      </c>
      <c r="AD7" s="185">
        <v>1</v>
      </c>
      <c r="AE7" s="284">
        <v>0</v>
      </c>
      <c r="AF7" s="185">
        <v>1</v>
      </c>
      <c r="AG7" s="185">
        <v>1</v>
      </c>
      <c r="AH7" s="185">
        <v>1</v>
      </c>
      <c r="AI7" s="185">
        <f t="shared" si="0"/>
        <v>20</v>
      </c>
      <c r="AJ7" s="185">
        <v>0</v>
      </c>
      <c r="AK7" s="185">
        <v>0</v>
      </c>
      <c r="AL7" s="185">
        <f>AI7+AJ7-AK7</f>
        <v>20</v>
      </c>
      <c r="AM7" s="185">
        <f t="shared" ref="AM7:AM14" si="7">AL7*C7</f>
        <v>8800</v>
      </c>
      <c r="AN7" s="711">
        <f t="shared" ref="AN7" si="8">AM7+AM8</f>
        <v>11275</v>
      </c>
      <c r="AO7" s="713">
        <v>0</v>
      </c>
      <c r="AP7" s="711">
        <f t="shared" ref="AP7" si="9">AN7-AO7</f>
        <v>11275</v>
      </c>
      <c r="AQ7" s="711"/>
      <c r="AR7" s="711"/>
    </row>
    <row r="8" spans="1:44">
      <c r="A8" s="184"/>
      <c r="B8" s="184"/>
      <c r="C8" s="185">
        <v>55</v>
      </c>
      <c r="D8" s="284">
        <v>0</v>
      </c>
      <c r="E8" s="285">
        <v>0</v>
      </c>
      <c r="F8" s="185">
        <v>2</v>
      </c>
      <c r="G8" s="185">
        <v>2</v>
      </c>
      <c r="H8" s="185">
        <v>2</v>
      </c>
      <c r="I8" s="185">
        <v>2</v>
      </c>
      <c r="J8" s="284">
        <v>0</v>
      </c>
      <c r="K8" s="185">
        <v>2</v>
      </c>
      <c r="L8" s="185">
        <v>2</v>
      </c>
      <c r="M8" s="185">
        <v>2</v>
      </c>
      <c r="N8" s="185">
        <v>2</v>
      </c>
      <c r="O8" s="185">
        <v>2</v>
      </c>
      <c r="P8" s="203">
        <v>5</v>
      </c>
      <c r="Q8" s="284">
        <v>0</v>
      </c>
      <c r="R8" s="284">
        <v>0</v>
      </c>
      <c r="S8" s="284">
        <v>0</v>
      </c>
      <c r="T8" s="185">
        <v>2</v>
      </c>
      <c r="U8" s="185">
        <v>2</v>
      </c>
      <c r="V8" s="185">
        <v>2</v>
      </c>
      <c r="W8" s="185">
        <v>2</v>
      </c>
      <c r="X8" s="284">
        <v>0</v>
      </c>
      <c r="Y8" s="285">
        <v>0</v>
      </c>
      <c r="Z8" s="185">
        <v>2</v>
      </c>
      <c r="AA8" s="185">
        <v>2</v>
      </c>
      <c r="AB8" s="185">
        <v>2</v>
      </c>
      <c r="AC8" s="284">
        <v>0</v>
      </c>
      <c r="AD8" s="185">
        <v>2</v>
      </c>
      <c r="AE8" s="284">
        <v>0</v>
      </c>
      <c r="AF8" s="185">
        <v>2</v>
      </c>
      <c r="AG8" s="185">
        <v>2</v>
      </c>
      <c r="AH8" s="185">
        <v>2</v>
      </c>
      <c r="AI8" s="185">
        <f t="shared" si="0"/>
        <v>45</v>
      </c>
      <c r="AJ8" s="185">
        <v>0</v>
      </c>
      <c r="AK8" s="185">
        <v>0</v>
      </c>
      <c r="AL8" s="185">
        <f t="shared" ref="AL8" si="10">AI8+AJ8-AK8</f>
        <v>45</v>
      </c>
      <c r="AM8" s="185">
        <f t="shared" si="7"/>
        <v>2475</v>
      </c>
      <c r="AN8" s="712"/>
      <c r="AO8" s="714"/>
      <c r="AP8" s="712"/>
      <c r="AQ8" s="712"/>
      <c r="AR8" s="712"/>
    </row>
    <row r="9" spans="1:44">
      <c r="A9" s="185">
        <v>4</v>
      </c>
      <c r="B9" s="184" t="s">
        <v>61</v>
      </c>
      <c r="C9" s="185">
        <v>500</v>
      </c>
      <c r="D9" s="284">
        <v>0</v>
      </c>
      <c r="E9" s="185">
        <v>1</v>
      </c>
      <c r="F9" s="185">
        <v>1</v>
      </c>
      <c r="G9" s="185">
        <v>1</v>
      </c>
      <c r="H9" s="185">
        <v>1</v>
      </c>
      <c r="I9" s="185">
        <v>1</v>
      </c>
      <c r="J9" s="284">
        <v>0</v>
      </c>
      <c r="K9" s="185">
        <v>1</v>
      </c>
      <c r="L9" s="185">
        <v>1</v>
      </c>
      <c r="M9" s="185">
        <v>1</v>
      </c>
      <c r="N9" s="185">
        <v>1</v>
      </c>
      <c r="O9" s="185">
        <v>1</v>
      </c>
      <c r="P9" s="185">
        <v>1</v>
      </c>
      <c r="Q9" s="284">
        <v>0</v>
      </c>
      <c r="R9" s="284">
        <v>0</v>
      </c>
      <c r="S9" s="284">
        <v>0</v>
      </c>
      <c r="T9" s="285">
        <v>0</v>
      </c>
      <c r="U9" s="185">
        <v>1</v>
      </c>
      <c r="V9" s="185">
        <v>1</v>
      </c>
      <c r="W9" s="185">
        <v>1</v>
      </c>
      <c r="X9" s="284">
        <v>0</v>
      </c>
      <c r="Y9" s="185">
        <v>1</v>
      </c>
      <c r="Z9" s="185">
        <v>1</v>
      </c>
      <c r="AA9" s="185">
        <v>1</v>
      </c>
      <c r="AB9" s="185">
        <v>1</v>
      </c>
      <c r="AC9" s="284">
        <v>0</v>
      </c>
      <c r="AD9" s="185">
        <v>1</v>
      </c>
      <c r="AE9" s="284">
        <v>0</v>
      </c>
      <c r="AF9" s="285">
        <v>0</v>
      </c>
      <c r="AG9" s="285">
        <v>0</v>
      </c>
      <c r="AH9" s="185">
        <v>1</v>
      </c>
      <c r="AI9" s="185">
        <f t="shared" si="0"/>
        <v>20</v>
      </c>
      <c r="AJ9" s="185">
        <v>8</v>
      </c>
      <c r="AK9" s="185">
        <v>0</v>
      </c>
      <c r="AL9" s="185">
        <f>AI9+AJ9-AK9</f>
        <v>28</v>
      </c>
      <c r="AM9" s="185">
        <f t="shared" si="7"/>
        <v>14000</v>
      </c>
      <c r="AN9" s="711">
        <f t="shared" ref="AN9" si="11">AM9+AM10</f>
        <v>14000</v>
      </c>
      <c r="AO9" s="713">
        <v>0</v>
      </c>
      <c r="AP9" s="711">
        <f t="shared" ref="AP9" si="12">AN9-AO9</f>
        <v>14000</v>
      </c>
      <c r="AQ9" s="711"/>
      <c r="AR9" s="711"/>
    </row>
    <row r="10" spans="1:44">
      <c r="A10" s="184"/>
      <c r="B10" s="184"/>
      <c r="C10" s="185">
        <v>50</v>
      </c>
      <c r="D10" s="284">
        <v>0</v>
      </c>
      <c r="E10" s="185">
        <v>0</v>
      </c>
      <c r="F10" s="185">
        <v>0</v>
      </c>
      <c r="G10" s="185">
        <v>0</v>
      </c>
      <c r="H10" s="185">
        <v>0</v>
      </c>
      <c r="I10" s="185">
        <v>0</v>
      </c>
      <c r="J10" s="284">
        <v>0</v>
      </c>
      <c r="K10" s="185">
        <v>0</v>
      </c>
      <c r="L10" s="185">
        <v>0</v>
      </c>
      <c r="M10" s="185">
        <v>0</v>
      </c>
      <c r="N10" s="185">
        <v>0</v>
      </c>
      <c r="O10" s="185">
        <v>0</v>
      </c>
      <c r="P10" s="185">
        <v>0</v>
      </c>
      <c r="Q10" s="284">
        <v>0</v>
      </c>
      <c r="R10" s="284">
        <v>0</v>
      </c>
      <c r="S10" s="284">
        <v>0</v>
      </c>
      <c r="T10" s="285">
        <v>0</v>
      </c>
      <c r="U10" s="185">
        <v>0</v>
      </c>
      <c r="V10" s="185">
        <v>0</v>
      </c>
      <c r="W10" s="185">
        <v>0</v>
      </c>
      <c r="X10" s="284">
        <v>0</v>
      </c>
      <c r="Y10" s="185">
        <v>0</v>
      </c>
      <c r="Z10" s="185">
        <v>0</v>
      </c>
      <c r="AA10" s="185">
        <v>0</v>
      </c>
      <c r="AB10" s="185">
        <v>0</v>
      </c>
      <c r="AC10" s="284">
        <v>0</v>
      </c>
      <c r="AD10" s="185">
        <v>0</v>
      </c>
      <c r="AE10" s="284">
        <v>0</v>
      </c>
      <c r="AF10" s="285">
        <v>0</v>
      </c>
      <c r="AG10" s="285">
        <v>0</v>
      </c>
      <c r="AH10" s="185">
        <v>0</v>
      </c>
      <c r="AI10" s="185">
        <f t="shared" si="0"/>
        <v>0</v>
      </c>
      <c r="AJ10" s="185">
        <v>0</v>
      </c>
      <c r="AK10" s="185">
        <v>0</v>
      </c>
      <c r="AL10" s="185">
        <f t="shared" ref="AL10" si="13">AI10+AJ10-AK10</f>
        <v>0</v>
      </c>
      <c r="AM10" s="185">
        <f t="shared" si="7"/>
        <v>0</v>
      </c>
      <c r="AN10" s="712"/>
      <c r="AO10" s="714"/>
      <c r="AP10" s="712"/>
      <c r="AQ10" s="712"/>
      <c r="AR10" s="712"/>
    </row>
    <row r="11" spans="1:44">
      <c r="A11" s="185">
        <v>5</v>
      </c>
      <c r="B11" s="184" t="s">
        <v>144</v>
      </c>
      <c r="C11" s="185">
        <v>350</v>
      </c>
      <c r="D11" s="284"/>
      <c r="E11" s="185"/>
      <c r="F11" s="185"/>
      <c r="G11" s="185"/>
      <c r="H11" s="185"/>
      <c r="I11" s="185"/>
      <c r="J11" s="284"/>
      <c r="K11" s="185"/>
      <c r="L11" s="185"/>
      <c r="M11" s="185"/>
      <c r="N11" s="185">
        <v>1</v>
      </c>
      <c r="O11" s="185">
        <v>1</v>
      </c>
      <c r="P11" s="185">
        <v>1</v>
      </c>
      <c r="Q11" s="284">
        <v>0</v>
      </c>
      <c r="R11" s="284">
        <v>0</v>
      </c>
      <c r="S11" s="284">
        <v>0</v>
      </c>
      <c r="T11" s="185">
        <v>1</v>
      </c>
      <c r="U11" s="185">
        <v>1</v>
      </c>
      <c r="V11" s="185">
        <v>1</v>
      </c>
      <c r="W11" s="185">
        <v>1</v>
      </c>
      <c r="X11" s="284">
        <v>0</v>
      </c>
      <c r="Y11" s="285">
        <v>0</v>
      </c>
      <c r="Z11" s="185">
        <v>1</v>
      </c>
      <c r="AA11" s="185">
        <v>1</v>
      </c>
      <c r="AB11" s="185">
        <v>1</v>
      </c>
      <c r="AC11" s="284">
        <v>0</v>
      </c>
      <c r="AD11" s="185">
        <v>1</v>
      </c>
      <c r="AE11" s="284">
        <v>0</v>
      </c>
      <c r="AF11" s="285">
        <v>0</v>
      </c>
      <c r="AG11" s="185">
        <v>1</v>
      </c>
      <c r="AH11" s="185">
        <v>1</v>
      </c>
      <c r="AI11" s="185">
        <f t="shared" si="0"/>
        <v>13</v>
      </c>
      <c r="AJ11" s="185">
        <v>0</v>
      </c>
      <c r="AK11" s="185">
        <v>0</v>
      </c>
      <c r="AL11" s="185">
        <f>AI11+AJ11-AK11</f>
        <v>13</v>
      </c>
      <c r="AM11" s="185">
        <f t="shared" si="7"/>
        <v>4550</v>
      </c>
      <c r="AN11" s="711">
        <f t="shared" ref="AN11" si="14">AM11+AM12</f>
        <v>5750</v>
      </c>
      <c r="AO11" s="713">
        <v>0</v>
      </c>
      <c r="AP11" s="711">
        <f t="shared" ref="AP11" si="15">AN11-AO11</f>
        <v>5750</v>
      </c>
      <c r="AQ11" s="711"/>
      <c r="AR11" s="711"/>
    </row>
    <row r="12" spans="1:44">
      <c r="A12" s="184"/>
      <c r="B12" s="184"/>
      <c r="C12" s="185">
        <v>50</v>
      </c>
      <c r="D12" s="284"/>
      <c r="E12" s="185"/>
      <c r="F12" s="185"/>
      <c r="G12" s="185"/>
      <c r="H12" s="185"/>
      <c r="I12" s="185"/>
      <c r="J12" s="284"/>
      <c r="K12" s="185"/>
      <c r="L12" s="185"/>
      <c r="M12" s="185"/>
      <c r="N12" s="185">
        <v>0</v>
      </c>
      <c r="O12" s="185">
        <v>2</v>
      </c>
      <c r="P12" s="185">
        <v>2</v>
      </c>
      <c r="Q12" s="284">
        <v>0</v>
      </c>
      <c r="R12" s="284">
        <v>0</v>
      </c>
      <c r="S12" s="284">
        <v>0</v>
      </c>
      <c r="T12" s="185">
        <v>2</v>
      </c>
      <c r="U12" s="185">
        <v>2</v>
      </c>
      <c r="V12" s="185">
        <v>2</v>
      </c>
      <c r="W12" s="185">
        <v>2</v>
      </c>
      <c r="X12" s="284">
        <v>0</v>
      </c>
      <c r="Y12" s="285">
        <v>0</v>
      </c>
      <c r="Z12" s="185">
        <v>2</v>
      </c>
      <c r="AA12" s="185">
        <v>2</v>
      </c>
      <c r="AB12" s="185">
        <v>2</v>
      </c>
      <c r="AC12" s="284">
        <v>0</v>
      </c>
      <c r="AD12" s="185">
        <v>2</v>
      </c>
      <c r="AE12" s="284">
        <v>0</v>
      </c>
      <c r="AF12" s="285">
        <v>0</v>
      </c>
      <c r="AG12" s="185">
        <v>2</v>
      </c>
      <c r="AH12" s="185">
        <v>2</v>
      </c>
      <c r="AI12" s="185">
        <f t="shared" si="0"/>
        <v>24</v>
      </c>
      <c r="AJ12" s="185">
        <v>0</v>
      </c>
      <c r="AK12" s="185">
        <v>0</v>
      </c>
      <c r="AL12" s="185">
        <f t="shared" ref="AL12" si="16">AI12+AJ12-AK12</f>
        <v>24</v>
      </c>
      <c r="AM12" s="185">
        <f t="shared" si="7"/>
        <v>1200</v>
      </c>
      <c r="AN12" s="712"/>
      <c r="AO12" s="714"/>
      <c r="AP12" s="712"/>
      <c r="AQ12" s="712"/>
      <c r="AR12" s="712"/>
    </row>
    <row r="13" spans="1:44">
      <c r="A13" s="185">
        <v>6</v>
      </c>
      <c r="B13" s="184" t="s">
        <v>145</v>
      </c>
      <c r="C13" s="185">
        <v>400</v>
      </c>
      <c r="D13" s="284"/>
      <c r="E13" s="185"/>
      <c r="F13" s="185"/>
      <c r="G13" s="185"/>
      <c r="H13" s="185"/>
      <c r="I13" s="185"/>
      <c r="J13" s="284"/>
      <c r="K13" s="185"/>
      <c r="L13" s="185"/>
      <c r="M13" s="185"/>
      <c r="N13" s="185"/>
      <c r="O13" s="185"/>
      <c r="P13" s="185">
        <v>1</v>
      </c>
      <c r="Q13" s="284">
        <v>0</v>
      </c>
      <c r="R13" s="284">
        <v>0</v>
      </c>
      <c r="S13" s="284">
        <v>0</v>
      </c>
      <c r="T13" s="285">
        <v>0</v>
      </c>
      <c r="U13" s="285">
        <v>0</v>
      </c>
      <c r="V13" s="285">
        <v>0</v>
      </c>
      <c r="W13" s="285">
        <v>0</v>
      </c>
      <c r="X13" s="284">
        <v>0</v>
      </c>
      <c r="Y13" s="285">
        <v>0</v>
      </c>
      <c r="Z13" s="285">
        <v>0</v>
      </c>
      <c r="AA13" s="285">
        <v>0</v>
      </c>
      <c r="AB13" s="285">
        <v>0</v>
      </c>
      <c r="AC13" s="284">
        <v>0</v>
      </c>
      <c r="AD13" s="285">
        <v>0</v>
      </c>
      <c r="AE13" s="284">
        <v>0</v>
      </c>
      <c r="AF13" s="285">
        <v>0</v>
      </c>
      <c r="AG13" s="185">
        <v>1</v>
      </c>
      <c r="AH13" s="285">
        <v>0</v>
      </c>
      <c r="AI13" s="185">
        <f t="shared" si="0"/>
        <v>2</v>
      </c>
      <c r="AJ13" s="185">
        <v>0</v>
      </c>
      <c r="AK13" s="185">
        <v>0</v>
      </c>
      <c r="AL13" s="185">
        <f>AI13+AJ13-AK13</f>
        <v>2</v>
      </c>
      <c r="AM13" s="185">
        <f t="shared" si="7"/>
        <v>800</v>
      </c>
      <c r="AN13" s="711">
        <f t="shared" ref="AN13" si="17">AM13+AM14</f>
        <v>1000</v>
      </c>
      <c r="AO13" s="713">
        <v>0</v>
      </c>
      <c r="AP13" s="711">
        <f t="shared" ref="AP13" si="18">AN13-AO13</f>
        <v>1000</v>
      </c>
      <c r="AQ13" s="711"/>
      <c r="AR13" s="711"/>
    </row>
    <row r="14" spans="1:44">
      <c r="A14" s="184"/>
      <c r="B14" s="184"/>
      <c r="C14" s="185">
        <v>50</v>
      </c>
      <c r="D14" s="284"/>
      <c r="E14" s="185"/>
      <c r="F14" s="185"/>
      <c r="G14" s="185"/>
      <c r="H14" s="185"/>
      <c r="I14" s="185"/>
      <c r="J14" s="284"/>
      <c r="K14" s="185"/>
      <c r="L14" s="185"/>
      <c r="M14" s="185"/>
      <c r="N14" s="185"/>
      <c r="O14" s="185"/>
      <c r="P14" s="185">
        <v>2</v>
      </c>
      <c r="Q14" s="284">
        <v>0</v>
      </c>
      <c r="R14" s="284">
        <v>0</v>
      </c>
      <c r="S14" s="284">
        <v>0</v>
      </c>
      <c r="T14" s="285">
        <v>0</v>
      </c>
      <c r="U14" s="285">
        <v>0</v>
      </c>
      <c r="V14" s="285">
        <v>0</v>
      </c>
      <c r="W14" s="285">
        <v>0</v>
      </c>
      <c r="X14" s="284">
        <v>0</v>
      </c>
      <c r="Y14" s="285">
        <v>0</v>
      </c>
      <c r="Z14" s="285">
        <v>0</v>
      </c>
      <c r="AA14" s="285">
        <v>0</v>
      </c>
      <c r="AB14" s="285">
        <v>0</v>
      </c>
      <c r="AC14" s="284">
        <v>0</v>
      </c>
      <c r="AD14" s="285">
        <v>0</v>
      </c>
      <c r="AE14" s="284">
        <v>0</v>
      </c>
      <c r="AF14" s="285">
        <v>0</v>
      </c>
      <c r="AG14" s="185">
        <v>2</v>
      </c>
      <c r="AH14" s="285">
        <v>0</v>
      </c>
      <c r="AI14" s="185">
        <f t="shared" si="0"/>
        <v>4</v>
      </c>
      <c r="AJ14" s="185">
        <v>0</v>
      </c>
      <c r="AK14" s="185">
        <v>0</v>
      </c>
      <c r="AL14" s="185">
        <f t="shared" ref="AL14" si="19">AI14+AJ14-AK14</f>
        <v>4</v>
      </c>
      <c r="AM14" s="185">
        <f t="shared" si="7"/>
        <v>200</v>
      </c>
      <c r="AN14" s="712"/>
      <c r="AO14" s="714"/>
      <c r="AP14" s="712"/>
      <c r="AQ14" s="712"/>
      <c r="AR14" s="712"/>
    </row>
    <row r="15" spans="1:44">
      <c r="A15" s="185"/>
      <c r="B15" s="184"/>
      <c r="C15" s="185"/>
      <c r="D15" s="284"/>
      <c r="E15" s="185"/>
      <c r="F15" s="185"/>
      <c r="G15" s="185"/>
      <c r="H15" s="185"/>
      <c r="I15" s="185"/>
      <c r="J15" s="284"/>
      <c r="K15" s="185"/>
      <c r="L15" s="185"/>
      <c r="M15" s="185"/>
      <c r="N15" s="185"/>
      <c r="O15" s="185"/>
      <c r="P15" s="185"/>
      <c r="Q15" s="284">
        <v>0</v>
      </c>
      <c r="R15" s="284">
        <v>0</v>
      </c>
      <c r="S15" s="284">
        <v>0</v>
      </c>
      <c r="T15" s="185"/>
      <c r="U15" s="185"/>
      <c r="V15" s="185"/>
      <c r="W15" s="185"/>
      <c r="X15" s="284">
        <v>0</v>
      </c>
      <c r="Y15" s="185"/>
      <c r="Z15" s="185"/>
      <c r="AA15" s="185"/>
      <c r="AB15" s="185"/>
      <c r="AC15" s="284">
        <v>0</v>
      </c>
      <c r="AD15" s="185"/>
      <c r="AE15" s="284">
        <v>0</v>
      </c>
      <c r="AF15" s="185"/>
      <c r="AG15" s="185"/>
      <c r="AH15" s="185"/>
      <c r="AI15" s="185">
        <f t="shared" si="0"/>
        <v>0</v>
      </c>
      <c r="AJ15" s="185"/>
      <c r="AK15" s="185">
        <v>0</v>
      </c>
      <c r="AL15" s="185">
        <f>AI15+AJ15-AK15</f>
        <v>0</v>
      </c>
      <c r="AM15" s="185">
        <f t="shared" si="3"/>
        <v>0</v>
      </c>
      <c r="AN15" s="711">
        <f t="shared" ref="AN15" si="20">AM15+AM16</f>
        <v>0</v>
      </c>
      <c r="AO15" s="713">
        <v>0</v>
      </c>
      <c r="AP15" s="711">
        <f t="shared" ref="AP15" si="21">AN15-AO15</f>
        <v>0</v>
      </c>
      <c r="AQ15" s="711"/>
      <c r="AR15" s="711"/>
    </row>
    <row r="16" spans="1:44">
      <c r="A16" s="184"/>
      <c r="B16" s="184"/>
      <c r="C16" s="185"/>
      <c r="D16" s="284"/>
      <c r="E16" s="185"/>
      <c r="F16" s="185"/>
      <c r="G16" s="185"/>
      <c r="H16" s="185"/>
      <c r="I16" s="185"/>
      <c r="J16" s="284"/>
      <c r="K16" s="185"/>
      <c r="L16" s="185"/>
      <c r="M16" s="185"/>
      <c r="N16" s="185"/>
      <c r="O16" s="185"/>
      <c r="P16" s="185"/>
      <c r="Q16" s="284">
        <v>0</v>
      </c>
      <c r="R16" s="284">
        <v>0</v>
      </c>
      <c r="S16" s="284">
        <v>0</v>
      </c>
      <c r="T16" s="185"/>
      <c r="U16" s="185"/>
      <c r="V16" s="185"/>
      <c r="W16" s="185"/>
      <c r="X16" s="284">
        <v>0</v>
      </c>
      <c r="Y16" s="185"/>
      <c r="Z16" s="185"/>
      <c r="AA16" s="185"/>
      <c r="AB16" s="185"/>
      <c r="AC16" s="284">
        <v>0</v>
      </c>
      <c r="AD16" s="185"/>
      <c r="AE16" s="284">
        <v>0</v>
      </c>
      <c r="AF16" s="185"/>
      <c r="AG16" s="185"/>
      <c r="AH16" s="185"/>
      <c r="AI16" s="185">
        <f t="shared" si="0"/>
        <v>0</v>
      </c>
      <c r="AJ16" s="185">
        <v>0</v>
      </c>
      <c r="AK16" s="185">
        <v>0</v>
      </c>
      <c r="AL16" s="185">
        <f t="shared" ref="AL16" si="22">AI16+AJ16-AK16</f>
        <v>0</v>
      </c>
      <c r="AM16" s="185">
        <f t="shared" si="3"/>
        <v>0</v>
      </c>
      <c r="AN16" s="712"/>
      <c r="AO16" s="714"/>
      <c r="AP16" s="712"/>
      <c r="AQ16" s="712"/>
      <c r="AR16" s="712"/>
    </row>
    <row r="17" spans="1:44">
      <c r="A17" s="828" t="s">
        <v>103</v>
      </c>
      <c r="B17" s="829"/>
      <c r="C17" s="282"/>
      <c r="D17" s="282">
        <f>X12+D7+D9+D11+D13+D15+D5</f>
        <v>0</v>
      </c>
      <c r="E17" s="282">
        <f t="shared" ref="E17:V17" si="23">E3+E7+E9+E11+E13+E15+E5</f>
        <v>3</v>
      </c>
      <c r="F17" s="282">
        <f t="shared" si="23"/>
        <v>4</v>
      </c>
      <c r="G17" s="282">
        <f t="shared" si="23"/>
        <v>3</v>
      </c>
      <c r="H17" s="282">
        <f t="shared" si="23"/>
        <v>3</v>
      </c>
      <c r="I17" s="282">
        <f t="shared" si="23"/>
        <v>3</v>
      </c>
      <c r="J17" s="282">
        <f t="shared" si="23"/>
        <v>0</v>
      </c>
      <c r="K17" s="282">
        <f t="shared" si="23"/>
        <v>3</v>
      </c>
      <c r="L17" s="282">
        <f t="shared" si="23"/>
        <v>4</v>
      </c>
      <c r="M17" s="282">
        <f t="shared" si="23"/>
        <v>4</v>
      </c>
      <c r="N17" s="282">
        <f t="shared" si="23"/>
        <v>4</v>
      </c>
      <c r="O17" s="282">
        <f t="shared" si="23"/>
        <v>5</v>
      </c>
      <c r="P17" s="282">
        <f t="shared" si="23"/>
        <v>5</v>
      </c>
      <c r="Q17" s="282">
        <f t="shared" ref="Q17" si="24">Q3+Q7+Q9+Q11+Q13+Q15+Q5</f>
        <v>0</v>
      </c>
      <c r="R17" s="282">
        <f t="shared" si="23"/>
        <v>0</v>
      </c>
      <c r="S17" s="282">
        <f t="shared" si="23"/>
        <v>0</v>
      </c>
      <c r="T17" s="282">
        <f t="shared" ref="T17" si="25">T3+T7+T9+T11+T13+T15+T5</f>
        <v>4</v>
      </c>
      <c r="U17" s="282">
        <f t="shared" si="23"/>
        <v>3</v>
      </c>
      <c r="V17" s="282">
        <f t="shared" si="23"/>
        <v>4</v>
      </c>
      <c r="W17" s="282">
        <f>V3+V7+V9+V11+V13+V15+V5</f>
        <v>4</v>
      </c>
      <c r="X17" s="282">
        <f t="shared" ref="X17:AR17" si="26">X3+X7+X9+X11+X13+X15+X5</f>
        <v>0</v>
      </c>
      <c r="Y17" s="282">
        <f t="shared" si="26"/>
        <v>2</v>
      </c>
      <c r="Z17" s="282">
        <f t="shared" si="26"/>
        <v>4</v>
      </c>
      <c r="AA17" s="282">
        <f t="shared" si="26"/>
        <v>5</v>
      </c>
      <c r="AB17" s="282">
        <f>AB3+AB7+AB9+AB11+AB13+AB15+AB5</f>
        <v>5</v>
      </c>
      <c r="AC17" s="282">
        <f t="shared" si="26"/>
        <v>0</v>
      </c>
      <c r="AD17" s="282">
        <f t="shared" si="26"/>
        <v>4</v>
      </c>
      <c r="AE17" s="282">
        <f t="shared" si="26"/>
        <v>0</v>
      </c>
      <c r="AF17" s="282">
        <f t="shared" si="26"/>
        <v>3</v>
      </c>
      <c r="AG17" s="282">
        <f t="shared" si="26"/>
        <v>4</v>
      </c>
      <c r="AH17" s="282">
        <f t="shared" si="26"/>
        <v>4</v>
      </c>
      <c r="AI17" s="282">
        <f t="shared" si="26"/>
        <v>87</v>
      </c>
      <c r="AJ17" s="282">
        <f t="shared" si="26"/>
        <v>13</v>
      </c>
      <c r="AK17" s="282">
        <f t="shared" si="26"/>
        <v>0</v>
      </c>
      <c r="AL17" s="282">
        <f t="shared" si="26"/>
        <v>100</v>
      </c>
      <c r="AM17" s="282">
        <f t="shared" si="26"/>
        <v>46294.75</v>
      </c>
      <c r="AN17" s="282">
        <f t="shared" si="26"/>
        <v>52329.75</v>
      </c>
      <c r="AO17" s="282">
        <f t="shared" si="26"/>
        <v>0</v>
      </c>
      <c r="AP17" s="282">
        <f t="shared" si="26"/>
        <v>52329.75</v>
      </c>
      <c r="AQ17" s="282">
        <f t="shared" si="26"/>
        <v>0</v>
      </c>
      <c r="AR17" s="282">
        <f t="shared" si="26"/>
        <v>0</v>
      </c>
    </row>
    <row r="18" spans="1:44">
      <c r="A18" s="830" t="s">
        <v>106</v>
      </c>
      <c r="B18" s="831"/>
      <c r="C18" s="283"/>
      <c r="D18" s="283">
        <f>D4+D6+D8+D10+D12++D14+D16</f>
        <v>0</v>
      </c>
      <c r="E18" s="283">
        <f t="shared" ref="E18:V18" si="27">E4+E6+E8+E10+E12++E14+E16</f>
        <v>2</v>
      </c>
      <c r="F18" s="283">
        <f t="shared" si="27"/>
        <v>4</v>
      </c>
      <c r="G18" s="283">
        <f t="shared" si="27"/>
        <v>4</v>
      </c>
      <c r="H18" s="283">
        <f t="shared" si="27"/>
        <v>4</v>
      </c>
      <c r="I18" s="283">
        <f t="shared" si="27"/>
        <v>4</v>
      </c>
      <c r="J18" s="283">
        <f t="shared" si="27"/>
        <v>0</v>
      </c>
      <c r="K18" s="283">
        <f t="shared" si="27"/>
        <v>4</v>
      </c>
      <c r="L18" s="283">
        <f t="shared" si="27"/>
        <v>4</v>
      </c>
      <c r="M18" s="283">
        <f t="shared" si="27"/>
        <v>4</v>
      </c>
      <c r="N18" s="283">
        <f t="shared" si="27"/>
        <v>2</v>
      </c>
      <c r="O18" s="283">
        <f t="shared" si="27"/>
        <v>6</v>
      </c>
      <c r="P18" s="283">
        <f t="shared" si="27"/>
        <v>11</v>
      </c>
      <c r="Q18" s="283">
        <f t="shared" ref="Q18" si="28">Q4+Q6+Q8+Q10+Q12++Q14+Q16</f>
        <v>0</v>
      </c>
      <c r="R18" s="283">
        <f t="shared" si="27"/>
        <v>0</v>
      </c>
      <c r="S18" s="283">
        <f t="shared" si="27"/>
        <v>0</v>
      </c>
      <c r="T18" s="283">
        <f t="shared" ref="T18" si="29">T4+T6+T8+T10+T12++T14+T16</f>
        <v>6</v>
      </c>
      <c r="U18" s="283">
        <f t="shared" si="27"/>
        <v>4</v>
      </c>
      <c r="V18" s="283">
        <f t="shared" si="27"/>
        <v>6</v>
      </c>
      <c r="W18" s="283">
        <f>V4+V6+V8+V10+V12++V14+V16</f>
        <v>6</v>
      </c>
      <c r="X18" s="283">
        <f t="shared" ref="X18:AR18" si="30">X4+X6+X8+X10+X12++X14+X16</f>
        <v>0</v>
      </c>
      <c r="Y18" s="283">
        <f t="shared" si="30"/>
        <v>2</v>
      </c>
      <c r="Z18" s="283">
        <f t="shared" si="30"/>
        <v>6</v>
      </c>
      <c r="AA18" s="283">
        <f t="shared" si="30"/>
        <v>6</v>
      </c>
      <c r="AB18" s="283">
        <f>AB4+AB6+AB8+AB10+AB12++AB14+AB16</f>
        <v>6</v>
      </c>
      <c r="AC18" s="283">
        <f t="shared" si="30"/>
        <v>0</v>
      </c>
      <c r="AD18" s="283">
        <f t="shared" si="30"/>
        <v>4</v>
      </c>
      <c r="AE18" s="283">
        <f t="shared" si="30"/>
        <v>0</v>
      </c>
      <c r="AF18" s="283">
        <f t="shared" si="30"/>
        <v>4</v>
      </c>
      <c r="AG18" s="283">
        <f t="shared" si="30"/>
        <v>6</v>
      </c>
      <c r="AH18" s="283">
        <f t="shared" si="30"/>
        <v>4</v>
      </c>
      <c r="AI18" s="283">
        <f t="shared" si="30"/>
        <v>109</v>
      </c>
      <c r="AJ18" s="283">
        <f t="shared" si="30"/>
        <v>0</v>
      </c>
      <c r="AK18" s="283">
        <f t="shared" si="30"/>
        <v>0</v>
      </c>
      <c r="AL18" s="283">
        <f t="shared" si="30"/>
        <v>109</v>
      </c>
      <c r="AM18" s="283">
        <f t="shared" si="30"/>
        <v>6035</v>
      </c>
      <c r="AN18" s="283">
        <f t="shared" si="30"/>
        <v>0</v>
      </c>
      <c r="AO18" s="283">
        <f t="shared" si="30"/>
        <v>0</v>
      </c>
      <c r="AP18" s="283">
        <f t="shared" si="30"/>
        <v>0</v>
      </c>
      <c r="AQ18" s="283">
        <f t="shared" si="30"/>
        <v>0</v>
      </c>
      <c r="AR18" s="283">
        <f t="shared" si="30"/>
        <v>0</v>
      </c>
    </row>
    <row r="20" spans="1:44" ht="23.25">
      <c r="A20" s="838" t="s">
        <v>113</v>
      </c>
      <c r="B20" s="840" t="s">
        <v>1</v>
      </c>
      <c r="C20" s="841"/>
      <c r="D20" s="844" t="s">
        <v>146</v>
      </c>
      <c r="E20" s="845"/>
      <c r="F20" s="845"/>
      <c r="G20" s="845"/>
      <c r="H20" s="845"/>
      <c r="I20" s="845"/>
      <c r="J20" s="845"/>
      <c r="K20" s="845"/>
      <c r="L20" s="845"/>
      <c r="M20" s="845"/>
      <c r="N20" s="845"/>
      <c r="O20" s="845"/>
      <c r="P20" s="845"/>
      <c r="Q20" s="845"/>
      <c r="R20" s="845"/>
      <c r="S20" s="845"/>
      <c r="T20" s="845"/>
      <c r="U20" s="845"/>
      <c r="V20" s="845"/>
      <c r="W20" s="845"/>
      <c r="X20" s="845"/>
      <c r="Y20" s="845"/>
      <c r="Z20" s="845"/>
      <c r="AA20" s="845"/>
      <c r="AB20" s="845"/>
      <c r="AC20" s="845"/>
      <c r="AD20" s="845"/>
      <c r="AE20" s="845"/>
      <c r="AF20" s="846"/>
      <c r="AG20" s="847">
        <v>29</v>
      </c>
      <c r="AH20" s="848"/>
      <c r="AI20" s="832" t="s">
        <v>107</v>
      </c>
      <c r="AJ20" s="832" t="s">
        <v>45</v>
      </c>
      <c r="AK20" s="832" t="s">
        <v>108</v>
      </c>
      <c r="AL20" s="832" t="s">
        <v>112</v>
      </c>
      <c r="AM20" s="834" t="s">
        <v>7</v>
      </c>
      <c r="AN20" s="835"/>
      <c r="AO20" s="832" t="s">
        <v>93</v>
      </c>
      <c r="AP20" s="832" t="s">
        <v>109</v>
      </c>
      <c r="AQ20" s="832" t="s">
        <v>33</v>
      </c>
      <c r="AR20" s="832" t="s">
        <v>111</v>
      </c>
    </row>
    <row r="21" spans="1:44">
      <c r="A21" s="839"/>
      <c r="B21" s="842"/>
      <c r="C21" s="843"/>
      <c r="D21" s="293">
        <v>1</v>
      </c>
      <c r="E21" s="293">
        <v>2</v>
      </c>
      <c r="F21" s="293">
        <v>3</v>
      </c>
      <c r="G21" s="293">
        <v>4</v>
      </c>
      <c r="H21" s="293">
        <v>5</v>
      </c>
      <c r="I21" s="293">
        <v>6</v>
      </c>
      <c r="J21" s="293">
        <v>7</v>
      </c>
      <c r="K21" s="293">
        <v>8</v>
      </c>
      <c r="L21" s="293">
        <v>9</v>
      </c>
      <c r="M21" s="293">
        <v>10</v>
      </c>
      <c r="N21" s="293">
        <v>11</v>
      </c>
      <c r="O21" s="293">
        <v>12</v>
      </c>
      <c r="P21" s="293">
        <v>13</v>
      </c>
      <c r="Q21" s="293">
        <v>14</v>
      </c>
      <c r="R21" s="293">
        <v>15</v>
      </c>
      <c r="S21" s="293">
        <v>16</v>
      </c>
      <c r="T21" s="293">
        <v>17</v>
      </c>
      <c r="U21" s="293">
        <v>18</v>
      </c>
      <c r="V21" s="293">
        <v>19</v>
      </c>
      <c r="W21" s="293">
        <v>20</v>
      </c>
      <c r="X21" s="293">
        <v>21</v>
      </c>
      <c r="Y21" s="293">
        <v>22</v>
      </c>
      <c r="Z21" s="293">
        <v>23</v>
      </c>
      <c r="AA21" s="293">
        <v>24</v>
      </c>
      <c r="AB21" s="293">
        <v>25</v>
      </c>
      <c r="AC21" s="293">
        <v>26</v>
      </c>
      <c r="AD21" s="293">
        <v>27</v>
      </c>
      <c r="AE21" s="293">
        <v>28</v>
      </c>
      <c r="AF21" s="293">
        <v>29</v>
      </c>
      <c r="AG21" s="293">
        <v>30</v>
      </c>
      <c r="AH21" s="293">
        <v>31</v>
      </c>
      <c r="AI21" s="833"/>
      <c r="AJ21" s="833"/>
      <c r="AK21" s="833"/>
      <c r="AL21" s="833"/>
      <c r="AM21" s="836"/>
      <c r="AN21" s="837"/>
      <c r="AO21" s="833"/>
      <c r="AP21" s="833"/>
      <c r="AQ21" s="833"/>
      <c r="AR21" s="833"/>
    </row>
    <row r="22" spans="1:44">
      <c r="A22" s="185">
        <v>1</v>
      </c>
      <c r="B22" s="184" t="s">
        <v>135</v>
      </c>
      <c r="C22" s="185">
        <f>C23*11.5</f>
        <v>500.25</v>
      </c>
      <c r="D22" s="185">
        <v>1</v>
      </c>
      <c r="E22" s="185">
        <v>1</v>
      </c>
      <c r="F22" s="185">
        <v>1</v>
      </c>
      <c r="G22" s="284">
        <v>0</v>
      </c>
      <c r="H22" s="285">
        <v>0</v>
      </c>
      <c r="I22" s="285">
        <v>0</v>
      </c>
      <c r="J22" s="285">
        <v>0</v>
      </c>
      <c r="K22" s="285">
        <v>0</v>
      </c>
      <c r="L22" s="285">
        <v>0</v>
      </c>
      <c r="M22" s="285">
        <v>0</v>
      </c>
      <c r="N22" s="284">
        <v>0</v>
      </c>
      <c r="O22" s="285">
        <v>0</v>
      </c>
      <c r="P22" s="285">
        <v>0</v>
      </c>
      <c r="Q22" s="285">
        <v>0</v>
      </c>
      <c r="R22" s="285">
        <v>0</v>
      </c>
      <c r="S22" s="285">
        <v>0</v>
      </c>
      <c r="T22" s="285">
        <v>0</v>
      </c>
      <c r="U22" s="284">
        <v>0</v>
      </c>
      <c r="V22" s="285">
        <v>0</v>
      </c>
      <c r="W22" s="285">
        <v>0</v>
      </c>
      <c r="X22" s="285">
        <v>0</v>
      </c>
      <c r="Y22" s="285">
        <v>0</v>
      </c>
      <c r="Z22" s="285">
        <v>0</v>
      </c>
      <c r="AA22" s="285">
        <v>0</v>
      </c>
      <c r="AB22" s="284">
        <v>0</v>
      </c>
      <c r="AC22" s="285">
        <v>0</v>
      </c>
      <c r="AD22" s="285">
        <v>0</v>
      </c>
      <c r="AE22" s="285">
        <v>0</v>
      </c>
      <c r="AF22" s="285">
        <v>0</v>
      </c>
      <c r="AG22" s="284">
        <v>0</v>
      </c>
      <c r="AH22" s="284">
        <v>0</v>
      </c>
      <c r="AI22" s="185">
        <v>0</v>
      </c>
      <c r="AJ22" s="185">
        <v>0</v>
      </c>
      <c r="AK22" s="185">
        <v>0</v>
      </c>
      <c r="AL22" s="185">
        <f>AI22+AJ22-AK22</f>
        <v>0</v>
      </c>
      <c r="AM22" s="185">
        <f>AL22*C22</f>
        <v>0</v>
      </c>
      <c r="AN22" s="711">
        <f>AM22+AM23</f>
        <v>0</v>
      </c>
      <c r="AO22" s="713">
        <v>0</v>
      </c>
      <c r="AP22" s="711">
        <f t="shared" ref="AP22:AP24" si="31">AN22-AO22</f>
        <v>0</v>
      </c>
      <c r="AQ22" s="711"/>
      <c r="AR22" s="711"/>
    </row>
    <row r="23" spans="1:44">
      <c r="A23" s="185">
        <f>C22/8</f>
        <v>62.53125</v>
      </c>
      <c r="B23" s="184">
        <v>15000</v>
      </c>
      <c r="C23" s="185">
        <v>43.5</v>
      </c>
      <c r="D23" s="285">
        <v>0</v>
      </c>
      <c r="E23" s="285">
        <v>0</v>
      </c>
      <c r="F23" s="285">
        <v>0</v>
      </c>
      <c r="G23" s="284">
        <v>0</v>
      </c>
      <c r="H23" s="285">
        <v>0</v>
      </c>
      <c r="I23" s="285">
        <v>0</v>
      </c>
      <c r="J23" s="285">
        <v>0</v>
      </c>
      <c r="K23" s="285">
        <v>0</v>
      </c>
      <c r="L23" s="285">
        <v>0</v>
      </c>
      <c r="M23" s="285">
        <v>0</v>
      </c>
      <c r="N23" s="284">
        <v>0</v>
      </c>
      <c r="O23" s="285">
        <v>0</v>
      </c>
      <c r="P23" s="285">
        <v>0</v>
      </c>
      <c r="Q23" s="285">
        <v>0</v>
      </c>
      <c r="R23" s="285">
        <v>0</v>
      </c>
      <c r="S23" s="285">
        <v>0</v>
      </c>
      <c r="T23" s="285">
        <v>0</v>
      </c>
      <c r="U23" s="284">
        <v>0</v>
      </c>
      <c r="V23" s="285">
        <v>0</v>
      </c>
      <c r="W23" s="285">
        <v>0</v>
      </c>
      <c r="X23" s="285">
        <v>0</v>
      </c>
      <c r="Y23" s="285">
        <v>0</v>
      </c>
      <c r="Z23" s="285">
        <v>0</v>
      </c>
      <c r="AA23" s="285">
        <v>0</v>
      </c>
      <c r="AB23" s="284">
        <v>0</v>
      </c>
      <c r="AC23" s="285">
        <v>0</v>
      </c>
      <c r="AD23" s="285">
        <v>0</v>
      </c>
      <c r="AE23" s="285">
        <v>0</v>
      </c>
      <c r="AF23" s="285">
        <v>0</v>
      </c>
      <c r="AG23" s="284">
        <v>0</v>
      </c>
      <c r="AH23" s="284">
        <v>0</v>
      </c>
      <c r="AI23" s="185">
        <f t="shared" ref="AI23:AI35" si="32">SUM(D23:AH23)</f>
        <v>0</v>
      </c>
      <c r="AJ23" s="185">
        <v>0</v>
      </c>
      <c r="AK23" s="185">
        <v>0</v>
      </c>
      <c r="AL23" s="185">
        <f t="shared" ref="AL23" si="33">AI23+AJ23-AK23</f>
        <v>0</v>
      </c>
      <c r="AM23" s="185">
        <f>AL23*C23</f>
        <v>0</v>
      </c>
      <c r="AN23" s="712"/>
      <c r="AO23" s="714"/>
      <c r="AP23" s="712"/>
      <c r="AQ23" s="712"/>
      <c r="AR23" s="712"/>
    </row>
    <row r="24" spans="1:44">
      <c r="A24" s="185">
        <v>2</v>
      </c>
      <c r="B24" s="184" t="s">
        <v>114</v>
      </c>
      <c r="C24" s="185">
        <f>C25*8</f>
        <v>480</v>
      </c>
      <c r="D24" s="185">
        <v>1</v>
      </c>
      <c r="E24" s="185">
        <v>1</v>
      </c>
      <c r="F24" s="185">
        <v>1</v>
      </c>
      <c r="G24" s="284">
        <v>0</v>
      </c>
      <c r="H24" s="185">
        <v>1</v>
      </c>
      <c r="I24" s="185">
        <v>1</v>
      </c>
      <c r="J24" s="185">
        <v>1</v>
      </c>
      <c r="K24" s="185">
        <v>1</v>
      </c>
      <c r="L24" s="185">
        <v>1</v>
      </c>
      <c r="M24" s="185">
        <v>1</v>
      </c>
      <c r="N24" s="284">
        <v>0</v>
      </c>
      <c r="O24" s="185">
        <v>1</v>
      </c>
      <c r="P24" s="198">
        <v>0.5</v>
      </c>
      <c r="Q24" s="185">
        <v>1</v>
      </c>
      <c r="R24" s="185">
        <v>1</v>
      </c>
      <c r="S24" s="185">
        <v>1</v>
      </c>
      <c r="T24" s="185">
        <v>1</v>
      </c>
      <c r="U24" s="284">
        <v>0</v>
      </c>
      <c r="V24" s="185">
        <v>1</v>
      </c>
      <c r="W24" s="185">
        <v>1</v>
      </c>
      <c r="X24" s="185">
        <v>1</v>
      </c>
      <c r="Y24" s="185">
        <v>1</v>
      </c>
      <c r="Z24" s="185">
        <v>1</v>
      </c>
      <c r="AA24" s="185">
        <v>1</v>
      </c>
      <c r="AB24" s="284">
        <v>0</v>
      </c>
      <c r="AC24" s="185">
        <v>1</v>
      </c>
      <c r="AD24" s="185">
        <v>1</v>
      </c>
      <c r="AE24" s="185">
        <v>1</v>
      </c>
      <c r="AF24" s="185">
        <v>1</v>
      </c>
      <c r="AG24" s="284">
        <v>0</v>
      </c>
      <c r="AH24" s="284">
        <v>0</v>
      </c>
      <c r="AI24" s="185">
        <f t="shared" si="32"/>
        <v>24.5</v>
      </c>
      <c r="AJ24" s="185">
        <v>0</v>
      </c>
      <c r="AK24" s="185">
        <v>0</v>
      </c>
      <c r="AL24" s="185">
        <f>AI24+AJ24-AK24</f>
        <v>24.5</v>
      </c>
      <c r="AM24" s="185">
        <f t="shared" ref="AM24:AM35" si="34">AL24*C24</f>
        <v>11760</v>
      </c>
      <c r="AN24" s="711">
        <f t="shared" ref="AN24" si="35">AM24+AM25</f>
        <v>15420</v>
      </c>
      <c r="AO24" s="713">
        <v>0</v>
      </c>
      <c r="AP24" s="711">
        <f t="shared" si="31"/>
        <v>15420</v>
      </c>
      <c r="AQ24" s="711"/>
      <c r="AR24" s="711"/>
    </row>
    <row r="25" spans="1:44">
      <c r="A25" s="185">
        <f>C24/8</f>
        <v>60</v>
      </c>
      <c r="B25" s="184"/>
      <c r="C25" s="185">
        <v>60</v>
      </c>
      <c r="D25" s="185">
        <v>2</v>
      </c>
      <c r="E25" s="185">
        <v>2</v>
      </c>
      <c r="F25" s="185">
        <v>2</v>
      </c>
      <c r="G25" s="284">
        <v>0</v>
      </c>
      <c r="H25" s="185">
        <v>2</v>
      </c>
      <c r="I25" s="185">
        <v>2</v>
      </c>
      <c r="J25" s="185">
        <v>2</v>
      </c>
      <c r="K25" s="185">
        <v>2</v>
      </c>
      <c r="L25" s="198">
        <v>4</v>
      </c>
      <c r="M25" s="198">
        <v>6</v>
      </c>
      <c r="N25" s="203">
        <v>8</v>
      </c>
      <c r="O25" s="185">
        <v>2</v>
      </c>
      <c r="P25" s="198">
        <v>1</v>
      </c>
      <c r="Q25" s="185">
        <v>2</v>
      </c>
      <c r="R25" s="185">
        <v>2</v>
      </c>
      <c r="S25" s="185">
        <v>1</v>
      </c>
      <c r="T25" s="185">
        <v>2</v>
      </c>
      <c r="U25" s="284">
        <v>0</v>
      </c>
      <c r="V25" s="185">
        <v>1</v>
      </c>
      <c r="W25" s="185">
        <v>2</v>
      </c>
      <c r="X25" s="185">
        <v>2</v>
      </c>
      <c r="Y25" s="185">
        <v>2</v>
      </c>
      <c r="Z25" s="185">
        <v>2</v>
      </c>
      <c r="AA25" s="185">
        <v>2</v>
      </c>
      <c r="AB25" s="284">
        <v>0</v>
      </c>
      <c r="AC25" s="185">
        <v>2</v>
      </c>
      <c r="AD25" s="185">
        <v>2</v>
      </c>
      <c r="AE25" s="185">
        <v>2</v>
      </c>
      <c r="AF25" s="185">
        <v>2</v>
      </c>
      <c r="AG25" s="284">
        <v>0</v>
      </c>
      <c r="AH25" s="284">
        <v>0</v>
      </c>
      <c r="AI25" s="185">
        <f t="shared" si="32"/>
        <v>61</v>
      </c>
      <c r="AJ25" s="185">
        <v>0</v>
      </c>
      <c r="AK25" s="185">
        <v>0</v>
      </c>
      <c r="AL25" s="185">
        <f t="shared" ref="AL25" si="36">AI25+AJ25-AK25</f>
        <v>61</v>
      </c>
      <c r="AM25" s="185">
        <f t="shared" si="34"/>
        <v>3660</v>
      </c>
      <c r="AN25" s="712"/>
      <c r="AO25" s="714"/>
      <c r="AP25" s="712"/>
      <c r="AQ25" s="712"/>
      <c r="AR25" s="712"/>
    </row>
    <row r="26" spans="1:44">
      <c r="A26" s="185">
        <v>3</v>
      </c>
      <c r="B26" s="184" t="s">
        <v>136</v>
      </c>
      <c r="C26" s="185">
        <f>C27*8</f>
        <v>440</v>
      </c>
      <c r="D26" s="185">
        <v>1</v>
      </c>
      <c r="E26" s="185">
        <v>1</v>
      </c>
      <c r="F26" s="185">
        <v>1</v>
      </c>
      <c r="G26" s="284">
        <v>0</v>
      </c>
      <c r="H26" s="285">
        <v>0</v>
      </c>
      <c r="I26" s="185">
        <v>1</v>
      </c>
      <c r="J26" s="185">
        <v>1</v>
      </c>
      <c r="K26" s="185">
        <v>1</v>
      </c>
      <c r="L26" s="185">
        <v>1</v>
      </c>
      <c r="M26" s="185">
        <v>1</v>
      </c>
      <c r="N26" s="284">
        <v>0</v>
      </c>
      <c r="O26" s="185">
        <v>1</v>
      </c>
      <c r="P26" s="185">
        <v>1</v>
      </c>
      <c r="Q26" s="185">
        <v>1</v>
      </c>
      <c r="R26" s="185">
        <v>1</v>
      </c>
      <c r="S26" s="185">
        <v>1</v>
      </c>
      <c r="T26" s="185">
        <v>1</v>
      </c>
      <c r="U26" s="284">
        <v>0</v>
      </c>
      <c r="V26" s="185">
        <v>1</v>
      </c>
      <c r="W26" s="185">
        <v>1</v>
      </c>
      <c r="X26" s="185">
        <v>1</v>
      </c>
      <c r="Y26" s="185">
        <v>1</v>
      </c>
      <c r="Z26" s="185">
        <v>1</v>
      </c>
      <c r="AA26" s="185">
        <v>1</v>
      </c>
      <c r="AB26" s="284">
        <v>0</v>
      </c>
      <c r="AC26" s="185">
        <v>1</v>
      </c>
      <c r="AD26" s="185">
        <v>1</v>
      </c>
      <c r="AE26" s="185">
        <v>1</v>
      </c>
      <c r="AF26" s="185">
        <v>1</v>
      </c>
      <c r="AG26" s="284">
        <v>0</v>
      </c>
      <c r="AH26" s="284">
        <v>0</v>
      </c>
      <c r="AI26" s="185">
        <f t="shared" si="32"/>
        <v>24</v>
      </c>
      <c r="AJ26" s="185">
        <v>0</v>
      </c>
      <c r="AK26" s="185">
        <v>0</v>
      </c>
      <c r="AL26" s="185">
        <f>AI26+AJ26-AK26</f>
        <v>24</v>
      </c>
      <c r="AM26" s="185">
        <f t="shared" si="34"/>
        <v>10560</v>
      </c>
      <c r="AN26" s="711">
        <f t="shared" ref="AN26" si="37">AM26+AM27</f>
        <v>13200</v>
      </c>
      <c r="AO26" s="713">
        <v>0</v>
      </c>
      <c r="AP26" s="711">
        <f t="shared" ref="AP26" si="38">AN26-AO26</f>
        <v>13200</v>
      </c>
      <c r="AQ26" s="711"/>
      <c r="AR26" s="711"/>
    </row>
    <row r="27" spans="1:44">
      <c r="A27" s="184"/>
      <c r="B27" s="184"/>
      <c r="C27" s="185">
        <v>55</v>
      </c>
      <c r="D27" s="185">
        <v>2</v>
      </c>
      <c r="E27" s="185">
        <v>2</v>
      </c>
      <c r="F27" s="185">
        <v>2</v>
      </c>
      <c r="G27" s="284">
        <v>0</v>
      </c>
      <c r="H27" s="285">
        <v>0</v>
      </c>
      <c r="I27" s="185">
        <v>2</v>
      </c>
      <c r="J27" s="185">
        <v>2</v>
      </c>
      <c r="K27" s="185">
        <v>2</v>
      </c>
      <c r="L27" s="185">
        <v>2</v>
      </c>
      <c r="M27" s="185">
        <v>2</v>
      </c>
      <c r="N27" s="284">
        <v>0</v>
      </c>
      <c r="O27" s="185">
        <v>2</v>
      </c>
      <c r="P27" s="185">
        <v>2</v>
      </c>
      <c r="Q27" s="185">
        <v>2</v>
      </c>
      <c r="R27" s="185">
        <v>2</v>
      </c>
      <c r="S27" s="185">
        <v>2</v>
      </c>
      <c r="T27" s="185">
        <v>2</v>
      </c>
      <c r="U27" s="284">
        <v>0</v>
      </c>
      <c r="V27" s="185">
        <v>2</v>
      </c>
      <c r="W27" s="185">
        <v>2</v>
      </c>
      <c r="X27" s="185">
        <v>2</v>
      </c>
      <c r="Y27" s="185">
        <v>2</v>
      </c>
      <c r="Z27" s="185">
        <v>2</v>
      </c>
      <c r="AA27" s="185">
        <v>2</v>
      </c>
      <c r="AB27" s="284">
        <v>0</v>
      </c>
      <c r="AC27" s="185">
        <v>2</v>
      </c>
      <c r="AD27" s="185">
        <v>2</v>
      </c>
      <c r="AE27" s="185">
        <v>2</v>
      </c>
      <c r="AF27" s="185">
        <v>2</v>
      </c>
      <c r="AG27" s="284">
        <v>0</v>
      </c>
      <c r="AH27" s="284">
        <v>0</v>
      </c>
      <c r="AI27" s="185">
        <f t="shared" si="32"/>
        <v>48</v>
      </c>
      <c r="AJ27" s="185">
        <v>0</v>
      </c>
      <c r="AK27" s="185">
        <v>0</v>
      </c>
      <c r="AL27" s="185">
        <f t="shared" ref="AL27" si="39">AI27+AJ27-AK27</f>
        <v>48</v>
      </c>
      <c r="AM27" s="185">
        <f t="shared" si="34"/>
        <v>2640</v>
      </c>
      <c r="AN27" s="712"/>
      <c r="AO27" s="714"/>
      <c r="AP27" s="712"/>
      <c r="AQ27" s="712"/>
      <c r="AR27" s="712"/>
    </row>
    <row r="28" spans="1:44">
      <c r="A28" s="185">
        <v>4</v>
      </c>
      <c r="B28" s="184" t="s">
        <v>61</v>
      </c>
      <c r="C28" s="185">
        <v>500</v>
      </c>
      <c r="D28" s="185">
        <v>1</v>
      </c>
      <c r="E28" s="185">
        <v>1</v>
      </c>
      <c r="F28" s="185">
        <v>1</v>
      </c>
      <c r="G28" s="284">
        <v>0</v>
      </c>
      <c r="H28" s="185">
        <v>1</v>
      </c>
      <c r="I28" s="185">
        <v>1</v>
      </c>
      <c r="J28" s="185">
        <v>1</v>
      </c>
      <c r="K28" s="185">
        <v>1</v>
      </c>
      <c r="L28" s="185">
        <v>1</v>
      </c>
      <c r="M28" s="185">
        <v>1</v>
      </c>
      <c r="N28" s="284">
        <v>0</v>
      </c>
      <c r="O28" s="185">
        <v>1</v>
      </c>
      <c r="P28" s="185">
        <v>1</v>
      </c>
      <c r="Q28" s="185">
        <v>1</v>
      </c>
      <c r="R28" s="185">
        <v>1</v>
      </c>
      <c r="S28" s="185">
        <v>1</v>
      </c>
      <c r="T28" s="285">
        <v>0</v>
      </c>
      <c r="U28" s="284">
        <v>0</v>
      </c>
      <c r="V28" s="185">
        <v>1</v>
      </c>
      <c r="W28" s="185">
        <v>1</v>
      </c>
      <c r="X28" s="185">
        <v>1</v>
      </c>
      <c r="Y28" s="185">
        <v>1</v>
      </c>
      <c r="Z28" s="185">
        <v>1</v>
      </c>
      <c r="AA28" s="185">
        <v>1</v>
      </c>
      <c r="AB28" s="284">
        <v>0</v>
      </c>
      <c r="AC28" s="185">
        <v>1</v>
      </c>
      <c r="AD28" s="185">
        <v>1</v>
      </c>
      <c r="AE28" s="185">
        <v>1</v>
      </c>
      <c r="AF28" s="185">
        <v>1</v>
      </c>
      <c r="AG28" s="284">
        <v>0</v>
      </c>
      <c r="AH28" s="284">
        <v>0</v>
      </c>
      <c r="AI28" s="185">
        <f t="shared" si="32"/>
        <v>24</v>
      </c>
      <c r="AJ28" s="185">
        <v>5</v>
      </c>
      <c r="AK28" s="185">
        <v>0</v>
      </c>
      <c r="AL28" s="185">
        <f>AI28+AJ28-AK28</f>
        <v>29</v>
      </c>
      <c r="AM28" s="185">
        <f t="shared" si="34"/>
        <v>14500</v>
      </c>
      <c r="AN28" s="711">
        <f t="shared" ref="AN28" si="40">AM28+AM29</f>
        <v>14500</v>
      </c>
      <c r="AO28" s="713">
        <v>0</v>
      </c>
      <c r="AP28" s="711">
        <f t="shared" ref="AP28" si="41">AN28-AO28</f>
        <v>14500</v>
      </c>
      <c r="AQ28" s="711"/>
      <c r="AR28" s="711"/>
    </row>
    <row r="29" spans="1:44">
      <c r="A29" s="184"/>
      <c r="B29" s="184"/>
      <c r="C29" s="185">
        <v>50</v>
      </c>
      <c r="D29" s="185">
        <v>0</v>
      </c>
      <c r="E29" s="185">
        <v>0</v>
      </c>
      <c r="F29" s="185">
        <v>0</v>
      </c>
      <c r="G29" s="284">
        <v>0</v>
      </c>
      <c r="H29" s="185">
        <v>0</v>
      </c>
      <c r="I29" s="185">
        <v>0</v>
      </c>
      <c r="J29" s="185">
        <v>0</v>
      </c>
      <c r="K29" s="185">
        <v>0</v>
      </c>
      <c r="L29" s="185">
        <v>0</v>
      </c>
      <c r="M29" s="185">
        <v>0</v>
      </c>
      <c r="N29" s="284">
        <v>0</v>
      </c>
      <c r="O29" s="185">
        <v>0</v>
      </c>
      <c r="P29" s="185">
        <v>0</v>
      </c>
      <c r="Q29" s="185">
        <v>0</v>
      </c>
      <c r="R29" s="185">
        <v>0</v>
      </c>
      <c r="S29" s="185">
        <v>0</v>
      </c>
      <c r="T29" s="285">
        <v>0</v>
      </c>
      <c r="U29" s="284">
        <v>0</v>
      </c>
      <c r="V29" s="185">
        <v>0</v>
      </c>
      <c r="W29" s="185">
        <v>0</v>
      </c>
      <c r="X29" s="185">
        <v>0</v>
      </c>
      <c r="Y29" s="185">
        <v>0</v>
      </c>
      <c r="Z29" s="185">
        <v>0</v>
      </c>
      <c r="AA29" s="185">
        <v>0</v>
      </c>
      <c r="AB29" s="284">
        <v>0</v>
      </c>
      <c r="AC29" s="185">
        <v>0</v>
      </c>
      <c r="AD29" s="185">
        <v>0</v>
      </c>
      <c r="AE29" s="185">
        <v>0</v>
      </c>
      <c r="AF29" s="185">
        <v>0</v>
      </c>
      <c r="AG29" s="284">
        <v>0</v>
      </c>
      <c r="AH29" s="284">
        <v>0</v>
      </c>
      <c r="AI29" s="185">
        <f t="shared" si="32"/>
        <v>0</v>
      </c>
      <c r="AJ29" s="185">
        <v>0</v>
      </c>
      <c r="AK29" s="185">
        <v>0</v>
      </c>
      <c r="AL29" s="185">
        <f t="shared" ref="AL29" si="42">AI29+AJ29-AK29</f>
        <v>0</v>
      </c>
      <c r="AM29" s="185">
        <f t="shared" si="34"/>
        <v>0</v>
      </c>
      <c r="AN29" s="712"/>
      <c r="AO29" s="714"/>
      <c r="AP29" s="712"/>
      <c r="AQ29" s="712"/>
      <c r="AR29" s="712"/>
    </row>
    <row r="30" spans="1:44">
      <c r="A30" s="185">
        <v>5</v>
      </c>
      <c r="B30" s="184" t="s">
        <v>147</v>
      </c>
      <c r="C30" s="185">
        <v>320</v>
      </c>
      <c r="D30" s="185">
        <v>1</v>
      </c>
      <c r="E30" s="185">
        <v>1</v>
      </c>
      <c r="F30" s="185">
        <v>1</v>
      </c>
      <c r="G30" s="284">
        <v>0</v>
      </c>
      <c r="H30" s="285">
        <v>0</v>
      </c>
      <c r="I30" s="185">
        <v>1</v>
      </c>
      <c r="J30" s="285">
        <v>0</v>
      </c>
      <c r="K30" s="285">
        <v>0</v>
      </c>
      <c r="L30" s="285">
        <v>0</v>
      </c>
      <c r="M30" s="285">
        <v>0</v>
      </c>
      <c r="N30" s="284">
        <v>0</v>
      </c>
      <c r="O30" s="185">
        <v>1</v>
      </c>
      <c r="P30" s="185">
        <v>1</v>
      </c>
      <c r="Q30" s="185">
        <v>1</v>
      </c>
      <c r="R30" s="185">
        <v>1</v>
      </c>
      <c r="S30" s="185">
        <v>1</v>
      </c>
      <c r="T30" s="285">
        <v>0</v>
      </c>
      <c r="U30" s="284">
        <v>0</v>
      </c>
      <c r="V30" s="185">
        <v>1</v>
      </c>
      <c r="W30" s="185">
        <v>1</v>
      </c>
      <c r="X30" s="185">
        <v>1</v>
      </c>
      <c r="Y30" s="185">
        <v>1</v>
      </c>
      <c r="Z30" s="185">
        <v>1</v>
      </c>
      <c r="AA30" s="185">
        <v>1</v>
      </c>
      <c r="AB30" s="284">
        <v>0</v>
      </c>
      <c r="AC30" s="285">
        <v>0</v>
      </c>
      <c r="AD30" s="185">
        <v>1</v>
      </c>
      <c r="AE30" s="185">
        <v>1</v>
      </c>
      <c r="AF30" s="185">
        <v>1</v>
      </c>
      <c r="AG30" s="284">
        <v>0</v>
      </c>
      <c r="AH30" s="284">
        <v>0</v>
      </c>
      <c r="AI30" s="185">
        <f t="shared" si="32"/>
        <v>18</v>
      </c>
      <c r="AJ30" s="185">
        <v>0</v>
      </c>
      <c r="AK30" s="185">
        <v>0</v>
      </c>
      <c r="AL30" s="185">
        <f>AI30+AJ30-AK30</f>
        <v>18</v>
      </c>
      <c r="AM30" s="185">
        <f t="shared" si="34"/>
        <v>5760</v>
      </c>
      <c r="AN30" s="711">
        <f t="shared" ref="AN30" si="43">AM30+AM31</f>
        <v>7160</v>
      </c>
      <c r="AO30" s="713">
        <v>0</v>
      </c>
      <c r="AP30" s="711">
        <f t="shared" ref="AP30" si="44">AN30-AO30</f>
        <v>7160</v>
      </c>
      <c r="AQ30" s="711"/>
      <c r="AR30" s="711"/>
    </row>
    <row r="31" spans="1:44">
      <c r="A31" s="184"/>
      <c r="B31" s="184"/>
      <c r="C31" s="185">
        <v>40</v>
      </c>
      <c r="D31" s="185">
        <v>2</v>
      </c>
      <c r="E31" s="185">
        <v>2</v>
      </c>
      <c r="F31" s="185">
        <v>2</v>
      </c>
      <c r="G31" s="284">
        <v>0</v>
      </c>
      <c r="H31" s="285">
        <v>0</v>
      </c>
      <c r="I31" s="185">
        <v>2</v>
      </c>
      <c r="J31" s="285">
        <v>0</v>
      </c>
      <c r="K31" s="285">
        <v>0</v>
      </c>
      <c r="L31" s="285">
        <v>0</v>
      </c>
      <c r="M31" s="285">
        <v>0</v>
      </c>
      <c r="N31" s="284">
        <v>0</v>
      </c>
      <c r="O31" s="185">
        <v>2</v>
      </c>
      <c r="P31" s="185">
        <v>2</v>
      </c>
      <c r="Q31" s="185">
        <v>2</v>
      </c>
      <c r="R31" s="185">
        <v>2</v>
      </c>
      <c r="S31" s="185">
        <v>2</v>
      </c>
      <c r="T31" s="285">
        <v>0</v>
      </c>
      <c r="U31" s="284">
        <v>0</v>
      </c>
      <c r="V31" s="185">
        <v>2</v>
      </c>
      <c r="W31" s="185">
        <v>2</v>
      </c>
      <c r="X31" s="185">
        <v>2</v>
      </c>
      <c r="Y31" s="185">
        <v>2</v>
      </c>
      <c r="Z31" s="185">
        <v>2</v>
      </c>
      <c r="AA31" s="185">
        <v>2</v>
      </c>
      <c r="AB31" s="284">
        <v>0</v>
      </c>
      <c r="AC31" s="285">
        <v>0</v>
      </c>
      <c r="AD31" s="185">
        <v>2</v>
      </c>
      <c r="AE31" s="185">
        <v>2</v>
      </c>
      <c r="AF31" s="185">
        <v>1</v>
      </c>
      <c r="AG31" s="284">
        <v>0</v>
      </c>
      <c r="AH31" s="284">
        <v>0</v>
      </c>
      <c r="AI31" s="185">
        <f t="shared" si="32"/>
        <v>35</v>
      </c>
      <c r="AJ31" s="185">
        <v>0</v>
      </c>
      <c r="AK31" s="185">
        <v>0</v>
      </c>
      <c r="AL31" s="185">
        <f t="shared" ref="AL31" si="45">AI31+AJ31-AK31</f>
        <v>35</v>
      </c>
      <c r="AM31" s="185">
        <f t="shared" si="34"/>
        <v>1400</v>
      </c>
      <c r="AN31" s="712"/>
      <c r="AO31" s="714"/>
      <c r="AP31" s="712"/>
      <c r="AQ31" s="712"/>
      <c r="AR31" s="712"/>
    </row>
    <row r="32" spans="1:44">
      <c r="A32" s="185">
        <v>6</v>
      </c>
      <c r="B32" s="184" t="s">
        <v>148</v>
      </c>
      <c r="C32" s="185">
        <v>440</v>
      </c>
      <c r="D32" s="285">
        <v>0</v>
      </c>
      <c r="E32" s="285">
        <v>0</v>
      </c>
      <c r="F32" s="285">
        <v>0</v>
      </c>
      <c r="G32" s="284">
        <v>0</v>
      </c>
      <c r="H32" s="285">
        <v>0</v>
      </c>
      <c r="I32" s="285">
        <v>0</v>
      </c>
      <c r="J32" s="285">
        <v>0</v>
      </c>
      <c r="K32" s="285">
        <v>0</v>
      </c>
      <c r="L32" s="285">
        <v>0</v>
      </c>
      <c r="M32" s="285">
        <v>0</v>
      </c>
      <c r="N32" s="284">
        <v>0</v>
      </c>
      <c r="O32" s="285">
        <v>0</v>
      </c>
      <c r="P32" s="285">
        <v>0</v>
      </c>
      <c r="Q32" s="285">
        <v>0</v>
      </c>
      <c r="R32" s="185">
        <v>1</v>
      </c>
      <c r="S32" s="185">
        <v>1</v>
      </c>
      <c r="T32" s="285">
        <v>0</v>
      </c>
      <c r="U32" s="284">
        <v>0</v>
      </c>
      <c r="V32" s="285">
        <v>0</v>
      </c>
      <c r="W32" s="285">
        <v>0</v>
      </c>
      <c r="X32" s="285">
        <v>0</v>
      </c>
      <c r="Y32" s="285">
        <v>0</v>
      </c>
      <c r="Z32" s="285">
        <v>0</v>
      </c>
      <c r="AA32" s="285">
        <v>0</v>
      </c>
      <c r="AB32" s="284">
        <v>0</v>
      </c>
      <c r="AC32" s="285">
        <v>0</v>
      </c>
      <c r="AD32" s="285">
        <v>0</v>
      </c>
      <c r="AE32" s="285">
        <v>0</v>
      </c>
      <c r="AF32" s="285">
        <v>0</v>
      </c>
      <c r="AG32" s="284">
        <v>0</v>
      </c>
      <c r="AH32" s="284">
        <v>0</v>
      </c>
      <c r="AI32" s="185">
        <f t="shared" si="32"/>
        <v>2</v>
      </c>
      <c r="AJ32" s="185">
        <v>0</v>
      </c>
      <c r="AK32" s="185">
        <v>0</v>
      </c>
      <c r="AL32" s="185">
        <f>AI32+AJ32-AK32</f>
        <v>2</v>
      </c>
      <c r="AM32" s="185">
        <f t="shared" si="34"/>
        <v>880</v>
      </c>
      <c r="AN32" s="711">
        <f t="shared" ref="AN32" si="46">AM32+AM33</f>
        <v>1100</v>
      </c>
      <c r="AO32" s="713">
        <v>0</v>
      </c>
      <c r="AP32" s="711">
        <f t="shared" ref="AP32" si="47">AN32-AO32</f>
        <v>1100</v>
      </c>
      <c r="AQ32" s="711"/>
      <c r="AR32" s="711"/>
    </row>
    <row r="33" spans="1:44">
      <c r="A33" s="184"/>
      <c r="B33" s="184"/>
      <c r="C33" s="185">
        <v>55</v>
      </c>
      <c r="D33" s="285">
        <v>0</v>
      </c>
      <c r="E33" s="285">
        <v>0</v>
      </c>
      <c r="F33" s="285">
        <v>0</v>
      </c>
      <c r="G33" s="284">
        <v>0</v>
      </c>
      <c r="H33" s="285">
        <v>0</v>
      </c>
      <c r="I33" s="285">
        <v>0</v>
      </c>
      <c r="J33" s="285">
        <v>0</v>
      </c>
      <c r="K33" s="285">
        <v>0</v>
      </c>
      <c r="L33" s="285">
        <v>0</v>
      </c>
      <c r="M33" s="285">
        <v>0</v>
      </c>
      <c r="N33" s="284">
        <v>0</v>
      </c>
      <c r="O33" s="285">
        <v>0</v>
      </c>
      <c r="P33" s="285">
        <v>0</v>
      </c>
      <c r="Q33" s="285">
        <v>0</v>
      </c>
      <c r="R33" s="185">
        <v>2</v>
      </c>
      <c r="S33" s="185">
        <v>2</v>
      </c>
      <c r="T33" s="285">
        <v>0</v>
      </c>
      <c r="U33" s="284">
        <v>0</v>
      </c>
      <c r="V33" s="285">
        <v>0</v>
      </c>
      <c r="W33" s="285">
        <v>0</v>
      </c>
      <c r="X33" s="285">
        <v>0</v>
      </c>
      <c r="Y33" s="285">
        <v>0</v>
      </c>
      <c r="Z33" s="285">
        <v>0</v>
      </c>
      <c r="AA33" s="285">
        <v>0</v>
      </c>
      <c r="AB33" s="284">
        <v>0</v>
      </c>
      <c r="AC33" s="285">
        <v>0</v>
      </c>
      <c r="AD33" s="285">
        <v>0</v>
      </c>
      <c r="AE33" s="285">
        <v>0</v>
      </c>
      <c r="AF33" s="285">
        <v>0</v>
      </c>
      <c r="AG33" s="284">
        <v>0</v>
      </c>
      <c r="AH33" s="284">
        <v>0</v>
      </c>
      <c r="AI33" s="185">
        <f t="shared" si="32"/>
        <v>4</v>
      </c>
      <c r="AJ33" s="185">
        <v>0</v>
      </c>
      <c r="AK33" s="185">
        <v>0</v>
      </c>
      <c r="AL33" s="185">
        <f t="shared" ref="AL33" si="48">AI33+AJ33-AK33</f>
        <v>4</v>
      </c>
      <c r="AM33" s="185">
        <f t="shared" si="34"/>
        <v>220</v>
      </c>
      <c r="AN33" s="712"/>
      <c r="AO33" s="714"/>
      <c r="AP33" s="712"/>
      <c r="AQ33" s="712"/>
      <c r="AR33" s="712"/>
    </row>
    <row r="34" spans="1:44">
      <c r="A34" s="185"/>
      <c r="B34" s="184"/>
      <c r="C34" s="185"/>
      <c r="D34" s="185"/>
      <c r="E34" s="185"/>
      <c r="F34" s="185"/>
      <c r="G34" s="284">
        <v>0</v>
      </c>
      <c r="H34" s="185"/>
      <c r="I34" s="185"/>
      <c r="J34" s="185"/>
      <c r="K34" s="185"/>
      <c r="L34" s="185"/>
      <c r="M34" s="185"/>
      <c r="N34" s="284">
        <v>0</v>
      </c>
      <c r="O34" s="185"/>
      <c r="P34" s="185"/>
      <c r="Q34" s="185"/>
      <c r="R34" s="185"/>
      <c r="S34" s="185"/>
      <c r="T34" s="185"/>
      <c r="U34" s="284">
        <v>0</v>
      </c>
      <c r="V34" s="185"/>
      <c r="W34" s="185"/>
      <c r="X34" s="185"/>
      <c r="Y34" s="185"/>
      <c r="Z34" s="185"/>
      <c r="AA34" s="185"/>
      <c r="AB34" s="284">
        <v>0</v>
      </c>
      <c r="AC34" s="185"/>
      <c r="AD34" s="185"/>
      <c r="AE34" s="185"/>
      <c r="AF34" s="185"/>
      <c r="AG34" s="284">
        <v>0</v>
      </c>
      <c r="AH34" s="284">
        <v>0</v>
      </c>
      <c r="AI34" s="185">
        <f t="shared" si="32"/>
        <v>0</v>
      </c>
      <c r="AJ34" s="185"/>
      <c r="AK34" s="185">
        <v>0</v>
      </c>
      <c r="AL34" s="185">
        <f>AI34+AJ34-AK34</f>
        <v>0</v>
      </c>
      <c r="AM34" s="185">
        <f t="shared" si="34"/>
        <v>0</v>
      </c>
      <c r="AN34" s="711">
        <f t="shared" ref="AN34" si="49">AM34+AM35</f>
        <v>0</v>
      </c>
      <c r="AO34" s="713">
        <v>0</v>
      </c>
      <c r="AP34" s="711">
        <f t="shared" ref="AP34" si="50">AN34-AO34</f>
        <v>0</v>
      </c>
      <c r="AQ34" s="711"/>
      <c r="AR34" s="711"/>
    </row>
    <row r="35" spans="1:44">
      <c r="A35" s="184"/>
      <c r="B35" s="184"/>
      <c r="C35" s="185"/>
      <c r="D35" s="185"/>
      <c r="E35" s="185"/>
      <c r="F35" s="185"/>
      <c r="G35" s="284">
        <v>0</v>
      </c>
      <c r="H35" s="185"/>
      <c r="I35" s="185"/>
      <c r="J35" s="185"/>
      <c r="K35" s="185"/>
      <c r="L35" s="185"/>
      <c r="M35" s="185"/>
      <c r="N35" s="284">
        <v>0</v>
      </c>
      <c r="O35" s="185"/>
      <c r="P35" s="185"/>
      <c r="Q35" s="185"/>
      <c r="R35" s="185"/>
      <c r="S35" s="185"/>
      <c r="T35" s="185"/>
      <c r="U35" s="284">
        <v>0</v>
      </c>
      <c r="V35" s="185"/>
      <c r="W35" s="185"/>
      <c r="X35" s="185"/>
      <c r="Y35" s="185"/>
      <c r="Z35" s="185"/>
      <c r="AA35" s="185"/>
      <c r="AB35" s="284">
        <v>0</v>
      </c>
      <c r="AC35" s="185"/>
      <c r="AD35" s="185"/>
      <c r="AE35" s="185"/>
      <c r="AF35" s="185"/>
      <c r="AG35" s="284">
        <v>0</v>
      </c>
      <c r="AH35" s="284">
        <v>0</v>
      </c>
      <c r="AI35" s="185">
        <f t="shared" si="32"/>
        <v>0</v>
      </c>
      <c r="AJ35" s="185">
        <v>0</v>
      </c>
      <c r="AK35" s="185">
        <v>0</v>
      </c>
      <c r="AL35" s="185">
        <f t="shared" ref="AL35" si="51">AI35+AJ35-AK35</f>
        <v>0</v>
      </c>
      <c r="AM35" s="185">
        <f t="shared" si="34"/>
        <v>0</v>
      </c>
      <c r="AN35" s="712"/>
      <c r="AO35" s="714"/>
      <c r="AP35" s="712"/>
      <c r="AQ35" s="712"/>
      <c r="AR35" s="712"/>
    </row>
    <row r="36" spans="1:44">
      <c r="A36" s="828" t="s">
        <v>103</v>
      </c>
      <c r="B36" s="829"/>
      <c r="C36" s="282"/>
      <c r="D36" s="282">
        <f>X31+D26+D28+D30+D32+D34+D24</f>
        <v>6</v>
      </c>
      <c r="E36" s="282">
        <f t="shared" ref="E36:V36" si="52">E22+E26+E28+E30+E32+E34+E24</f>
        <v>5</v>
      </c>
      <c r="F36" s="282">
        <f t="shared" si="52"/>
        <v>5</v>
      </c>
      <c r="G36" s="282">
        <f t="shared" si="52"/>
        <v>0</v>
      </c>
      <c r="H36" s="282">
        <f t="shared" si="52"/>
        <v>2</v>
      </c>
      <c r="I36" s="282">
        <f t="shared" si="52"/>
        <v>4</v>
      </c>
      <c r="J36" s="282">
        <f t="shared" si="52"/>
        <v>3</v>
      </c>
      <c r="K36" s="282">
        <f t="shared" si="52"/>
        <v>3</v>
      </c>
      <c r="L36" s="282">
        <f t="shared" si="52"/>
        <v>3</v>
      </c>
      <c r="M36" s="282">
        <f t="shared" si="52"/>
        <v>3</v>
      </c>
      <c r="N36" s="282">
        <f t="shared" si="52"/>
        <v>0</v>
      </c>
      <c r="O36" s="282">
        <f t="shared" si="52"/>
        <v>4</v>
      </c>
      <c r="P36" s="282">
        <f t="shared" si="52"/>
        <v>3.5</v>
      </c>
      <c r="Q36" s="282">
        <f t="shared" si="52"/>
        <v>4</v>
      </c>
      <c r="R36" s="282">
        <f t="shared" si="52"/>
        <v>5</v>
      </c>
      <c r="S36" s="282">
        <f t="shared" si="52"/>
        <v>5</v>
      </c>
      <c r="T36" s="282">
        <f t="shared" si="52"/>
        <v>2</v>
      </c>
      <c r="U36" s="282">
        <f t="shared" si="52"/>
        <v>0</v>
      </c>
      <c r="V36" s="282">
        <f t="shared" si="52"/>
        <v>4</v>
      </c>
      <c r="W36" s="282">
        <f>V22+V26+V28+V30+V32+V34+V24</f>
        <v>4</v>
      </c>
      <c r="X36" s="282">
        <f t="shared" ref="X36:AA36" si="53">X22+X26+X28+X30+X32+X34+X24</f>
        <v>4</v>
      </c>
      <c r="Y36" s="282">
        <f t="shared" si="53"/>
        <v>4</v>
      </c>
      <c r="Z36" s="282">
        <f t="shared" si="53"/>
        <v>4</v>
      </c>
      <c r="AA36" s="282">
        <f t="shared" si="53"/>
        <v>4</v>
      </c>
      <c r="AB36" s="282">
        <f>AB22+AB26+AB28+AB30+AB32+AB34+AB24</f>
        <v>0</v>
      </c>
      <c r="AC36" s="282">
        <f t="shared" ref="AC36:AR36" si="54">AC22+AC26+AC28+AC30+AC32+AC34+AC24</f>
        <v>3</v>
      </c>
      <c r="AD36" s="282">
        <f t="shared" si="54"/>
        <v>4</v>
      </c>
      <c r="AE36" s="282">
        <f t="shared" si="54"/>
        <v>4</v>
      </c>
      <c r="AF36" s="282">
        <f t="shared" si="54"/>
        <v>4</v>
      </c>
      <c r="AG36" s="282">
        <f t="shared" si="54"/>
        <v>0</v>
      </c>
      <c r="AH36" s="282">
        <f t="shared" si="54"/>
        <v>0</v>
      </c>
      <c r="AI36" s="282">
        <f t="shared" si="54"/>
        <v>92.5</v>
      </c>
      <c r="AJ36" s="282">
        <f t="shared" si="54"/>
        <v>5</v>
      </c>
      <c r="AK36" s="282">
        <f t="shared" si="54"/>
        <v>0</v>
      </c>
      <c r="AL36" s="282">
        <f t="shared" si="54"/>
        <v>97.5</v>
      </c>
      <c r="AM36" s="282">
        <f t="shared" si="54"/>
        <v>43460</v>
      </c>
      <c r="AN36" s="282">
        <f t="shared" si="54"/>
        <v>51380</v>
      </c>
      <c r="AO36" s="282">
        <f t="shared" si="54"/>
        <v>0</v>
      </c>
      <c r="AP36" s="282">
        <f t="shared" si="54"/>
        <v>51380</v>
      </c>
      <c r="AQ36" s="282">
        <f t="shared" si="54"/>
        <v>0</v>
      </c>
      <c r="AR36" s="282">
        <f t="shared" si="54"/>
        <v>0</v>
      </c>
    </row>
    <row r="37" spans="1:44">
      <c r="A37" s="830" t="s">
        <v>106</v>
      </c>
      <c r="B37" s="831"/>
      <c r="C37" s="283"/>
      <c r="D37" s="283">
        <f>D23+D25+D27+D29+D31++D33+D35</f>
        <v>6</v>
      </c>
      <c r="E37" s="283">
        <f t="shared" ref="E37:V37" si="55">E23+E25+E27+E29+E31++E33+E35</f>
        <v>6</v>
      </c>
      <c r="F37" s="283">
        <f t="shared" si="55"/>
        <v>6</v>
      </c>
      <c r="G37" s="283">
        <f t="shared" si="55"/>
        <v>0</v>
      </c>
      <c r="H37" s="283">
        <f t="shared" si="55"/>
        <v>2</v>
      </c>
      <c r="I37" s="283">
        <f t="shared" si="55"/>
        <v>6</v>
      </c>
      <c r="J37" s="283">
        <f t="shared" si="55"/>
        <v>4</v>
      </c>
      <c r="K37" s="283">
        <f t="shared" si="55"/>
        <v>4</v>
      </c>
      <c r="L37" s="283">
        <f t="shared" si="55"/>
        <v>6</v>
      </c>
      <c r="M37" s="283">
        <f t="shared" si="55"/>
        <v>8</v>
      </c>
      <c r="N37" s="283">
        <f t="shared" si="55"/>
        <v>8</v>
      </c>
      <c r="O37" s="283">
        <f t="shared" si="55"/>
        <v>6</v>
      </c>
      <c r="P37" s="283">
        <f t="shared" si="55"/>
        <v>5</v>
      </c>
      <c r="Q37" s="283">
        <f t="shared" si="55"/>
        <v>6</v>
      </c>
      <c r="R37" s="283">
        <f t="shared" si="55"/>
        <v>8</v>
      </c>
      <c r="S37" s="283">
        <f t="shared" si="55"/>
        <v>7</v>
      </c>
      <c r="T37" s="283">
        <f t="shared" si="55"/>
        <v>4</v>
      </c>
      <c r="U37" s="283">
        <f t="shared" si="55"/>
        <v>0</v>
      </c>
      <c r="V37" s="283">
        <f t="shared" si="55"/>
        <v>5</v>
      </c>
      <c r="W37" s="283">
        <f>V23+V25+V27+V29+V31++V33+V35</f>
        <v>5</v>
      </c>
      <c r="X37" s="283">
        <f t="shared" ref="X37:AA37" si="56">X23+X25+X27+X29+X31++X33+X35</f>
        <v>6</v>
      </c>
      <c r="Y37" s="283">
        <f t="shared" si="56"/>
        <v>6</v>
      </c>
      <c r="Z37" s="283">
        <f t="shared" si="56"/>
        <v>6</v>
      </c>
      <c r="AA37" s="283">
        <f t="shared" si="56"/>
        <v>6</v>
      </c>
      <c r="AB37" s="283">
        <f>AB23+AB25+AB27+AB29+AB31++AB33+AB35</f>
        <v>0</v>
      </c>
      <c r="AC37" s="283">
        <f t="shared" ref="AC37:AR37" si="57">AC23+AC25+AC27+AC29+AC31++AC33+AC35</f>
        <v>4</v>
      </c>
      <c r="AD37" s="283">
        <f t="shared" si="57"/>
        <v>6</v>
      </c>
      <c r="AE37" s="283">
        <f t="shared" si="57"/>
        <v>6</v>
      </c>
      <c r="AF37" s="283">
        <f t="shared" si="57"/>
        <v>5</v>
      </c>
      <c r="AG37" s="283">
        <f t="shared" si="57"/>
        <v>0</v>
      </c>
      <c r="AH37" s="283">
        <f t="shared" si="57"/>
        <v>0</v>
      </c>
      <c r="AI37" s="283">
        <f t="shared" si="57"/>
        <v>148</v>
      </c>
      <c r="AJ37" s="283">
        <f t="shared" si="57"/>
        <v>0</v>
      </c>
      <c r="AK37" s="283">
        <f t="shared" si="57"/>
        <v>0</v>
      </c>
      <c r="AL37" s="283">
        <f t="shared" si="57"/>
        <v>148</v>
      </c>
      <c r="AM37" s="283">
        <f t="shared" si="57"/>
        <v>7920</v>
      </c>
      <c r="AN37" s="283">
        <f t="shared" si="57"/>
        <v>0</v>
      </c>
      <c r="AO37" s="283">
        <f t="shared" si="57"/>
        <v>0</v>
      </c>
      <c r="AP37" s="283">
        <f t="shared" si="57"/>
        <v>0</v>
      </c>
      <c r="AQ37" s="283">
        <f t="shared" si="57"/>
        <v>0</v>
      </c>
      <c r="AR37" s="283">
        <f t="shared" si="57"/>
        <v>0</v>
      </c>
    </row>
    <row r="39" spans="1:44" ht="23.25">
      <c r="A39" s="817" t="s">
        <v>113</v>
      </c>
      <c r="B39" s="819" t="s">
        <v>1</v>
      </c>
      <c r="C39" s="820"/>
      <c r="D39" s="823" t="s">
        <v>149</v>
      </c>
      <c r="E39" s="824"/>
      <c r="F39" s="824"/>
      <c r="G39" s="824"/>
      <c r="H39" s="824"/>
      <c r="I39" s="824"/>
      <c r="J39" s="824"/>
      <c r="K39" s="824"/>
      <c r="L39" s="824"/>
      <c r="M39" s="824"/>
      <c r="N39" s="824"/>
      <c r="O39" s="824"/>
      <c r="P39" s="824"/>
      <c r="Q39" s="824"/>
      <c r="R39" s="824"/>
      <c r="S39" s="824"/>
      <c r="T39" s="824"/>
      <c r="U39" s="824"/>
      <c r="V39" s="824"/>
      <c r="W39" s="824"/>
      <c r="X39" s="824"/>
      <c r="Y39" s="824"/>
      <c r="Z39" s="824"/>
      <c r="AA39" s="824"/>
      <c r="AB39" s="824"/>
      <c r="AC39" s="824"/>
      <c r="AD39" s="824"/>
      <c r="AE39" s="824"/>
      <c r="AF39" s="825"/>
      <c r="AG39" s="826">
        <v>31</v>
      </c>
      <c r="AH39" s="827"/>
      <c r="AI39" s="811" t="s">
        <v>107</v>
      </c>
      <c r="AJ39" s="811" t="s">
        <v>45</v>
      </c>
      <c r="AK39" s="811" t="s">
        <v>108</v>
      </c>
      <c r="AL39" s="811" t="s">
        <v>112</v>
      </c>
      <c r="AM39" s="813" t="s">
        <v>7</v>
      </c>
      <c r="AN39" s="814"/>
      <c r="AO39" s="811" t="s">
        <v>93</v>
      </c>
      <c r="AP39" s="811" t="s">
        <v>109</v>
      </c>
      <c r="AQ39" s="811" t="s">
        <v>33</v>
      </c>
      <c r="AR39" s="811" t="s">
        <v>111</v>
      </c>
    </row>
    <row r="40" spans="1:44">
      <c r="A40" s="818"/>
      <c r="B40" s="821"/>
      <c r="C40" s="822"/>
      <c r="D40" s="286">
        <v>1</v>
      </c>
      <c r="E40" s="286">
        <v>2</v>
      </c>
      <c r="F40" s="286">
        <v>3</v>
      </c>
      <c r="G40" s="286">
        <v>4</v>
      </c>
      <c r="H40" s="286">
        <v>5</v>
      </c>
      <c r="I40" s="286">
        <v>6</v>
      </c>
      <c r="J40" s="286">
        <v>7</v>
      </c>
      <c r="K40" s="286">
        <v>8</v>
      </c>
      <c r="L40" s="286">
        <v>9</v>
      </c>
      <c r="M40" s="286">
        <v>10</v>
      </c>
      <c r="N40" s="286">
        <v>11</v>
      </c>
      <c r="O40" s="286">
        <v>12</v>
      </c>
      <c r="P40" s="286">
        <v>13</v>
      </c>
      <c r="Q40" s="286">
        <v>14</v>
      </c>
      <c r="R40" s="286">
        <v>15</v>
      </c>
      <c r="S40" s="286">
        <v>16</v>
      </c>
      <c r="T40" s="286">
        <v>17</v>
      </c>
      <c r="U40" s="286">
        <v>18</v>
      </c>
      <c r="V40" s="286">
        <v>19</v>
      </c>
      <c r="W40" s="286">
        <v>20</v>
      </c>
      <c r="X40" s="286">
        <v>21</v>
      </c>
      <c r="Y40" s="286">
        <v>22</v>
      </c>
      <c r="Z40" s="286">
        <v>23</v>
      </c>
      <c r="AA40" s="286">
        <v>24</v>
      </c>
      <c r="AB40" s="286">
        <v>25</v>
      </c>
      <c r="AC40" s="286">
        <v>26</v>
      </c>
      <c r="AD40" s="286">
        <v>27</v>
      </c>
      <c r="AE40" s="286">
        <v>28</v>
      </c>
      <c r="AF40" s="286">
        <v>29</v>
      </c>
      <c r="AG40" s="286">
        <v>30</v>
      </c>
      <c r="AH40" s="286">
        <v>31</v>
      </c>
      <c r="AI40" s="812"/>
      <c r="AJ40" s="812"/>
      <c r="AK40" s="812"/>
      <c r="AL40" s="812"/>
      <c r="AM40" s="815"/>
      <c r="AN40" s="816"/>
      <c r="AO40" s="812"/>
      <c r="AP40" s="812"/>
      <c r="AQ40" s="812"/>
      <c r="AR40" s="812"/>
    </row>
    <row r="41" spans="1:44">
      <c r="A41" s="185"/>
      <c r="B41" s="184"/>
      <c r="C41" s="185"/>
      <c r="D41" s="185"/>
      <c r="E41" s="185"/>
      <c r="F41" s="289">
        <v>0</v>
      </c>
      <c r="G41" s="185"/>
      <c r="H41" s="185"/>
      <c r="I41" s="185"/>
      <c r="J41" s="185"/>
      <c r="K41" s="185"/>
      <c r="L41" s="185"/>
      <c r="M41" s="289">
        <v>0</v>
      </c>
      <c r="N41" s="185"/>
      <c r="O41" s="185"/>
      <c r="P41" s="185"/>
      <c r="Q41" s="185"/>
      <c r="R41" s="185"/>
      <c r="S41" s="185"/>
      <c r="T41" s="289">
        <v>0</v>
      </c>
      <c r="U41" s="185"/>
      <c r="V41" s="185"/>
      <c r="W41" s="185"/>
      <c r="X41" s="185"/>
      <c r="Y41" s="185"/>
      <c r="Z41" s="185"/>
      <c r="AA41" s="289">
        <v>0</v>
      </c>
      <c r="AB41" s="185"/>
      <c r="AC41" s="185"/>
      <c r="AD41" s="185"/>
      <c r="AE41" s="185"/>
      <c r="AF41" s="185"/>
      <c r="AG41" s="185"/>
      <c r="AH41" s="289">
        <v>0</v>
      </c>
      <c r="AI41" s="185"/>
      <c r="AJ41" s="185"/>
      <c r="AK41" s="185"/>
      <c r="AL41" s="185"/>
      <c r="AM41" s="185"/>
      <c r="AN41" s="711"/>
      <c r="AO41" s="713"/>
      <c r="AP41" s="711"/>
      <c r="AQ41" s="711"/>
      <c r="AR41" s="711"/>
    </row>
    <row r="42" spans="1:44">
      <c r="A42" s="185"/>
      <c r="B42" s="184"/>
      <c r="C42" s="185"/>
      <c r="D42" s="185"/>
      <c r="E42" s="185"/>
      <c r="F42" s="289">
        <v>0</v>
      </c>
      <c r="G42" s="185"/>
      <c r="H42" s="185"/>
      <c r="I42" s="185"/>
      <c r="J42" s="185"/>
      <c r="K42" s="185"/>
      <c r="L42" s="185"/>
      <c r="M42" s="289">
        <v>0</v>
      </c>
      <c r="N42" s="185"/>
      <c r="O42" s="185"/>
      <c r="P42" s="185"/>
      <c r="Q42" s="185"/>
      <c r="R42" s="185"/>
      <c r="S42" s="185"/>
      <c r="T42" s="289">
        <v>0</v>
      </c>
      <c r="U42" s="185"/>
      <c r="V42" s="185"/>
      <c r="W42" s="185"/>
      <c r="X42" s="185"/>
      <c r="Y42" s="185"/>
      <c r="Z42" s="185"/>
      <c r="AA42" s="289">
        <v>0</v>
      </c>
      <c r="AB42" s="185"/>
      <c r="AC42" s="185"/>
      <c r="AD42" s="185"/>
      <c r="AE42" s="185"/>
      <c r="AF42" s="185"/>
      <c r="AG42" s="185"/>
      <c r="AH42" s="289">
        <v>0</v>
      </c>
      <c r="AI42" s="185"/>
      <c r="AJ42" s="185"/>
      <c r="AK42" s="185"/>
      <c r="AL42" s="185"/>
      <c r="AM42" s="185"/>
      <c r="AN42" s="712"/>
      <c r="AO42" s="714"/>
      <c r="AP42" s="712"/>
      <c r="AQ42" s="712"/>
      <c r="AR42" s="712"/>
    </row>
    <row r="43" spans="1:44">
      <c r="A43" s="185">
        <v>2</v>
      </c>
      <c r="B43" s="184" t="s">
        <v>114</v>
      </c>
      <c r="C43" s="185">
        <f>C44*8</f>
        <v>480</v>
      </c>
      <c r="D43" s="185">
        <v>1</v>
      </c>
      <c r="E43" s="185">
        <v>1</v>
      </c>
      <c r="F43" s="289">
        <v>0</v>
      </c>
      <c r="G43" s="185">
        <v>1</v>
      </c>
      <c r="H43" s="185">
        <v>1</v>
      </c>
      <c r="I43" s="185">
        <v>1</v>
      </c>
      <c r="J43" s="185">
        <v>1</v>
      </c>
      <c r="K43" s="185">
        <v>1</v>
      </c>
      <c r="L43" s="185">
        <v>1</v>
      </c>
      <c r="M43" s="289">
        <v>0</v>
      </c>
      <c r="N43" s="197">
        <v>0</v>
      </c>
      <c r="O43" s="185">
        <v>1</v>
      </c>
      <c r="P43" s="185">
        <v>1</v>
      </c>
      <c r="Q43" s="185">
        <v>1</v>
      </c>
      <c r="R43" s="185">
        <v>1</v>
      </c>
      <c r="S43" s="185">
        <v>1</v>
      </c>
      <c r="T43" s="289">
        <v>0</v>
      </c>
      <c r="U43" s="197">
        <v>0</v>
      </c>
      <c r="V43" s="185">
        <v>1</v>
      </c>
      <c r="W43" s="185">
        <v>1</v>
      </c>
      <c r="X43" s="185">
        <v>1</v>
      </c>
      <c r="Y43" s="185">
        <v>1</v>
      </c>
      <c r="Z43" s="185">
        <v>1</v>
      </c>
      <c r="AA43" s="197">
        <v>1</v>
      </c>
      <c r="AB43" s="185">
        <v>1</v>
      </c>
      <c r="AC43" s="203">
        <v>0.5</v>
      </c>
      <c r="AD43" s="185">
        <v>1</v>
      </c>
      <c r="AE43" s="185">
        <v>1</v>
      </c>
      <c r="AF43" s="185">
        <v>1</v>
      </c>
      <c r="AG43" s="185">
        <v>1</v>
      </c>
      <c r="AH43" s="197">
        <v>1</v>
      </c>
      <c r="AI43" s="185">
        <f t="shared" ref="AI43:AI52" si="58">SUM(D43:AH43)</f>
        <v>25.5</v>
      </c>
      <c r="AJ43" s="185">
        <v>0</v>
      </c>
      <c r="AK43" s="185">
        <v>0</v>
      </c>
      <c r="AL43" s="185">
        <f>AI43+AJ43-AK43</f>
        <v>25.5</v>
      </c>
      <c r="AM43" s="185">
        <f t="shared" ref="AM43:AM52" si="59">AL43*C43</f>
        <v>12240</v>
      </c>
      <c r="AN43" s="711">
        <f t="shared" ref="AN43" si="60">AM43+AM44</f>
        <v>15000</v>
      </c>
      <c r="AO43" s="713">
        <v>0</v>
      </c>
      <c r="AP43" s="711">
        <f t="shared" ref="AP43" si="61">AN43-AO43</f>
        <v>15000</v>
      </c>
      <c r="AQ43" s="809">
        <v>2.5</v>
      </c>
      <c r="AR43" s="711">
        <v>15000</v>
      </c>
    </row>
    <row r="44" spans="1:44">
      <c r="A44" s="185">
        <f>C43/8</f>
        <v>60</v>
      </c>
      <c r="B44" s="184"/>
      <c r="C44" s="185">
        <v>60</v>
      </c>
      <c r="D44" s="185">
        <v>2</v>
      </c>
      <c r="E44" s="185">
        <v>2</v>
      </c>
      <c r="F44" s="289">
        <v>0</v>
      </c>
      <c r="G44" s="185">
        <v>2</v>
      </c>
      <c r="H44" s="185">
        <v>2</v>
      </c>
      <c r="I44" s="185">
        <v>2</v>
      </c>
      <c r="J44" s="185">
        <v>2</v>
      </c>
      <c r="K44" s="185">
        <v>2</v>
      </c>
      <c r="L44" s="185">
        <v>2</v>
      </c>
      <c r="M44" s="289">
        <v>0</v>
      </c>
      <c r="N44" s="197">
        <v>0</v>
      </c>
      <c r="O44" s="185">
        <v>2</v>
      </c>
      <c r="P44" s="185">
        <v>2</v>
      </c>
      <c r="Q44" s="185">
        <v>2</v>
      </c>
      <c r="R44" s="185">
        <v>2</v>
      </c>
      <c r="S44" s="185">
        <v>2</v>
      </c>
      <c r="T44" s="289">
        <v>0</v>
      </c>
      <c r="U44" s="197">
        <v>0</v>
      </c>
      <c r="V44" s="185">
        <v>2</v>
      </c>
      <c r="W44" s="185">
        <v>2</v>
      </c>
      <c r="X44" s="185">
        <v>2</v>
      </c>
      <c r="Y44" s="185">
        <v>2</v>
      </c>
      <c r="Z44" s="185">
        <v>2</v>
      </c>
      <c r="AA44" s="289">
        <v>0</v>
      </c>
      <c r="AB44" s="185">
        <v>2</v>
      </c>
      <c r="AC44" s="185">
        <v>0</v>
      </c>
      <c r="AD44" s="185">
        <v>2</v>
      </c>
      <c r="AE44" s="185">
        <v>2</v>
      </c>
      <c r="AF44" s="185">
        <v>2</v>
      </c>
      <c r="AG44" s="185">
        <v>2</v>
      </c>
      <c r="AH44" s="289">
        <v>0</v>
      </c>
      <c r="AI44" s="185">
        <f t="shared" si="58"/>
        <v>46</v>
      </c>
      <c r="AJ44" s="185">
        <v>0</v>
      </c>
      <c r="AK44" s="185">
        <v>0</v>
      </c>
      <c r="AL44" s="185">
        <f t="shared" ref="AL44" si="62">AI44+AJ44-AK44</f>
        <v>46</v>
      </c>
      <c r="AM44" s="185">
        <f t="shared" si="59"/>
        <v>2760</v>
      </c>
      <c r="AN44" s="712"/>
      <c r="AO44" s="714"/>
      <c r="AP44" s="712"/>
      <c r="AQ44" s="810"/>
      <c r="AR44" s="712"/>
    </row>
    <row r="45" spans="1:44" ht="15" customHeight="1">
      <c r="A45" s="185">
        <v>3</v>
      </c>
      <c r="B45" s="184" t="s">
        <v>136</v>
      </c>
      <c r="C45" s="185">
        <f>C46*8</f>
        <v>440</v>
      </c>
      <c r="D45" s="185">
        <v>1</v>
      </c>
      <c r="E45" s="185">
        <v>1</v>
      </c>
      <c r="F45" s="289">
        <v>0</v>
      </c>
      <c r="G45" s="185">
        <v>1</v>
      </c>
      <c r="H45" s="185">
        <v>1</v>
      </c>
      <c r="I45" s="185">
        <v>1</v>
      </c>
      <c r="J45" s="185">
        <v>1</v>
      </c>
      <c r="K45" s="185">
        <v>1</v>
      </c>
      <c r="L45" s="185">
        <v>1</v>
      </c>
      <c r="M45" s="289">
        <v>0</v>
      </c>
      <c r="N45" s="185">
        <v>1</v>
      </c>
      <c r="O45" s="185">
        <v>1</v>
      </c>
      <c r="P45" s="185">
        <v>1</v>
      </c>
      <c r="Q45" s="185">
        <v>1</v>
      </c>
      <c r="R45" s="185">
        <v>1</v>
      </c>
      <c r="S45" s="197">
        <v>0</v>
      </c>
      <c r="T45" s="289">
        <v>0</v>
      </c>
      <c r="U45" s="197">
        <v>0</v>
      </c>
      <c r="V45" s="185">
        <v>1</v>
      </c>
      <c r="W45" s="185">
        <v>1</v>
      </c>
      <c r="X45" s="185">
        <v>1</v>
      </c>
      <c r="Y45" s="185">
        <v>1</v>
      </c>
      <c r="Z45" s="185">
        <v>1</v>
      </c>
      <c r="AA45" s="197">
        <v>1</v>
      </c>
      <c r="AB45" s="185">
        <v>1</v>
      </c>
      <c r="AC45" s="185">
        <v>1</v>
      </c>
      <c r="AD45" s="197">
        <v>0</v>
      </c>
      <c r="AE45" s="197">
        <v>0</v>
      </c>
      <c r="AF45" s="185">
        <v>1</v>
      </c>
      <c r="AG45" s="185">
        <v>1</v>
      </c>
      <c r="AH45" s="197">
        <v>1</v>
      </c>
      <c r="AI45" s="185">
        <f t="shared" si="58"/>
        <v>24</v>
      </c>
      <c r="AJ45" s="185">
        <v>0</v>
      </c>
      <c r="AK45" s="185">
        <v>0</v>
      </c>
      <c r="AL45" s="185">
        <f>AI45+AJ45-AK45</f>
        <v>24</v>
      </c>
      <c r="AM45" s="185">
        <f t="shared" si="59"/>
        <v>10560</v>
      </c>
      <c r="AN45" s="711">
        <f t="shared" ref="AN45" si="63">AM45+AM46</f>
        <v>12980</v>
      </c>
      <c r="AO45" s="713">
        <v>0</v>
      </c>
      <c r="AP45" s="711">
        <f t="shared" ref="AP45" si="64">AN45-AO45</f>
        <v>12980</v>
      </c>
      <c r="AQ45" s="809">
        <v>4</v>
      </c>
      <c r="AR45" s="711">
        <v>13000</v>
      </c>
    </row>
    <row r="46" spans="1:44" ht="15" customHeight="1">
      <c r="A46" s="184"/>
      <c r="B46" s="184"/>
      <c r="C46" s="185">
        <v>55</v>
      </c>
      <c r="D46" s="185">
        <v>2</v>
      </c>
      <c r="E46" s="185">
        <v>2</v>
      </c>
      <c r="F46" s="289">
        <v>0</v>
      </c>
      <c r="G46" s="185">
        <v>2</v>
      </c>
      <c r="H46" s="185">
        <v>2</v>
      </c>
      <c r="I46" s="185">
        <v>2</v>
      </c>
      <c r="J46" s="185">
        <v>2</v>
      </c>
      <c r="K46" s="185">
        <v>2</v>
      </c>
      <c r="L46" s="185">
        <v>2</v>
      </c>
      <c r="M46" s="289">
        <v>0</v>
      </c>
      <c r="N46" s="185">
        <v>2</v>
      </c>
      <c r="O46" s="185">
        <v>2</v>
      </c>
      <c r="P46" s="185">
        <v>2</v>
      </c>
      <c r="Q46" s="185">
        <v>2</v>
      </c>
      <c r="R46" s="185">
        <v>2</v>
      </c>
      <c r="S46" s="197">
        <v>0</v>
      </c>
      <c r="T46" s="289">
        <v>0</v>
      </c>
      <c r="U46" s="197">
        <v>0</v>
      </c>
      <c r="V46" s="185">
        <v>2</v>
      </c>
      <c r="W46" s="185">
        <v>2</v>
      </c>
      <c r="X46" s="185">
        <v>2</v>
      </c>
      <c r="Y46" s="185">
        <v>2</v>
      </c>
      <c r="Z46" s="185">
        <v>2</v>
      </c>
      <c r="AA46" s="289">
        <v>0</v>
      </c>
      <c r="AB46" s="185">
        <v>2</v>
      </c>
      <c r="AC46" s="185">
        <v>2</v>
      </c>
      <c r="AD46" s="197">
        <v>0</v>
      </c>
      <c r="AE46" s="197">
        <v>0</v>
      </c>
      <c r="AF46" s="185">
        <v>2</v>
      </c>
      <c r="AG46" s="185">
        <v>2</v>
      </c>
      <c r="AH46" s="289">
        <v>0</v>
      </c>
      <c r="AI46" s="185">
        <f t="shared" si="58"/>
        <v>44</v>
      </c>
      <c r="AJ46" s="185">
        <v>0</v>
      </c>
      <c r="AK46" s="185">
        <v>0</v>
      </c>
      <c r="AL46" s="185">
        <f t="shared" ref="AL46" si="65">AI46+AJ46-AK46</f>
        <v>44</v>
      </c>
      <c r="AM46" s="185">
        <f t="shared" si="59"/>
        <v>2420</v>
      </c>
      <c r="AN46" s="712"/>
      <c r="AO46" s="714"/>
      <c r="AP46" s="712"/>
      <c r="AQ46" s="810"/>
      <c r="AR46" s="712"/>
    </row>
    <row r="47" spans="1:44" ht="15" customHeight="1">
      <c r="A47" s="185">
        <v>4</v>
      </c>
      <c r="B47" s="184" t="s">
        <v>61</v>
      </c>
      <c r="C47" s="185">
        <v>500</v>
      </c>
      <c r="D47" s="185">
        <v>1</v>
      </c>
      <c r="E47" s="197">
        <v>0</v>
      </c>
      <c r="F47" s="289">
        <v>0</v>
      </c>
      <c r="G47" s="197">
        <v>0</v>
      </c>
      <c r="H47" s="197">
        <v>0</v>
      </c>
      <c r="I47" s="197">
        <v>0</v>
      </c>
      <c r="J47" s="197">
        <v>0</v>
      </c>
      <c r="K47" s="197">
        <v>0</v>
      </c>
      <c r="L47" s="197">
        <v>0</v>
      </c>
      <c r="M47" s="289">
        <v>0</v>
      </c>
      <c r="N47" s="197">
        <v>0</v>
      </c>
      <c r="O47" s="197">
        <v>0</v>
      </c>
      <c r="P47" s="197">
        <v>0</v>
      </c>
      <c r="Q47" s="197">
        <v>0</v>
      </c>
      <c r="R47" s="197">
        <v>0</v>
      </c>
      <c r="S47" s="197">
        <v>0</v>
      </c>
      <c r="T47" s="289">
        <v>0</v>
      </c>
      <c r="U47" s="197">
        <v>0</v>
      </c>
      <c r="V47" s="197">
        <v>0</v>
      </c>
      <c r="W47" s="197">
        <v>0</v>
      </c>
      <c r="X47" s="197">
        <v>0</v>
      </c>
      <c r="Y47" s="197">
        <v>0</v>
      </c>
      <c r="Z47" s="197">
        <v>0</v>
      </c>
      <c r="AA47" s="289">
        <v>0</v>
      </c>
      <c r="AB47" s="197">
        <v>0</v>
      </c>
      <c r="AC47" s="197">
        <v>0</v>
      </c>
      <c r="AD47" s="197">
        <v>0</v>
      </c>
      <c r="AE47" s="197">
        <v>0</v>
      </c>
      <c r="AF47" s="197">
        <v>0</v>
      </c>
      <c r="AG47" s="197">
        <v>0</v>
      </c>
      <c r="AH47" s="289">
        <v>0</v>
      </c>
      <c r="AI47" s="185">
        <f t="shared" si="58"/>
        <v>1</v>
      </c>
      <c r="AJ47" s="185">
        <v>0</v>
      </c>
      <c r="AK47" s="185">
        <v>0</v>
      </c>
      <c r="AL47" s="185">
        <f>AI47+AJ47-AK47</f>
        <v>1</v>
      </c>
      <c r="AM47" s="185">
        <f t="shared" si="59"/>
        <v>500</v>
      </c>
      <c r="AN47" s="711">
        <f t="shared" ref="AN47" si="66">AM47+AM48</f>
        <v>500</v>
      </c>
      <c r="AO47" s="713">
        <v>0</v>
      </c>
      <c r="AP47" s="711">
        <f t="shared" ref="AP47" si="67">AN47-AO47</f>
        <v>500</v>
      </c>
      <c r="AQ47" s="809">
        <v>30</v>
      </c>
      <c r="AR47" s="711"/>
    </row>
    <row r="48" spans="1:44" ht="15" customHeight="1">
      <c r="A48" s="184"/>
      <c r="B48" s="184"/>
      <c r="C48" s="185">
        <v>50</v>
      </c>
      <c r="D48" s="185">
        <v>0</v>
      </c>
      <c r="E48" s="197">
        <v>0</v>
      </c>
      <c r="F48" s="289">
        <v>0</v>
      </c>
      <c r="G48" s="197">
        <v>0</v>
      </c>
      <c r="H48" s="197">
        <v>0</v>
      </c>
      <c r="I48" s="197">
        <v>0</v>
      </c>
      <c r="J48" s="197">
        <v>0</v>
      </c>
      <c r="K48" s="197">
        <v>0</v>
      </c>
      <c r="L48" s="197">
        <v>0</v>
      </c>
      <c r="M48" s="289">
        <v>0</v>
      </c>
      <c r="N48" s="197">
        <v>0</v>
      </c>
      <c r="O48" s="197">
        <v>0</v>
      </c>
      <c r="P48" s="197">
        <v>0</v>
      </c>
      <c r="Q48" s="197">
        <v>0</v>
      </c>
      <c r="R48" s="197">
        <v>0</v>
      </c>
      <c r="S48" s="197">
        <v>0</v>
      </c>
      <c r="T48" s="289">
        <v>0</v>
      </c>
      <c r="U48" s="197">
        <v>0</v>
      </c>
      <c r="V48" s="197">
        <v>0</v>
      </c>
      <c r="W48" s="197">
        <v>0</v>
      </c>
      <c r="X48" s="197">
        <v>0</v>
      </c>
      <c r="Y48" s="197">
        <v>0</v>
      </c>
      <c r="Z48" s="197">
        <v>0</v>
      </c>
      <c r="AA48" s="289">
        <v>0</v>
      </c>
      <c r="AB48" s="197">
        <v>0</v>
      </c>
      <c r="AC48" s="197">
        <v>0</v>
      </c>
      <c r="AD48" s="197">
        <v>0</v>
      </c>
      <c r="AE48" s="197">
        <v>0</v>
      </c>
      <c r="AF48" s="197">
        <v>0</v>
      </c>
      <c r="AG48" s="197">
        <v>0</v>
      </c>
      <c r="AH48" s="289">
        <v>0</v>
      </c>
      <c r="AI48" s="185">
        <f t="shared" si="58"/>
        <v>0</v>
      </c>
      <c r="AJ48" s="185">
        <v>0</v>
      </c>
      <c r="AK48" s="185">
        <v>0</v>
      </c>
      <c r="AL48" s="185">
        <f t="shared" ref="AL48" si="68">AI48+AJ48-AK48</f>
        <v>0</v>
      </c>
      <c r="AM48" s="185">
        <f t="shared" si="59"/>
        <v>0</v>
      </c>
      <c r="AN48" s="712"/>
      <c r="AO48" s="714"/>
      <c r="AP48" s="712"/>
      <c r="AQ48" s="810"/>
      <c r="AR48" s="712"/>
    </row>
    <row r="49" spans="1:44" ht="15" customHeight="1">
      <c r="A49" s="185">
        <v>5</v>
      </c>
      <c r="B49" s="184" t="s">
        <v>147</v>
      </c>
      <c r="C49" s="185">
        <v>320</v>
      </c>
      <c r="D49" s="185">
        <v>1</v>
      </c>
      <c r="E49" s="185">
        <v>1</v>
      </c>
      <c r="F49" s="289">
        <v>0</v>
      </c>
      <c r="G49" s="185">
        <v>1</v>
      </c>
      <c r="H49" s="185">
        <v>1</v>
      </c>
      <c r="I49" s="185">
        <v>1</v>
      </c>
      <c r="J49" s="197">
        <v>0</v>
      </c>
      <c r="K49" s="185">
        <v>1</v>
      </c>
      <c r="L49" s="185">
        <v>1</v>
      </c>
      <c r="M49" s="289">
        <v>0</v>
      </c>
      <c r="N49" s="185">
        <v>1</v>
      </c>
      <c r="O49" s="203">
        <v>0.4</v>
      </c>
      <c r="P49" s="185">
        <v>1</v>
      </c>
      <c r="Q49" s="185">
        <v>1</v>
      </c>
      <c r="R49" s="185">
        <v>1</v>
      </c>
      <c r="S49" s="185">
        <v>1</v>
      </c>
      <c r="T49" s="289">
        <v>0</v>
      </c>
      <c r="U49" s="197">
        <v>0</v>
      </c>
      <c r="V49" s="185">
        <v>1</v>
      </c>
      <c r="W49" s="185">
        <v>1</v>
      </c>
      <c r="X49" s="185">
        <v>1</v>
      </c>
      <c r="Y49" s="185">
        <v>1</v>
      </c>
      <c r="Z49" s="185">
        <v>1</v>
      </c>
      <c r="AA49" s="289">
        <v>0</v>
      </c>
      <c r="AB49" s="197">
        <v>0</v>
      </c>
      <c r="AC49" s="185">
        <v>1</v>
      </c>
      <c r="AD49" s="185">
        <v>1</v>
      </c>
      <c r="AE49" s="185">
        <v>1</v>
      </c>
      <c r="AF49" s="185">
        <v>1</v>
      </c>
      <c r="AG49" s="197">
        <v>0</v>
      </c>
      <c r="AH49" s="289">
        <v>0</v>
      </c>
      <c r="AI49" s="185">
        <f t="shared" si="58"/>
        <v>21.4</v>
      </c>
      <c r="AJ49" s="185">
        <v>0</v>
      </c>
      <c r="AK49" s="185">
        <v>0</v>
      </c>
      <c r="AL49" s="185">
        <f>AI49+AJ49-AK49</f>
        <v>21.4</v>
      </c>
      <c r="AM49" s="185">
        <f t="shared" si="59"/>
        <v>6848</v>
      </c>
      <c r="AN49" s="711">
        <f t="shared" ref="AN49" si="69">AM49+AM50</f>
        <v>8488</v>
      </c>
      <c r="AO49" s="713">
        <v>0</v>
      </c>
      <c r="AP49" s="711">
        <f t="shared" ref="AP49" si="70">AN49-AO49</f>
        <v>8488</v>
      </c>
      <c r="AQ49" s="809">
        <v>4.5</v>
      </c>
      <c r="AR49" s="711">
        <v>8500</v>
      </c>
    </row>
    <row r="50" spans="1:44" ht="15" customHeight="1">
      <c r="A50" s="184"/>
      <c r="B50" s="184"/>
      <c r="C50" s="185">
        <v>40</v>
      </c>
      <c r="D50" s="185">
        <v>2</v>
      </c>
      <c r="E50" s="185">
        <v>2</v>
      </c>
      <c r="F50" s="289">
        <v>0</v>
      </c>
      <c r="G50" s="185">
        <v>1</v>
      </c>
      <c r="H50" s="185">
        <v>2</v>
      </c>
      <c r="I50" s="185">
        <v>2</v>
      </c>
      <c r="J50" s="197">
        <v>0</v>
      </c>
      <c r="K50" s="185">
        <v>2</v>
      </c>
      <c r="L50" s="185">
        <v>2</v>
      </c>
      <c r="M50" s="289">
        <v>0</v>
      </c>
      <c r="N50" s="185">
        <v>2</v>
      </c>
      <c r="O50" s="185">
        <v>0</v>
      </c>
      <c r="P50" s="185">
        <v>2</v>
      </c>
      <c r="Q50" s="185">
        <v>2</v>
      </c>
      <c r="R50" s="185">
        <v>2</v>
      </c>
      <c r="S50" s="185">
        <v>2</v>
      </c>
      <c r="T50" s="289">
        <v>0</v>
      </c>
      <c r="U50" s="197">
        <v>0</v>
      </c>
      <c r="V50" s="185">
        <v>2</v>
      </c>
      <c r="W50" s="185">
        <v>2</v>
      </c>
      <c r="X50" s="185">
        <v>2</v>
      </c>
      <c r="Y50" s="185">
        <v>2</v>
      </c>
      <c r="Z50" s="185">
        <v>2</v>
      </c>
      <c r="AA50" s="289">
        <v>0</v>
      </c>
      <c r="AB50" s="197">
        <v>0</v>
      </c>
      <c r="AC50" s="185">
        <v>2</v>
      </c>
      <c r="AD50" s="185">
        <v>2</v>
      </c>
      <c r="AE50" s="185">
        <v>2</v>
      </c>
      <c r="AF50" s="185">
        <v>2</v>
      </c>
      <c r="AG50" s="197">
        <v>0</v>
      </c>
      <c r="AH50" s="289">
        <v>0</v>
      </c>
      <c r="AI50" s="185">
        <f t="shared" si="58"/>
        <v>41</v>
      </c>
      <c r="AJ50" s="185">
        <v>0</v>
      </c>
      <c r="AK50" s="185">
        <v>0</v>
      </c>
      <c r="AL50" s="185">
        <f t="shared" ref="AL50" si="71">AI50+AJ50-AK50</f>
        <v>41</v>
      </c>
      <c r="AM50" s="185">
        <f t="shared" si="59"/>
        <v>1640</v>
      </c>
      <c r="AN50" s="712"/>
      <c r="AO50" s="714"/>
      <c r="AP50" s="712"/>
      <c r="AQ50" s="810"/>
      <c r="AR50" s="712"/>
    </row>
    <row r="51" spans="1:44" ht="15" customHeight="1">
      <c r="A51" s="185">
        <v>6</v>
      </c>
      <c r="B51" s="184" t="s">
        <v>150</v>
      </c>
      <c r="C51" s="185">
        <f>C52*8</f>
        <v>400</v>
      </c>
      <c r="D51" s="185"/>
      <c r="E51" s="185"/>
      <c r="F51" s="289">
        <v>0</v>
      </c>
      <c r="G51" s="185">
        <v>1</v>
      </c>
      <c r="H51" s="185">
        <v>1</v>
      </c>
      <c r="I51" s="185">
        <v>1</v>
      </c>
      <c r="J51" s="185">
        <v>1</v>
      </c>
      <c r="K51" s="185">
        <v>1</v>
      </c>
      <c r="L51" s="203">
        <v>0.5</v>
      </c>
      <c r="M51" s="289">
        <v>0</v>
      </c>
      <c r="N51" s="197">
        <v>0</v>
      </c>
      <c r="O51" s="203">
        <v>0.5</v>
      </c>
      <c r="P51" s="185">
        <v>1</v>
      </c>
      <c r="Q51" s="185">
        <v>1</v>
      </c>
      <c r="R51" s="185">
        <v>1</v>
      </c>
      <c r="S51" s="185">
        <v>1</v>
      </c>
      <c r="T51" s="289">
        <v>0</v>
      </c>
      <c r="U51" s="185">
        <v>1</v>
      </c>
      <c r="V51" s="185">
        <v>1</v>
      </c>
      <c r="W51" s="185">
        <v>1</v>
      </c>
      <c r="X51" s="197">
        <v>0</v>
      </c>
      <c r="Y51" s="185">
        <v>1</v>
      </c>
      <c r="Z51" s="185">
        <v>1</v>
      </c>
      <c r="AA51" s="289">
        <v>0</v>
      </c>
      <c r="AB51" s="197">
        <v>0</v>
      </c>
      <c r="AC51" s="185">
        <v>1</v>
      </c>
      <c r="AD51" s="185">
        <v>1</v>
      </c>
      <c r="AE51" s="185">
        <v>1</v>
      </c>
      <c r="AF51" s="197">
        <v>0</v>
      </c>
      <c r="AG51" s="185">
        <v>1</v>
      </c>
      <c r="AH51" s="289">
        <v>0</v>
      </c>
      <c r="AI51" s="185">
        <f t="shared" si="58"/>
        <v>19</v>
      </c>
      <c r="AJ51" s="185">
        <v>3</v>
      </c>
      <c r="AK51" s="185">
        <v>0</v>
      </c>
      <c r="AL51" s="185">
        <f>AI51+AJ51-AK51</f>
        <v>22</v>
      </c>
      <c r="AM51" s="185">
        <f t="shared" si="59"/>
        <v>8800</v>
      </c>
      <c r="AN51" s="711">
        <f t="shared" ref="AN51" si="72">AM51+AM52</f>
        <v>10600</v>
      </c>
      <c r="AO51" s="713">
        <v>0</v>
      </c>
      <c r="AP51" s="711">
        <f t="shared" ref="AP51" si="73">AN51-AO51</f>
        <v>10600</v>
      </c>
      <c r="AQ51" s="809">
        <v>5</v>
      </c>
      <c r="AR51" s="711">
        <v>10250</v>
      </c>
    </row>
    <row r="52" spans="1:44" ht="15" customHeight="1">
      <c r="A52" s="185">
        <f>C51/8</f>
        <v>50</v>
      </c>
      <c r="B52" s="184"/>
      <c r="C52" s="185">
        <v>50</v>
      </c>
      <c r="D52" s="185"/>
      <c r="E52" s="185"/>
      <c r="F52" s="289">
        <v>0</v>
      </c>
      <c r="G52" s="185">
        <v>2</v>
      </c>
      <c r="H52" s="185">
        <v>2</v>
      </c>
      <c r="I52" s="185">
        <v>2</v>
      </c>
      <c r="J52" s="185">
        <v>2</v>
      </c>
      <c r="K52" s="185">
        <v>2</v>
      </c>
      <c r="L52" s="185">
        <v>0</v>
      </c>
      <c r="M52" s="289">
        <v>0</v>
      </c>
      <c r="N52" s="197">
        <v>0</v>
      </c>
      <c r="O52" s="185">
        <v>0</v>
      </c>
      <c r="P52" s="185">
        <v>2</v>
      </c>
      <c r="Q52" s="185">
        <v>2</v>
      </c>
      <c r="R52" s="185">
        <v>2</v>
      </c>
      <c r="S52" s="185">
        <v>2</v>
      </c>
      <c r="T52" s="289">
        <v>0</v>
      </c>
      <c r="U52" s="185">
        <v>2</v>
      </c>
      <c r="V52" s="185">
        <v>2</v>
      </c>
      <c r="W52" s="185">
        <v>2</v>
      </c>
      <c r="X52" s="197">
        <v>0</v>
      </c>
      <c r="Y52" s="185">
        <v>2</v>
      </c>
      <c r="Z52" s="185">
        <v>2</v>
      </c>
      <c r="AA52" s="289">
        <v>0</v>
      </c>
      <c r="AB52" s="197">
        <v>0</v>
      </c>
      <c r="AC52" s="185">
        <v>2</v>
      </c>
      <c r="AD52" s="185">
        <v>2</v>
      </c>
      <c r="AE52" s="185">
        <v>2</v>
      </c>
      <c r="AF52" s="197">
        <v>0</v>
      </c>
      <c r="AG52" s="185">
        <v>2</v>
      </c>
      <c r="AH52" s="289">
        <v>0</v>
      </c>
      <c r="AI52" s="185">
        <f t="shared" si="58"/>
        <v>36</v>
      </c>
      <c r="AJ52" s="185">
        <v>0</v>
      </c>
      <c r="AK52" s="185">
        <v>0</v>
      </c>
      <c r="AL52" s="185">
        <f t="shared" ref="AL52" si="74">AI52+AJ52-AK52</f>
        <v>36</v>
      </c>
      <c r="AM52" s="185">
        <f t="shared" si="59"/>
        <v>1800</v>
      </c>
      <c r="AN52" s="712"/>
      <c r="AO52" s="714"/>
      <c r="AP52" s="712"/>
      <c r="AQ52" s="810"/>
      <c r="AR52" s="712"/>
    </row>
    <row r="53" spans="1:44" ht="15" customHeight="1">
      <c r="A53" s="185">
        <v>7</v>
      </c>
      <c r="B53" s="184" t="s">
        <v>151</v>
      </c>
      <c r="C53" s="185">
        <f>C54*8</f>
        <v>400</v>
      </c>
      <c r="D53" s="185"/>
      <c r="E53" s="185"/>
      <c r="F53" s="289">
        <v>0</v>
      </c>
      <c r="G53" s="185"/>
      <c r="H53" s="185"/>
      <c r="I53" s="185"/>
      <c r="J53" s="185"/>
      <c r="K53" s="185"/>
      <c r="L53" s="185"/>
      <c r="M53" s="289">
        <v>0</v>
      </c>
      <c r="N53" s="185"/>
      <c r="O53" s="185"/>
      <c r="P53" s="185"/>
      <c r="Q53" s="185">
        <v>1</v>
      </c>
      <c r="R53" s="185">
        <v>1</v>
      </c>
      <c r="S53" s="185">
        <v>1</v>
      </c>
      <c r="T53" s="289">
        <v>0</v>
      </c>
      <c r="U53" s="185">
        <v>1</v>
      </c>
      <c r="V53" s="185">
        <v>1</v>
      </c>
      <c r="W53" s="185">
        <v>1</v>
      </c>
      <c r="X53" s="185">
        <v>1</v>
      </c>
      <c r="Y53" s="185">
        <v>1</v>
      </c>
      <c r="Z53" s="185">
        <v>1</v>
      </c>
      <c r="AA53" s="289">
        <v>0</v>
      </c>
      <c r="AB53" s="185">
        <v>1</v>
      </c>
      <c r="AC53" s="185">
        <v>1</v>
      </c>
      <c r="AD53" s="185">
        <v>1</v>
      </c>
      <c r="AE53" s="185">
        <v>1</v>
      </c>
      <c r="AF53" s="197">
        <v>0</v>
      </c>
      <c r="AG53" s="185">
        <v>1</v>
      </c>
      <c r="AH53" s="289">
        <v>0</v>
      </c>
      <c r="AI53" s="185">
        <f t="shared" ref="AI53:AI54" si="75">SUM(D53:AH53)</f>
        <v>14</v>
      </c>
      <c r="AJ53" s="185">
        <v>3</v>
      </c>
      <c r="AK53" s="185">
        <v>0</v>
      </c>
      <c r="AL53" s="185">
        <f>AI53+AJ53-AK53</f>
        <v>17</v>
      </c>
      <c r="AM53" s="185">
        <f t="shared" ref="AM53:AM54" si="76">AL53*C53</f>
        <v>6800</v>
      </c>
      <c r="AN53" s="711">
        <f t="shared" ref="AN53" si="77">AM53+AM54</f>
        <v>8200</v>
      </c>
      <c r="AO53" s="713">
        <v>500</v>
      </c>
      <c r="AP53" s="711">
        <f t="shared" ref="AP53" si="78">AN53-AO53</f>
        <v>7700</v>
      </c>
      <c r="AQ53" s="809">
        <v>1</v>
      </c>
      <c r="AR53" s="711">
        <v>7500</v>
      </c>
    </row>
    <row r="54" spans="1:44" ht="15" customHeight="1">
      <c r="A54" s="185">
        <f>C53/8</f>
        <v>50</v>
      </c>
      <c r="B54" s="184"/>
      <c r="C54" s="185">
        <v>50</v>
      </c>
      <c r="D54" s="185"/>
      <c r="E54" s="185"/>
      <c r="F54" s="289">
        <v>0</v>
      </c>
      <c r="G54" s="185"/>
      <c r="H54" s="185"/>
      <c r="I54" s="185"/>
      <c r="J54" s="185"/>
      <c r="K54" s="185"/>
      <c r="L54" s="185"/>
      <c r="M54" s="289">
        <v>0</v>
      </c>
      <c r="N54" s="185"/>
      <c r="O54" s="185"/>
      <c r="P54" s="185"/>
      <c r="Q54" s="185">
        <v>2</v>
      </c>
      <c r="R54" s="185">
        <v>2</v>
      </c>
      <c r="S54" s="185">
        <v>2</v>
      </c>
      <c r="T54" s="289">
        <v>0</v>
      </c>
      <c r="U54" s="185">
        <v>2</v>
      </c>
      <c r="V54" s="185">
        <v>2</v>
      </c>
      <c r="W54" s="185">
        <v>2</v>
      </c>
      <c r="X54" s="185">
        <v>2</v>
      </c>
      <c r="Y54" s="185">
        <v>2</v>
      </c>
      <c r="Z54" s="185">
        <v>2</v>
      </c>
      <c r="AA54" s="289">
        <v>0</v>
      </c>
      <c r="AB54" s="185">
        <v>2</v>
      </c>
      <c r="AC54" s="185">
        <v>2</v>
      </c>
      <c r="AD54" s="185">
        <v>2</v>
      </c>
      <c r="AE54" s="185">
        <v>2</v>
      </c>
      <c r="AF54" s="197">
        <v>0</v>
      </c>
      <c r="AG54" s="185">
        <v>2</v>
      </c>
      <c r="AH54" s="289">
        <v>0</v>
      </c>
      <c r="AI54" s="185">
        <f t="shared" si="75"/>
        <v>28</v>
      </c>
      <c r="AJ54" s="185">
        <v>0</v>
      </c>
      <c r="AK54" s="185">
        <v>0</v>
      </c>
      <c r="AL54" s="185">
        <f t="shared" ref="AL54" si="79">AI54+AJ54-AK54</f>
        <v>28</v>
      </c>
      <c r="AM54" s="185">
        <f t="shared" si="76"/>
        <v>1400</v>
      </c>
      <c r="AN54" s="712"/>
      <c r="AO54" s="714"/>
      <c r="AP54" s="712"/>
      <c r="AQ54" s="810"/>
      <c r="AR54" s="712"/>
    </row>
    <row r="55" spans="1:44">
      <c r="A55" s="805" t="s">
        <v>103</v>
      </c>
      <c r="B55" s="806"/>
      <c r="C55" s="287"/>
      <c r="D55" s="287">
        <f>X50+D45+D47+D49+D51+D53+D43</f>
        <v>6</v>
      </c>
      <c r="E55" s="287">
        <f t="shared" ref="E55:V55" si="80">E41+E45+E47+E49+E51+E53+E43</f>
        <v>3</v>
      </c>
      <c r="F55" s="287">
        <f t="shared" si="80"/>
        <v>0</v>
      </c>
      <c r="G55" s="287">
        <f t="shared" si="80"/>
        <v>4</v>
      </c>
      <c r="H55" s="287">
        <f t="shared" si="80"/>
        <v>4</v>
      </c>
      <c r="I55" s="287">
        <f t="shared" si="80"/>
        <v>4</v>
      </c>
      <c r="J55" s="287">
        <f t="shared" si="80"/>
        <v>3</v>
      </c>
      <c r="K55" s="287">
        <f t="shared" si="80"/>
        <v>4</v>
      </c>
      <c r="L55" s="287">
        <f t="shared" si="80"/>
        <v>3.5</v>
      </c>
      <c r="M55" s="287">
        <f t="shared" si="80"/>
        <v>0</v>
      </c>
      <c r="N55" s="287">
        <f t="shared" si="80"/>
        <v>2</v>
      </c>
      <c r="O55" s="287">
        <f t="shared" si="80"/>
        <v>2.9</v>
      </c>
      <c r="P55" s="287">
        <f t="shared" si="80"/>
        <v>4</v>
      </c>
      <c r="Q55" s="287">
        <f t="shared" si="80"/>
        <v>5</v>
      </c>
      <c r="R55" s="287">
        <f t="shared" si="80"/>
        <v>5</v>
      </c>
      <c r="S55" s="287">
        <f t="shared" si="80"/>
        <v>4</v>
      </c>
      <c r="T55" s="287">
        <f t="shared" si="80"/>
        <v>0</v>
      </c>
      <c r="U55" s="287">
        <f t="shared" si="80"/>
        <v>2</v>
      </c>
      <c r="V55" s="287">
        <f t="shared" si="80"/>
        <v>5</v>
      </c>
      <c r="W55" s="287">
        <f>V41+V45+V47+V49+V51+V53+V43</f>
        <v>5</v>
      </c>
      <c r="X55" s="287">
        <f t="shared" ref="X55:AA55" si="81">X41+X45+X47+X49+X51+X53+X43</f>
        <v>4</v>
      </c>
      <c r="Y55" s="287">
        <f t="shared" si="81"/>
        <v>5</v>
      </c>
      <c r="Z55" s="287">
        <f t="shared" si="81"/>
        <v>5</v>
      </c>
      <c r="AA55" s="287">
        <f t="shared" si="81"/>
        <v>2</v>
      </c>
      <c r="AB55" s="287">
        <f>AB41+AB45+AB47+AB49+AB51+AB53+AB43</f>
        <v>3</v>
      </c>
      <c r="AC55" s="287">
        <f t="shared" ref="AC55:AR55" si="82">AC41+AC45+AC47+AC49+AC51+AC53+AC43</f>
        <v>4.5</v>
      </c>
      <c r="AD55" s="287">
        <f t="shared" si="82"/>
        <v>4</v>
      </c>
      <c r="AE55" s="287">
        <f t="shared" si="82"/>
        <v>4</v>
      </c>
      <c r="AF55" s="287">
        <f t="shared" si="82"/>
        <v>3</v>
      </c>
      <c r="AG55" s="287">
        <f t="shared" si="82"/>
        <v>4</v>
      </c>
      <c r="AH55" s="287">
        <f t="shared" si="82"/>
        <v>2</v>
      </c>
      <c r="AI55" s="287">
        <f t="shared" si="82"/>
        <v>104.9</v>
      </c>
      <c r="AJ55" s="287">
        <f t="shared" si="82"/>
        <v>6</v>
      </c>
      <c r="AK55" s="287">
        <f t="shared" si="82"/>
        <v>0</v>
      </c>
      <c r="AL55" s="287">
        <f t="shared" si="82"/>
        <v>110.9</v>
      </c>
      <c r="AM55" s="287">
        <f t="shared" si="82"/>
        <v>45748</v>
      </c>
      <c r="AN55" s="287">
        <f t="shared" si="82"/>
        <v>55768</v>
      </c>
      <c r="AO55" s="287">
        <f t="shared" si="82"/>
        <v>500</v>
      </c>
      <c r="AP55" s="287">
        <f t="shared" si="82"/>
        <v>55268</v>
      </c>
      <c r="AQ55" s="287">
        <f t="shared" si="82"/>
        <v>47</v>
      </c>
      <c r="AR55" s="287">
        <f t="shared" si="82"/>
        <v>54250</v>
      </c>
    </row>
    <row r="56" spans="1:44">
      <c r="A56" s="807" t="s">
        <v>106</v>
      </c>
      <c r="B56" s="808"/>
      <c r="C56" s="288"/>
      <c r="D56" s="288">
        <f>D42+D44+D46+D48+D50++D52+D54</f>
        <v>6</v>
      </c>
      <c r="E56" s="288">
        <f t="shared" ref="E56:V56" si="83">E42+E44+E46+E48+E50++E52+E54</f>
        <v>6</v>
      </c>
      <c r="F56" s="288">
        <f t="shared" si="83"/>
        <v>0</v>
      </c>
      <c r="G56" s="288">
        <f t="shared" si="83"/>
        <v>7</v>
      </c>
      <c r="H56" s="288">
        <f t="shared" si="83"/>
        <v>8</v>
      </c>
      <c r="I56" s="288">
        <f t="shared" si="83"/>
        <v>8</v>
      </c>
      <c r="J56" s="288">
        <f t="shared" si="83"/>
        <v>6</v>
      </c>
      <c r="K56" s="288">
        <f t="shared" si="83"/>
        <v>8</v>
      </c>
      <c r="L56" s="288">
        <f t="shared" si="83"/>
        <v>6</v>
      </c>
      <c r="M56" s="288">
        <f t="shared" si="83"/>
        <v>0</v>
      </c>
      <c r="N56" s="288">
        <f t="shared" si="83"/>
        <v>4</v>
      </c>
      <c r="O56" s="288">
        <f t="shared" si="83"/>
        <v>4</v>
      </c>
      <c r="P56" s="288">
        <f t="shared" si="83"/>
        <v>8</v>
      </c>
      <c r="Q56" s="288">
        <f t="shared" si="83"/>
        <v>10</v>
      </c>
      <c r="R56" s="288">
        <f t="shared" si="83"/>
        <v>10</v>
      </c>
      <c r="S56" s="288">
        <f t="shared" si="83"/>
        <v>8</v>
      </c>
      <c r="T56" s="288">
        <f t="shared" si="83"/>
        <v>0</v>
      </c>
      <c r="U56" s="288">
        <f t="shared" si="83"/>
        <v>4</v>
      </c>
      <c r="V56" s="288">
        <f t="shared" si="83"/>
        <v>10</v>
      </c>
      <c r="W56" s="288">
        <f>V42+V44+V46+V48+V50++V52+V54</f>
        <v>10</v>
      </c>
      <c r="X56" s="288">
        <f t="shared" ref="X56:AA56" si="84">X42+X44+X46+X48+X50++X52+X54</f>
        <v>8</v>
      </c>
      <c r="Y56" s="288">
        <f t="shared" si="84"/>
        <v>10</v>
      </c>
      <c r="Z56" s="288">
        <f t="shared" si="84"/>
        <v>10</v>
      </c>
      <c r="AA56" s="288">
        <f t="shared" si="84"/>
        <v>0</v>
      </c>
      <c r="AB56" s="288">
        <f>AB42+AB44+AB46+AB48+AB50++AB52+AB54</f>
        <v>6</v>
      </c>
      <c r="AC56" s="288">
        <f t="shared" ref="AC56:AR56" si="85">AC42+AC44+AC46+AC48+AC50++AC52+AC54</f>
        <v>8</v>
      </c>
      <c r="AD56" s="288">
        <f t="shared" si="85"/>
        <v>8</v>
      </c>
      <c r="AE56" s="288">
        <f t="shared" si="85"/>
        <v>8</v>
      </c>
      <c r="AF56" s="288">
        <f t="shared" si="85"/>
        <v>6</v>
      </c>
      <c r="AG56" s="288">
        <f t="shared" si="85"/>
        <v>8</v>
      </c>
      <c r="AH56" s="288">
        <f t="shared" si="85"/>
        <v>0</v>
      </c>
      <c r="AI56" s="288">
        <f t="shared" si="85"/>
        <v>195</v>
      </c>
      <c r="AJ56" s="288">
        <f t="shared" si="85"/>
        <v>0</v>
      </c>
      <c r="AK56" s="288">
        <f t="shared" si="85"/>
        <v>0</v>
      </c>
      <c r="AL56" s="288">
        <f t="shared" si="85"/>
        <v>195</v>
      </c>
      <c r="AM56" s="288">
        <f t="shared" si="85"/>
        <v>10020</v>
      </c>
      <c r="AN56" s="288">
        <f t="shared" si="85"/>
        <v>0</v>
      </c>
      <c r="AO56" s="288">
        <f t="shared" si="85"/>
        <v>0</v>
      </c>
      <c r="AP56" s="288">
        <f t="shared" si="85"/>
        <v>0</v>
      </c>
      <c r="AQ56" s="288">
        <f t="shared" si="85"/>
        <v>0</v>
      </c>
      <c r="AR56" s="288">
        <f t="shared" si="85"/>
        <v>0</v>
      </c>
    </row>
    <row r="58" spans="1:44" ht="23.25">
      <c r="A58" s="851" t="s">
        <v>113</v>
      </c>
      <c r="B58" s="853" t="s">
        <v>1</v>
      </c>
      <c r="C58" s="854"/>
      <c r="D58" s="857" t="s">
        <v>152</v>
      </c>
      <c r="E58" s="858"/>
      <c r="F58" s="858"/>
      <c r="G58" s="858"/>
      <c r="H58" s="858"/>
      <c r="I58" s="858"/>
      <c r="J58" s="858"/>
      <c r="K58" s="858"/>
      <c r="L58" s="858"/>
      <c r="M58" s="858"/>
      <c r="N58" s="858"/>
      <c r="O58" s="858"/>
      <c r="P58" s="858"/>
      <c r="Q58" s="858"/>
      <c r="R58" s="858"/>
      <c r="S58" s="858"/>
      <c r="T58" s="858"/>
      <c r="U58" s="858"/>
      <c r="V58" s="858"/>
      <c r="W58" s="858"/>
      <c r="X58" s="858"/>
      <c r="Y58" s="858"/>
      <c r="Z58" s="858"/>
      <c r="AA58" s="858"/>
      <c r="AB58" s="858"/>
      <c r="AC58" s="858"/>
      <c r="AD58" s="858"/>
      <c r="AE58" s="858"/>
      <c r="AF58" s="859"/>
      <c r="AG58" s="860">
        <v>30</v>
      </c>
      <c r="AH58" s="861"/>
      <c r="AI58" s="849" t="s">
        <v>107</v>
      </c>
      <c r="AJ58" s="849" t="s">
        <v>45</v>
      </c>
      <c r="AK58" s="849" t="s">
        <v>108</v>
      </c>
      <c r="AL58" s="849" t="s">
        <v>112</v>
      </c>
      <c r="AM58" s="862" t="s">
        <v>7</v>
      </c>
      <c r="AN58" s="863"/>
      <c r="AO58" s="849" t="s">
        <v>93</v>
      </c>
      <c r="AP58" s="849" t="s">
        <v>109</v>
      </c>
      <c r="AQ58" s="849" t="s">
        <v>33</v>
      </c>
      <c r="AR58" s="849" t="s">
        <v>111</v>
      </c>
    </row>
    <row r="59" spans="1:44">
      <c r="A59" s="852"/>
      <c r="B59" s="855"/>
      <c r="C59" s="856"/>
      <c r="D59" s="293">
        <v>1</v>
      </c>
      <c r="E59" s="293">
        <v>2</v>
      </c>
      <c r="F59" s="293">
        <v>3</v>
      </c>
      <c r="G59" s="293">
        <v>4</v>
      </c>
      <c r="H59" s="293">
        <v>5</v>
      </c>
      <c r="I59" s="293">
        <v>6</v>
      </c>
      <c r="J59" s="293">
        <v>7</v>
      </c>
      <c r="K59" s="293">
        <v>8</v>
      </c>
      <c r="L59" s="293">
        <v>9</v>
      </c>
      <c r="M59" s="293">
        <v>10</v>
      </c>
      <c r="N59" s="293">
        <v>11</v>
      </c>
      <c r="O59" s="293">
        <v>12</v>
      </c>
      <c r="P59" s="293">
        <v>13</v>
      </c>
      <c r="Q59" s="293">
        <v>14</v>
      </c>
      <c r="R59" s="293">
        <v>15</v>
      </c>
      <c r="S59" s="293">
        <v>16</v>
      </c>
      <c r="T59" s="293">
        <v>17</v>
      </c>
      <c r="U59" s="293">
        <v>18</v>
      </c>
      <c r="V59" s="293">
        <v>19</v>
      </c>
      <c r="W59" s="293">
        <v>20</v>
      </c>
      <c r="X59" s="293">
        <v>21</v>
      </c>
      <c r="Y59" s="293">
        <v>22</v>
      </c>
      <c r="Z59" s="293">
        <v>23</v>
      </c>
      <c r="AA59" s="293">
        <v>24</v>
      </c>
      <c r="AB59" s="293">
        <v>25</v>
      </c>
      <c r="AC59" s="293">
        <v>26</v>
      </c>
      <c r="AD59" s="293">
        <v>27</v>
      </c>
      <c r="AE59" s="293">
        <v>28</v>
      </c>
      <c r="AF59" s="293">
        <v>29</v>
      </c>
      <c r="AG59" s="293">
        <v>30</v>
      </c>
      <c r="AH59" s="293">
        <v>31</v>
      </c>
      <c r="AI59" s="850"/>
      <c r="AJ59" s="850"/>
      <c r="AK59" s="850"/>
      <c r="AL59" s="850"/>
      <c r="AM59" s="864"/>
      <c r="AN59" s="865"/>
      <c r="AO59" s="850"/>
      <c r="AP59" s="850"/>
      <c r="AQ59" s="850"/>
      <c r="AR59" s="850"/>
    </row>
    <row r="60" spans="1:44">
      <c r="A60" s="185">
        <v>1</v>
      </c>
      <c r="B60" s="184"/>
      <c r="C60" s="185">
        <f>C61*8</f>
        <v>440</v>
      </c>
      <c r="D60" s="185"/>
      <c r="E60" s="185"/>
      <c r="F60" s="185"/>
      <c r="G60" s="185"/>
      <c r="H60" s="185"/>
      <c r="I60" s="185"/>
      <c r="J60" s="290"/>
      <c r="K60" s="185"/>
      <c r="L60" s="185"/>
      <c r="M60" s="185"/>
      <c r="N60" s="185"/>
      <c r="O60" s="185"/>
      <c r="P60" s="185"/>
      <c r="Q60" s="221">
        <v>1</v>
      </c>
      <c r="R60" s="185"/>
      <c r="S60" s="185"/>
      <c r="T60" s="185"/>
      <c r="U60" s="185"/>
      <c r="V60" s="185"/>
      <c r="W60" s="185"/>
      <c r="X60" s="290"/>
      <c r="Y60" s="185"/>
      <c r="Z60" s="185"/>
      <c r="AA60" s="185"/>
      <c r="AB60" s="185"/>
      <c r="AC60" s="185"/>
      <c r="AD60" s="185"/>
      <c r="AE60" s="298"/>
      <c r="AF60" s="185"/>
      <c r="AG60" s="185"/>
      <c r="AH60" s="297"/>
      <c r="AI60" s="185">
        <f t="shared" ref="AI60:AI61" si="86">SUM(D60:AH60)</f>
        <v>1</v>
      </c>
      <c r="AJ60" s="185">
        <v>0</v>
      </c>
      <c r="AK60" s="185">
        <v>0</v>
      </c>
      <c r="AL60" s="185">
        <f>AI60+AJ60-AK60</f>
        <v>1</v>
      </c>
      <c r="AM60" s="185">
        <f t="shared" ref="AM60:AM61" si="87">AL60*C60</f>
        <v>440</v>
      </c>
      <c r="AN60" s="711">
        <f t="shared" ref="AN60" si="88">AM60+AM61</f>
        <v>440</v>
      </c>
      <c r="AO60" s="713">
        <v>0</v>
      </c>
      <c r="AP60" s="711">
        <f t="shared" ref="AP60" si="89">AN60-AO60</f>
        <v>440</v>
      </c>
      <c r="AQ60" s="185"/>
      <c r="AR60" s="866"/>
    </row>
    <row r="61" spans="1:44">
      <c r="A61" s="184"/>
      <c r="B61" s="184"/>
      <c r="C61" s="185">
        <v>55</v>
      </c>
      <c r="D61" s="185"/>
      <c r="E61" s="185"/>
      <c r="F61" s="185"/>
      <c r="G61" s="185"/>
      <c r="H61" s="185"/>
      <c r="I61" s="185"/>
      <c r="J61" s="290"/>
      <c r="K61" s="185"/>
      <c r="L61" s="185"/>
      <c r="M61" s="185"/>
      <c r="N61" s="185"/>
      <c r="O61" s="185"/>
      <c r="P61" s="185"/>
      <c r="Q61" s="294"/>
      <c r="R61" s="185"/>
      <c r="S61" s="185"/>
      <c r="T61" s="185"/>
      <c r="U61" s="185"/>
      <c r="V61" s="185"/>
      <c r="W61" s="185"/>
      <c r="X61" s="290"/>
      <c r="Y61" s="185"/>
      <c r="Z61" s="185"/>
      <c r="AA61" s="185"/>
      <c r="AB61" s="185"/>
      <c r="AC61" s="185"/>
      <c r="AD61" s="185"/>
      <c r="AE61" s="298"/>
      <c r="AF61" s="185"/>
      <c r="AG61" s="185"/>
      <c r="AH61" s="297"/>
      <c r="AI61" s="185">
        <f t="shared" si="86"/>
        <v>0</v>
      </c>
      <c r="AJ61" s="185">
        <v>0</v>
      </c>
      <c r="AK61" s="185">
        <v>0</v>
      </c>
      <c r="AL61" s="185">
        <f t="shared" ref="AL61" si="90">AI61+AJ61-AK61</f>
        <v>0</v>
      </c>
      <c r="AM61" s="185">
        <f t="shared" si="87"/>
        <v>0</v>
      </c>
      <c r="AN61" s="712"/>
      <c r="AO61" s="714"/>
      <c r="AP61" s="712"/>
      <c r="AQ61" s="185"/>
      <c r="AR61" s="867"/>
    </row>
    <row r="62" spans="1:44" ht="15" customHeight="1">
      <c r="A62" s="185">
        <v>2</v>
      </c>
      <c r="B62" s="184" t="s">
        <v>114</v>
      </c>
      <c r="C62" s="185">
        <f>C63*8</f>
        <v>480</v>
      </c>
      <c r="D62" s="185">
        <v>1</v>
      </c>
      <c r="E62" s="185">
        <v>1</v>
      </c>
      <c r="F62" s="185">
        <v>1</v>
      </c>
      <c r="G62" s="185">
        <v>1</v>
      </c>
      <c r="H62" s="185">
        <v>1</v>
      </c>
      <c r="I62" s="185">
        <v>1</v>
      </c>
      <c r="J62" s="221">
        <v>1</v>
      </c>
      <c r="K62" s="185">
        <v>1</v>
      </c>
      <c r="L62" s="185">
        <v>1</v>
      </c>
      <c r="M62" s="185">
        <v>1</v>
      </c>
      <c r="N62" s="289">
        <v>0</v>
      </c>
      <c r="O62" s="289">
        <v>0</v>
      </c>
      <c r="P62" s="289">
        <v>0</v>
      </c>
      <c r="Q62" s="221">
        <v>1</v>
      </c>
      <c r="R62" s="185">
        <v>1</v>
      </c>
      <c r="S62" s="185">
        <v>1</v>
      </c>
      <c r="T62" s="185">
        <v>1</v>
      </c>
      <c r="U62" s="185">
        <v>1</v>
      </c>
      <c r="V62" s="296">
        <v>0.5</v>
      </c>
      <c r="W62" s="185">
        <v>1</v>
      </c>
      <c r="X62" s="290"/>
      <c r="Y62" s="296">
        <v>0.5</v>
      </c>
      <c r="Z62" s="185">
        <v>1</v>
      </c>
      <c r="AA62" s="185">
        <v>1</v>
      </c>
      <c r="AB62" s="185">
        <v>1</v>
      </c>
      <c r="AC62" s="185">
        <v>1</v>
      </c>
      <c r="AD62" s="185">
        <v>1</v>
      </c>
      <c r="AE62" s="221">
        <v>1</v>
      </c>
      <c r="AF62" s="185">
        <v>1</v>
      </c>
      <c r="AG62" s="185">
        <v>1</v>
      </c>
      <c r="AH62" s="297"/>
      <c r="AI62" s="185">
        <f t="shared" ref="AI62:AI73" si="91">SUM(D62:AH62)</f>
        <v>25</v>
      </c>
      <c r="AJ62" s="185">
        <v>0</v>
      </c>
      <c r="AK62" s="185">
        <v>0</v>
      </c>
      <c r="AL62" s="185">
        <f>AI62+AJ62-AK62</f>
        <v>25</v>
      </c>
      <c r="AM62" s="185">
        <f t="shared" ref="AM62:AM73" si="92">AL62*C62</f>
        <v>12000</v>
      </c>
      <c r="AN62" s="711">
        <f t="shared" ref="AN62" si="93">AM62+AM63</f>
        <v>14280</v>
      </c>
      <c r="AO62" s="713">
        <v>0</v>
      </c>
      <c r="AP62" s="711">
        <f t="shared" ref="AP62" si="94">AN62-AO62</f>
        <v>14280</v>
      </c>
      <c r="AQ62" s="185"/>
      <c r="AR62" s="711">
        <v>14350</v>
      </c>
    </row>
    <row r="63" spans="1:44" ht="15" customHeight="1">
      <c r="A63" s="185">
        <f>C62/8</f>
        <v>60</v>
      </c>
      <c r="B63" s="184"/>
      <c r="C63" s="185">
        <v>60</v>
      </c>
      <c r="D63" s="185">
        <v>2</v>
      </c>
      <c r="E63" s="185">
        <v>2</v>
      </c>
      <c r="F63" s="185">
        <v>0</v>
      </c>
      <c r="G63" s="185">
        <v>2</v>
      </c>
      <c r="H63" s="185">
        <v>2</v>
      </c>
      <c r="I63" s="185">
        <v>2</v>
      </c>
      <c r="J63" s="290"/>
      <c r="K63" s="185">
        <v>2</v>
      </c>
      <c r="L63" s="185">
        <v>2</v>
      </c>
      <c r="M63" s="185">
        <v>2</v>
      </c>
      <c r="N63" s="289">
        <v>0</v>
      </c>
      <c r="O63" s="289">
        <v>0</v>
      </c>
      <c r="P63" s="289">
        <v>0</v>
      </c>
      <c r="Q63" s="294"/>
      <c r="R63" s="185">
        <v>2</v>
      </c>
      <c r="S63" s="185">
        <v>2</v>
      </c>
      <c r="T63" s="185">
        <v>2</v>
      </c>
      <c r="U63" s="185">
        <v>2</v>
      </c>
      <c r="V63" s="296">
        <v>0</v>
      </c>
      <c r="W63" s="185">
        <v>2</v>
      </c>
      <c r="X63" s="290"/>
      <c r="Y63" s="296">
        <v>0</v>
      </c>
      <c r="Z63" s="185">
        <v>2</v>
      </c>
      <c r="AA63" s="185">
        <v>2</v>
      </c>
      <c r="AB63" s="185">
        <v>2</v>
      </c>
      <c r="AC63" s="185">
        <v>2</v>
      </c>
      <c r="AD63" s="185">
        <v>2</v>
      </c>
      <c r="AE63" s="298"/>
      <c r="AF63" s="185">
        <v>0</v>
      </c>
      <c r="AG63" s="185">
        <v>2</v>
      </c>
      <c r="AH63" s="297"/>
      <c r="AI63" s="185">
        <f t="shared" si="91"/>
        <v>38</v>
      </c>
      <c r="AJ63" s="185">
        <v>0</v>
      </c>
      <c r="AK63" s="185">
        <v>0</v>
      </c>
      <c r="AL63" s="185">
        <f t="shared" ref="AL63" si="95">AI63+AJ63-AK63</f>
        <v>38</v>
      </c>
      <c r="AM63" s="185">
        <f t="shared" si="92"/>
        <v>2280</v>
      </c>
      <c r="AN63" s="712"/>
      <c r="AO63" s="714"/>
      <c r="AP63" s="712"/>
      <c r="AQ63" s="185"/>
      <c r="AR63" s="712"/>
    </row>
    <row r="64" spans="1:44" ht="15" customHeight="1">
      <c r="A64" s="185">
        <v>3</v>
      </c>
      <c r="B64" s="184" t="s">
        <v>136</v>
      </c>
      <c r="C64" s="185">
        <f>C65*8</f>
        <v>440</v>
      </c>
      <c r="D64" s="185">
        <v>1</v>
      </c>
      <c r="E64" s="185">
        <v>1</v>
      </c>
      <c r="F64" s="185">
        <v>1</v>
      </c>
      <c r="G64" s="185">
        <v>1</v>
      </c>
      <c r="H64" s="185">
        <v>1</v>
      </c>
      <c r="I64" s="185">
        <v>1</v>
      </c>
      <c r="J64" s="290"/>
      <c r="K64" s="185">
        <v>1</v>
      </c>
      <c r="L64" s="185">
        <v>1</v>
      </c>
      <c r="M64" s="185">
        <v>1</v>
      </c>
      <c r="N64" s="185">
        <v>1</v>
      </c>
      <c r="O64" s="185">
        <v>1</v>
      </c>
      <c r="P64" s="289">
        <v>0.5</v>
      </c>
      <c r="Q64" s="289">
        <v>0</v>
      </c>
      <c r="R64" s="289">
        <v>0</v>
      </c>
      <c r="S64" s="289">
        <v>0</v>
      </c>
      <c r="T64" s="185">
        <v>1</v>
      </c>
      <c r="U64" s="185">
        <v>1</v>
      </c>
      <c r="V64" s="296">
        <v>0.5</v>
      </c>
      <c r="W64" s="185">
        <v>1</v>
      </c>
      <c r="X64" s="290"/>
      <c r="Y64" s="185">
        <v>1</v>
      </c>
      <c r="Z64" s="185">
        <v>1</v>
      </c>
      <c r="AA64" s="185">
        <v>1</v>
      </c>
      <c r="AB64" s="185">
        <v>1</v>
      </c>
      <c r="AC64" s="185">
        <v>1</v>
      </c>
      <c r="AD64" s="185">
        <v>1</v>
      </c>
      <c r="AE64" s="298"/>
      <c r="AF64" s="289">
        <v>0</v>
      </c>
      <c r="AG64" s="185">
        <v>1</v>
      </c>
      <c r="AH64" s="297"/>
      <c r="AI64" s="185">
        <f t="shared" ref="AI64:AI66" si="96">SUM(D64:AH64)</f>
        <v>22</v>
      </c>
      <c r="AJ64" s="185">
        <v>0</v>
      </c>
      <c r="AK64" s="185">
        <v>0</v>
      </c>
      <c r="AL64" s="185">
        <f>AI64+AJ64-AK64</f>
        <v>22</v>
      </c>
      <c r="AM64" s="185">
        <f t="shared" si="92"/>
        <v>9680</v>
      </c>
      <c r="AN64" s="711">
        <f t="shared" ref="AN64" si="97">AM64+AM65</f>
        <v>11990</v>
      </c>
      <c r="AO64" s="713">
        <v>0</v>
      </c>
      <c r="AP64" s="711">
        <f t="shared" ref="AP64" si="98">AN64-AO64</f>
        <v>11990</v>
      </c>
      <c r="AQ64" s="185"/>
      <c r="AR64" s="711">
        <v>12000</v>
      </c>
    </row>
    <row r="65" spans="1:44" ht="15" customHeight="1">
      <c r="A65" s="184"/>
      <c r="B65" s="184"/>
      <c r="C65" s="185">
        <v>55</v>
      </c>
      <c r="D65" s="185">
        <v>2</v>
      </c>
      <c r="E65" s="185">
        <v>2</v>
      </c>
      <c r="F65" s="185">
        <v>2</v>
      </c>
      <c r="G65" s="185">
        <v>2</v>
      </c>
      <c r="H65" s="185">
        <v>2</v>
      </c>
      <c r="I65" s="185">
        <v>2</v>
      </c>
      <c r="J65" s="290"/>
      <c r="K65" s="185">
        <v>2</v>
      </c>
      <c r="L65" s="185">
        <v>2</v>
      </c>
      <c r="M65" s="185">
        <v>2</v>
      </c>
      <c r="N65" s="185">
        <v>2</v>
      </c>
      <c r="O65" s="185">
        <v>2</v>
      </c>
      <c r="P65" s="289">
        <v>0</v>
      </c>
      <c r="Q65" s="294"/>
      <c r="R65" s="289">
        <v>0</v>
      </c>
      <c r="S65" s="289">
        <v>0</v>
      </c>
      <c r="T65" s="185">
        <v>2</v>
      </c>
      <c r="U65" s="185">
        <v>2</v>
      </c>
      <c r="V65" s="296">
        <v>0</v>
      </c>
      <c r="W65" s="185">
        <v>2</v>
      </c>
      <c r="X65" s="290"/>
      <c r="Y65" s="185">
        <v>2</v>
      </c>
      <c r="Z65" s="185">
        <v>2</v>
      </c>
      <c r="AA65" s="185">
        <v>2</v>
      </c>
      <c r="AB65" s="185">
        <v>2</v>
      </c>
      <c r="AC65" s="185">
        <v>2</v>
      </c>
      <c r="AD65" s="185">
        <v>2</v>
      </c>
      <c r="AE65" s="298"/>
      <c r="AF65" s="289">
        <v>0</v>
      </c>
      <c r="AG65" s="185">
        <v>2</v>
      </c>
      <c r="AH65" s="297"/>
      <c r="AI65" s="185">
        <f t="shared" si="91"/>
        <v>42</v>
      </c>
      <c r="AJ65" s="185">
        <v>0</v>
      </c>
      <c r="AK65" s="185">
        <v>0</v>
      </c>
      <c r="AL65" s="185">
        <f t="shared" ref="AL65" si="99">AI65+AJ65-AK65</f>
        <v>42</v>
      </c>
      <c r="AM65" s="185">
        <f t="shared" si="92"/>
        <v>2310</v>
      </c>
      <c r="AN65" s="712"/>
      <c r="AO65" s="714"/>
      <c r="AP65" s="712"/>
      <c r="AQ65" s="185"/>
      <c r="AR65" s="712"/>
    </row>
    <row r="66" spans="1:44" ht="15" customHeight="1">
      <c r="A66" s="185">
        <v>4</v>
      </c>
      <c r="B66" s="184" t="s">
        <v>154</v>
      </c>
      <c r="C66" s="185">
        <v>320</v>
      </c>
      <c r="D66" s="289">
        <v>0</v>
      </c>
      <c r="E66" s="289">
        <v>0</v>
      </c>
      <c r="F66" s="289">
        <v>0</v>
      </c>
      <c r="G66" s="289">
        <v>0</v>
      </c>
      <c r="H66" s="289">
        <v>0</v>
      </c>
      <c r="I66" s="289">
        <v>0</v>
      </c>
      <c r="J66" s="290"/>
      <c r="K66" s="289">
        <v>0</v>
      </c>
      <c r="L66" s="289">
        <v>0</v>
      </c>
      <c r="M66" s="289">
        <v>0</v>
      </c>
      <c r="N66" s="289">
        <v>0</v>
      </c>
      <c r="O66" s="289">
        <v>0</v>
      </c>
      <c r="P66" s="289">
        <v>0</v>
      </c>
      <c r="Q66" s="294"/>
      <c r="R66" s="289">
        <v>0</v>
      </c>
      <c r="S66" s="289">
        <v>0</v>
      </c>
      <c r="T66" s="185">
        <v>1</v>
      </c>
      <c r="U66" s="289">
        <v>0</v>
      </c>
      <c r="V66" s="296">
        <v>0</v>
      </c>
      <c r="W66" s="289">
        <v>0</v>
      </c>
      <c r="X66" s="290"/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89">
        <v>0</v>
      </c>
      <c r="AE66" s="298"/>
      <c r="AF66" s="289">
        <v>0</v>
      </c>
      <c r="AG66" s="289">
        <v>0</v>
      </c>
      <c r="AH66" s="297"/>
      <c r="AI66" s="185">
        <f t="shared" si="96"/>
        <v>1</v>
      </c>
      <c r="AJ66" s="185">
        <v>0</v>
      </c>
      <c r="AK66" s="185">
        <v>0</v>
      </c>
      <c r="AL66" s="185">
        <f>AI66+AJ66-AK66</f>
        <v>1</v>
      </c>
      <c r="AM66" s="185">
        <f t="shared" si="92"/>
        <v>320</v>
      </c>
      <c r="AN66" s="711">
        <f t="shared" ref="AN66" si="100">AM66+AM67</f>
        <v>400</v>
      </c>
      <c r="AO66" s="713">
        <v>0</v>
      </c>
      <c r="AP66" s="711">
        <f t="shared" ref="AP66" si="101">AN66-AO66</f>
        <v>400</v>
      </c>
      <c r="AQ66" s="185"/>
      <c r="AR66" s="866"/>
    </row>
    <row r="67" spans="1:44" ht="15" customHeight="1">
      <c r="A67" s="184"/>
      <c r="B67" s="184"/>
      <c r="C67" s="185">
        <v>40</v>
      </c>
      <c r="D67" s="289">
        <v>0</v>
      </c>
      <c r="E67" s="289">
        <v>0</v>
      </c>
      <c r="F67" s="289">
        <v>0</v>
      </c>
      <c r="G67" s="289">
        <v>0</v>
      </c>
      <c r="H67" s="289">
        <v>0</v>
      </c>
      <c r="I67" s="289">
        <v>0</v>
      </c>
      <c r="J67" s="290"/>
      <c r="K67" s="289">
        <v>0</v>
      </c>
      <c r="L67" s="289">
        <v>0</v>
      </c>
      <c r="M67" s="289">
        <v>0</v>
      </c>
      <c r="N67" s="289">
        <v>0</v>
      </c>
      <c r="O67" s="289">
        <v>0</v>
      </c>
      <c r="P67" s="289">
        <v>0</v>
      </c>
      <c r="Q67" s="294"/>
      <c r="R67" s="289">
        <v>0</v>
      </c>
      <c r="S67" s="289">
        <v>0</v>
      </c>
      <c r="T67" s="185">
        <v>2</v>
      </c>
      <c r="U67" s="289">
        <v>0</v>
      </c>
      <c r="V67" s="296">
        <v>0</v>
      </c>
      <c r="W67" s="289">
        <v>0</v>
      </c>
      <c r="X67" s="290"/>
      <c r="Y67" s="289">
        <v>0</v>
      </c>
      <c r="Z67" s="289">
        <v>0</v>
      </c>
      <c r="AA67" s="289">
        <v>0</v>
      </c>
      <c r="AB67" s="289">
        <v>0</v>
      </c>
      <c r="AC67" s="289">
        <v>0</v>
      </c>
      <c r="AD67" s="289">
        <v>0</v>
      </c>
      <c r="AE67" s="298"/>
      <c r="AF67" s="289">
        <v>0</v>
      </c>
      <c r="AG67" s="289">
        <v>0</v>
      </c>
      <c r="AH67" s="297"/>
      <c r="AI67" s="185">
        <f t="shared" si="91"/>
        <v>2</v>
      </c>
      <c r="AJ67" s="185">
        <v>0</v>
      </c>
      <c r="AK67" s="185">
        <v>0</v>
      </c>
      <c r="AL67" s="185">
        <f t="shared" ref="AL67" si="102">AI67+AJ67-AK67</f>
        <v>2</v>
      </c>
      <c r="AM67" s="185">
        <f t="shared" si="92"/>
        <v>80</v>
      </c>
      <c r="AN67" s="712"/>
      <c r="AO67" s="714"/>
      <c r="AP67" s="712"/>
      <c r="AQ67" s="185"/>
      <c r="AR67" s="867"/>
    </row>
    <row r="68" spans="1:44" ht="15" customHeight="1">
      <c r="A68" s="185">
        <v>5</v>
      </c>
      <c r="B68" s="184" t="s">
        <v>150</v>
      </c>
      <c r="C68" s="203">
        <v>405</v>
      </c>
      <c r="D68" s="185">
        <v>1</v>
      </c>
      <c r="E68" s="289">
        <v>0</v>
      </c>
      <c r="F68" s="289">
        <v>0</v>
      </c>
      <c r="G68" s="185">
        <v>1</v>
      </c>
      <c r="H68" s="185">
        <v>1</v>
      </c>
      <c r="I68" s="289">
        <v>0</v>
      </c>
      <c r="J68" s="290"/>
      <c r="K68" s="185">
        <v>1</v>
      </c>
      <c r="L68" s="185">
        <v>1</v>
      </c>
      <c r="M68" s="185">
        <v>1</v>
      </c>
      <c r="N68" s="185">
        <v>1</v>
      </c>
      <c r="O68" s="185">
        <v>1</v>
      </c>
      <c r="P68" s="289">
        <v>0.5</v>
      </c>
      <c r="Q68" s="294"/>
      <c r="R68" s="289">
        <v>0</v>
      </c>
      <c r="S68" s="289">
        <v>0</v>
      </c>
      <c r="T68" s="185">
        <v>1</v>
      </c>
      <c r="U68" s="295">
        <v>0.5</v>
      </c>
      <c r="V68" s="296">
        <v>0</v>
      </c>
      <c r="W68" s="296">
        <v>0</v>
      </c>
      <c r="X68" s="290"/>
      <c r="Y68" s="296">
        <v>0</v>
      </c>
      <c r="Z68" s="296">
        <v>0</v>
      </c>
      <c r="AA68" s="296">
        <v>0</v>
      </c>
      <c r="AB68" s="296">
        <v>0</v>
      </c>
      <c r="AC68" s="296">
        <v>0</v>
      </c>
      <c r="AD68" s="296">
        <v>0</v>
      </c>
      <c r="AE68" s="298"/>
      <c r="AF68" s="296">
        <v>0</v>
      </c>
      <c r="AG68" s="296">
        <v>0</v>
      </c>
      <c r="AH68" s="297"/>
      <c r="AI68" s="185">
        <f t="shared" ref="AI68" si="103">SUM(D68:AH68)</f>
        <v>10</v>
      </c>
      <c r="AJ68" s="185">
        <v>0</v>
      </c>
      <c r="AK68" s="185">
        <v>0</v>
      </c>
      <c r="AL68" s="185">
        <f>AI68+AJ68-AK68</f>
        <v>10</v>
      </c>
      <c r="AM68" s="185">
        <f t="shared" si="92"/>
        <v>4050</v>
      </c>
      <c r="AN68" s="711">
        <f t="shared" ref="AN68" si="104">AM68+AM69</f>
        <v>5022</v>
      </c>
      <c r="AO68" s="713">
        <v>0</v>
      </c>
      <c r="AP68" s="711">
        <f t="shared" ref="AP68" si="105">AN68-AO68</f>
        <v>5022</v>
      </c>
      <c r="AQ68" s="185"/>
      <c r="AR68" s="711">
        <v>5120</v>
      </c>
    </row>
    <row r="69" spans="1:44" ht="15" customHeight="1">
      <c r="A69" s="185">
        <f>C68/8</f>
        <v>50.625</v>
      </c>
      <c r="B69" s="184"/>
      <c r="C69" s="185">
        <v>54</v>
      </c>
      <c r="D69" s="185">
        <v>2</v>
      </c>
      <c r="E69" s="289">
        <v>0</v>
      </c>
      <c r="F69" s="289">
        <v>0</v>
      </c>
      <c r="G69" s="185">
        <v>2</v>
      </c>
      <c r="H69" s="185">
        <v>2</v>
      </c>
      <c r="I69" s="289">
        <v>0</v>
      </c>
      <c r="J69" s="290"/>
      <c r="K69" s="185">
        <v>2</v>
      </c>
      <c r="L69" s="185">
        <v>2</v>
      </c>
      <c r="M69" s="185">
        <v>2</v>
      </c>
      <c r="N69" s="185">
        <v>2</v>
      </c>
      <c r="O69" s="185">
        <v>2</v>
      </c>
      <c r="P69" s="289">
        <v>0</v>
      </c>
      <c r="Q69" s="294"/>
      <c r="R69" s="289">
        <v>0</v>
      </c>
      <c r="S69" s="289">
        <v>0</v>
      </c>
      <c r="T69" s="185">
        <v>2</v>
      </c>
      <c r="U69" s="185">
        <v>0</v>
      </c>
      <c r="V69" s="296">
        <v>0</v>
      </c>
      <c r="W69" s="296">
        <v>0</v>
      </c>
      <c r="X69" s="290"/>
      <c r="Y69" s="296">
        <v>0</v>
      </c>
      <c r="Z69" s="296">
        <v>0</v>
      </c>
      <c r="AA69" s="296">
        <v>0</v>
      </c>
      <c r="AB69" s="296">
        <v>0</v>
      </c>
      <c r="AC69" s="296">
        <v>0</v>
      </c>
      <c r="AD69" s="296">
        <v>0</v>
      </c>
      <c r="AE69" s="298"/>
      <c r="AF69" s="296">
        <v>0</v>
      </c>
      <c r="AG69" s="296">
        <v>0</v>
      </c>
      <c r="AH69" s="297"/>
      <c r="AI69" s="185">
        <f t="shared" si="91"/>
        <v>18</v>
      </c>
      <c r="AJ69" s="185">
        <v>0</v>
      </c>
      <c r="AK69" s="185">
        <v>0</v>
      </c>
      <c r="AL69" s="185">
        <f t="shared" ref="AL69" si="106">AI69+AJ69-AK69</f>
        <v>18</v>
      </c>
      <c r="AM69" s="185">
        <f t="shared" si="92"/>
        <v>972</v>
      </c>
      <c r="AN69" s="712"/>
      <c r="AO69" s="714"/>
      <c r="AP69" s="712"/>
      <c r="AQ69" s="185"/>
      <c r="AR69" s="712"/>
    </row>
    <row r="70" spans="1:44" ht="15" customHeight="1">
      <c r="A70" s="185">
        <v>6</v>
      </c>
      <c r="B70" s="184" t="s">
        <v>151</v>
      </c>
      <c r="C70" s="185">
        <v>432</v>
      </c>
      <c r="D70" s="185">
        <v>1</v>
      </c>
      <c r="E70" s="185">
        <v>1</v>
      </c>
      <c r="F70" s="185">
        <v>1</v>
      </c>
      <c r="G70" s="185">
        <v>1</v>
      </c>
      <c r="H70" s="185">
        <v>1</v>
      </c>
      <c r="I70" s="289">
        <v>0</v>
      </c>
      <c r="J70" s="290"/>
      <c r="K70" s="185">
        <v>1</v>
      </c>
      <c r="L70" s="185">
        <v>1</v>
      </c>
      <c r="M70" s="185">
        <v>1</v>
      </c>
      <c r="N70" s="289">
        <v>0.5</v>
      </c>
      <c r="O70" s="185">
        <v>1</v>
      </c>
      <c r="P70" s="185">
        <v>1</v>
      </c>
      <c r="Q70" s="294"/>
      <c r="R70" s="185">
        <v>1</v>
      </c>
      <c r="S70" s="185">
        <v>1</v>
      </c>
      <c r="T70" s="185">
        <v>1</v>
      </c>
      <c r="U70" s="185">
        <v>1</v>
      </c>
      <c r="V70" s="296">
        <v>0</v>
      </c>
      <c r="W70" s="185">
        <v>1</v>
      </c>
      <c r="X70" s="290"/>
      <c r="Y70" s="185">
        <v>1</v>
      </c>
      <c r="Z70" s="185">
        <v>1</v>
      </c>
      <c r="AA70" s="185">
        <v>1</v>
      </c>
      <c r="AB70" s="185">
        <v>1</v>
      </c>
      <c r="AC70" s="185">
        <v>1</v>
      </c>
      <c r="AD70" s="185">
        <v>1</v>
      </c>
      <c r="AE70" s="298"/>
      <c r="AF70" s="185">
        <v>1</v>
      </c>
      <c r="AG70" s="185">
        <v>1</v>
      </c>
      <c r="AH70" s="297"/>
      <c r="AI70" s="185">
        <f t="shared" si="91"/>
        <v>23.5</v>
      </c>
      <c r="AJ70" s="185">
        <v>0</v>
      </c>
      <c r="AK70" s="185">
        <v>0</v>
      </c>
      <c r="AL70" s="185">
        <f>AI70+AJ70-AK70</f>
        <v>23.5</v>
      </c>
      <c r="AM70" s="185">
        <f t="shared" si="92"/>
        <v>10152</v>
      </c>
      <c r="AN70" s="711">
        <f t="shared" ref="AN70" si="107">AM70+AM71</f>
        <v>12636</v>
      </c>
      <c r="AO70" s="713">
        <v>500</v>
      </c>
      <c r="AP70" s="711">
        <f t="shared" ref="AP70" si="108">AN70-AO70</f>
        <v>12136</v>
      </c>
      <c r="AQ70" s="185"/>
      <c r="AR70" s="711">
        <v>12500</v>
      </c>
    </row>
    <row r="71" spans="1:44" ht="15" customHeight="1">
      <c r="A71" s="185">
        <f>C70/8</f>
        <v>54</v>
      </c>
      <c r="B71" s="184"/>
      <c r="C71" s="185">
        <v>54</v>
      </c>
      <c r="D71" s="185">
        <v>2</v>
      </c>
      <c r="E71" s="185">
        <v>2</v>
      </c>
      <c r="F71" s="185">
        <v>2</v>
      </c>
      <c r="G71" s="185">
        <v>2</v>
      </c>
      <c r="H71" s="185">
        <v>2</v>
      </c>
      <c r="I71" s="289">
        <v>0</v>
      </c>
      <c r="J71" s="290"/>
      <c r="K71" s="185">
        <v>2</v>
      </c>
      <c r="L71" s="185">
        <v>2</v>
      </c>
      <c r="M71" s="185">
        <v>2</v>
      </c>
      <c r="N71" s="289">
        <v>0</v>
      </c>
      <c r="O71" s="185">
        <v>2</v>
      </c>
      <c r="P71" s="185">
        <v>2</v>
      </c>
      <c r="Q71" s="294"/>
      <c r="R71" s="185">
        <v>2</v>
      </c>
      <c r="S71" s="185">
        <v>2</v>
      </c>
      <c r="T71" s="185">
        <v>2</v>
      </c>
      <c r="U71" s="185">
        <v>2</v>
      </c>
      <c r="V71" s="296">
        <v>0</v>
      </c>
      <c r="W71" s="185">
        <v>2</v>
      </c>
      <c r="X71" s="290"/>
      <c r="Y71" s="185">
        <v>2</v>
      </c>
      <c r="Z71" s="185">
        <v>2</v>
      </c>
      <c r="AA71" s="185">
        <v>2</v>
      </c>
      <c r="AB71" s="185">
        <v>2</v>
      </c>
      <c r="AC71" s="185">
        <v>2</v>
      </c>
      <c r="AD71" s="185">
        <v>2</v>
      </c>
      <c r="AE71" s="298"/>
      <c r="AF71" s="185">
        <v>2</v>
      </c>
      <c r="AG71" s="185">
        <v>2</v>
      </c>
      <c r="AH71" s="297"/>
      <c r="AI71" s="185">
        <f t="shared" si="91"/>
        <v>46</v>
      </c>
      <c r="AJ71" s="185">
        <v>0</v>
      </c>
      <c r="AK71" s="185">
        <v>0</v>
      </c>
      <c r="AL71" s="185">
        <f t="shared" ref="AL71" si="109">AI71+AJ71-AK71</f>
        <v>46</v>
      </c>
      <c r="AM71" s="185">
        <f t="shared" si="92"/>
        <v>2484</v>
      </c>
      <c r="AN71" s="712"/>
      <c r="AO71" s="714"/>
      <c r="AP71" s="712"/>
      <c r="AQ71" s="185"/>
      <c r="AR71" s="712"/>
    </row>
    <row r="72" spans="1:44" ht="15" customHeight="1">
      <c r="A72" s="185">
        <v>7</v>
      </c>
      <c r="B72" s="184" t="s">
        <v>153</v>
      </c>
      <c r="C72" s="185">
        <f>C73*8</f>
        <v>440</v>
      </c>
      <c r="D72" s="289">
        <v>0</v>
      </c>
      <c r="E72" s="289">
        <v>0</v>
      </c>
      <c r="F72" s="289">
        <v>0</v>
      </c>
      <c r="G72" s="185">
        <v>1</v>
      </c>
      <c r="H72" s="185">
        <v>1</v>
      </c>
      <c r="I72" s="185">
        <v>1</v>
      </c>
      <c r="J72" s="221">
        <v>1</v>
      </c>
      <c r="K72" s="185">
        <v>1</v>
      </c>
      <c r="L72" s="185">
        <v>1</v>
      </c>
      <c r="M72" s="185">
        <v>1</v>
      </c>
      <c r="N72" s="185">
        <v>1</v>
      </c>
      <c r="O72" s="185">
        <v>1</v>
      </c>
      <c r="P72" s="185">
        <v>1</v>
      </c>
      <c r="Q72" s="221">
        <v>1</v>
      </c>
      <c r="R72" s="185">
        <v>1</v>
      </c>
      <c r="S72" s="185">
        <v>1</v>
      </c>
      <c r="T72" s="185">
        <v>1</v>
      </c>
      <c r="U72" s="185">
        <v>1</v>
      </c>
      <c r="V72" s="296">
        <v>0.5</v>
      </c>
      <c r="W72" s="185">
        <v>1</v>
      </c>
      <c r="X72" s="290"/>
      <c r="Y72" s="185">
        <v>1</v>
      </c>
      <c r="Z72" s="185">
        <v>1</v>
      </c>
      <c r="AA72" s="185">
        <v>1</v>
      </c>
      <c r="AB72" s="185">
        <v>1</v>
      </c>
      <c r="AC72" s="185">
        <v>1</v>
      </c>
      <c r="AD72" s="185">
        <v>1</v>
      </c>
      <c r="AE72" s="221">
        <v>1</v>
      </c>
      <c r="AF72" s="185">
        <v>1</v>
      </c>
      <c r="AG72" s="185">
        <v>1</v>
      </c>
      <c r="AH72" s="297"/>
      <c r="AI72" s="185">
        <f t="shared" ref="AI72" si="110">SUM(D72:AH72)</f>
        <v>25.5</v>
      </c>
      <c r="AJ72" s="185">
        <v>0</v>
      </c>
      <c r="AK72" s="185">
        <v>0</v>
      </c>
      <c r="AL72" s="185">
        <f>AI72+AJ72-AK72</f>
        <v>25.5</v>
      </c>
      <c r="AM72" s="185">
        <f t="shared" si="92"/>
        <v>11220</v>
      </c>
      <c r="AN72" s="711">
        <f t="shared" ref="AN72" si="111">AM72+AM73</f>
        <v>13640</v>
      </c>
      <c r="AO72" s="713">
        <v>0</v>
      </c>
      <c r="AP72" s="711">
        <f t="shared" ref="AP72" si="112">AN72-AO72</f>
        <v>13640</v>
      </c>
      <c r="AQ72" s="185"/>
      <c r="AR72" s="711">
        <v>13650</v>
      </c>
    </row>
    <row r="73" spans="1:44" ht="15" customHeight="1">
      <c r="A73" s="185">
        <f>C72/8</f>
        <v>55</v>
      </c>
      <c r="B73" s="184"/>
      <c r="C73" s="185">
        <v>55</v>
      </c>
      <c r="D73" s="289">
        <v>0</v>
      </c>
      <c r="E73" s="289">
        <v>0</v>
      </c>
      <c r="F73" s="289">
        <v>0</v>
      </c>
      <c r="G73" s="185">
        <v>2</v>
      </c>
      <c r="H73" s="185">
        <v>2</v>
      </c>
      <c r="I73" s="185">
        <v>2</v>
      </c>
      <c r="J73" s="290"/>
      <c r="K73" s="185">
        <v>2</v>
      </c>
      <c r="L73" s="185">
        <v>2</v>
      </c>
      <c r="M73" s="185">
        <v>2</v>
      </c>
      <c r="N73" s="185">
        <v>2</v>
      </c>
      <c r="O73" s="185">
        <v>2</v>
      </c>
      <c r="P73" s="185">
        <v>2</v>
      </c>
      <c r="Q73" s="294"/>
      <c r="R73" s="185">
        <v>2</v>
      </c>
      <c r="S73" s="185">
        <v>2</v>
      </c>
      <c r="T73" s="185">
        <v>2</v>
      </c>
      <c r="U73" s="185">
        <v>2</v>
      </c>
      <c r="V73" s="296">
        <v>0</v>
      </c>
      <c r="W73" s="185">
        <v>2</v>
      </c>
      <c r="X73" s="290"/>
      <c r="Y73" s="185">
        <v>2</v>
      </c>
      <c r="Z73" s="185">
        <v>2</v>
      </c>
      <c r="AA73" s="185">
        <v>2</v>
      </c>
      <c r="AB73" s="185">
        <v>2</v>
      </c>
      <c r="AC73" s="185">
        <v>2</v>
      </c>
      <c r="AD73" s="185">
        <v>2</v>
      </c>
      <c r="AE73" s="298"/>
      <c r="AF73" s="185">
        <v>2</v>
      </c>
      <c r="AG73" s="185">
        <v>2</v>
      </c>
      <c r="AH73" s="297"/>
      <c r="AI73" s="185">
        <f t="shared" si="91"/>
        <v>44</v>
      </c>
      <c r="AJ73" s="185">
        <v>0</v>
      </c>
      <c r="AK73" s="185">
        <v>0</v>
      </c>
      <c r="AL73" s="185">
        <f t="shared" ref="AL73" si="113">AI73+AJ73-AK73</f>
        <v>44</v>
      </c>
      <c r="AM73" s="185">
        <f t="shared" si="92"/>
        <v>2420</v>
      </c>
      <c r="AN73" s="712"/>
      <c r="AO73" s="714"/>
      <c r="AP73" s="712"/>
      <c r="AQ73" s="185"/>
      <c r="AR73" s="712"/>
    </row>
    <row r="74" spans="1:44">
      <c r="A74" s="767" t="s">
        <v>103</v>
      </c>
      <c r="B74" s="768"/>
      <c r="C74" s="291"/>
      <c r="D74" s="291">
        <f>X69+D64+D66+D68+D70+D72+D62</f>
        <v>4</v>
      </c>
      <c r="E74" s="291">
        <f t="shared" ref="E74:V74" si="114">E60+E64+E66+E68+E70+E72+E62</f>
        <v>3</v>
      </c>
      <c r="F74" s="291">
        <f t="shared" si="114"/>
        <v>3</v>
      </c>
      <c r="G74" s="291">
        <f t="shared" si="114"/>
        <v>5</v>
      </c>
      <c r="H74" s="291">
        <f t="shared" si="114"/>
        <v>5</v>
      </c>
      <c r="I74" s="291">
        <f t="shared" si="114"/>
        <v>3</v>
      </c>
      <c r="J74" s="291">
        <f t="shared" si="114"/>
        <v>2</v>
      </c>
      <c r="K74" s="291">
        <f t="shared" si="114"/>
        <v>5</v>
      </c>
      <c r="L74" s="291">
        <f t="shared" si="114"/>
        <v>5</v>
      </c>
      <c r="M74" s="291">
        <f t="shared" si="114"/>
        <v>5</v>
      </c>
      <c r="N74" s="291">
        <f t="shared" si="114"/>
        <v>3.5</v>
      </c>
      <c r="O74" s="291">
        <f t="shared" si="114"/>
        <v>4</v>
      </c>
      <c r="P74" s="291">
        <f t="shared" si="114"/>
        <v>3</v>
      </c>
      <c r="Q74" s="291">
        <f t="shared" si="114"/>
        <v>3</v>
      </c>
      <c r="R74" s="291">
        <f t="shared" si="114"/>
        <v>3</v>
      </c>
      <c r="S74" s="291">
        <f t="shared" si="114"/>
        <v>3</v>
      </c>
      <c r="T74" s="291">
        <f t="shared" si="114"/>
        <v>6</v>
      </c>
      <c r="U74" s="291">
        <f t="shared" si="114"/>
        <v>4.5</v>
      </c>
      <c r="V74" s="291">
        <f t="shared" si="114"/>
        <v>1.5</v>
      </c>
      <c r="W74" s="291">
        <f>V60+V64+V66+V68+V70+V72+V62</f>
        <v>1.5</v>
      </c>
      <c r="X74" s="291">
        <f t="shared" ref="X74:AA74" si="115">X60+X64+X66+X68+X70+X72+X62</f>
        <v>0</v>
      </c>
      <c r="Y74" s="291">
        <f t="shared" si="115"/>
        <v>3.5</v>
      </c>
      <c r="Z74" s="291">
        <f t="shared" si="115"/>
        <v>4</v>
      </c>
      <c r="AA74" s="291">
        <f t="shared" si="115"/>
        <v>4</v>
      </c>
      <c r="AB74" s="291">
        <f>AB60+AB64+AB66+AB68+AB70+AB72+AB62</f>
        <v>4</v>
      </c>
      <c r="AC74" s="291">
        <f t="shared" ref="AC74:AR74" si="116">AC60+AC64+AC66+AC68+AC70+AC72+AC62</f>
        <v>4</v>
      </c>
      <c r="AD74" s="291">
        <f t="shared" si="116"/>
        <v>4</v>
      </c>
      <c r="AE74" s="291">
        <f t="shared" si="116"/>
        <v>2</v>
      </c>
      <c r="AF74" s="291">
        <f t="shared" si="116"/>
        <v>3</v>
      </c>
      <c r="AG74" s="291">
        <f t="shared" si="116"/>
        <v>4</v>
      </c>
      <c r="AH74" s="291">
        <f t="shared" si="116"/>
        <v>0</v>
      </c>
      <c r="AI74" s="291">
        <f t="shared" si="116"/>
        <v>108</v>
      </c>
      <c r="AJ74" s="291">
        <f t="shared" si="116"/>
        <v>0</v>
      </c>
      <c r="AK74" s="291">
        <f t="shared" si="116"/>
        <v>0</v>
      </c>
      <c r="AL74" s="291">
        <f t="shared" si="116"/>
        <v>108</v>
      </c>
      <c r="AM74" s="291">
        <f t="shared" si="116"/>
        <v>47862</v>
      </c>
      <c r="AN74" s="291">
        <f t="shared" si="116"/>
        <v>58408</v>
      </c>
      <c r="AO74" s="291">
        <f t="shared" si="116"/>
        <v>500</v>
      </c>
      <c r="AP74" s="291">
        <f t="shared" si="116"/>
        <v>57908</v>
      </c>
      <c r="AQ74" s="291">
        <f t="shared" si="116"/>
        <v>0</v>
      </c>
      <c r="AR74" s="291">
        <f t="shared" si="116"/>
        <v>57620</v>
      </c>
    </row>
    <row r="75" spans="1:44">
      <c r="A75" s="769" t="s">
        <v>106</v>
      </c>
      <c r="B75" s="770"/>
      <c r="C75" s="292"/>
      <c r="D75" s="292">
        <f>D61+D63+D65+D67+D69++D71+D73</f>
        <v>8</v>
      </c>
      <c r="E75" s="292">
        <f t="shared" ref="E75:V75" si="117">E61+E63+E65+E67+E69++E71+E73</f>
        <v>6</v>
      </c>
      <c r="F75" s="292">
        <f t="shared" si="117"/>
        <v>4</v>
      </c>
      <c r="G75" s="292">
        <f t="shared" si="117"/>
        <v>10</v>
      </c>
      <c r="H75" s="292">
        <f t="shared" si="117"/>
        <v>10</v>
      </c>
      <c r="I75" s="292">
        <f t="shared" si="117"/>
        <v>6</v>
      </c>
      <c r="J75" s="292">
        <f t="shared" si="117"/>
        <v>0</v>
      </c>
      <c r="K75" s="292">
        <f t="shared" si="117"/>
        <v>10</v>
      </c>
      <c r="L75" s="292">
        <f t="shared" si="117"/>
        <v>10</v>
      </c>
      <c r="M75" s="292">
        <f t="shared" si="117"/>
        <v>10</v>
      </c>
      <c r="N75" s="292">
        <f t="shared" si="117"/>
        <v>6</v>
      </c>
      <c r="O75" s="292">
        <f t="shared" si="117"/>
        <v>8</v>
      </c>
      <c r="P75" s="292">
        <f t="shared" si="117"/>
        <v>4</v>
      </c>
      <c r="Q75" s="292">
        <f t="shared" si="117"/>
        <v>0</v>
      </c>
      <c r="R75" s="292">
        <f t="shared" si="117"/>
        <v>6</v>
      </c>
      <c r="S75" s="292">
        <f t="shared" si="117"/>
        <v>6</v>
      </c>
      <c r="T75" s="292">
        <f t="shared" si="117"/>
        <v>12</v>
      </c>
      <c r="U75" s="292">
        <f t="shared" si="117"/>
        <v>8</v>
      </c>
      <c r="V75" s="292">
        <f t="shared" si="117"/>
        <v>0</v>
      </c>
      <c r="W75" s="292">
        <f>V61+V63+V65+V67+V69++V71+V73</f>
        <v>0</v>
      </c>
      <c r="X75" s="292">
        <f t="shared" ref="X75:AA75" si="118">X61+X63+X65+X67+X69++X71+X73</f>
        <v>0</v>
      </c>
      <c r="Y75" s="292">
        <f t="shared" si="118"/>
        <v>6</v>
      </c>
      <c r="Z75" s="292">
        <f t="shared" si="118"/>
        <v>8</v>
      </c>
      <c r="AA75" s="292">
        <f t="shared" si="118"/>
        <v>8</v>
      </c>
      <c r="AB75" s="292">
        <f>AB61+AB63+AB65+AB67+AB69++AB71+AB73</f>
        <v>8</v>
      </c>
      <c r="AC75" s="292">
        <f t="shared" ref="AC75:AR75" si="119">AC61+AC63+AC65+AC67+AC69++AC71+AC73</f>
        <v>8</v>
      </c>
      <c r="AD75" s="292">
        <f t="shared" si="119"/>
        <v>8</v>
      </c>
      <c r="AE75" s="292">
        <f t="shared" si="119"/>
        <v>0</v>
      </c>
      <c r="AF75" s="292">
        <f t="shared" si="119"/>
        <v>4</v>
      </c>
      <c r="AG75" s="292">
        <f t="shared" si="119"/>
        <v>8</v>
      </c>
      <c r="AH75" s="292">
        <f t="shared" si="119"/>
        <v>0</v>
      </c>
      <c r="AI75" s="292">
        <f t="shared" si="119"/>
        <v>190</v>
      </c>
      <c r="AJ75" s="292">
        <f t="shared" si="119"/>
        <v>0</v>
      </c>
      <c r="AK75" s="292">
        <f t="shared" si="119"/>
        <v>0</v>
      </c>
      <c r="AL75" s="292">
        <f t="shared" si="119"/>
        <v>190</v>
      </c>
      <c r="AM75" s="292">
        <f t="shared" si="119"/>
        <v>10546</v>
      </c>
      <c r="AN75" s="292">
        <f t="shared" si="119"/>
        <v>0</v>
      </c>
      <c r="AO75" s="292">
        <f t="shared" si="119"/>
        <v>0</v>
      </c>
      <c r="AP75" s="292">
        <f t="shared" si="119"/>
        <v>0</v>
      </c>
      <c r="AQ75" s="292">
        <f t="shared" si="119"/>
        <v>0</v>
      </c>
      <c r="AR75" s="292">
        <f t="shared" si="119"/>
        <v>0</v>
      </c>
    </row>
    <row r="77" spans="1:44" ht="23.25">
      <c r="A77" s="790" t="s">
        <v>113</v>
      </c>
      <c r="B77" s="792" t="s">
        <v>1</v>
      </c>
      <c r="C77" s="793"/>
      <c r="D77" s="796" t="s">
        <v>155</v>
      </c>
      <c r="E77" s="797"/>
      <c r="F77" s="797"/>
      <c r="G77" s="797"/>
      <c r="H77" s="797"/>
      <c r="I77" s="797"/>
      <c r="J77" s="797"/>
      <c r="K77" s="797"/>
      <c r="L77" s="797"/>
      <c r="M77" s="797"/>
      <c r="N77" s="797"/>
      <c r="O77" s="797"/>
      <c r="P77" s="797"/>
      <c r="Q77" s="797"/>
      <c r="R77" s="797"/>
      <c r="S77" s="797"/>
      <c r="T77" s="797"/>
      <c r="U77" s="797"/>
      <c r="V77" s="797"/>
      <c r="W77" s="797"/>
      <c r="X77" s="797"/>
      <c r="Y77" s="797"/>
      <c r="Z77" s="797"/>
      <c r="AA77" s="797"/>
      <c r="AB77" s="797"/>
      <c r="AC77" s="797"/>
      <c r="AD77" s="797"/>
      <c r="AE77" s="797"/>
      <c r="AF77" s="798"/>
      <c r="AG77" s="799">
        <v>31</v>
      </c>
      <c r="AH77" s="800"/>
      <c r="AI77" s="788" t="s">
        <v>107</v>
      </c>
      <c r="AJ77" s="788" t="s">
        <v>45</v>
      </c>
      <c r="AK77" s="788" t="s">
        <v>108</v>
      </c>
      <c r="AL77" s="788" t="s">
        <v>112</v>
      </c>
      <c r="AM77" s="801" t="s">
        <v>7</v>
      </c>
      <c r="AN77" s="802"/>
      <c r="AO77" s="788" t="s">
        <v>93</v>
      </c>
      <c r="AP77" s="788" t="s">
        <v>109</v>
      </c>
      <c r="AQ77" s="788" t="s">
        <v>33</v>
      </c>
      <c r="AR77" s="788" t="s">
        <v>111</v>
      </c>
    </row>
    <row r="78" spans="1:44">
      <c r="A78" s="791"/>
      <c r="B78" s="794"/>
      <c r="C78" s="795"/>
      <c r="D78" s="299">
        <v>1</v>
      </c>
      <c r="E78" s="299">
        <v>2</v>
      </c>
      <c r="F78" s="299">
        <v>3</v>
      </c>
      <c r="G78" s="299">
        <v>4</v>
      </c>
      <c r="H78" s="299">
        <v>5</v>
      </c>
      <c r="I78" s="299">
        <v>6</v>
      </c>
      <c r="J78" s="299">
        <v>7</v>
      </c>
      <c r="K78" s="299">
        <v>8</v>
      </c>
      <c r="L78" s="299">
        <v>9</v>
      </c>
      <c r="M78" s="299">
        <v>10</v>
      </c>
      <c r="N78" s="299">
        <v>11</v>
      </c>
      <c r="O78" s="299">
        <v>12</v>
      </c>
      <c r="P78" s="299">
        <v>13</v>
      </c>
      <c r="Q78" s="299">
        <v>14</v>
      </c>
      <c r="R78" s="299">
        <v>15</v>
      </c>
      <c r="S78" s="299">
        <v>16</v>
      </c>
      <c r="T78" s="299">
        <v>17</v>
      </c>
      <c r="U78" s="299">
        <v>18</v>
      </c>
      <c r="V78" s="299">
        <v>19</v>
      </c>
      <c r="W78" s="299">
        <v>20</v>
      </c>
      <c r="X78" s="299">
        <v>21</v>
      </c>
      <c r="Y78" s="299">
        <v>22</v>
      </c>
      <c r="Z78" s="299">
        <v>23</v>
      </c>
      <c r="AA78" s="299">
        <v>24</v>
      </c>
      <c r="AB78" s="299">
        <v>25</v>
      </c>
      <c r="AC78" s="299">
        <v>26</v>
      </c>
      <c r="AD78" s="299">
        <v>27</v>
      </c>
      <c r="AE78" s="299">
        <v>28</v>
      </c>
      <c r="AF78" s="299">
        <v>29</v>
      </c>
      <c r="AG78" s="299">
        <v>30</v>
      </c>
      <c r="AH78" s="299">
        <v>31</v>
      </c>
      <c r="AI78" s="789"/>
      <c r="AJ78" s="789"/>
      <c r="AK78" s="789"/>
      <c r="AL78" s="789"/>
      <c r="AM78" s="803"/>
      <c r="AN78" s="804"/>
      <c r="AO78" s="789"/>
      <c r="AP78" s="789"/>
      <c r="AQ78" s="789"/>
      <c r="AR78" s="789"/>
    </row>
    <row r="79" spans="1:44">
      <c r="A79" s="185">
        <v>1</v>
      </c>
      <c r="B79" s="184" t="s">
        <v>114</v>
      </c>
      <c r="C79" s="185">
        <f>C80*8</f>
        <v>480</v>
      </c>
      <c r="D79" s="289"/>
      <c r="E79" s="185">
        <v>1</v>
      </c>
      <c r="F79" s="185">
        <v>1</v>
      </c>
      <c r="G79" s="185">
        <v>1</v>
      </c>
      <c r="H79" s="289"/>
      <c r="I79" s="185">
        <v>1</v>
      </c>
      <c r="J79" s="185">
        <v>1</v>
      </c>
      <c r="K79" s="185">
        <v>1</v>
      </c>
      <c r="L79" s="185">
        <v>1</v>
      </c>
      <c r="M79" s="185">
        <v>1</v>
      </c>
      <c r="N79" s="296">
        <v>0</v>
      </c>
      <c r="O79" s="289"/>
      <c r="P79" s="185">
        <v>1</v>
      </c>
      <c r="Q79" s="185">
        <v>1</v>
      </c>
      <c r="R79" s="185">
        <v>1</v>
      </c>
      <c r="S79" s="185">
        <v>1</v>
      </c>
      <c r="T79" s="185">
        <v>1</v>
      </c>
      <c r="U79" s="185">
        <v>1</v>
      </c>
      <c r="V79" s="300">
        <v>1</v>
      </c>
      <c r="W79" s="185">
        <v>1</v>
      </c>
      <c r="X79" s="185">
        <v>1</v>
      </c>
      <c r="Y79" s="185">
        <v>1</v>
      </c>
      <c r="Z79" s="185">
        <v>1</v>
      </c>
      <c r="AA79" s="185">
        <v>1</v>
      </c>
      <c r="AB79" s="185">
        <v>1</v>
      </c>
      <c r="AC79" s="300">
        <v>1</v>
      </c>
      <c r="AD79" s="185">
        <v>1</v>
      </c>
      <c r="AE79" s="296">
        <v>0</v>
      </c>
      <c r="AF79" s="185">
        <v>1</v>
      </c>
      <c r="AG79" s="185">
        <v>1</v>
      </c>
      <c r="AH79" s="185">
        <v>1</v>
      </c>
      <c r="AI79" s="185">
        <f t="shared" ref="AI79:AI80" si="120">SUM(D79:AH79)</f>
        <v>26</v>
      </c>
      <c r="AJ79" s="185">
        <v>0</v>
      </c>
      <c r="AK79" s="185">
        <v>0</v>
      </c>
      <c r="AL79" s="185">
        <f>AI79+AJ79-AK79</f>
        <v>26</v>
      </c>
      <c r="AM79" s="185">
        <f t="shared" ref="AM79:AM92" si="121">AL79*C79</f>
        <v>12480</v>
      </c>
      <c r="AN79" s="711">
        <f t="shared" ref="AN79" si="122">AM79+AM80</f>
        <v>15240</v>
      </c>
      <c r="AO79" s="713">
        <v>0</v>
      </c>
      <c r="AP79" s="711">
        <f t="shared" ref="AP79" si="123">AN79-AO79</f>
        <v>15240</v>
      </c>
      <c r="AQ79" s="185"/>
      <c r="AR79" s="185"/>
    </row>
    <row r="80" spans="1:44">
      <c r="A80" s="185">
        <f>C79/8</f>
        <v>60</v>
      </c>
      <c r="B80" s="184"/>
      <c r="C80" s="185">
        <v>60</v>
      </c>
      <c r="D80" s="289"/>
      <c r="E80" s="185">
        <v>2</v>
      </c>
      <c r="F80" s="185">
        <v>2</v>
      </c>
      <c r="G80" s="185">
        <v>2</v>
      </c>
      <c r="H80" s="289"/>
      <c r="I80" s="185">
        <v>2</v>
      </c>
      <c r="J80" s="185">
        <v>2</v>
      </c>
      <c r="K80" s="185">
        <v>2</v>
      </c>
      <c r="L80" s="185">
        <v>2</v>
      </c>
      <c r="M80" s="185">
        <v>2</v>
      </c>
      <c r="N80" s="296">
        <v>0</v>
      </c>
      <c r="O80" s="289"/>
      <c r="P80" s="185">
        <v>2</v>
      </c>
      <c r="Q80" s="185">
        <v>2</v>
      </c>
      <c r="R80" s="185">
        <v>2</v>
      </c>
      <c r="S80" s="185">
        <v>2</v>
      </c>
      <c r="T80" s="185">
        <v>2</v>
      </c>
      <c r="U80" s="185">
        <v>2</v>
      </c>
      <c r="V80" s="289"/>
      <c r="W80" s="185">
        <v>0</v>
      </c>
      <c r="X80" s="185">
        <v>2</v>
      </c>
      <c r="Y80" s="185">
        <v>2</v>
      </c>
      <c r="Z80" s="185">
        <v>2</v>
      </c>
      <c r="AA80" s="185">
        <v>2</v>
      </c>
      <c r="AB80" s="185">
        <v>2</v>
      </c>
      <c r="AC80" s="289"/>
      <c r="AD80" s="185">
        <v>2</v>
      </c>
      <c r="AE80" s="296">
        <v>0</v>
      </c>
      <c r="AF80" s="185">
        <v>2</v>
      </c>
      <c r="AG80" s="185">
        <v>2</v>
      </c>
      <c r="AH80" s="185">
        <v>2</v>
      </c>
      <c r="AI80" s="185">
        <f t="shared" si="120"/>
        <v>46</v>
      </c>
      <c r="AJ80" s="185">
        <v>0</v>
      </c>
      <c r="AK80" s="185">
        <v>0</v>
      </c>
      <c r="AL80" s="185">
        <f t="shared" ref="AL80" si="124">AI80+AJ80-AK80</f>
        <v>46</v>
      </c>
      <c r="AM80" s="185">
        <f t="shared" si="121"/>
        <v>2760</v>
      </c>
      <c r="AN80" s="712"/>
      <c r="AO80" s="714"/>
      <c r="AP80" s="712"/>
      <c r="AQ80" s="185"/>
      <c r="AR80" s="185"/>
    </row>
    <row r="81" spans="1:44">
      <c r="A81" s="185">
        <v>2</v>
      </c>
      <c r="B81" s="184" t="s">
        <v>136</v>
      </c>
      <c r="C81" s="185">
        <f>C82*8</f>
        <v>440</v>
      </c>
      <c r="D81" s="289"/>
      <c r="E81" s="185">
        <v>1</v>
      </c>
      <c r="F81" s="185">
        <v>1</v>
      </c>
      <c r="G81" s="185">
        <v>1</v>
      </c>
      <c r="H81" s="289"/>
      <c r="I81" s="185">
        <v>1</v>
      </c>
      <c r="J81" s="185">
        <v>1</v>
      </c>
      <c r="K81" s="185">
        <v>1</v>
      </c>
      <c r="L81" s="185">
        <v>1</v>
      </c>
      <c r="M81" s="185">
        <v>1</v>
      </c>
      <c r="N81" s="185">
        <v>1</v>
      </c>
      <c r="O81" s="289"/>
      <c r="P81" s="296">
        <v>0</v>
      </c>
      <c r="Q81" s="296">
        <v>0</v>
      </c>
      <c r="R81" s="185">
        <v>1</v>
      </c>
      <c r="S81" s="185">
        <v>1</v>
      </c>
      <c r="T81" s="185">
        <v>1</v>
      </c>
      <c r="U81" s="185">
        <v>1</v>
      </c>
      <c r="V81" s="300">
        <v>1</v>
      </c>
      <c r="W81" s="185">
        <v>1</v>
      </c>
      <c r="X81" s="185">
        <v>1</v>
      </c>
      <c r="Y81" s="185">
        <v>1</v>
      </c>
      <c r="Z81" s="296">
        <v>0</v>
      </c>
      <c r="AA81" s="185">
        <v>1</v>
      </c>
      <c r="AB81" s="185">
        <v>1</v>
      </c>
      <c r="AC81" s="300"/>
      <c r="AD81" s="185">
        <v>1</v>
      </c>
      <c r="AE81" s="185">
        <v>1</v>
      </c>
      <c r="AF81" s="185">
        <v>1</v>
      </c>
      <c r="AG81" s="185">
        <v>1</v>
      </c>
      <c r="AH81" s="185">
        <v>1</v>
      </c>
      <c r="AI81" s="185">
        <f t="shared" ref="AI81:AI92" si="125">SUM(D81:AH81)</f>
        <v>24</v>
      </c>
      <c r="AJ81" s="185">
        <v>0</v>
      </c>
      <c r="AK81" s="185">
        <v>0</v>
      </c>
      <c r="AL81" s="185">
        <f>AI81+AJ81-AK81</f>
        <v>24</v>
      </c>
      <c r="AM81" s="185">
        <f t="shared" si="121"/>
        <v>10560</v>
      </c>
      <c r="AN81" s="711">
        <f t="shared" ref="AN81" si="126">AM81+AM82</f>
        <v>13090</v>
      </c>
      <c r="AO81" s="713">
        <v>0</v>
      </c>
      <c r="AP81" s="711">
        <f t="shared" ref="AP81" si="127">AN81-AO81</f>
        <v>13090</v>
      </c>
      <c r="AQ81" s="185"/>
      <c r="AR81" s="185"/>
    </row>
    <row r="82" spans="1:44">
      <c r="A82" s="184"/>
      <c r="B82" s="184"/>
      <c r="C82" s="185">
        <v>55</v>
      </c>
      <c r="D82" s="289"/>
      <c r="E82" s="185">
        <v>2</v>
      </c>
      <c r="F82" s="185">
        <v>2</v>
      </c>
      <c r="G82" s="185">
        <v>2</v>
      </c>
      <c r="H82" s="289"/>
      <c r="I82" s="185">
        <v>2</v>
      </c>
      <c r="J82" s="185">
        <v>2</v>
      </c>
      <c r="K82" s="185">
        <v>2</v>
      </c>
      <c r="L82" s="185">
        <v>2</v>
      </c>
      <c r="M82" s="185">
        <v>2</v>
      </c>
      <c r="N82" s="185">
        <v>2</v>
      </c>
      <c r="O82" s="289"/>
      <c r="P82" s="296">
        <v>0</v>
      </c>
      <c r="Q82" s="296">
        <v>0</v>
      </c>
      <c r="R82" s="185">
        <v>2</v>
      </c>
      <c r="S82" s="185">
        <v>2</v>
      </c>
      <c r="T82" s="185">
        <v>2</v>
      </c>
      <c r="U82" s="185">
        <v>2</v>
      </c>
      <c r="V82" s="289"/>
      <c r="W82" s="185">
        <v>2</v>
      </c>
      <c r="X82" s="185">
        <v>2</v>
      </c>
      <c r="Y82" s="185">
        <v>2</v>
      </c>
      <c r="Z82" s="296">
        <v>0</v>
      </c>
      <c r="AA82" s="185">
        <v>2</v>
      </c>
      <c r="AB82" s="185">
        <v>2</v>
      </c>
      <c r="AC82" s="289"/>
      <c r="AD82" s="185">
        <v>2</v>
      </c>
      <c r="AE82" s="185">
        <v>2</v>
      </c>
      <c r="AF82" s="185">
        <v>2</v>
      </c>
      <c r="AG82" s="185">
        <v>2</v>
      </c>
      <c r="AH82" s="185">
        <v>2</v>
      </c>
      <c r="AI82" s="185">
        <f t="shared" si="125"/>
        <v>46</v>
      </c>
      <c r="AJ82" s="185">
        <v>0</v>
      </c>
      <c r="AK82" s="185">
        <v>0</v>
      </c>
      <c r="AL82" s="185">
        <f t="shared" ref="AL82" si="128">AI82+AJ82-AK82</f>
        <v>46</v>
      </c>
      <c r="AM82" s="185">
        <f t="shared" si="121"/>
        <v>2530</v>
      </c>
      <c r="AN82" s="712"/>
      <c r="AO82" s="714"/>
      <c r="AP82" s="712"/>
      <c r="AQ82" s="185"/>
      <c r="AR82" s="185"/>
    </row>
    <row r="83" spans="1:44">
      <c r="A83" s="185">
        <v>3</v>
      </c>
      <c r="B83" s="184" t="s">
        <v>151</v>
      </c>
      <c r="C83" s="185">
        <v>432</v>
      </c>
      <c r="D83" s="289"/>
      <c r="E83" s="296">
        <v>0</v>
      </c>
      <c r="F83" s="185">
        <v>1</v>
      </c>
      <c r="G83" s="185">
        <v>1</v>
      </c>
      <c r="H83" s="289"/>
      <c r="I83" s="185">
        <v>1</v>
      </c>
      <c r="J83" s="185">
        <v>1</v>
      </c>
      <c r="K83" s="185">
        <v>1</v>
      </c>
      <c r="L83" s="185">
        <v>1</v>
      </c>
      <c r="M83" s="185">
        <v>1</v>
      </c>
      <c r="N83" s="185">
        <v>1</v>
      </c>
      <c r="O83" s="289"/>
      <c r="P83" s="185">
        <v>1</v>
      </c>
      <c r="Q83" s="185">
        <v>1</v>
      </c>
      <c r="R83" s="185">
        <v>1</v>
      </c>
      <c r="S83" s="185">
        <v>1</v>
      </c>
      <c r="T83" s="185">
        <v>1</v>
      </c>
      <c r="U83" s="296">
        <v>0</v>
      </c>
      <c r="V83" s="289"/>
      <c r="W83" s="185">
        <v>1</v>
      </c>
      <c r="X83" s="185">
        <v>1</v>
      </c>
      <c r="Y83" s="185">
        <v>1</v>
      </c>
      <c r="Z83" s="185">
        <v>1</v>
      </c>
      <c r="AA83" s="185">
        <v>1</v>
      </c>
      <c r="AB83" s="296">
        <v>0.5</v>
      </c>
      <c r="AC83" s="289"/>
      <c r="AD83" s="185">
        <v>1</v>
      </c>
      <c r="AE83" s="185">
        <v>1</v>
      </c>
      <c r="AF83" s="185">
        <v>1</v>
      </c>
      <c r="AG83" s="185">
        <v>1</v>
      </c>
      <c r="AH83" s="296">
        <v>0</v>
      </c>
      <c r="AI83" s="185">
        <f t="shared" si="125"/>
        <v>22.5</v>
      </c>
      <c r="AJ83" s="185">
        <v>0</v>
      </c>
      <c r="AK83" s="185">
        <v>0</v>
      </c>
      <c r="AL83" s="185">
        <f>AI83+AJ83-AK83</f>
        <v>22.5</v>
      </c>
      <c r="AM83" s="185">
        <f t="shared" si="121"/>
        <v>9720</v>
      </c>
      <c r="AN83" s="711">
        <f t="shared" ref="AN83" si="129">AM83+AM84</f>
        <v>12096</v>
      </c>
      <c r="AO83" s="713">
        <v>0</v>
      </c>
      <c r="AP83" s="711">
        <f t="shared" ref="AP83" si="130">AN83-AO83</f>
        <v>12096</v>
      </c>
      <c r="AQ83" s="185"/>
      <c r="AR83" s="185"/>
    </row>
    <row r="84" spans="1:44">
      <c r="A84" s="185">
        <f>C83/8</f>
        <v>54</v>
      </c>
      <c r="B84" s="184"/>
      <c r="C84" s="185">
        <v>54</v>
      </c>
      <c r="D84" s="289"/>
      <c r="E84" s="296">
        <v>0</v>
      </c>
      <c r="F84" s="185">
        <v>2</v>
      </c>
      <c r="G84" s="185">
        <v>2</v>
      </c>
      <c r="H84" s="289"/>
      <c r="I84" s="185">
        <v>2</v>
      </c>
      <c r="J84" s="185">
        <v>2</v>
      </c>
      <c r="K84" s="185">
        <v>2</v>
      </c>
      <c r="L84" s="185">
        <v>2</v>
      </c>
      <c r="M84" s="185">
        <v>2</v>
      </c>
      <c r="N84" s="185">
        <v>2</v>
      </c>
      <c r="O84" s="289"/>
      <c r="P84" s="185">
        <v>2</v>
      </c>
      <c r="Q84" s="185">
        <v>2</v>
      </c>
      <c r="R84" s="185">
        <v>2</v>
      </c>
      <c r="S84" s="185">
        <v>2</v>
      </c>
      <c r="T84" s="185">
        <v>2</v>
      </c>
      <c r="U84" s="296">
        <v>0</v>
      </c>
      <c r="V84" s="289"/>
      <c r="W84" s="185">
        <v>2</v>
      </c>
      <c r="X84" s="185">
        <v>2</v>
      </c>
      <c r="Y84" s="185">
        <v>2</v>
      </c>
      <c r="Z84" s="185">
        <v>2</v>
      </c>
      <c r="AA84" s="185">
        <v>2</v>
      </c>
      <c r="AB84" s="185">
        <v>0</v>
      </c>
      <c r="AC84" s="289"/>
      <c r="AD84" s="185">
        <v>2</v>
      </c>
      <c r="AE84" s="185">
        <v>2</v>
      </c>
      <c r="AF84" s="185">
        <v>2</v>
      </c>
      <c r="AG84" s="185">
        <v>2</v>
      </c>
      <c r="AH84" s="296">
        <v>0</v>
      </c>
      <c r="AI84" s="185">
        <f t="shared" si="125"/>
        <v>44</v>
      </c>
      <c r="AJ84" s="185">
        <v>0</v>
      </c>
      <c r="AK84" s="185">
        <v>0</v>
      </c>
      <c r="AL84" s="185">
        <f t="shared" ref="AL84" si="131">AI84+AJ84-AK84</f>
        <v>44</v>
      </c>
      <c r="AM84" s="185">
        <f t="shared" si="121"/>
        <v>2376</v>
      </c>
      <c r="AN84" s="712"/>
      <c r="AO84" s="714"/>
      <c r="AP84" s="712"/>
      <c r="AQ84" s="185"/>
      <c r="AR84" s="185"/>
    </row>
    <row r="85" spans="1:44">
      <c r="A85" s="185">
        <v>4</v>
      </c>
      <c r="B85" s="184" t="s">
        <v>153</v>
      </c>
      <c r="C85" s="185">
        <f>C86*8</f>
        <v>440</v>
      </c>
      <c r="D85" s="289"/>
      <c r="E85" s="185">
        <v>1</v>
      </c>
      <c r="F85" s="185">
        <v>1</v>
      </c>
      <c r="G85" s="185">
        <v>1</v>
      </c>
      <c r="H85" s="289"/>
      <c r="I85" s="296">
        <v>0</v>
      </c>
      <c r="J85" s="185">
        <v>1</v>
      </c>
      <c r="K85" s="185">
        <v>1</v>
      </c>
      <c r="L85" s="185">
        <v>1</v>
      </c>
      <c r="M85" s="185">
        <v>1</v>
      </c>
      <c r="N85" s="185">
        <v>1</v>
      </c>
      <c r="O85" s="289"/>
      <c r="P85" s="185">
        <v>1</v>
      </c>
      <c r="Q85" s="185">
        <v>1</v>
      </c>
      <c r="R85" s="185">
        <v>1</v>
      </c>
      <c r="S85" s="185">
        <v>1</v>
      </c>
      <c r="T85" s="185">
        <v>1</v>
      </c>
      <c r="U85" s="185">
        <v>1</v>
      </c>
      <c r="V85" s="300">
        <v>1</v>
      </c>
      <c r="W85" s="185">
        <v>1</v>
      </c>
      <c r="X85" s="185">
        <v>1</v>
      </c>
      <c r="Y85" s="185">
        <v>1</v>
      </c>
      <c r="Z85" s="185">
        <v>1</v>
      </c>
      <c r="AA85" s="185">
        <v>1</v>
      </c>
      <c r="AB85" s="185">
        <v>1</v>
      </c>
      <c r="AC85" s="300"/>
      <c r="AD85" s="185">
        <v>1</v>
      </c>
      <c r="AE85" s="185">
        <v>1</v>
      </c>
      <c r="AF85" s="185">
        <v>1</v>
      </c>
      <c r="AG85" s="185">
        <v>1</v>
      </c>
      <c r="AH85" s="185">
        <v>1</v>
      </c>
      <c r="AI85" s="185">
        <f t="shared" si="125"/>
        <v>26</v>
      </c>
      <c r="AJ85" s="185">
        <v>0</v>
      </c>
      <c r="AK85" s="185">
        <v>0</v>
      </c>
      <c r="AL85" s="185">
        <f>AI85+AJ85-AK85</f>
        <v>26</v>
      </c>
      <c r="AM85" s="185">
        <f t="shared" si="121"/>
        <v>11440</v>
      </c>
      <c r="AN85" s="711">
        <f t="shared" ref="AN85" si="132">AM85+AM86</f>
        <v>14190</v>
      </c>
      <c r="AO85" s="713">
        <v>0</v>
      </c>
      <c r="AP85" s="711">
        <f t="shared" ref="AP85" si="133">AN85-AO85</f>
        <v>14190</v>
      </c>
      <c r="AQ85" s="185"/>
      <c r="AR85" s="185"/>
    </row>
    <row r="86" spans="1:44">
      <c r="A86" s="185">
        <f>C85/8</f>
        <v>55</v>
      </c>
      <c r="B86" s="184"/>
      <c r="C86" s="185">
        <v>55</v>
      </c>
      <c r="D86" s="289"/>
      <c r="E86" s="185">
        <v>2</v>
      </c>
      <c r="F86" s="185">
        <v>2</v>
      </c>
      <c r="G86" s="185">
        <v>2</v>
      </c>
      <c r="H86" s="289"/>
      <c r="I86" s="296">
        <v>0</v>
      </c>
      <c r="J86" s="185">
        <v>2</v>
      </c>
      <c r="K86" s="185">
        <v>2</v>
      </c>
      <c r="L86" s="185">
        <v>2</v>
      </c>
      <c r="M86" s="185">
        <v>2</v>
      </c>
      <c r="N86" s="185">
        <v>2</v>
      </c>
      <c r="O86" s="289"/>
      <c r="P86" s="185">
        <v>2</v>
      </c>
      <c r="Q86" s="185">
        <v>2</v>
      </c>
      <c r="R86" s="185">
        <v>2</v>
      </c>
      <c r="S86" s="185">
        <v>2</v>
      </c>
      <c r="T86" s="185">
        <v>2</v>
      </c>
      <c r="U86" s="185">
        <v>2</v>
      </c>
      <c r="V86" s="289"/>
      <c r="W86" s="185">
        <v>2</v>
      </c>
      <c r="X86" s="185">
        <v>2</v>
      </c>
      <c r="Y86" s="185">
        <v>2</v>
      </c>
      <c r="Z86" s="185">
        <v>2</v>
      </c>
      <c r="AA86" s="185">
        <v>2</v>
      </c>
      <c r="AB86" s="185">
        <v>2</v>
      </c>
      <c r="AC86" s="289"/>
      <c r="AD86" s="185">
        <v>2</v>
      </c>
      <c r="AE86" s="185">
        <v>2</v>
      </c>
      <c r="AF86" s="185">
        <v>2</v>
      </c>
      <c r="AG86" s="185">
        <v>2</v>
      </c>
      <c r="AH86" s="185">
        <v>2</v>
      </c>
      <c r="AI86" s="185">
        <f t="shared" si="125"/>
        <v>50</v>
      </c>
      <c r="AJ86" s="185">
        <v>0</v>
      </c>
      <c r="AK86" s="185">
        <v>0</v>
      </c>
      <c r="AL86" s="185">
        <f t="shared" ref="AL86" si="134">AI86+AJ86-AK86</f>
        <v>50</v>
      </c>
      <c r="AM86" s="185">
        <f t="shared" si="121"/>
        <v>2750</v>
      </c>
      <c r="AN86" s="712"/>
      <c r="AO86" s="714"/>
      <c r="AP86" s="712"/>
      <c r="AQ86" s="185"/>
      <c r="AR86" s="185"/>
    </row>
    <row r="87" spans="1:44">
      <c r="A87" s="185">
        <v>5</v>
      </c>
      <c r="B87" s="184" t="s">
        <v>158</v>
      </c>
      <c r="C87" s="185">
        <f>C88*8</f>
        <v>440</v>
      </c>
      <c r="D87" s="289"/>
      <c r="E87" s="185"/>
      <c r="F87" s="185">
        <v>1</v>
      </c>
      <c r="G87" s="185">
        <v>1</v>
      </c>
      <c r="H87" s="289"/>
      <c r="I87" s="185">
        <v>1</v>
      </c>
      <c r="J87" s="185">
        <v>1</v>
      </c>
      <c r="K87" s="185">
        <v>1</v>
      </c>
      <c r="L87" s="185">
        <v>1</v>
      </c>
      <c r="M87" s="185">
        <v>1</v>
      </c>
      <c r="N87" s="185">
        <v>1</v>
      </c>
      <c r="O87" s="289"/>
      <c r="P87" s="185">
        <v>1</v>
      </c>
      <c r="Q87" s="185">
        <v>1</v>
      </c>
      <c r="R87" s="185">
        <v>1</v>
      </c>
      <c r="S87" s="185">
        <v>1</v>
      </c>
      <c r="T87" s="185">
        <v>1</v>
      </c>
      <c r="U87" s="185">
        <v>1</v>
      </c>
      <c r="V87" s="289"/>
      <c r="W87" s="185">
        <v>1</v>
      </c>
      <c r="X87" s="185">
        <v>1</v>
      </c>
      <c r="Y87" s="185">
        <v>1</v>
      </c>
      <c r="Z87" s="185">
        <v>1</v>
      </c>
      <c r="AA87" s="185">
        <v>1</v>
      </c>
      <c r="AB87" s="185">
        <v>1</v>
      </c>
      <c r="AC87" s="289"/>
      <c r="AD87" s="185">
        <v>1</v>
      </c>
      <c r="AE87" s="185">
        <v>1</v>
      </c>
      <c r="AF87" s="185">
        <v>1</v>
      </c>
      <c r="AG87" s="185">
        <v>1</v>
      </c>
      <c r="AH87" s="185">
        <v>1</v>
      </c>
      <c r="AI87" s="185">
        <f t="shared" si="125"/>
        <v>25</v>
      </c>
      <c r="AJ87" s="185">
        <v>0</v>
      </c>
      <c r="AK87" s="185">
        <v>0</v>
      </c>
      <c r="AL87" s="185">
        <f>AI87+AJ87-AK87</f>
        <v>25</v>
      </c>
      <c r="AM87" s="185">
        <f t="shared" si="121"/>
        <v>11000</v>
      </c>
      <c r="AN87" s="711">
        <f t="shared" ref="AN87" si="135">AM87+AM88</f>
        <v>13750</v>
      </c>
      <c r="AO87" s="713">
        <v>0</v>
      </c>
      <c r="AP87" s="711">
        <f t="shared" ref="AP87" si="136">AN87-AO87</f>
        <v>13750</v>
      </c>
      <c r="AQ87" s="185"/>
      <c r="AR87" s="185"/>
    </row>
    <row r="88" spans="1:44">
      <c r="A88" s="185">
        <f>C87/8</f>
        <v>55</v>
      </c>
      <c r="B88" s="184"/>
      <c r="C88" s="185">
        <v>55</v>
      </c>
      <c r="D88" s="289"/>
      <c r="E88" s="185"/>
      <c r="F88" s="185">
        <v>2</v>
      </c>
      <c r="G88" s="185">
        <v>2</v>
      </c>
      <c r="H88" s="289"/>
      <c r="I88" s="185">
        <v>2</v>
      </c>
      <c r="J88" s="185">
        <v>2</v>
      </c>
      <c r="K88" s="185">
        <v>2</v>
      </c>
      <c r="L88" s="185">
        <v>2</v>
      </c>
      <c r="M88" s="185">
        <v>2</v>
      </c>
      <c r="N88" s="185">
        <v>2</v>
      </c>
      <c r="O88" s="289"/>
      <c r="P88" s="185">
        <v>2</v>
      </c>
      <c r="Q88" s="185">
        <v>2</v>
      </c>
      <c r="R88" s="185">
        <v>2</v>
      </c>
      <c r="S88" s="185">
        <v>2</v>
      </c>
      <c r="T88" s="185">
        <v>2</v>
      </c>
      <c r="U88" s="185">
        <v>2</v>
      </c>
      <c r="V88" s="289"/>
      <c r="W88" s="185">
        <v>2</v>
      </c>
      <c r="X88" s="185">
        <v>2</v>
      </c>
      <c r="Y88" s="185">
        <v>2</v>
      </c>
      <c r="Z88" s="185">
        <v>2</v>
      </c>
      <c r="AA88" s="185">
        <v>2</v>
      </c>
      <c r="AB88" s="185">
        <v>2</v>
      </c>
      <c r="AC88" s="289"/>
      <c r="AD88" s="185">
        <v>2</v>
      </c>
      <c r="AE88" s="185">
        <v>2</v>
      </c>
      <c r="AF88" s="185">
        <v>2</v>
      </c>
      <c r="AG88" s="185">
        <v>2</v>
      </c>
      <c r="AH88" s="185">
        <v>2</v>
      </c>
      <c r="AI88" s="185">
        <f t="shared" si="125"/>
        <v>50</v>
      </c>
      <c r="AJ88" s="185">
        <v>0</v>
      </c>
      <c r="AK88" s="185">
        <v>0</v>
      </c>
      <c r="AL88" s="185">
        <f t="shared" ref="AL88" si="137">AI88+AJ88-AK88</f>
        <v>50</v>
      </c>
      <c r="AM88" s="185">
        <f t="shared" si="121"/>
        <v>2750</v>
      </c>
      <c r="AN88" s="712"/>
      <c r="AO88" s="714"/>
      <c r="AP88" s="712"/>
      <c r="AQ88" s="185"/>
      <c r="AR88" s="185"/>
    </row>
    <row r="89" spans="1:44">
      <c r="A89" s="185">
        <v>6</v>
      </c>
      <c r="B89" s="184" t="s">
        <v>156</v>
      </c>
      <c r="C89" s="185">
        <v>692</v>
      </c>
      <c r="D89" s="289"/>
      <c r="E89" s="185"/>
      <c r="F89" s="185"/>
      <c r="G89" s="185"/>
      <c r="H89" s="289"/>
      <c r="I89" s="185"/>
      <c r="J89" s="185">
        <v>1</v>
      </c>
      <c r="K89" s="203">
        <v>0.5</v>
      </c>
      <c r="L89" s="296">
        <v>0</v>
      </c>
      <c r="M89" s="185">
        <v>1</v>
      </c>
      <c r="N89" s="185">
        <v>1</v>
      </c>
      <c r="O89" s="289"/>
      <c r="P89" s="185">
        <v>1</v>
      </c>
      <c r="Q89" s="296">
        <v>0</v>
      </c>
      <c r="R89" s="296">
        <v>0</v>
      </c>
      <c r="S89" s="296">
        <v>0</v>
      </c>
      <c r="T89" s="185">
        <v>1</v>
      </c>
      <c r="U89" s="185">
        <v>1</v>
      </c>
      <c r="V89" s="300">
        <v>1</v>
      </c>
      <c r="W89" s="185">
        <v>1</v>
      </c>
      <c r="X89" s="185">
        <v>1</v>
      </c>
      <c r="Y89" s="296">
        <v>0</v>
      </c>
      <c r="Z89" s="296">
        <v>0</v>
      </c>
      <c r="AA89" s="296">
        <v>0</v>
      </c>
      <c r="AB89" s="296">
        <v>0</v>
      </c>
      <c r="AC89" s="300"/>
      <c r="AD89" s="296">
        <v>0</v>
      </c>
      <c r="AE89" s="296">
        <v>0</v>
      </c>
      <c r="AF89" s="296">
        <v>0</v>
      </c>
      <c r="AG89" s="296">
        <v>0</v>
      </c>
      <c r="AH89" s="296">
        <v>0</v>
      </c>
      <c r="AI89" s="185">
        <f t="shared" si="125"/>
        <v>9.5</v>
      </c>
      <c r="AJ89" s="185">
        <v>0</v>
      </c>
      <c r="AK89" s="185">
        <v>0</v>
      </c>
      <c r="AL89" s="185">
        <f>AI89+AJ89-AK89</f>
        <v>9.5</v>
      </c>
      <c r="AM89" s="185">
        <f t="shared" si="121"/>
        <v>6574</v>
      </c>
      <c r="AN89" s="711">
        <f t="shared" ref="AN89" si="138">AM89+AM90</f>
        <v>6574</v>
      </c>
      <c r="AO89" s="713">
        <v>1000</v>
      </c>
      <c r="AP89" s="711">
        <f t="shared" ref="AP89" si="139">AN89-AO89</f>
        <v>5574</v>
      </c>
      <c r="AQ89" s="185"/>
      <c r="AR89" s="185"/>
    </row>
    <row r="90" spans="1:44">
      <c r="A90" s="185">
        <f>C89/10</f>
        <v>69.2</v>
      </c>
      <c r="B90" s="184"/>
      <c r="C90" s="185"/>
      <c r="D90" s="289"/>
      <c r="E90" s="185"/>
      <c r="F90" s="185"/>
      <c r="G90" s="185"/>
      <c r="H90" s="289"/>
      <c r="I90" s="185"/>
      <c r="J90" s="185">
        <v>0</v>
      </c>
      <c r="K90" s="185">
        <v>0</v>
      </c>
      <c r="L90" s="185">
        <v>0</v>
      </c>
      <c r="M90" s="185">
        <v>0</v>
      </c>
      <c r="N90" s="185">
        <v>0</v>
      </c>
      <c r="O90" s="289"/>
      <c r="P90" s="185">
        <v>0</v>
      </c>
      <c r="Q90" s="296">
        <v>0</v>
      </c>
      <c r="R90" s="296">
        <v>0</v>
      </c>
      <c r="S90" s="296">
        <v>0</v>
      </c>
      <c r="T90" s="185">
        <v>0</v>
      </c>
      <c r="U90" s="185">
        <v>0</v>
      </c>
      <c r="V90" s="289"/>
      <c r="W90" s="185">
        <v>0</v>
      </c>
      <c r="X90" s="185">
        <v>0</v>
      </c>
      <c r="Y90" s="296">
        <v>0</v>
      </c>
      <c r="Z90" s="296">
        <v>0</v>
      </c>
      <c r="AA90" s="296">
        <v>0</v>
      </c>
      <c r="AB90" s="296">
        <v>0</v>
      </c>
      <c r="AC90" s="289"/>
      <c r="AD90" s="296">
        <v>0</v>
      </c>
      <c r="AE90" s="296">
        <v>0</v>
      </c>
      <c r="AF90" s="296">
        <v>0</v>
      </c>
      <c r="AG90" s="296">
        <v>0</v>
      </c>
      <c r="AH90" s="296">
        <v>0</v>
      </c>
      <c r="AI90" s="185">
        <f t="shared" si="125"/>
        <v>0</v>
      </c>
      <c r="AJ90" s="185">
        <v>0</v>
      </c>
      <c r="AK90" s="185">
        <v>0</v>
      </c>
      <c r="AL90" s="185">
        <f t="shared" ref="AL90" si="140">AI90+AJ90-AK90</f>
        <v>0</v>
      </c>
      <c r="AM90" s="185">
        <f t="shared" si="121"/>
        <v>0</v>
      </c>
      <c r="AN90" s="712"/>
      <c r="AO90" s="714"/>
      <c r="AP90" s="712"/>
      <c r="AQ90" s="185"/>
      <c r="AR90" s="185"/>
    </row>
    <row r="91" spans="1:44">
      <c r="A91" s="185">
        <v>7</v>
      </c>
      <c r="B91" s="184" t="s">
        <v>157</v>
      </c>
      <c r="C91" s="185">
        <f>C92*8</f>
        <v>440</v>
      </c>
      <c r="D91" s="289"/>
      <c r="E91" s="185"/>
      <c r="F91" s="185"/>
      <c r="G91" s="185"/>
      <c r="H91" s="289"/>
      <c r="I91" s="185"/>
      <c r="J91" s="185"/>
      <c r="K91" s="185"/>
      <c r="L91" s="185">
        <v>1</v>
      </c>
      <c r="M91" s="185">
        <v>1</v>
      </c>
      <c r="N91" s="185">
        <v>1</v>
      </c>
      <c r="O91" s="289"/>
      <c r="P91" s="185">
        <v>1</v>
      </c>
      <c r="Q91" s="296">
        <v>0</v>
      </c>
      <c r="R91" s="296">
        <v>0</v>
      </c>
      <c r="S91" s="296">
        <v>0</v>
      </c>
      <c r="T91" s="296">
        <v>0</v>
      </c>
      <c r="U91" s="185"/>
      <c r="V91" s="289"/>
      <c r="W91" s="185"/>
      <c r="X91" s="185"/>
      <c r="Y91" s="185"/>
      <c r="Z91" s="185"/>
      <c r="AA91" s="185"/>
      <c r="AB91" s="185"/>
      <c r="AC91" s="289"/>
      <c r="AD91" s="185"/>
      <c r="AE91" s="185"/>
      <c r="AF91" s="185"/>
      <c r="AG91" s="185"/>
      <c r="AH91" s="185"/>
      <c r="AI91" s="185">
        <f t="shared" si="125"/>
        <v>4</v>
      </c>
      <c r="AJ91" s="185">
        <v>0</v>
      </c>
      <c r="AK91" s="185">
        <v>0</v>
      </c>
      <c r="AL91" s="185">
        <f>AI91+AJ91-AK91</f>
        <v>4</v>
      </c>
      <c r="AM91" s="185">
        <f t="shared" si="121"/>
        <v>1760</v>
      </c>
      <c r="AN91" s="711">
        <f t="shared" ref="AN91" si="141">AM91+AM92</f>
        <v>2090</v>
      </c>
      <c r="AO91" s="713">
        <v>0</v>
      </c>
      <c r="AP91" s="711">
        <f t="shared" ref="AP91" si="142">AN91-AO91</f>
        <v>2090</v>
      </c>
      <c r="AQ91" s="185"/>
      <c r="AR91" s="185"/>
    </row>
    <row r="92" spans="1:44">
      <c r="A92" s="184"/>
      <c r="B92" s="184"/>
      <c r="C92" s="185">
        <v>55</v>
      </c>
      <c r="D92" s="289"/>
      <c r="E92" s="185"/>
      <c r="F92" s="185"/>
      <c r="G92" s="185"/>
      <c r="H92" s="289"/>
      <c r="I92" s="185"/>
      <c r="J92" s="185"/>
      <c r="K92" s="185"/>
      <c r="L92" s="185">
        <v>0</v>
      </c>
      <c r="M92" s="185">
        <v>2</v>
      </c>
      <c r="N92" s="185">
        <v>2</v>
      </c>
      <c r="O92" s="289"/>
      <c r="P92" s="185">
        <v>2</v>
      </c>
      <c r="Q92" s="296">
        <v>0</v>
      </c>
      <c r="R92" s="296">
        <v>0</v>
      </c>
      <c r="S92" s="296">
        <v>0</v>
      </c>
      <c r="T92" s="296">
        <v>0</v>
      </c>
      <c r="U92" s="185"/>
      <c r="V92" s="289"/>
      <c r="W92" s="185"/>
      <c r="X92" s="185"/>
      <c r="Y92" s="185"/>
      <c r="Z92" s="185"/>
      <c r="AA92" s="185"/>
      <c r="AB92" s="185"/>
      <c r="AC92" s="289"/>
      <c r="AD92" s="185"/>
      <c r="AE92" s="185"/>
      <c r="AF92" s="185"/>
      <c r="AG92" s="185"/>
      <c r="AH92" s="185"/>
      <c r="AI92" s="185">
        <f t="shared" si="125"/>
        <v>6</v>
      </c>
      <c r="AJ92" s="185">
        <v>0</v>
      </c>
      <c r="AK92" s="185">
        <v>0</v>
      </c>
      <c r="AL92" s="185">
        <f t="shared" ref="AL92" si="143">AI92+AJ92-AK92</f>
        <v>6</v>
      </c>
      <c r="AM92" s="185">
        <f t="shared" si="121"/>
        <v>330</v>
      </c>
      <c r="AN92" s="712"/>
      <c r="AO92" s="714"/>
      <c r="AP92" s="712"/>
      <c r="AQ92" s="185"/>
      <c r="AR92" s="185"/>
    </row>
    <row r="93" spans="1:44">
      <c r="A93" s="767" t="s">
        <v>103</v>
      </c>
      <c r="B93" s="768"/>
      <c r="C93" s="291"/>
      <c r="D93" s="291">
        <f>X88+D83+D85+D87+D89+D91+D81</f>
        <v>2</v>
      </c>
      <c r="E93" s="291">
        <f t="shared" ref="E93:V93" si="144">E79+E83+E85+E87+E89+E91+E81</f>
        <v>3</v>
      </c>
      <c r="F93" s="291">
        <f t="shared" si="144"/>
        <v>5</v>
      </c>
      <c r="G93" s="291">
        <f t="shared" si="144"/>
        <v>5</v>
      </c>
      <c r="H93" s="291">
        <f t="shared" si="144"/>
        <v>0</v>
      </c>
      <c r="I93" s="291">
        <f t="shared" si="144"/>
        <v>4</v>
      </c>
      <c r="J93" s="291">
        <f t="shared" si="144"/>
        <v>6</v>
      </c>
      <c r="K93" s="291">
        <f t="shared" si="144"/>
        <v>5.5</v>
      </c>
      <c r="L93" s="291">
        <f t="shared" si="144"/>
        <v>6</v>
      </c>
      <c r="M93" s="291">
        <f t="shared" si="144"/>
        <v>7</v>
      </c>
      <c r="N93" s="291">
        <f t="shared" si="144"/>
        <v>6</v>
      </c>
      <c r="O93" s="291">
        <f t="shared" si="144"/>
        <v>0</v>
      </c>
      <c r="P93" s="291">
        <f t="shared" si="144"/>
        <v>6</v>
      </c>
      <c r="Q93" s="291">
        <f t="shared" si="144"/>
        <v>4</v>
      </c>
      <c r="R93" s="291">
        <f t="shared" si="144"/>
        <v>5</v>
      </c>
      <c r="S93" s="291">
        <f t="shared" si="144"/>
        <v>5</v>
      </c>
      <c r="T93" s="291">
        <f t="shared" si="144"/>
        <v>6</v>
      </c>
      <c r="U93" s="291">
        <f t="shared" si="144"/>
        <v>5</v>
      </c>
      <c r="V93" s="291">
        <f t="shared" si="144"/>
        <v>4</v>
      </c>
      <c r="W93" s="291">
        <f>V79+V83+V85+V87+V89+V91+V81</f>
        <v>4</v>
      </c>
      <c r="X93" s="291">
        <f t="shared" ref="X93:AA93" si="145">X79+X83+X85+X87+X89+X91+X81</f>
        <v>6</v>
      </c>
      <c r="Y93" s="291">
        <f t="shared" si="145"/>
        <v>5</v>
      </c>
      <c r="Z93" s="291">
        <f t="shared" si="145"/>
        <v>4</v>
      </c>
      <c r="AA93" s="291">
        <f t="shared" si="145"/>
        <v>5</v>
      </c>
      <c r="AB93" s="291">
        <f>AB79+AB83+AB85+AB87+AB89+AB91+AB81</f>
        <v>4.5</v>
      </c>
      <c r="AC93" s="291">
        <f t="shared" ref="AC93:AR93" si="146">AC79+AC83+AC85+AC87+AC89+AC91+AC81</f>
        <v>1</v>
      </c>
      <c r="AD93" s="291">
        <f>AG84+AD83+AD85+AD87+AD89+AD91+AD81</f>
        <v>6</v>
      </c>
      <c r="AE93" s="291">
        <f t="shared" si="146"/>
        <v>4</v>
      </c>
      <c r="AF93" s="291">
        <f t="shared" si="146"/>
        <v>5</v>
      </c>
      <c r="AG93" s="291">
        <f t="shared" si="146"/>
        <v>5</v>
      </c>
      <c r="AH93" s="291">
        <f t="shared" si="146"/>
        <v>4</v>
      </c>
      <c r="AI93" s="291">
        <f t="shared" si="146"/>
        <v>137</v>
      </c>
      <c r="AJ93" s="291">
        <f t="shared" si="146"/>
        <v>0</v>
      </c>
      <c r="AK93" s="291">
        <f t="shared" si="146"/>
        <v>0</v>
      </c>
      <c r="AL93" s="291">
        <f t="shared" si="146"/>
        <v>137</v>
      </c>
      <c r="AM93" s="291">
        <f t="shared" si="146"/>
        <v>63534</v>
      </c>
      <c r="AN93" s="291">
        <f t="shared" si="146"/>
        <v>77030</v>
      </c>
      <c r="AO93" s="291">
        <f t="shared" si="146"/>
        <v>1000</v>
      </c>
      <c r="AP93" s="301">
        <f t="shared" si="146"/>
        <v>76030</v>
      </c>
      <c r="AQ93" s="291">
        <f t="shared" si="146"/>
        <v>0</v>
      </c>
      <c r="AR93" s="291">
        <f t="shared" si="146"/>
        <v>0</v>
      </c>
    </row>
    <row r="94" spans="1:44">
      <c r="A94" s="769" t="s">
        <v>106</v>
      </c>
      <c r="B94" s="770"/>
      <c r="C94" s="292"/>
      <c r="D94" s="292">
        <f>D80+D82+D84+D86+D88++D90+D92</f>
        <v>0</v>
      </c>
      <c r="E94" s="292">
        <f t="shared" ref="E94:V94" si="147">E80+E82+E84+E86+E88++E90+E92</f>
        <v>6</v>
      </c>
      <c r="F94" s="292">
        <f t="shared" si="147"/>
        <v>10</v>
      </c>
      <c r="G94" s="292">
        <f t="shared" si="147"/>
        <v>10</v>
      </c>
      <c r="H94" s="292">
        <f t="shared" si="147"/>
        <v>0</v>
      </c>
      <c r="I94" s="292">
        <f t="shared" si="147"/>
        <v>8</v>
      </c>
      <c r="J94" s="292">
        <f t="shared" si="147"/>
        <v>10</v>
      </c>
      <c r="K94" s="292">
        <f t="shared" si="147"/>
        <v>10</v>
      </c>
      <c r="L94" s="292">
        <f t="shared" si="147"/>
        <v>10</v>
      </c>
      <c r="M94" s="292">
        <f t="shared" si="147"/>
        <v>12</v>
      </c>
      <c r="N94" s="292">
        <f t="shared" si="147"/>
        <v>10</v>
      </c>
      <c r="O94" s="292">
        <f t="shared" si="147"/>
        <v>0</v>
      </c>
      <c r="P94" s="292">
        <f t="shared" si="147"/>
        <v>10</v>
      </c>
      <c r="Q94" s="292">
        <f t="shared" si="147"/>
        <v>8</v>
      </c>
      <c r="R94" s="292">
        <f t="shared" si="147"/>
        <v>10</v>
      </c>
      <c r="S94" s="292">
        <f t="shared" si="147"/>
        <v>10</v>
      </c>
      <c r="T94" s="292">
        <f t="shared" si="147"/>
        <v>10</v>
      </c>
      <c r="U94" s="292">
        <f t="shared" si="147"/>
        <v>8</v>
      </c>
      <c r="V94" s="292">
        <f t="shared" si="147"/>
        <v>0</v>
      </c>
      <c r="W94" s="292">
        <f>V80+V82+V84+V86+V88++V90+V92</f>
        <v>0</v>
      </c>
      <c r="X94" s="292">
        <f t="shared" ref="X94:AA94" si="148">X80+X82+X84+X86+X88++X90+X92</f>
        <v>10</v>
      </c>
      <c r="Y94" s="292">
        <f t="shared" si="148"/>
        <v>10</v>
      </c>
      <c r="Z94" s="292">
        <f t="shared" si="148"/>
        <v>8</v>
      </c>
      <c r="AA94" s="292">
        <f t="shared" si="148"/>
        <v>10</v>
      </c>
      <c r="AB94" s="292">
        <f>AB80+AB82+AB84+AB86+AB88++AB90+AB92</f>
        <v>8</v>
      </c>
      <c r="AC94" s="292">
        <f t="shared" ref="AC94:AR94" si="149">AC80+AC82+AC84+AC86+AC88++AC90+AC92</f>
        <v>0</v>
      </c>
      <c r="AD94" s="292">
        <f t="shared" si="149"/>
        <v>10</v>
      </c>
      <c r="AE94" s="292">
        <f t="shared" si="149"/>
        <v>8</v>
      </c>
      <c r="AF94" s="292">
        <f t="shared" si="149"/>
        <v>10</v>
      </c>
      <c r="AG94" s="292">
        <f t="shared" si="149"/>
        <v>10</v>
      </c>
      <c r="AH94" s="292">
        <f t="shared" si="149"/>
        <v>8</v>
      </c>
      <c r="AI94" s="292">
        <f t="shared" si="149"/>
        <v>242</v>
      </c>
      <c r="AJ94" s="292">
        <f t="shared" si="149"/>
        <v>0</v>
      </c>
      <c r="AK94" s="292">
        <f t="shared" si="149"/>
        <v>0</v>
      </c>
      <c r="AL94" s="292">
        <f t="shared" si="149"/>
        <v>242</v>
      </c>
      <c r="AM94" s="292">
        <f t="shared" si="149"/>
        <v>13496</v>
      </c>
      <c r="AN94" s="292">
        <f t="shared" si="149"/>
        <v>0</v>
      </c>
      <c r="AO94" s="292">
        <f t="shared" si="149"/>
        <v>0</v>
      </c>
      <c r="AP94" s="292">
        <f t="shared" si="149"/>
        <v>0</v>
      </c>
      <c r="AQ94" s="292">
        <f t="shared" si="149"/>
        <v>0</v>
      </c>
      <c r="AR94" s="292">
        <f t="shared" si="149"/>
        <v>0</v>
      </c>
    </row>
    <row r="96" spans="1:44" ht="23.25">
      <c r="A96" s="790" t="s">
        <v>113</v>
      </c>
      <c r="B96" s="792" t="s">
        <v>1</v>
      </c>
      <c r="C96" s="793"/>
      <c r="D96" s="796" t="s">
        <v>159</v>
      </c>
      <c r="E96" s="797"/>
      <c r="F96" s="797"/>
      <c r="G96" s="797"/>
      <c r="H96" s="797"/>
      <c r="I96" s="797"/>
      <c r="J96" s="797"/>
      <c r="K96" s="797"/>
      <c r="L96" s="797"/>
      <c r="M96" s="797"/>
      <c r="N96" s="797"/>
      <c r="O96" s="797"/>
      <c r="P96" s="797"/>
      <c r="Q96" s="797"/>
      <c r="R96" s="797"/>
      <c r="S96" s="797"/>
      <c r="T96" s="797"/>
      <c r="U96" s="797"/>
      <c r="V96" s="797"/>
      <c r="W96" s="797"/>
      <c r="X96" s="797"/>
      <c r="Y96" s="797"/>
      <c r="Z96" s="797"/>
      <c r="AA96" s="797"/>
      <c r="AB96" s="797"/>
      <c r="AC96" s="797"/>
      <c r="AD96" s="797"/>
      <c r="AE96" s="797"/>
      <c r="AF96" s="798"/>
      <c r="AG96" s="799">
        <v>30</v>
      </c>
      <c r="AH96" s="800"/>
      <c r="AI96" s="788" t="s">
        <v>107</v>
      </c>
      <c r="AJ96" s="788" t="s">
        <v>45</v>
      </c>
      <c r="AK96" s="788" t="s">
        <v>108</v>
      </c>
      <c r="AL96" s="788" t="s">
        <v>112</v>
      </c>
      <c r="AM96" s="801" t="s">
        <v>7</v>
      </c>
      <c r="AN96" s="802"/>
      <c r="AO96" s="788" t="s">
        <v>93</v>
      </c>
      <c r="AP96" s="788" t="s">
        <v>109</v>
      </c>
      <c r="AQ96" s="788" t="s">
        <v>33</v>
      </c>
      <c r="AR96" s="788" t="s">
        <v>111</v>
      </c>
    </row>
    <row r="97" spans="1:44">
      <c r="A97" s="791"/>
      <c r="B97" s="794"/>
      <c r="C97" s="795"/>
      <c r="D97" s="299">
        <v>1</v>
      </c>
      <c r="E97" s="299">
        <v>2</v>
      </c>
      <c r="F97" s="299">
        <v>3</v>
      </c>
      <c r="G97" s="299">
        <v>4</v>
      </c>
      <c r="H97" s="299">
        <v>5</v>
      </c>
      <c r="I97" s="299">
        <v>6</v>
      </c>
      <c r="J97" s="299">
        <v>7</v>
      </c>
      <c r="K97" s="299">
        <v>8</v>
      </c>
      <c r="L97" s="299">
        <v>9</v>
      </c>
      <c r="M97" s="299">
        <v>10</v>
      </c>
      <c r="N97" s="299">
        <v>11</v>
      </c>
      <c r="O97" s="299">
        <v>12</v>
      </c>
      <c r="P97" s="299">
        <v>13</v>
      </c>
      <c r="Q97" s="299">
        <v>14</v>
      </c>
      <c r="R97" s="299">
        <v>15</v>
      </c>
      <c r="S97" s="299">
        <v>16</v>
      </c>
      <c r="T97" s="299">
        <v>17</v>
      </c>
      <c r="U97" s="299">
        <v>18</v>
      </c>
      <c r="V97" s="299">
        <v>19</v>
      </c>
      <c r="W97" s="299">
        <v>20</v>
      </c>
      <c r="X97" s="299">
        <v>21</v>
      </c>
      <c r="Y97" s="299">
        <v>22</v>
      </c>
      <c r="Z97" s="299">
        <v>23</v>
      </c>
      <c r="AA97" s="299">
        <v>24</v>
      </c>
      <c r="AB97" s="299">
        <v>25</v>
      </c>
      <c r="AC97" s="299">
        <v>26</v>
      </c>
      <c r="AD97" s="299">
        <v>27</v>
      </c>
      <c r="AE97" s="299">
        <v>28</v>
      </c>
      <c r="AF97" s="299">
        <v>29</v>
      </c>
      <c r="AG97" s="299">
        <v>30</v>
      </c>
      <c r="AH97" s="299">
        <v>31</v>
      </c>
      <c r="AI97" s="789"/>
      <c r="AJ97" s="789"/>
      <c r="AK97" s="789"/>
      <c r="AL97" s="789"/>
      <c r="AM97" s="803"/>
      <c r="AN97" s="804"/>
      <c r="AO97" s="789"/>
      <c r="AP97" s="789"/>
      <c r="AQ97" s="789"/>
      <c r="AR97" s="789"/>
    </row>
    <row r="98" spans="1:44">
      <c r="A98" s="185">
        <v>1</v>
      </c>
      <c r="B98" s="184" t="s">
        <v>114</v>
      </c>
      <c r="C98" s="185">
        <f>C99*8</f>
        <v>480</v>
      </c>
      <c r="D98" s="185">
        <v>1</v>
      </c>
      <c r="E98" s="289"/>
      <c r="F98" s="185">
        <v>1</v>
      </c>
      <c r="G98" s="185">
        <v>1</v>
      </c>
      <c r="H98" s="221">
        <v>0</v>
      </c>
      <c r="I98" s="185">
        <v>1</v>
      </c>
      <c r="J98" s="185">
        <v>1</v>
      </c>
      <c r="K98" s="185">
        <v>1</v>
      </c>
      <c r="L98" s="203">
        <v>1</v>
      </c>
      <c r="M98" s="185">
        <v>1</v>
      </c>
      <c r="N98" s="185">
        <v>1</v>
      </c>
      <c r="O98" s="185">
        <v>1</v>
      </c>
      <c r="P98" s="185">
        <v>1</v>
      </c>
      <c r="Q98" s="185">
        <v>1</v>
      </c>
      <c r="R98" s="289"/>
      <c r="S98" s="289"/>
      <c r="T98" s="221">
        <v>0</v>
      </c>
      <c r="U98" s="221">
        <v>0</v>
      </c>
      <c r="V98" s="185">
        <v>1</v>
      </c>
      <c r="W98" s="185">
        <v>1</v>
      </c>
      <c r="X98" s="185">
        <v>1</v>
      </c>
      <c r="Y98" s="185">
        <v>1</v>
      </c>
      <c r="Z98" s="203">
        <v>1</v>
      </c>
      <c r="AA98" s="185">
        <v>1</v>
      </c>
      <c r="AB98" s="185">
        <v>1</v>
      </c>
      <c r="AC98" s="185">
        <v>1</v>
      </c>
      <c r="AD98" s="185">
        <v>1</v>
      </c>
      <c r="AE98" s="185">
        <v>1</v>
      </c>
      <c r="AF98" s="185">
        <v>1</v>
      </c>
      <c r="AG98" s="203">
        <v>1</v>
      </c>
      <c r="AH98" s="185"/>
      <c r="AI98" s="185">
        <f t="shared" ref="AI98:AI99" si="150">SUM(D98:AH98)</f>
        <v>24</v>
      </c>
      <c r="AJ98" s="185">
        <v>0</v>
      </c>
      <c r="AK98" s="185">
        <v>0</v>
      </c>
      <c r="AL98" s="185">
        <f>AI98+AJ98-AK98</f>
        <v>24</v>
      </c>
      <c r="AM98" s="185">
        <f t="shared" ref="AM98:AM111" si="151">AL98*C98</f>
        <v>11520</v>
      </c>
      <c r="AN98" s="711">
        <f t="shared" ref="AN98" si="152">AM98+AM99</f>
        <v>14040</v>
      </c>
      <c r="AO98" s="713">
        <v>0</v>
      </c>
      <c r="AP98" s="711">
        <f t="shared" ref="AP98" si="153">AN98-AO98</f>
        <v>14040</v>
      </c>
      <c r="AQ98" s="185"/>
      <c r="AR98" s="185"/>
    </row>
    <row r="99" spans="1:44">
      <c r="A99" s="185">
        <f>C98/8</f>
        <v>60</v>
      </c>
      <c r="B99" s="184"/>
      <c r="C99" s="185">
        <v>60</v>
      </c>
      <c r="D99" s="185">
        <v>2</v>
      </c>
      <c r="E99" s="289"/>
      <c r="F99" s="185">
        <v>2</v>
      </c>
      <c r="G99" s="185">
        <v>2</v>
      </c>
      <c r="H99" s="221">
        <v>0</v>
      </c>
      <c r="I99" s="185">
        <v>2</v>
      </c>
      <c r="J99" s="185">
        <v>2</v>
      </c>
      <c r="K99" s="185">
        <v>2</v>
      </c>
      <c r="L99" s="289"/>
      <c r="M99" s="185">
        <v>2</v>
      </c>
      <c r="N99" s="185">
        <v>2</v>
      </c>
      <c r="O99" s="185">
        <v>2</v>
      </c>
      <c r="P99" s="185">
        <v>2</v>
      </c>
      <c r="Q99" s="185">
        <v>2</v>
      </c>
      <c r="R99" s="289"/>
      <c r="S99" s="289"/>
      <c r="T99" s="221">
        <v>0</v>
      </c>
      <c r="U99" s="221">
        <v>0</v>
      </c>
      <c r="V99" s="185">
        <v>2</v>
      </c>
      <c r="W99" s="185">
        <v>2</v>
      </c>
      <c r="X99" s="185">
        <v>2</v>
      </c>
      <c r="Y99" s="185">
        <v>2</v>
      </c>
      <c r="Z99" s="289"/>
      <c r="AA99" s="185">
        <v>2</v>
      </c>
      <c r="AB99" s="185">
        <v>2</v>
      </c>
      <c r="AC99" s="185">
        <v>2</v>
      </c>
      <c r="AD99" s="185">
        <v>2</v>
      </c>
      <c r="AE99" s="185">
        <v>2</v>
      </c>
      <c r="AF99" s="185">
        <v>2</v>
      </c>
      <c r="AG99" s="289"/>
      <c r="AH99" s="185"/>
      <c r="AI99" s="185">
        <f t="shared" si="150"/>
        <v>42</v>
      </c>
      <c r="AJ99" s="185">
        <v>0</v>
      </c>
      <c r="AK99" s="185">
        <v>0</v>
      </c>
      <c r="AL99" s="185">
        <f t="shared" ref="AL99" si="154">AI99+AJ99-AK99</f>
        <v>42</v>
      </c>
      <c r="AM99" s="185">
        <f t="shared" si="151"/>
        <v>2520</v>
      </c>
      <c r="AN99" s="712"/>
      <c r="AO99" s="714"/>
      <c r="AP99" s="712"/>
      <c r="AQ99" s="185"/>
      <c r="AR99" s="185"/>
    </row>
    <row r="100" spans="1:44">
      <c r="A100" s="185">
        <v>2</v>
      </c>
      <c r="B100" s="184" t="s">
        <v>136</v>
      </c>
      <c r="C100" s="185">
        <f>C101*8</f>
        <v>440</v>
      </c>
      <c r="D100" s="185">
        <v>1</v>
      </c>
      <c r="E100" s="289"/>
      <c r="F100" s="221">
        <v>0</v>
      </c>
      <c r="G100" s="185">
        <v>1</v>
      </c>
      <c r="H100" s="185">
        <v>1</v>
      </c>
      <c r="I100" s="185">
        <v>1</v>
      </c>
      <c r="J100" s="185">
        <v>1</v>
      </c>
      <c r="K100" s="185">
        <v>1</v>
      </c>
      <c r="L100" s="289"/>
      <c r="M100" s="185">
        <v>1</v>
      </c>
      <c r="N100" s="185">
        <v>1</v>
      </c>
      <c r="O100" s="185">
        <v>1</v>
      </c>
      <c r="P100" s="185">
        <v>1</v>
      </c>
      <c r="Q100" s="221">
        <v>0</v>
      </c>
      <c r="R100" s="289"/>
      <c r="S100" s="289"/>
      <c r="T100" s="221">
        <v>0</v>
      </c>
      <c r="U100" s="185">
        <v>1</v>
      </c>
      <c r="V100" s="185">
        <v>1</v>
      </c>
      <c r="W100" s="185">
        <v>1</v>
      </c>
      <c r="X100" s="185">
        <v>1</v>
      </c>
      <c r="Y100" s="185">
        <v>1</v>
      </c>
      <c r="Z100" s="289"/>
      <c r="AA100" s="185">
        <v>1</v>
      </c>
      <c r="AB100" s="185">
        <v>1</v>
      </c>
      <c r="AC100" s="185">
        <v>1</v>
      </c>
      <c r="AD100" s="185">
        <v>1</v>
      </c>
      <c r="AE100" s="221">
        <v>0</v>
      </c>
      <c r="AF100" s="221">
        <v>0</v>
      </c>
      <c r="AG100" s="289"/>
      <c r="AH100" s="185"/>
      <c r="AI100" s="185">
        <f t="shared" ref="AI100:AI111" si="155">SUM(D100:AH100)</f>
        <v>19</v>
      </c>
      <c r="AJ100" s="185">
        <v>0</v>
      </c>
      <c r="AK100" s="185">
        <v>0</v>
      </c>
      <c r="AL100" s="185">
        <f>AI100+AJ100-AK100</f>
        <v>19</v>
      </c>
      <c r="AM100" s="185">
        <f t="shared" si="151"/>
        <v>8360</v>
      </c>
      <c r="AN100" s="711">
        <f t="shared" ref="AN100" si="156">AM100+AM101</f>
        <v>10450</v>
      </c>
      <c r="AO100" s="713">
        <v>0</v>
      </c>
      <c r="AP100" s="711">
        <f t="shared" ref="AP100" si="157">AN100-AO100</f>
        <v>10450</v>
      </c>
      <c r="AQ100" s="185"/>
      <c r="AR100" s="185"/>
    </row>
    <row r="101" spans="1:44">
      <c r="A101" s="184"/>
      <c r="B101" s="184"/>
      <c r="C101" s="185">
        <v>55</v>
      </c>
      <c r="D101" s="185">
        <v>2</v>
      </c>
      <c r="E101" s="289"/>
      <c r="F101" s="221">
        <v>0</v>
      </c>
      <c r="G101" s="185">
        <v>2</v>
      </c>
      <c r="H101" s="185">
        <v>2</v>
      </c>
      <c r="I101" s="185">
        <v>2</v>
      </c>
      <c r="J101" s="185">
        <v>2</v>
      </c>
      <c r="K101" s="185">
        <v>2</v>
      </c>
      <c r="L101" s="289"/>
      <c r="M101" s="185">
        <v>2</v>
      </c>
      <c r="N101" s="185">
        <v>2</v>
      </c>
      <c r="O101" s="185">
        <v>2</v>
      </c>
      <c r="P101" s="185">
        <v>2</v>
      </c>
      <c r="Q101" s="221">
        <v>0</v>
      </c>
      <c r="R101" s="289"/>
      <c r="S101" s="289"/>
      <c r="T101" s="221">
        <v>0</v>
      </c>
      <c r="U101" s="185">
        <v>2</v>
      </c>
      <c r="V101" s="185">
        <v>2</v>
      </c>
      <c r="W101" s="185">
        <v>2</v>
      </c>
      <c r="X101" s="185">
        <v>2</v>
      </c>
      <c r="Y101" s="185">
        <v>2</v>
      </c>
      <c r="Z101" s="289"/>
      <c r="AA101" s="185">
        <v>2</v>
      </c>
      <c r="AB101" s="185">
        <v>2</v>
      </c>
      <c r="AC101" s="185">
        <v>2</v>
      </c>
      <c r="AD101" s="185">
        <v>2</v>
      </c>
      <c r="AE101" s="221">
        <v>0</v>
      </c>
      <c r="AF101" s="221">
        <v>0</v>
      </c>
      <c r="AG101" s="289"/>
      <c r="AH101" s="185"/>
      <c r="AI101" s="185">
        <f t="shared" si="155"/>
        <v>38</v>
      </c>
      <c r="AJ101" s="185">
        <v>0</v>
      </c>
      <c r="AK101" s="185">
        <v>0</v>
      </c>
      <c r="AL101" s="185">
        <f t="shared" ref="AL101" si="158">AI101+AJ101-AK101</f>
        <v>38</v>
      </c>
      <c r="AM101" s="185">
        <f t="shared" si="151"/>
        <v>2090</v>
      </c>
      <c r="AN101" s="712"/>
      <c r="AO101" s="714"/>
      <c r="AP101" s="712"/>
      <c r="AQ101" s="185"/>
      <c r="AR101" s="185"/>
    </row>
    <row r="102" spans="1:44">
      <c r="A102" s="185">
        <v>3</v>
      </c>
      <c r="B102" s="184" t="s">
        <v>151</v>
      </c>
      <c r="C102" s="185">
        <v>432</v>
      </c>
      <c r="D102" s="221">
        <v>0</v>
      </c>
      <c r="E102" s="289"/>
      <c r="F102" s="221">
        <v>0</v>
      </c>
      <c r="G102" s="221">
        <v>0</v>
      </c>
      <c r="H102" s="185">
        <v>1</v>
      </c>
      <c r="I102" s="185">
        <v>1</v>
      </c>
      <c r="J102" s="185">
        <v>1</v>
      </c>
      <c r="K102" s="221">
        <v>0</v>
      </c>
      <c r="L102" s="289"/>
      <c r="M102" s="185">
        <v>1</v>
      </c>
      <c r="N102" s="185">
        <v>1</v>
      </c>
      <c r="O102" s="221">
        <v>0</v>
      </c>
      <c r="P102" s="221">
        <v>0</v>
      </c>
      <c r="Q102" s="221">
        <v>0</v>
      </c>
      <c r="R102" s="289"/>
      <c r="S102" s="289"/>
      <c r="T102" s="221">
        <v>0</v>
      </c>
      <c r="U102" s="221">
        <v>0</v>
      </c>
      <c r="V102" s="221">
        <v>0</v>
      </c>
      <c r="W102" s="221">
        <v>0</v>
      </c>
      <c r="X102" s="221">
        <v>0</v>
      </c>
      <c r="Y102" s="302">
        <v>1</v>
      </c>
      <c r="Z102" s="289"/>
      <c r="AA102" s="221">
        <v>0</v>
      </c>
      <c r="AB102" s="221">
        <v>0</v>
      </c>
      <c r="AC102" s="302">
        <v>1</v>
      </c>
      <c r="AD102" s="302">
        <v>1</v>
      </c>
      <c r="AE102" s="302">
        <v>1</v>
      </c>
      <c r="AF102" s="302">
        <v>1</v>
      </c>
      <c r="AG102" s="203">
        <v>1</v>
      </c>
      <c r="AH102" s="185"/>
      <c r="AI102" s="185">
        <f t="shared" si="155"/>
        <v>11</v>
      </c>
      <c r="AJ102" s="185">
        <v>0</v>
      </c>
      <c r="AK102" s="185">
        <v>0</v>
      </c>
      <c r="AL102" s="185">
        <f>AI102+AJ102-AK102</f>
        <v>11</v>
      </c>
      <c r="AM102" s="185">
        <f t="shared" si="151"/>
        <v>4752</v>
      </c>
      <c r="AN102" s="711">
        <f t="shared" ref="AN102" si="159">AM102+AM103</f>
        <v>5832</v>
      </c>
      <c r="AO102" s="713">
        <v>0</v>
      </c>
      <c r="AP102" s="711">
        <f t="shared" ref="AP102" si="160">AN102-AO102</f>
        <v>5832</v>
      </c>
      <c r="AQ102" s="185"/>
      <c r="AR102" s="185"/>
    </row>
    <row r="103" spans="1:44">
      <c r="A103" s="185">
        <f>C102/8</f>
        <v>54</v>
      </c>
      <c r="B103" s="184"/>
      <c r="C103" s="185">
        <v>54</v>
      </c>
      <c r="D103" s="221">
        <v>0</v>
      </c>
      <c r="E103" s="289"/>
      <c r="F103" s="221">
        <v>0</v>
      </c>
      <c r="G103" s="221">
        <v>0</v>
      </c>
      <c r="H103" s="185">
        <v>2</v>
      </c>
      <c r="I103" s="185">
        <v>2</v>
      </c>
      <c r="J103" s="185">
        <v>2</v>
      </c>
      <c r="K103" s="221">
        <v>0</v>
      </c>
      <c r="L103" s="289"/>
      <c r="M103" s="185">
        <v>2</v>
      </c>
      <c r="N103" s="185">
        <v>2</v>
      </c>
      <c r="O103" s="221">
        <v>0</v>
      </c>
      <c r="P103" s="221">
        <v>0</v>
      </c>
      <c r="Q103" s="221">
        <v>0</v>
      </c>
      <c r="R103" s="289"/>
      <c r="S103" s="289"/>
      <c r="T103" s="221">
        <v>0</v>
      </c>
      <c r="U103" s="221">
        <v>0</v>
      </c>
      <c r="V103" s="221">
        <v>0</v>
      </c>
      <c r="W103" s="221">
        <v>0</v>
      </c>
      <c r="X103" s="221">
        <v>0</v>
      </c>
      <c r="Y103" s="302">
        <v>2</v>
      </c>
      <c r="Z103" s="289"/>
      <c r="AA103" s="221">
        <v>0</v>
      </c>
      <c r="AB103" s="221">
        <v>0</v>
      </c>
      <c r="AC103" s="302">
        <v>2</v>
      </c>
      <c r="AD103" s="302">
        <v>2</v>
      </c>
      <c r="AE103" s="302">
        <v>2</v>
      </c>
      <c r="AF103" s="302">
        <v>2</v>
      </c>
      <c r="AG103" s="289"/>
      <c r="AH103" s="185"/>
      <c r="AI103" s="185">
        <f t="shared" si="155"/>
        <v>20</v>
      </c>
      <c r="AJ103" s="185">
        <v>0</v>
      </c>
      <c r="AK103" s="185">
        <v>0</v>
      </c>
      <c r="AL103" s="185">
        <f t="shared" ref="AL103" si="161">AI103+AJ103-AK103</f>
        <v>20</v>
      </c>
      <c r="AM103" s="185">
        <f t="shared" si="151"/>
        <v>1080</v>
      </c>
      <c r="AN103" s="712"/>
      <c r="AO103" s="714"/>
      <c r="AP103" s="712"/>
      <c r="AQ103" s="185"/>
      <c r="AR103" s="185"/>
    </row>
    <row r="104" spans="1:44">
      <c r="A104" s="185">
        <v>4</v>
      </c>
      <c r="B104" s="184" t="s">
        <v>153</v>
      </c>
      <c r="C104" s="185">
        <f>C105*8</f>
        <v>440</v>
      </c>
      <c r="D104" s="185">
        <v>1</v>
      </c>
      <c r="E104" s="289"/>
      <c r="F104" s="185">
        <v>1</v>
      </c>
      <c r="G104" s="185">
        <v>1</v>
      </c>
      <c r="H104" s="185">
        <v>1</v>
      </c>
      <c r="I104" s="185">
        <v>1</v>
      </c>
      <c r="J104" s="221">
        <v>0</v>
      </c>
      <c r="K104" s="221">
        <v>0</v>
      </c>
      <c r="L104" s="289"/>
      <c r="M104" s="221">
        <v>0</v>
      </c>
      <c r="N104" s="221">
        <v>0</v>
      </c>
      <c r="O104" s="221">
        <v>0</v>
      </c>
      <c r="P104" s="221">
        <v>0</v>
      </c>
      <c r="Q104" s="221">
        <v>0</v>
      </c>
      <c r="R104" s="289"/>
      <c r="S104" s="289"/>
      <c r="T104" s="221">
        <v>0</v>
      </c>
      <c r="U104" s="221">
        <v>0</v>
      </c>
      <c r="V104" s="221">
        <v>0</v>
      </c>
      <c r="W104" s="221">
        <v>0</v>
      </c>
      <c r="X104" s="221">
        <v>0</v>
      </c>
      <c r="Y104" s="221">
        <v>0</v>
      </c>
      <c r="Z104" s="289"/>
      <c r="AA104" s="221">
        <v>0</v>
      </c>
      <c r="AB104" s="221">
        <v>0</v>
      </c>
      <c r="AC104" s="221">
        <v>0</v>
      </c>
      <c r="AD104" s="302">
        <v>1</v>
      </c>
      <c r="AE104" s="302">
        <v>1</v>
      </c>
      <c r="AF104" s="302">
        <v>1</v>
      </c>
      <c r="AG104" s="203">
        <v>1</v>
      </c>
      <c r="AH104" s="185"/>
      <c r="AI104" s="185">
        <f t="shared" si="155"/>
        <v>9</v>
      </c>
      <c r="AJ104" s="185">
        <v>0</v>
      </c>
      <c r="AK104" s="185">
        <v>0</v>
      </c>
      <c r="AL104" s="185">
        <f>AI104+AJ104-AK104</f>
        <v>9</v>
      </c>
      <c r="AM104" s="185">
        <f t="shared" si="151"/>
        <v>3960</v>
      </c>
      <c r="AN104" s="711">
        <f t="shared" ref="AN104" si="162">AM104+AM105</f>
        <v>4840</v>
      </c>
      <c r="AO104" s="713">
        <v>0</v>
      </c>
      <c r="AP104" s="711">
        <f t="shared" ref="AP104" si="163">AN104-AO104</f>
        <v>4840</v>
      </c>
      <c r="AQ104" s="185"/>
      <c r="AR104" s="185"/>
    </row>
    <row r="105" spans="1:44">
      <c r="A105" s="185">
        <f>C104/8</f>
        <v>55</v>
      </c>
      <c r="B105" s="184"/>
      <c r="C105" s="185">
        <v>55</v>
      </c>
      <c r="D105" s="185">
        <v>2</v>
      </c>
      <c r="E105" s="289"/>
      <c r="F105" s="185">
        <v>2</v>
      </c>
      <c r="G105" s="185">
        <v>2</v>
      </c>
      <c r="H105" s="185">
        <v>2</v>
      </c>
      <c r="I105" s="185">
        <v>2</v>
      </c>
      <c r="J105" s="221">
        <v>0</v>
      </c>
      <c r="K105" s="221">
        <v>0</v>
      </c>
      <c r="L105" s="289"/>
      <c r="M105" s="221">
        <v>0</v>
      </c>
      <c r="N105" s="221">
        <v>0</v>
      </c>
      <c r="O105" s="221">
        <v>0</v>
      </c>
      <c r="P105" s="221">
        <v>0</v>
      </c>
      <c r="Q105" s="221">
        <v>0</v>
      </c>
      <c r="R105" s="289"/>
      <c r="S105" s="289"/>
      <c r="T105" s="221">
        <v>0</v>
      </c>
      <c r="U105" s="221">
        <v>0</v>
      </c>
      <c r="V105" s="221">
        <v>0</v>
      </c>
      <c r="W105" s="221">
        <v>0</v>
      </c>
      <c r="X105" s="221">
        <v>0</v>
      </c>
      <c r="Y105" s="221">
        <v>0</v>
      </c>
      <c r="Z105" s="289"/>
      <c r="AA105" s="221">
        <v>0</v>
      </c>
      <c r="AB105" s="221">
        <v>0</v>
      </c>
      <c r="AC105" s="221">
        <v>0</v>
      </c>
      <c r="AD105" s="302">
        <v>2</v>
      </c>
      <c r="AE105" s="302">
        <v>2</v>
      </c>
      <c r="AF105" s="302">
        <v>2</v>
      </c>
      <c r="AG105" s="289"/>
      <c r="AH105" s="185"/>
      <c r="AI105" s="185">
        <f t="shared" si="155"/>
        <v>16</v>
      </c>
      <c r="AJ105" s="185">
        <v>0</v>
      </c>
      <c r="AK105" s="185">
        <v>0</v>
      </c>
      <c r="AL105" s="185">
        <f t="shared" ref="AL105" si="164">AI105+AJ105-AK105</f>
        <v>16</v>
      </c>
      <c r="AM105" s="185">
        <f t="shared" si="151"/>
        <v>880</v>
      </c>
      <c r="AN105" s="712"/>
      <c r="AO105" s="714"/>
      <c r="AP105" s="712"/>
      <c r="AQ105" s="185"/>
      <c r="AR105" s="185"/>
    </row>
    <row r="106" spans="1:44">
      <c r="A106" s="185">
        <v>5</v>
      </c>
      <c r="B106" s="184" t="s">
        <v>158</v>
      </c>
      <c r="C106" s="185">
        <f>C107*8</f>
        <v>440</v>
      </c>
      <c r="D106" s="185">
        <v>1</v>
      </c>
      <c r="E106" s="289"/>
      <c r="F106" s="185">
        <v>1</v>
      </c>
      <c r="G106" s="185">
        <v>1</v>
      </c>
      <c r="H106" s="185">
        <v>1</v>
      </c>
      <c r="I106" s="185">
        <v>1</v>
      </c>
      <c r="J106" s="185">
        <v>1</v>
      </c>
      <c r="K106" s="185">
        <v>1</v>
      </c>
      <c r="L106" s="289"/>
      <c r="M106" s="185">
        <v>1</v>
      </c>
      <c r="N106" s="185">
        <v>1</v>
      </c>
      <c r="O106" s="185">
        <v>1</v>
      </c>
      <c r="P106" s="185">
        <v>1</v>
      </c>
      <c r="Q106" s="185">
        <v>1</v>
      </c>
      <c r="R106" s="289"/>
      <c r="S106" s="289"/>
      <c r="T106" s="185">
        <v>1</v>
      </c>
      <c r="U106" s="185">
        <v>1</v>
      </c>
      <c r="V106" s="185">
        <v>1</v>
      </c>
      <c r="W106" s="185">
        <v>1</v>
      </c>
      <c r="X106" s="185">
        <v>1</v>
      </c>
      <c r="Y106" s="185">
        <v>1</v>
      </c>
      <c r="Z106" s="203">
        <v>1</v>
      </c>
      <c r="AA106" s="185">
        <v>1</v>
      </c>
      <c r="AB106" s="185">
        <v>1</v>
      </c>
      <c r="AC106" s="185">
        <v>1</v>
      </c>
      <c r="AD106" s="185">
        <v>1</v>
      </c>
      <c r="AE106" s="185">
        <v>1</v>
      </c>
      <c r="AF106" s="185">
        <v>1</v>
      </c>
      <c r="AG106" s="203">
        <v>1</v>
      </c>
      <c r="AH106" s="185"/>
      <c r="AI106" s="185">
        <f t="shared" si="155"/>
        <v>26</v>
      </c>
      <c r="AJ106" s="185">
        <v>0</v>
      </c>
      <c r="AK106" s="185">
        <v>0</v>
      </c>
      <c r="AL106" s="185">
        <f>AI106+AJ106-AK106</f>
        <v>26</v>
      </c>
      <c r="AM106" s="185">
        <f t="shared" si="151"/>
        <v>11440</v>
      </c>
      <c r="AN106" s="711">
        <f t="shared" ref="AN106" si="165">AM106+AM107</f>
        <v>14080</v>
      </c>
      <c r="AO106" s="713">
        <v>0</v>
      </c>
      <c r="AP106" s="711">
        <f t="shared" ref="AP106" si="166">AN106-AO106</f>
        <v>14080</v>
      </c>
      <c r="AQ106" s="185"/>
      <c r="AR106" s="185"/>
    </row>
    <row r="107" spans="1:44">
      <c r="A107" s="185">
        <f>C106/8</f>
        <v>55</v>
      </c>
      <c r="B107" s="184"/>
      <c r="C107" s="185">
        <v>55</v>
      </c>
      <c r="D107" s="185">
        <v>2</v>
      </c>
      <c r="E107" s="289"/>
      <c r="F107" s="185">
        <v>2</v>
      </c>
      <c r="G107" s="185">
        <v>2</v>
      </c>
      <c r="H107" s="185">
        <v>2</v>
      </c>
      <c r="I107" s="185">
        <v>2</v>
      </c>
      <c r="J107" s="185">
        <v>2</v>
      </c>
      <c r="K107" s="185">
        <v>2</v>
      </c>
      <c r="L107" s="289"/>
      <c r="M107" s="185">
        <v>2</v>
      </c>
      <c r="N107" s="185">
        <v>2</v>
      </c>
      <c r="O107" s="185">
        <v>2</v>
      </c>
      <c r="P107" s="185">
        <v>2</v>
      </c>
      <c r="Q107" s="185">
        <v>2</v>
      </c>
      <c r="R107" s="289"/>
      <c r="S107" s="289"/>
      <c r="T107" s="185">
        <v>2</v>
      </c>
      <c r="U107" s="185">
        <v>2</v>
      </c>
      <c r="V107" s="185">
        <v>2</v>
      </c>
      <c r="W107" s="185">
        <v>2</v>
      </c>
      <c r="X107" s="185">
        <v>2</v>
      </c>
      <c r="Y107" s="185">
        <v>2</v>
      </c>
      <c r="Z107" s="289"/>
      <c r="AA107" s="185">
        <v>2</v>
      </c>
      <c r="AB107" s="185">
        <v>2</v>
      </c>
      <c r="AC107" s="185">
        <v>2</v>
      </c>
      <c r="AD107" s="185">
        <v>2</v>
      </c>
      <c r="AE107" s="185">
        <v>2</v>
      </c>
      <c r="AF107" s="185">
        <v>2</v>
      </c>
      <c r="AG107" s="289"/>
      <c r="AH107" s="185"/>
      <c r="AI107" s="185">
        <f t="shared" si="155"/>
        <v>48</v>
      </c>
      <c r="AJ107" s="185">
        <v>0</v>
      </c>
      <c r="AK107" s="185">
        <v>0</v>
      </c>
      <c r="AL107" s="185">
        <f t="shared" ref="AL107" si="167">AI107+AJ107-AK107</f>
        <v>48</v>
      </c>
      <c r="AM107" s="185">
        <f t="shared" si="151"/>
        <v>2640</v>
      </c>
      <c r="AN107" s="712"/>
      <c r="AO107" s="714"/>
      <c r="AP107" s="712"/>
      <c r="AQ107" s="185"/>
      <c r="AR107" s="185"/>
    </row>
    <row r="108" spans="1:44">
      <c r="A108" s="185">
        <v>6</v>
      </c>
      <c r="B108" s="184" t="s">
        <v>156</v>
      </c>
      <c r="C108" s="185">
        <v>692</v>
      </c>
      <c r="D108" s="221">
        <v>0</v>
      </c>
      <c r="E108" s="289"/>
      <c r="F108" s="221">
        <v>0</v>
      </c>
      <c r="G108" s="221">
        <v>0</v>
      </c>
      <c r="H108" s="221">
        <v>0</v>
      </c>
      <c r="I108" s="185">
        <v>1</v>
      </c>
      <c r="J108" s="185">
        <v>1</v>
      </c>
      <c r="K108" s="221">
        <v>0</v>
      </c>
      <c r="L108" s="289"/>
      <c r="M108" s="221">
        <v>0</v>
      </c>
      <c r="N108" s="185">
        <v>1</v>
      </c>
      <c r="O108" s="256">
        <v>0.5</v>
      </c>
      <c r="P108" s="185">
        <v>1</v>
      </c>
      <c r="Q108" s="185">
        <v>1</v>
      </c>
      <c r="R108" s="289"/>
      <c r="S108" s="289"/>
      <c r="T108" s="185">
        <v>1</v>
      </c>
      <c r="U108" s="221">
        <v>0</v>
      </c>
      <c r="V108" s="221">
        <v>0</v>
      </c>
      <c r="W108" s="221">
        <v>0</v>
      </c>
      <c r="X108" s="221">
        <v>0</v>
      </c>
      <c r="Y108" s="221">
        <v>0</v>
      </c>
      <c r="Z108" s="289"/>
      <c r="AA108" s="221">
        <v>0</v>
      </c>
      <c r="AB108" s="221">
        <v>0</v>
      </c>
      <c r="AC108" s="221">
        <v>0</v>
      </c>
      <c r="AD108" s="185">
        <v>1</v>
      </c>
      <c r="AE108" s="185">
        <v>1</v>
      </c>
      <c r="AF108" s="185">
        <v>1</v>
      </c>
      <c r="AG108" s="203">
        <v>1</v>
      </c>
      <c r="AH108" s="185"/>
      <c r="AI108" s="185">
        <f t="shared" si="155"/>
        <v>10.5</v>
      </c>
      <c r="AJ108" s="185">
        <v>0</v>
      </c>
      <c r="AK108" s="185">
        <v>0</v>
      </c>
      <c r="AL108" s="185">
        <f>AI108+AJ108-AK108</f>
        <v>10.5</v>
      </c>
      <c r="AM108" s="185">
        <f t="shared" si="151"/>
        <v>7266</v>
      </c>
      <c r="AN108" s="711">
        <f t="shared" ref="AN108" si="168">AM108+AM109</f>
        <v>7266</v>
      </c>
      <c r="AO108" s="713">
        <v>500</v>
      </c>
      <c r="AP108" s="711">
        <f t="shared" ref="AP108" si="169">AN108-AO108</f>
        <v>6766</v>
      </c>
      <c r="AQ108" s="185"/>
      <c r="AR108" s="185"/>
    </row>
    <row r="109" spans="1:44">
      <c r="A109" s="185">
        <f>C108/10</f>
        <v>69.2</v>
      </c>
      <c r="B109" s="184"/>
      <c r="C109" s="185"/>
      <c r="D109" s="221">
        <v>0</v>
      </c>
      <c r="E109" s="289"/>
      <c r="F109" s="221">
        <v>0</v>
      </c>
      <c r="G109" s="221">
        <v>0</v>
      </c>
      <c r="H109" s="221">
        <v>0</v>
      </c>
      <c r="I109" s="185">
        <v>0</v>
      </c>
      <c r="J109" s="185">
        <v>0</v>
      </c>
      <c r="K109" s="221">
        <v>0</v>
      </c>
      <c r="L109" s="289"/>
      <c r="M109" s="221">
        <v>0</v>
      </c>
      <c r="N109" s="185">
        <v>0</v>
      </c>
      <c r="O109" s="256">
        <v>0</v>
      </c>
      <c r="P109" s="185">
        <v>0</v>
      </c>
      <c r="Q109" s="185">
        <v>0</v>
      </c>
      <c r="R109" s="289"/>
      <c r="S109" s="289"/>
      <c r="T109" s="185">
        <v>0</v>
      </c>
      <c r="U109" s="221">
        <v>0</v>
      </c>
      <c r="V109" s="221">
        <v>0</v>
      </c>
      <c r="W109" s="221">
        <v>0</v>
      </c>
      <c r="X109" s="221">
        <v>0</v>
      </c>
      <c r="Y109" s="221">
        <v>0</v>
      </c>
      <c r="Z109" s="289"/>
      <c r="AA109" s="221">
        <v>0</v>
      </c>
      <c r="AB109" s="221">
        <v>0</v>
      </c>
      <c r="AC109" s="221">
        <v>0</v>
      </c>
      <c r="AD109" s="185">
        <v>0</v>
      </c>
      <c r="AE109" s="185">
        <v>0</v>
      </c>
      <c r="AF109" s="185">
        <v>0</v>
      </c>
      <c r="AG109" s="289"/>
      <c r="AH109" s="185"/>
      <c r="AI109" s="185">
        <f t="shared" si="155"/>
        <v>0</v>
      </c>
      <c r="AJ109" s="185">
        <v>0</v>
      </c>
      <c r="AK109" s="185">
        <v>0</v>
      </c>
      <c r="AL109" s="185">
        <f t="shared" ref="AL109" si="170">AI109+AJ109-AK109</f>
        <v>0</v>
      </c>
      <c r="AM109" s="185">
        <f t="shared" si="151"/>
        <v>0</v>
      </c>
      <c r="AN109" s="712"/>
      <c r="AO109" s="714"/>
      <c r="AP109" s="712"/>
      <c r="AQ109" s="185"/>
      <c r="AR109" s="185"/>
    </row>
    <row r="110" spans="1:44">
      <c r="A110" s="185">
        <v>7</v>
      </c>
      <c r="B110" s="184" t="s">
        <v>160</v>
      </c>
      <c r="C110" s="185">
        <v>400</v>
      </c>
      <c r="D110" s="185">
        <v>1</v>
      </c>
      <c r="E110" s="289"/>
      <c r="F110" s="185">
        <v>1</v>
      </c>
      <c r="G110" s="185">
        <v>1</v>
      </c>
      <c r="H110" s="185">
        <v>1</v>
      </c>
      <c r="I110" s="185">
        <v>1</v>
      </c>
      <c r="J110" s="185">
        <v>1</v>
      </c>
      <c r="K110" s="185">
        <v>1</v>
      </c>
      <c r="L110" s="203">
        <v>1</v>
      </c>
      <c r="M110" s="185">
        <v>1</v>
      </c>
      <c r="N110" s="185">
        <v>1</v>
      </c>
      <c r="O110" s="185">
        <v>1</v>
      </c>
      <c r="P110" s="185">
        <v>1</v>
      </c>
      <c r="Q110" s="185">
        <v>1</v>
      </c>
      <c r="R110" s="289"/>
      <c r="S110" s="289"/>
      <c r="T110" s="185">
        <v>1</v>
      </c>
      <c r="U110" s="185">
        <v>1</v>
      </c>
      <c r="V110" s="185">
        <v>1</v>
      </c>
      <c r="W110" s="185">
        <v>1</v>
      </c>
      <c r="X110" s="185">
        <v>1</v>
      </c>
      <c r="Y110" s="185">
        <v>1</v>
      </c>
      <c r="Z110" s="203">
        <v>1</v>
      </c>
      <c r="AA110" s="185">
        <v>1</v>
      </c>
      <c r="AB110" s="185">
        <v>1</v>
      </c>
      <c r="AC110" s="185">
        <v>1</v>
      </c>
      <c r="AD110" s="185">
        <v>1</v>
      </c>
      <c r="AE110" s="185">
        <v>1</v>
      </c>
      <c r="AF110" s="185">
        <v>1</v>
      </c>
      <c r="AG110" s="203">
        <v>1</v>
      </c>
      <c r="AH110" s="185"/>
      <c r="AI110" s="185">
        <f t="shared" si="155"/>
        <v>27</v>
      </c>
      <c r="AJ110" s="185">
        <v>0</v>
      </c>
      <c r="AK110" s="185">
        <v>0</v>
      </c>
      <c r="AL110" s="185">
        <f>AI110+AJ110-AK110</f>
        <v>27</v>
      </c>
      <c r="AM110" s="185">
        <f t="shared" si="151"/>
        <v>10800</v>
      </c>
      <c r="AN110" s="711">
        <f t="shared" ref="AN110" si="171">AM110+AM111</f>
        <v>13200</v>
      </c>
      <c r="AO110" s="713">
        <v>0</v>
      </c>
      <c r="AP110" s="711">
        <f t="shared" ref="AP110" si="172">AN110-AO110</f>
        <v>13200</v>
      </c>
      <c r="AQ110" s="185"/>
      <c r="AR110" s="185"/>
    </row>
    <row r="111" spans="1:44">
      <c r="A111" s="184"/>
      <c r="B111" s="184"/>
      <c r="C111" s="185">
        <v>50</v>
      </c>
      <c r="D111" s="185">
        <v>2</v>
      </c>
      <c r="E111" s="289"/>
      <c r="F111" s="185">
        <v>2</v>
      </c>
      <c r="G111" s="185">
        <v>2</v>
      </c>
      <c r="H111" s="185">
        <v>2</v>
      </c>
      <c r="I111" s="185">
        <v>2</v>
      </c>
      <c r="J111" s="185">
        <v>2</v>
      </c>
      <c r="K111" s="185">
        <v>2</v>
      </c>
      <c r="L111" s="289"/>
      <c r="M111" s="185">
        <v>2</v>
      </c>
      <c r="N111" s="185">
        <v>2</v>
      </c>
      <c r="O111" s="185">
        <v>2</v>
      </c>
      <c r="P111" s="185">
        <v>2</v>
      </c>
      <c r="Q111" s="185">
        <v>2</v>
      </c>
      <c r="R111" s="289"/>
      <c r="S111" s="289"/>
      <c r="T111" s="185">
        <v>2</v>
      </c>
      <c r="U111" s="185">
        <v>2</v>
      </c>
      <c r="V111" s="185">
        <v>2</v>
      </c>
      <c r="W111" s="185">
        <v>2</v>
      </c>
      <c r="X111" s="185">
        <v>2</v>
      </c>
      <c r="Y111" s="185">
        <v>2</v>
      </c>
      <c r="Z111" s="289"/>
      <c r="AA111" s="185">
        <v>2</v>
      </c>
      <c r="AB111" s="185">
        <v>2</v>
      </c>
      <c r="AC111" s="185">
        <v>2</v>
      </c>
      <c r="AD111" s="185">
        <v>2</v>
      </c>
      <c r="AE111" s="185">
        <v>2</v>
      </c>
      <c r="AF111" s="185">
        <v>2</v>
      </c>
      <c r="AG111" s="289"/>
      <c r="AH111" s="185"/>
      <c r="AI111" s="185">
        <f t="shared" si="155"/>
        <v>48</v>
      </c>
      <c r="AJ111" s="185">
        <v>0</v>
      </c>
      <c r="AK111" s="185">
        <v>0</v>
      </c>
      <c r="AL111" s="185">
        <f t="shared" ref="AL111" si="173">AI111+AJ111-AK111</f>
        <v>48</v>
      </c>
      <c r="AM111" s="185">
        <f t="shared" si="151"/>
        <v>2400</v>
      </c>
      <c r="AN111" s="712"/>
      <c r="AO111" s="714"/>
      <c r="AP111" s="712"/>
      <c r="AQ111" s="185"/>
      <c r="AR111" s="185"/>
    </row>
    <row r="112" spans="1:44">
      <c r="A112" s="767" t="s">
        <v>103</v>
      </c>
      <c r="B112" s="768"/>
      <c r="C112" s="291"/>
      <c r="D112" s="291">
        <f>X107+D102+D104+D106+D108+D110+D100</f>
        <v>6</v>
      </c>
      <c r="E112" s="291">
        <f t="shared" ref="E112:V112" si="174">E98+E102+E104+E106+E108+E110+E100</f>
        <v>0</v>
      </c>
      <c r="F112" s="291">
        <f t="shared" si="174"/>
        <v>4</v>
      </c>
      <c r="G112" s="291">
        <f t="shared" ref="G112" si="175">G98+G102+G104+G106+G108+G110+G100</f>
        <v>5</v>
      </c>
      <c r="H112" s="291">
        <f>G98+H102+H104+H106+H108+H110+H100</f>
        <v>6</v>
      </c>
      <c r="I112" s="291">
        <f t="shared" si="174"/>
        <v>7</v>
      </c>
      <c r="J112" s="291">
        <f t="shared" si="174"/>
        <v>6</v>
      </c>
      <c r="K112" s="291">
        <f t="shared" si="174"/>
        <v>4</v>
      </c>
      <c r="L112" s="291">
        <f t="shared" si="174"/>
        <v>2</v>
      </c>
      <c r="M112" s="291">
        <f t="shared" si="174"/>
        <v>5</v>
      </c>
      <c r="N112" s="291">
        <f t="shared" si="174"/>
        <v>6</v>
      </c>
      <c r="O112" s="291">
        <f t="shared" si="174"/>
        <v>4.5</v>
      </c>
      <c r="P112" s="291">
        <f t="shared" si="174"/>
        <v>5</v>
      </c>
      <c r="Q112" s="291">
        <f t="shared" si="174"/>
        <v>4</v>
      </c>
      <c r="R112" s="291">
        <f t="shared" si="174"/>
        <v>0</v>
      </c>
      <c r="S112" s="291">
        <f t="shared" si="174"/>
        <v>0</v>
      </c>
      <c r="T112" s="291">
        <f t="shared" si="174"/>
        <v>3</v>
      </c>
      <c r="U112" s="291">
        <f t="shared" si="174"/>
        <v>3</v>
      </c>
      <c r="V112" s="291">
        <f t="shared" si="174"/>
        <v>4</v>
      </c>
      <c r="W112" s="291">
        <f>V98+V102+V104+V106+V108+V110+V100</f>
        <v>4</v>
      </c>
      <c r="X112" s="291">
        <f t="shared" ref="X112:AA112" si="176">X98+X102+X104+X106+X108+X110+X100</f>
        <v>4</v>
      </c>
      <c r="Y112" s="291">
        <f t="shared" si="176"/>
        <v>5</v>
      </c>
      <c r="Z112" s="291">
        <f t="shared" si="176"/>
        <v>3</v>
      </c>
      <c r="AA112" s="291">
        <f t="shared" si="176"/>
        <v>4</v>
      </c>
      <c r="AB112" s="291">
        <f>AB98+AB102+AB104+AB106+AB108+AB110+AB100</f>
        <v>4</v>
      </c>
      <c r="AC112" s="291">
        <f t="shared" ref="AC112" si="177">AC98+AC102+AC104+AC106+AC108+AC110+AC100</f>
        <v>5</v>
      </c>
      <c r="AD112" s="291">
        <f>AG103+AD102+AD104+AD106+AD108+AD110+AD100</f>
        <v>6</v>
      </c>
      <c r="AE112" s="291">
        <f t="shared" ref="AE112:AR112" si="178">AE98+AE102+AE104+AE106+AE108+AE110+AE100</f>
        <v>6</v>
      </c>
      <c r="AF112" s="291">
        <f t="shared" si="178"/>
        <v>6</v>
      </c>
      <c r="AG112" s="291">
        <f t="shared" si="178"/>
        <v>6</v>
      </c>
      <c r="AH112" s="291">
        <f t="shared" si="178"/>
        <v>0</v>
      </c>
      <c r="AI112" s="291">
        <f t="shared" si="178"/>
        <v>126.5</v>
      </c>
      <c r="AJ112" s="291">
        <f t="shared" si="178"/>
        <v>0</v>
      </c>
      <c r="AK112" s="291">
        <f t="shared" si="178"/>
        <v>0</v>
      </c>
      <c r="AL112" s="291">
        <f t="shared" si="178"/>
        <v>126.5</v>
      </c>
      <c r="AM112" s="291">
        <f t="shared" si="178"/>
        <v>58098</v>
      </c>
      <c r="AN112" s="291">
        <f t="shared" si="178"/>
        <v>69708</v>
      </c>
      <c r="AO112" s="291">
        <f t="shared" si="178"/>
        <v>500</v>
      </c>
      <c r="AP112" s="303">
        <f t="shared" si="178"/>
        <v>69208</v>
      </c>
      <c r="AQ112" s="291">
        <f t="shared" si="178"/>
        <v>0</v>
      </c>
      <c r="AR112" s="291">
        <f t="shared" si="178"/>
        <v>0</v>
      </c>
    </row>
    <row r="113" spans="1:44">
      <c r="A113" s="769" t="s">
        <v>106</v>
      </c>
      <c r="B113" s="770"/>
      <c r="C113" s="292"/>
      <c r="D113" s="292">
        <f>D99+D101+D103+D105+D107++D109+D111</f>
        <v>10</v>
      </c>
      <c r="E113" s="292">
        <f t="shared" ref="E113:V113" si="179">E99+E101+E103+E105+E107++E109+E111</f>
        <v>0</v>
      </c>
      <c r="F113" s="292">
        <f t="shared" si="179"/>
        <v>8</v>
      </c>
      <c r="G113" s="292">
        <f t="shared" ref="G113" si="180">G99+G101+G103+G105+G107++G109+G111</f>
        <v>10</v>
      </c>
      <c r="H113" s="292">
        <f>G99+H101+H103+H105+H107++H109+H111</f>
        <v>12</v>
      </c>
      <c r="I113" s="292">
        <f t="shared" si="179"/>
        <v>12</v>
      </c>
      <c r="J113" s="292">
        <f t="shared" si="179"/>
        <v>10</v>
      </c>
      <c r="K113" s="292">
        <f t="shared" si="179"/>
        <v>8</v>
      </c>
      <c r="L113" s="292">
        <f t="shared" si="179"/>
        <v>0</v>
      </c>
      <c r="M113" s="292">
        <f t="shared" si="179"/>
        <v>10</v>
      </c>
      <c r="N113" s="292">
        <f t="shared" si="179"/>
        <v>10</v>
      </c>
      <c r="O113" s="292">
        <f t="shared" si="179"/>
        <v>8</v>
      </c>
      <c r="P113" s="292">
        <f t="shared" si="179"/>
        <v>8</v>
      </c>
      <c r="Q113" s="292">
        <f t="shared" si="179"/>
        <v>6</v>
      </c>
      <c r="R113" s="292">
        <f t="shared" si="179"/>
        <v>0</v>
      </c>
      <c r="S113" s="292">
        <f t="shared" si="179"/>
        <v>0</v>
      </c>
      <c r="T113" s="292">
        <f t="shared" si="179"/>
        <v>4</v>
      </c>
      <c r="U113" s="292">
        <f t="shared" si="179"/>
        <v>6</v>
      </c>
      <c r="V113" s="292">
        <f t="shared" si="179"/>
        <v>8</v>
      </c>
      <c r="W113" s="292">
        <f>V99+V101+V103+V105+V107++V109+V111</f>
        <v>8</v>
      </c>
      <c r="X113" s="292">
        <f t="shared" ref="X113:AA113" si="181">X99+X101+X103+X105+X107++X109+X111</f>
        <v>8</v>
      </c>
      <c r="Y113" s="292">
        <f t="shared" si="181"/>
        <v>10</v>
      </c>
      <c r="Z113" s="292">
        <f t="shared" si="181"/>
        <v>0</v>
      </c>
      <c r="AA113" s="292">
        <f t="shared" si="181"/>
        <v>8</v>
      </c>
      <c r="AB113" s="292">
        <f>AB99+AB101+AB103+AB105+AB107++AB109+AB111</f>
        <v>8</v>
      </c>
      <c r="AC113" s="292">
        <f t="shared" ref="AC113:AR113" si="182">AC99+AC101+AC103+AC105+AC107++AC109+AC111</f>
        <v>10</v>
      </c>
      <c r="AD113" s="292">
        <f t="shared" si="182"/>
        <v>12</v>
      </c>
      <c r="AE113" s="292">
        <f t="shared" si="182"/>
        <v>10</v>
      </c>
      <c r="AF113" s="292">
        <f t="shared" si="182"/>
        <v>10</v>
      </c>
      <c r="AG113" s="292">
        <f t="shared" si="182"/>
        <v>0</v>
      </c>
      <c r="AH113" s="292">
        <f t="shared" si="182"/>
        <v>0</v>
      </c>
      <c r="AI113" s="292">
        <f t="shared" si="182"/>
        <v>212</v>
      </c>
      <c r="AJ113" s="292">
        <f t="shared" si="182"/>
        <v>0</v>
      </c>
      <c r="AK113" s="292">
        <f t="shared" si="182"/>
        <v>0</v>
      </c>
      <c r="AL113" s="292">
        <f t="shared" si="182"/>
        <v>212</v>
      </c>
      <c r="AM113" s="292">
        <f t="shared" si="182"/>
        <v>11610</v>
      </c>
      <c r="AN113" s="292">
        <f t="shared" si="182"/>
        <v>0</v>
      </c>
      <c r="AO113" s="292">
        <f t="shared" si="182"/>
        <v>0</v>
      </c>
      <c r="AP113" s="292">
        <f t="shared" si="182"/>
        <v>0</v>
      </c>
      <c r="AQ113" s="292">
        <f t="shared" si="182"/>
        <v>0</v>
      </c>
      <c r="AR113" s="292">
        <f t="shared" si="182"/>
        <v>0</v>
      </c>
    </row>
    <row r="115" spans="1:44" ht="23.25">
      <c r="A115" s="773" t="s">
        <v>113</v>
      </c>
      <c r="B115" s="775" t="s">
        <v>1</v>
      </c>
      <c r="C115" s="776"/>
      <c r="D115" s="779" t="s">
        <v>165</v>
      </c>
      <c r="E115" s="780"/>
      <c r="F115" s="780"/>
      <c r="G115" s="780"/>
      <c r="H115" s="780"/>
      <c r="I115" s="780"/>
      <c r="J115" s="780"/>
      <c r="K115" s="780"/>
      <c r="L115" s="780"/>
      <c r="M115" s="780"/>
      <c r="N115" s="780"/>
      <c r="O115" s="780"/>
      <c r="P115" s="780"/>
      <c r="Q115" s="780"/>
      <c r="R115" s="780"/>
      <c r="S115" s="780"/>
      <c r="T115" s="780"/>
      <c r="U115" s="780"/>
      <c r="V115" s="780"/>
      <c r="W115" s="780"/>
      <c r="X115" s="780"/>
      <c r="Y115" s="780"/>
      <c r="Z115" s="780"/>
      <c r="AA115" s="780"/>
      <c r="AB115" s="780"/>
      <c r="AC115" s="780"/>
      <c r="AD115" s="780"/>
      <c r="AE115" s="780"/>
      <c r="AF115" s="781"/>
      <c r="AG115" s="782">
        <v>31</v>
      </c>
      <c r="AH115" s="783"/>
      <c r="AI115" s="771" t="s">
        <v>107</v>
      </c>
      <c r="AJ115" s="771" t="s">
        <v>45</v>
      </c>
      <c r="AK115" s="771" t="s">
        <v>108</v>
      </c>
      <c r="AL115" s="771" t="s">
        <v>112</v>
      </c>
      <c r="AM115" s="784" t="s">
        <v>7</v>
      </c>
      <c r="AN115" s="785"/>
      <c r="AO115" s="771" t="s">
        <v>93</v>
      </c>
      <c r="AP115" s="771" t="s">
        <v>109</v>
      </c>
      <c r="AQ115" s="771" t="s">
        <v>33</v>
      </c>
      <c r="AR115" s="771" t="s">
        <v>111</v>
      </c>
    </row>
    <row r="116" spans="1:44">
      <c r="A116" s="774"/>
      <c r="B116" s="777"/>
      <c r="C116" s="778"/>
      <c r="D116" s="313">
        <v>1</v>
      </c>
      <c r="E116" s="313">
        <v>2</v>
      </c>
      <c r="F116" s="313">
        <v>3</v>
      </c>
      <c r="G116" s="313">
        <v>4</v>
      </c>
      <c r="H116" s="313">
        <v>5</v>
      </c>
      <c r="I116" s="313">
        <v>6</v>
      </c>
      <c r="J116" s="313">
        <v>7</v>
      </c>
      <c r="K116" s="313">
        <v>8</v>
      </c>
      <c r="L116" s="313">
        <v>9</v>
      </c>
      <c r="M116" s="313">
        <v>10</v>
      </c>
      <c r="N116" s="313">
        <v>11</v>
      </c>
      <c r="O116" s="313">
        <v>12</v>
      </c>
      <c r="P116" s="313">
        <v>13</v>
      </c>
      <c r="Q116" s="313">
        <v>14</v>
      </c>
      <c r="R116" s="313">
        <v>15</v>
      </c>
      <c r="S116" s="313">
        <v>16</v>
      </c>
      <c r="T116" s="313">
        <v>17</v>
      </c>
      <c r="U116" s="313">
        <v>18</v>
      </c>
      <c r="V116" s="313">
        <v>19</v>
      </c>
      <c r="W116" s="313">
        <v>20</v>
      </c>
      <c r="X116" s="313">
        <v>21</v>
      </c>
      <c r="Y116" s="313">
        <v>22</v>
      </c>
      <c r="Z116" s="313">
        <v>23</v>
      </c>
      <c r="AA116" s="313">
        <v>24</v>
      </c>
      <c r="AB116" s="313">
        <v>25</v>
      </c>
      <c r="AC116" s="313">
        <v>26</v>
      </c>
      <c r="AD116" s="313">
        <v>27</v>
      </c>
      <c r="AE116" s="313">
        <v>28</v>
      </c>
      <c r="AF116" s="313">
        <v>29</v>
      </c>
      <c r="AG116" s="313">
        <v>30</v>
      </c>
      <c r="AH116" s="313">
        <v>31</v>
      </c>
      <c r="AI116" s="772"/>
      <c r="AJ116" s="772"/>
      <c r="AK116" s="772"/>
      <c r="AL116" s="772"/>
      <c r="AM116" s="786"/>
      <c r="AN116" s="787"/>
      <c r="AO116" s="772"/>
      <c r="AP116" s="772"/>
      <c r="AQ116" s="772"/>
      <c r="AR116" s="772"/>
    </row>
    <row r="117" spans="1:44">
      <c r="A117" s="185">
        <v>1</v>
      </c>
      <c r="B117" s="184" t="s">
        <v>114</v>
      </c>
      <c r="C117" s="185">
        <f>C118*8</f>
        <v>480</v>
      </c>
      <c r="D117" s="185">
        <v>1</v>
      </c>
      <c r="E117" s="185">
        <v>1</v>
      </c>
      <c r="F117" s="185">
        <v>1</v>
      </c>
      <c r="G117" s="185">
        <v>1</v>
      </c>
      <c r="H117" s="185">
        <v>1</v>
      </c>
      <c r="I117" s="185">
        <v>1</v>
      </c>
      <c r="J117" s="314">
        <v>1</v>
      </c>
      <c r="K117" s="185">
        <v>1</v>
      </c>
      <c r="L117" s="185">
        <v>1</v>
      </c>
      <c r="M117" s="185">
        <v>1</v>
      </c>
      <c r="N117" s="185">
        <v>1</v>
      </c>
      <c r="O117" s="185">
        <v>1</v>
      </c>
      <c r="P117" s="185">
        <v>1</v>
      </c>
      <c r="Q117" s="314"/>
      <c r="R117" s="221">
        <v>0</v>
      </c>
      <c r="S117" s="185">
        <v>1</v>
      </c>
      <c r="T117" s="185">
        <v>1</v>
      </c>
      <c r="U117" s="185">
        <v>1</v>
      </c>
      <c r="V117" s="185">
        <v>1</v>
      </c>
      <c r="W117" s="314"/>
      <c r="X117" s="314"/>
      <c r="Y117" s="185">
        <v>1</v>
      </c>
      <c r="Z117" s="185">
        <v>1</v>
      </c>
      <c r="AA117" s="185">
        <v>1</v>
      </c>
      <c r="AB117" s="185">
        <v>1</v>
      </c>
      <c r="AC117" s="185">
        <v>1</v>
      </c>
      <c r="AD117" s="185">
        <v>1</v>
      </c>
      <c r="AE117" s="314">
        <v>1</v>
      </c>
      <c r="AF117" s="185">
        <v>1</v>
      </c>
      <c r="AG117" s="185">
        <v>1</v>
      </c>
      <c r="AH117" s="185">
        <v>1</v>
      </c>
      <c r="AI117" s="185">
        <f t="shared" ref="AI117:AI118" si="183">SUM(D117:AH117)</f>
        <v>27</v>
      </c>
      <c r="AJ117" s="185">
        <v>0</v>
      </c>
      <c r="AK117" s="185">
        <v>0</v>
      </c>
      <c r="AL117" s="185">
        <f>AI117+AJ117-AK117</f>
        <v>27</v>
      </c>
      <c r="AM117" s="185">
        <f t="shared" ref="AM117:AM120" si="184">AL117*C117</f>
        <v>12960</v>
      </c>
      <c r="AN117" s="711">
        <f t="shared" ref="AN117" si="185">AM117+AM118</f>
        <v>16170</v>
      </c>
      <c r="AO117" s="713">
        <v>0</v>
      </c>
      <c r="AP117" s="711">
        <f t="shared" ref="AP117" si="186">AN117-AO117</f>
        <v>16170</v>
      </c>
      <c r="AQ117" s="185"/>
      <c r="AR117" s="185"/>
    </row>
    <row r="118" spans="1:44">
      <c r="A118" s="185">
        <f>C117/8</f>
        <v>60</v>
      </c>
      <c r="B118" s="184"/>
      <c r="C118" s="185">
        <v>60</v>
      </c>
      <c r="D118" s="185">
        <v>2</v>
      </c>
      <c r="E118" s="185">
        <v>2</v>
      </c>
      <c r="F118" s="185">
        <v>2</v>
      </c>
      <c r="G118" s="185">
        <v>2</v>
      </c>
      <c r="H118" s="185">
        <v>2</v>
      </c>
      <c r="I118" s="185">
        <v>2</v>
      </c>
      <c r="J118" s="314"/>
      <c r="K118" s="185">
        <v>2</v>
      </c>
      <c r="L118" s="185">
        <v>2</v>
      </c>
      <c r="M118" s="185">
        <v>2</v>
      </c>
      <c r="N118" s="185">
        <v>2</v>
      </c>
      <c r="O118" s="185">
        <v>2</v>
      </c>
      <c r="P118" s="185">
        <v>2</v>
      </c>
      <c r="Q118" s="314"/>
      <c r="R118" s="221">
        <v>0</v>
      </c>
      <c r="S118" s="185">
        <v>2</v>
      </c>
      <c r="T118" s="185">
        <v>2</v>
      </c>
      <c r="U118" s="185">
        <v>2</v>
      </c>
      <c r="V118" s="185">
        <v>3.5</v>
      </c>
      <c r="W118" s="314"/>
      <c r="X118" s="314">
        <v>2</v>
      </c>
      <c r="Y118" s="185">
        <v>2</v>
      </c>
      <c r="Z118" s="185">
        <v>2</v>
      </c>
      <c r="AA118" s="185">
        <v>2</v>
      </c>
      <c r="AB118" s="185">
        <v>2</v>
      </c>
      <c r="AC118" s="185">
        <v>2</v>
      </c>
      <c r="AD118" s="185">
        <v>2</v>
      </c>
      <c r="AE118" s="314"/>
      <c r="AF118" s="185">
        <v>2</v>
      </c>
      <c r="AG118" s="185">
        <v>2</v>
      </c>
      <c r="AH118" s="185">
        <v>2</v>
      </c>
      <c r="AI118" s="185">
        <f t="shared" si="183"/>
        <v>53.5</v>
      </c>
      <c r="AJ118" s="185">
        <v>0</v>
      </c>
      <c r="AK118" s="185">
        <v>0</v>
      </c>
      <c r="AL118" s="185">
        <f t="shared" ref="AL118" si="187">AI118+AJ118-AK118</f>
        <v>53.5</v>
      </c>
      <c r="AM118" s="185">
        <f t="shared" si="184"/>
        <v>3210</v>
      </c>
      <c r="AN118" s="712"/>
      <c r="AO118" s="714"/>
      <c r="AP118" s="712"/>
      <c r="AQ118" s="185"/>
      <c r="AR118" s="185"/>
    </row>
    <row r="119" spans="1:44">
      <c r="A119" s="185">
        <v>2</v>
      </c>
      <c r="B119" s="315" t="s">
        <v>136</v>
      </c>
      <c r="C119" s="185">
        <f>C120*8</f>
        <v>480</v>
      </c>
      <c r="D119" s="185">
        <v>1</v>
      </c>
      <c r="E119" s="185">
        <v>1</v>
      </c>
      <c r="F119" s="185">
        <v>1</v>
      </c>
      <c r="G119" s="185">
        <v>1</v>
      </c>
      <c r="H119" s="221">
        <v>0</v>
      </c>
      <c r="I119" s="221">
        <v>0</v>
      </c>
      <c r="J119" s="304"/>
      <c r="K119" s="221">
        <v>0</v>
      </c>
      <c r="L119" s="185">
        <v>1</v>
      </c>
      <c r="M119" s="185">
        <v>1</v>
      </c>
      <c r="N119" s="185">
        <v>1</v>
      </c>
      <c r="O119" s="185">
        <v>1</v>
      </c>
      <c r="P119" s="185">
        <v>1</v>
      </c>
      <c r="Q119" s="314"/>
      <c r="R119" s="221">
        <v>0</v>
      </c>
      <c r="S119" s="185">
        <v>1</v>
      </c>
      <c r="T119" s="185">
        <v>1</v>
      </c>
      <c r="U119" s="185">
        <v>1</v>
      </c>
      <c r="V119" s="185">
        <v>1</v>
      </c>
      <c r="W119" s="314"/>
      <c r="X119" s="314">
        <v>1</v>
      </c>
      <c r="Y119" s="185">
        <v>1</v>
      </c>
      <c r="Z119" s="203">
        <v>1</v>
      </c>
      <c r="AA119" s="221">
        <v>0</v>
      </c>
      <c r="AB119" s="203">
        <v>1</v>
      </c>
      <c r="AC119" s="203">
        <v>1</v>
      </c>
      <c r="AD119" s="203">
        <v>1</v>
      </c>
      <c r="AE119" s="314">
        <v>1</v>
      </c>
      <c r="AF119" s="203">
        <v>1</v>
      </c>
      <c r="AG119" s="203">
        <v>1</v>
      </c>
      <c r="AH119" s="203">
        <v>1</v>
      </c>
      <c r="AI119" s="185">
        <f t="shared" ref="AI119:AI120" si="188">SUM(D119:AH119)</f>
        <v>23</v>
      </c>
      <c r="AJ119" s="185">
        <v>0</v>
      </c>
      <c r="AK119" s="185">
        <v>0</v>
      </c>
      <c r="AL119" s="185">
        <f>AI119+AJ119-AK119</f>
        <v>23</v>
      </c>
      <c r="AM119" s="185">
        <f t="shared" si="184"/>
        <v>11040</v>
      </c>
      <c r="AN119" s="711">
        <f t="shared" ref="AN119" si="189">AM119+AM120</f>
        <v>13650</v>
      </c>
      <c r="AO119" s="713">
        <v>0</v>
      </c>
      <c r="AP119" s="711">
        <f t="shared" ref="AP119" si="190">AN119-AO119</f>
        <v>13650</v>
      </c>
      <c r="AQ119" s="185"/>
      <c r="AR119" s="185"/>
    </row>
    <row r="120" spans="1:44">
      <c r="A120" s="184"/>
      <c r="B120" s="184"/>
      <c r="C120" s="185">
        <v>60</v>
      </c>
      <c r="D120" s="185">
        <v>2</v>
      </c>
      <c r="E120" s="185">
        <v>2</v>
      </c>
      <c r="F120" s="185">
        <v>2</v>
      </c>
      <c r="G120" s="185">
        <v>2</v>
      </c>
      <c r="H120" s="221">
        <v>0</v>
      </c>
      <c r="I120" s="221">
        <v>0</v>
      </c>
      <c r="J120" s="304"/>
      <c r="K120" s="221">
        <v>0</v>
      </c>
      <c r="L120" s="185">
        <v>2</v>
      </c>
      <c r="M120" s="185">
        <v>2</v>
      </c>
      <c r="N120" s="185">
        <v>2</v>
      </c>
      <c r="O120" s="185">
        <v>2</v>
      </c>
      <c r="P120" s="185">
        <v>2</v>
      </c>
      <c r="Q120" s="314"/>
      <c r="R120" s="221">
        <v>0</v>
      </c>
      <c r="S120" s="185">
        <v>2</v>
      </c>
      <c r="T120" s="185">
        <v>2</v>
      </c>
      <c r="U120" s="185">
        <v>2</v>
      </c>
      <c r="V120" s="185">
        <v>3.5</v>
      </c>
      <c r="W120" s="314"/>
      <c r="X120" s="314"/>
      <c r="Y120" s="185">
        <v>2</v>
      </c>
      <c r="Z120" s="203">
        <v>2</v>
      </c>
      <c r="AA120" s="221">
        <v>0</v>
      </c>
      <c r="AB120" s="203">
        <v>2</v>
      </c>
      <c r="AC120" s="203">
        <v>2</v>
      </c>
      <c r="AD120" s="203">
        <v>2</v>
      </c>
      <c r="AE120" s="314"/>
      <c r="AF120" s="203">
        <v>2</v>
      </c>
      <c r="AG120" s="203">
        <v>2</v>
      </c>
      <c r="AH120" s="203">
        <v>2</v>
      </c>
      <c r="AI120" s="185">
        <f t="shared" si="188"/>
        <v>43.5</v>
      </c>
      <c r="AJ120" s="185">
        <v>0</v>
      </c>
      <c r="AK120" s="185">
        <v>0</v>
      </c>
      <c r="AL120" s="185">
        <f t="shared" ref="AL120:AL121" si="191">AI120+AJ120-AK120</f>
        <v>43.5</v>
      </c>
      <c r="AM120" s="185">
        <f t="shared" si="184"/>
        <v>2610</v>
      </c>
      <c r="AN120" s="712"/>
      <c r="AO120" s="714"/>
      <c r="AP120" s="712"/>
      <c r="AQ120" s="185"/>
      <c r="AR120" s="185"/>
    </row>
    <row r="121" spans="1:44">
      <c r="A121" s="185">
        <v>3</v>
      </c>
      <c r="B121" s="315" t="s">
        <v>158</v>
      </c>
      <c r="C121" s="185">
        <f>C122*8</f>
        <v>440</v>
      </c>
      <c r="D121" s="185">
        <v>1</v>
      </c>
      <c r="E121" s="185">
        <v>1</v>
      </c>
      <c r="F121" s="185">
        <v>1</v>
      </c>
      <c r="G121" s="185">
        <v>1</v>
      </c>
      <c r="H121" s="185">
        <v>1</v>
      </c>
      <c r="I121" s="185">
        <v>1</v>
      </c>
      <c r="J121" s="314">
        <v>1</v>
      </c>
      <c r="K121" s="185">
        <v>1</v>
      </c>
      <c r="L121" s="185">
        <v>1</v>
      </c>
      <c r="M121" s="185">
        <v>1</v>
      </c>
      <c r="N121" s="185">
        <v>1</v>
      </c>
      <c r="O121" s="185">
        <v>1</v>
      </c>
      <c r="P121" s="185">
        <v>1</v>
      </c>
      <c r="Q121" s="314"/>
      <c r="R121" s="185">
        <v>1</v>
      </c>
      <c r="S121" s="185">
        <v>1</v>
      </c>
      <c r="T121" s="185">
        <v>1</v>
      </c>
      <c r="U121" s="185">
        <v>1</v>
      </c>
      <c r="V121" s="185">
        <v>1</v>
      </c>
      <c r="W121" s="314"/>
      <c r="X121" s="314">
        <v>1</v>
      </c>
      <c r="Y121" s="185">
        <v>1</v>
      </c>
      <c r="Z121" s="185">
        <v>1</v>
      </c>
      <c r="AA121" s="185">
        <v>1</v>
      </c>
      <c r="AB121" s="185">
        <v>1</v>
      </c>
      <c r="AC121" s="185">
        <v>1</v>
      </c>
      <c r="AD121" s="185">
        <v>1</v>
      </c>
      <c r="AE121" s="314">
        <v>1</v>
      </c>
      <c r="AF121" s="185">
        <v>1</v>
      </c>
      <c r="AG121" s="185">
        <v>1</v>
      </c>
      <c r="AH121" s="185">
        <v>1</v>
      </c>
      <c r="AI121" s="185">
        <f t="shared" ref="AI121:AI134" si="192">SUM(D121:AH121)</f>
        <v>29</v>
      </c>
      <c r="AJ121" s="185">
        <v>0</v>
      </c>
      <c r="AK121" s="185">
        <v>0</v>
      </c>
      <c r="AL121" s="185">
        <f t="shared" si="191"/>
        <v>29</v>
      </c>
      <c r="AM121" s="185">
        <f t="shared" ref="AM121:AM134" si="193">AL121*C121</f>
        <v>12760</v>
      </c>
      <c r="AN121" s="711">
        <f t="shared" ref="AN121" si="194">AM121+AM122</f>
        <v>15785</v>
      </c>
      <c r="AO121" s="713">
        <v>0</v>
      </c>
      <c r="AP121" s="711">
        <f t="shared" ref="AP121" si="195">AN121-AO121</f>
        <v>15785</v>
      </c>
      <c r="AQ121" s="185"/>
      <c r="AR121" s="185"/>
    </row>
    <row r="122" spans="1:44">
      <c r="A122" s="185">
        <f>C121/8</f>
        <v>55</v>
      </c>
      <c r="B122" s="184"/>
      <c r="C122" s="185">
        <v>55</v>
      </c>
      <c r="D122" s="185">
        <v>2</v>
      </c>
      <c r="E122" s="185">
        <v>2</v>
      </c>
      <c r="F122" s="185">
        <v>2</v>
      </c>
      <c r="G122" s="185">
        <v>2</v>
      </c>
      <c r="H122" s="185">
        <v>2</v>
      </c>
      <c r="I122" s="185">
        <v>2</v>
      </c>
      <c r="J122" s="314"/>
      <c r="K122" s="185">
        <v>2</v>
      </c>
      <c r="L122" s="185">
        <v>2</v>
      </c>
      <c r="M122" s="185">
        <v>2</v>
      </c>
      <c r="N122" s="185">
        <v>2</v>
      </c>
      <c r="O122" s="185">
        <v>2</v>
      </c>
      <c r="P122" s="185">
        <v>2</v>
      </c>
      <c r="Q122" s="314"/>
      <c r="R122" s="185">
        <v>3.5</v>
      </c>
      <c r="S122" s="185">
        <v>2</v>
      </c>
      <c r="T122" s="185">
        <v>2</v>
      </c>
      <c r="U122" s="185">
        <v>2</v>
      </c>
      <c r="V122" s="185">
        <v>3.5</v>
      </c>
      <c r="W122" s="314"/>
      <c r="X122" s="314"/>
      <c r="Y122" s="185">
        <v>2</v>
      </c>
      <c r="Z122" s="185">
        <v>2</v>
      </c>
      <c r="AA122" s="185">
        <v>2</v>
      </c>
      <c r="AB122" s="185">
        <v>2</v>
      </c>
      <c r="AC122" s="185">
        <v>2</v>
      </c>
      <c r="AD122" s="185">
        <v>2</v>
      </c>
      <c r="AE122" s="314"/>
      <c r="AF122" s="185">
        <v>2</v>
      </c>
      <c r="AG122" s="185">
        <v>2</v>
      </c>
      <c r="AH122" s="185">
        <v>2</v>
      </c>
      <c r="AI122" s="185">
        <f t="shared" si="192"/>
        <v>55</v>
      </c>
      <c r="AJ122" s="185">
        <v>0</v>
      </c>
      <c r="AK122" s="185">
        <v>0</v>
      </c>
      <c r="AL122" s="185">
        <f t="shared" ref="AL122:AL134" si="196">AI122+AJ122-AK122</f>
        <v>55</v>
      </c>
      <c r="AM122" s="185">
        <f t="shared" si="193"/>
        <v>3025</v>
      </c>
      <c r="AN122" s="712"/>
      <c r="AO122" s="714"/>
      <c r="AP122" s="712"/>
      <c r="AQ122" s="185"/>
      <c r="AR122" s="185"/>
    </row>
    <row r="123" spans="1:44">
      <c r="A123" s="185">
        <v>4</v>
      </c>
      <c r="B123" s="184" t="s">
        <v>156</v>
      </c>
      <c r="C123" s="185">
        <f>C124*8</f>
        <v>520</v>
      </c>
      <c r="D123" s="185">
        <v>1</v>
      </c>
      <c r="E123" s="185">
        <v>1</v>
      </c>
      <c r="F123" s="185">
        <v>1</v>
      </c>
      <c r="G123" s="185">
        <v>1</v>
      </c>
      <c r="H123" s="221">
        <v>0</v>
      </c>
      <c r="I123" s="185">
        <v>1</v>
      </c>
      <c r="J123" s="314">
        <v>1</v>
      </c>
      <c r="K123" s="185">
        <v>1</v>
      </c>
      <c r="L123" s="185">
        <v>1</v>
      </c>
      <c r="M123" s="221">
        <v>0</v>
      </c>
      <c r="N123" s="221">
        <v>0.5</v>
      </c>
      <c r="O123" s="221">
        <v>0</v>
      </c>
      <c r="P123" s="185">
        <v>1</v>
      </c>
      <c r="Q123" s="314"/>
      <c r="R123" s="185">
        <v>1</v>
      </c>
      <c r="S123" s="185">
        <v>1</v>
      </c>
      <c r="T123" s="221">
        <v>0</v>
      </c>
      <c r="U123" s="221">
        <v>0</v>
      </c>
      <c r="V123" s="221">
        <v>0</v>
      </c>
      <c r="W123" s="314"/>
      <c r="X123" s="314"/>
      <c r="Y123" s="221">
        <v>0</v>
      </c>
      <c r="Z123" s="185">
        <v>1</v>
      </c>
      <c r="AA123" s="185">
        <v>1</v>
      </c>
      <c r="AB123" s="185">
        <v>1</v>
      </c>
      <c r="AC123" s="185">
        <v>1</v>
      </c>
      <c r="AD123" s="185">
        <v>1</v>
      </c>
      <c r="AE123" s="314"/>
      <c r="AF123" s="185">
        <v>1</v>
      </c>
      <c r="AG123" s="221">
        <v>0.5</v>
      </c>
      <c r="AH123" s="185">
        <v>1</v>
      </c>
      <c r="AI123" s="185">
        <f t="shared" si="192"/>
        <v>19</v>
      </c>
      <c r="AJ123" s="185">
        <v>0</v>
      </c>
      <c r="AK123" s="185">
        <v>0</v>
      </c>
      <c r="AL123" s="185">
        <f t="shared" si="196"/>
        <v>19</v>
      </c>
      <c r="AM123" s="185">
        <f t="shared" si="193"/>
        <v>9880</v>
      </c>
      <c r="AN123" s="711">
        <f t="shared" ref="AN123" si="197">AM123+AM124</f>
        <v>12090</v>
      </c>
      <c r="AO123" s="713">
        <v>0</v>
      </c>
      <c r="AP123" s="711">
        <f t="shared" ref="AP123" si="198">AN123-AO123</f>
        <v>12090</v>
      </c>
      <c r="AQ123" s="185"/>
      <c r="AR123" s="185"/>
    </row>
    <row r="124" spans="1:44">
      <c r="A124" s="185"/>
      <c r="B124" s="184"/>
      <c r="C124" s="185">
        <v>65</v>
      </c>
      <c r="D124" s="185">
        <v>2</v>
      </c>
      <c r="E124" s="185">
        <v>2</v>
      </c>
      <c r="F124" s="185">
        <v>2</v>
      </c>
      <c r="G124" s="185">
        <v>2</v>
      </c>
      <c r="H124" s="221">
        <v>0</v>
      </c>
      <c r="I124" s="185">
        <v>2</v>
      </c>
      <c r="J124" s="314"/>
      <c r="K124" s="185">
        <v>2</v>
      </c>
      <c r="L124" s="185">
        <v>2</v>
      </c>
      <c r="M124" s="221">
        <v>0</v>
      </c>
      <c r="N124" s="185">
        <v>0</v>
      </c>
      <c r="O124" s="221">
        <v>0</v>
      </c>
      <c r="P124" s="185">
        <v>2</v>
      </c>
      <c r="Q124" s="314"/>
      <c r="R124" s="185">
        <v>2</v>
      </c>
      <c r="S124" s="185">
        <v>2</v>
      </c>
      <c r="T124" s="221">
        <v>0</v>
      </c>
      <c r="U124" s="221">
        <v>0</v>
      </c>
      <c r="V124" s="221">
        <v>0</v>
      </c>
      <c r="W124" s="314"/>
      <c r="X124" s="314"/>
      <c r="Y124" s="221">
        <v>0</v>
      </c>
      <c r="Z124" s="185">
        <v>2</v>
      </c>
      <c r="AA124" s="185">
        <v>2</v>
      </c>
      <c r="AB124" s="185">
        <v>2</v>
      </c>
      <c r="AC124" s="185">
        <v>2</v>
      </c>
      <c r="AD124" s="185">
        <v>2</v>
      </c>
      <c r="AE124" s="314"/>
      <c r="AF124" s="185">
        <v>2</v>
      </c>
      <c r="AG124" s="185">
        <v>0</v>
      </c>
      <c r="AH124" s="185">
        <v>2</v>
      </c>
      <c r="AI124" s="185">
        <f t="shared" si="192"/>
        <v>34</v>
      </c>
      <c r="AJ124" s="185">
        <v>0</v>
      </c>
      <c r="AK124" s="185">
        <v>0</v>
      </c>
      <c r="AL124" s="185">
        <f t="shared" si="196"/>
        <v>34</v>
      </c>
      <c r="AM124" s="185">
        <f t="shared" si="193"/>
        <v>2210</v>
      </c>
      <c r="AN124" s="712"/>
      <c r="AO124" s="714"/>
      <c r="AP124" s="712"/>
      <c r="AQ124" s="185"/>
      <c r="AR124" s="185"/>
    </row>
    <row r="125" spans="1:44">
      <c r="A125" s="185">
        <v>5</v>
      </c>
      <c r="B125" s="184" t="s">
        <v>160</v>
      </c>
      <c r="C125" s="203">
        <v>400</v>
      </c>
      <c r="D125" s="185">
        <v>1</v>
      </c>
      <c r="E125" s="185">
        <v>1</v>
      </c>
      <c r="F125" s="185">
        <v>1</v>
      </c>
      <c r="G125" s="185">
        <v>1</v>
      </c>
      <c r="H125" s="185">
        <v>1</v>
      </c>
      <c r="I125" s="185">
        <v>1</v>
      </c>
      <c r="J125" s="304"/>
      <c r="K125" s="185">
        <v>1</v>
      </c>
      <c r="L125" s="185">
        <v>1</v>
      </c>
      <c r="M125" s="185">
        <v>1</v>
      </c>
      <c r="N125" s="185">
        <v>1</v>
      </c>
      <c r="O125" s="185">
        <v>1</v>
      </c>
      <c r="P125" s="221">
        <v>0.5</v>
      </c>
      <c r="Q125" s="314"/>
      <c r="R125" s="185">
        <v>1</v>
      </c>
      <c r="S125" s="185">
        <v>1</v>
      </c>
      <c r="T125" s="185">
        <v>1</v>
      </c>
      <c r="U125" s="185">
        <v>1</v>
      </c>
      <c r="V125" s="185">
        <v>1</v>
      </c>
      <c r="W125" s="314"/>
      <c r="X125" s="314">
        <v>1</v>
      </c>
      <c r="Y125" s="185">
        <v>1</v>
      </c>
      <c r="Z125" s="185">
        <v>1</v>
      </c>
      <c r="AA125" s="185">
        <v>1</v>
      </c>
      <c r="AB125" s="185">
        <v>1</v>
      </c>
      <c r="AC125" s="316">
        <v>1</v>
      </c>
      <c r="AD125" s="185">
        <v>1</v>
      </c>
      <c r="AE125" s="314">
        <v>1</v>
      </c>
      <c r="AF125" s="185">
        <v>1</v>
      </c>
      <c r="AG125" s="185">
        <v>1</v>
      </c>
      <c r="AH125" s="185">
        <v>1</v>
      </c>
      <c r="AI125" s="185">
        <f t="shared" si="192"/>
        <v>27.5</v>
      </c>
      <c r="AJ125" s="185">
        <v>0</v>
      </c>
      <c r="AK125" s="185">
        <v>0</v>
      </c>
      <c r="AL125" s="185">
        <f t="shared" si="196"/>
        <v>27.5</v>
      </c>
      <c r="AM125" s="185">
        <f t="shared" si="193"/>
        <v>11000</v>
      </c>
      <c r="AN125" s="711">
        <f t="shared" ref="AN125" si="199">AM125+AM126</f>
        <v>13650</v>
      </c>
      <c r="AO125" s="713">
        <v>0</v>
      </c>
      <c r="AP125" s="711">
        <f t="shared" ref="AP125" si="200">AN125-AO125</f>
        <v>13650</v>
      </c>
      <c r="AQ125" s="185"/>
      <c r="AR125" s="185"/>
    </row>
    <row r="126" spans="1:44">
      <c r="A126" s="184"/>
      <c r="B126" s="184"/>
      <c r="C126" s="203">
        <v>50</v>
      </c>
      <c r="D126" s="185">
        <v>2</v>
      </c>
      <c r="E126" s="185">
        <v>2</v>
      </c>
      <c r="F126" s="185">
        <v>2</v>
      </c>
      <c r="G126" s="185">
        <v>2</v>
      </c>
      <c r="H126" s="185">
        <v>2</v>
      </c>
      <c r="I126" s="185">
        <v>2</v>
      </c>
      <c r="J126" s="304"/>
      <c r="K126" s="185">
        <v>2</v>
      </c>
      <c r="L126" s="185">
        <v>2</v>
      </c>
      <c r="M126" s="185">
        <v>2</v>
      </c>
      <c r="N126" s="185">
        <v>2</v>
      </c>
      <c r="O126" s="185">
        <v>2</v>
      </c>
      <c r="P126" s="185">
        <v>0</v>
      </c>
      <c r="Q126" s="314"/>
      <c r="R126" s="185">
        <v>3.5</v>
      </c>
      <c r="S126" s="185">
        <v>2</v>
      </c>
      <c r="T126" s="185">
        <v>2</v>
      </c>
      <c r="U126" s="185">
        <v>2</v>
      </c>
      <c r="V126" s="185">
        <v>3.5</v>
      </c>
      <c r="W126" s="314"/>
      <c r="X126" s="314"/>
      <c r="Y126" s="185">
        <v>2</v>
      </c>
      <c r="Z126" s="185">
        <v>2</v>
      </c>
      <c r="AA126" s="185">
        <v>2</v>
      </c>
      <c r="AB126" s="185">
        <v>2</v>
      </c>
      <c r="AC126" s="316">
        <v>2</v>
      </c>
      <c r="AD126" s="185">
        <v>2</v>
      </c>
      <c r="AE126" s="314"/>
      <c r="AF126" s="185">
        <v>2</v>
      </c>
      <c r="AG126" s="185">
        <v>2</v>
      </c>
      <c r="AH126" s="185">
        <v>2</v>
      </c>
      <c r="AI126" s="185">
        <f t="shared" si="192"/>
        <v>53</v>
      </c>
      <c r="AJ126" s="185">
        <v>0</v>
      </c>
      <c r="AK126" s="185">
        <v>0</v>
      </c>
      <c r="AL126" s="185">
        <f t="shared" si="196"/>
        <v>53</v>
      </c>
      <c r="AM126" s="185">
        <f t="shared" si="193"/>
        <v>2650</v>
      </c>
      <c r="AN126" s="712"/>
      <c r="AO126" s="714"/>
      <c r="AP126" s="712"/>
      <c r="AQ126" s="185"/>
      <c r="AR126" s="185"/>
    </row>
    <row r="127" spans="1:44">
      <c r="A127" s="185">
        <v>6</v>
      </c>
      <c r="B127" s="184" t="s">
        <v>161</v>
      </c>
      <c r="C127" s="185">
        <f t="shared" ref="C127" si="201">C128*8</f>
        <v>440</v>
      </c>
      <c r="D127" s="185">
        <v>1</v>
      </c>
      <c r="E127" s="221">
        <v>0</v>
      </c>
      <c r="F127" s="185">
        <v>1</v>
      </c>
      <c r="G127" s="185">
        <v>1</v>
      </c>
      <c r="H127" s="185">
        <v>1</v>
      </c>
      <c r="I127" s="185">
        <v>1</v>
      </c>
      <c r="J127" s="314">
        <v>1</v>
      </c>
      <c r="K127" s="185">
        <v>1</v>
      </c>
      <c r="L127" s="185">
        <v>1</v>
      </c>
      <c r="M127" s="185">
        <v>1</v>
      </c>
      <c r="N127" s="185">
        <v>1</v>
      </c>
      <c r="O127" s="185">
        <v>1</v>
      </c>
      <c r="P127" s="185">
        <v>1</v>
      </c>
      <c r="Q127" s="314"/>
      <c r="R127" s="185">
        <v>1</v>
      </c>
      <c r="S127" s="185">
        <v>1</v>
      </c>
      <c r="T127" s="185">
        <v>1</v>
      </c>
      <c r="U127" s="185">
        <v>1</v>
      </c>
      <c r="V127" s="185">
        <v>1</v>
      </c>
      <c r="W127" s="314"/>
      <c r="X127" s="314">
        <v>1</v>
      </c>
      <c r="Y127" s="221">
        <v>0</v>
      </c>
      <c r="Z127" s="185">
        <v>1</v>
      </c>
      <c r="AA127" s="221">
        <v>0</v>
      </c>
      <c r="AB127" s="185">
        <v>1</v>
      </c>
      <c r="AC127" s="185">
        <v>1</v>
      </c>
      <c r="AD127" s="185">
        <v>1</v>
      </c>
      <c r="AE127" s="314">
        <v>1</v>
      </c>
      <c r="AF127" s="185">
        <v>1</v>
      </c>
      <c r="AG127" s="185">
        <v>1</v>
      </c>
      <c r="AH127" s="185">
        <v>1</v>
      </c>
      <c r="AI127" s="185">
        <f t="shared" si="192"/>
        <v>26</v>
      </c>
      <c r="AJ127" s="185">
        <v>0</v>
      </c>
      <c r="AK127" s="185">
        <v>0</v>
      </c>
      <c r="AL127" s="185">
        <f t="shared" si="196"/>
        <v>26</v>
      </c>
      <c r="AM127" s="185">
        <f t="shared" si="193"/>
        <v>11440</v>
      </c>
      <c r="AN127" s="711">
        <f t="shared" ref="AN127" si="202">AM127+AM128</f>
        <v>14135</v>
      </c>
      <c r="AO127" s="713">
        <v>0</v>
      </c>
      <c r="AP127" s="711">
        <f t="shared" ref="AP127" si="203">AN127-AO127</f>
        <v>14135</v>
      </c>
      <c r="AQ127" s="185"/>
      <c r="AR127" s="185"/>
    </row>
    <row r="128" spans="1:44">
      <c r="A128" s="184"/>
      <c r="B128" s="184"/>
      <c r="C128" s="185">
        <v>55</v>
      </c>
      <c r="D128" s="185">
        <v>2</v>
      </c>
      <c r="E128" s="221">
        <v>0</v>
      </c>
      <c r="F128" s="185">
        <v>2</v>
      </c>
      <c r="G128" s="185">
        <v>2</v>
      </c>
      <c r="H128" s="185">
        <v>2</v>
      </c>
      <c r="I128" s="185">
        <v>2</v>
      </c>
      <c r="J128" s="314"/>
      <c r="K128" s="185">
        <v>2</v>
      </c>
      <c r="L128" s="185">
        <v>2</v>
      </c>
      <c r="M128" s="185">
        <v>2</v>
      </c>
      <c r="N128" s="185">
        <v>2</v>
      </c>
      <c r="O128" s="185">
        <v>2</v>
      </c>
      <c r="P128" s="185">
        <v>2</v>
      </c>
      <c r="Q128" s="314"/>
      <c r="R128" s="185">
        <v>3.5</v>
      </c>
      <c r="S128" s="185">
        <v>2</v>
      </c>
      <c r="T128" s="185">
        <v>2</v>
      </c>
      <c r="U128" s="185">
        <v>2</v>
      </c>
      <c r="V128" s="185">
        <v>3.5</v>
      </c>
      <c r="W128" s="314"/>
      <c r="X128" s="314"/>
      <c r="Y128" s="221">
        <v>0</v>
      </c>
      <c r="Z128" s="185">
        <v>2</v>
      </c>
      <c r="AA128" s="221">
        <v>0</v>
      </c>
      <c r="AB128" s="185">
        <v>2</v>
      </c>
      <c r="AC128" s="185">
        <v>2</v>
      </c>
      <c r="AD128" s="185">
        <v>2</v>
      </c>
      <c r="AE128" s="314"/>
      <c r="AF128" s="185">
        <v>2</v>
      </c>
      <c r="AG128" s="185">
        <v>2</v>
      </c>
      <c r="AH128" s="185">
        <v>2</v>
      </c>
      <c r="AI128" s="185">
        <f t="shared" si="192"/>
        <v>49</v>
      </c>
      <c r="AJ128" s="185">
        <v>0</v>
      </c>
      <c r="AK128" s="185">
        <v>0</v>
      </c>
      <c r="AL128" s="185">
        <f t="shared" si="196"/>
        <v>49</v>
      </c>
      <c r="AM128" s="185">
        <f t="shared" si="193"/>
        <v>2695</v>
      </c>
      <c r="AN128" s="712"/>
      <c r="AO128" s="714"/>
      <c r="AP128" s="712"/>
      <c r="AQ128" s="185"/>
      <c r="AR128" s="185"/>
    </row>
    <row r="129" spans="1:44">
      <c r="A129" s="185">
        <v>7</v>
      </c>
      <c r="B129" s="184" t="s">
        <v>162</v>
      </c>
      <c r="C129" s="185">
        <f t="shared" ref="C129" si="204">C130*8</f>
        <v>440</v>
      </c>
      <c r="D129" s="185">
        <v>1</v>
      </c>
      <c r="E129" s="221">
        <v>0</v>
      </c>
      <c r="F129" s="185">
        <v>1</v>
      </c>
      <c r="G129" s="185">
        <v>1</v>
      </c>
      <c r="H129" s="185">
        <v>1</v>
      </c>
      <c r="I129" s="185">
        <v>1</v>
      </c>
      <c r="J129" s="314">
        <v>1</v>
      </c>
      <c r="K129" s="185">
        <v>1</v>
      </c>
      <c r="L129" s="185">
        <v>1</v>
      </c>
      <c r="M129" s="185">
        <v>1</v>
      </c>
      <c r="N129" s="185">
        <v>1</v>
      </c>
      <c r="O129" s="185">
        <v>1</v>
      </c>
      <c r="P129" s="185">
        <v>1</v>
      </c>
      <c r="Q129" s="314"/>
      <c r="R129" s="185">
        <v>1</v>
      </c>
      <c r="S129" s="185">
        <v>1</v>
      </c>
      <c r="T129" s="185">
        <v>1</v>
      </c>
      <c r="U129" s="185">
        <v>1</v>
      </c>
      <c r="V129" s="185">
        <v>1</v>
      </c>
      <c r="W129" s="314"/>
      <c r="X129" s="314">
        <v>1</v>
      </c>
      <c r="Y129" s="221">
        <v>0</v>
      </c>
      <c r="Z129" s="185">
        <v>1</v>
      </c>
      <c r="AA129" s="185">
        <v>1</v>
      </c>
      <c r="AB129" s="185">
        <v>1</v>
      </c>
      <c r="AC129" s="185">
        <v>1</v>
      </c>
      <c r="AD129" s="185">
        <v>1</v>
      </c>
      <c r="AE129" s="314">
        <v>1</v>
      </c>
      <c r="AF129" s="185">
        <v>1</v>
      </c>
      <c r="AG129" s="185">
        <v>1</v>
      </c>
      <c r="AH129" s="185">
        <v>1</v>
      </c>
      <c r="AI129" s="185">
        <f t="shared" si="192"/>
        <v>27</v>
      </c>
      <c r="AJ129" s="185">
        <v>0</v>
      </c>
      <c r="AK129" s="185">
        <v>0</v>
      </c>
      <c r="AL129" s="185">
        <f t="shared" si="196"/>
        <v>27</v>
      </c>
      <c r="AM129" s="185">
        <f t="shared" si="193"/>
        <v>11880</v>
      </c>
      <c r="AN129" s="711">
        <f t="shared" ref="AN129" si="205">AM129+AM130</f>
        <v>14685</v>
      </c>
      <c r="AO129" s="713">
        <v>0</v>
      </c>
      <c r="AP129" s="711">
        <f t="shared" ref="AP129" si="206">AN129-AO129</f>
        <v>14685</v>
      </c>
      <c r="AQ129" s="185"/>
      <c r="AR129" s="185"/>
    </row>
    <row r="130" spans="1:44">
      <c r="A130" s="184"/>
      <c r="B130" s="184"/>
      <c r="C130" s="185">
        <v>55</v>
      </c>
      <c r="D130" s="185">
        <v>2</v>
      </c>
      <c r="E130" s="221">
        <v>0</v>
      </c>
      <c r="F130" s="185">
        <v>2</v>
      </c>
      <c r="G130" s="185">
        <v>2</v>
      </c>
      <c r="H130" s="185">
        <v>2</v>
      </c>
      <c r="I130" s="185">
        <v>2</v>
      </c>
      <c r="J130" s="314"/>
      <c r="K130" s="185">
        <v>2</v>
      </c>
      <c r="L130" s="185">
        <v>2</v>
      </c>
      <c r="M130" s="185">
        <v>2</v>
      </c>
      <c r="N130" s="185">
        <v>2</v>
      </c>
      <c r="O130" s="185">
        <v>2</v>
      </c>
      <c r="P130" s="185">
        <v>2</v>
      </c>
      <c r="Q130" s="314"/>
      <c r="R130" s="185">
        <v>3.5</v>
      </c>
      <c r="S130" s="185">
        <v>2</v>
      </c>
      <c r="T130" s="185">
        <v>2</v>
      </c>
      <c r="U130" s="185">
        <v>2</v>
      </c>
      <c r="V130" s="185">
        <v>3.5</v>
      </c>
      <c r="W130" s="314"/>
      <c r="X130" s="314"/>
      <c r="Y130" s="221">
        <v>0</v>
      </c>
      <c r="Z130" s="185">
        <v>2</v>
      </c>
      <c r="AA130" s="185">
        <v>2</v>
      </c>
      <c r="AB130" s="185">
        <v>2</v>
      </c>
      <c r="AC130" s="185">
        <v>2</v>
      </c>
      <c r="AD130" s="185">
        <v>2</v>
      </c>
      <c r="AE130" s="314"/>
      <c r="AF130" s="185">
        <v>2</v>
      </c>
      <c r="AG130" s="185">
        <v>2</v>
      </c>
      <c r="AH130" s="185">
        <v>2</v>
      </c>
      <c r="AI130" s="185">
        <f t="shared" si="192"/>
        <v>51</v>
      </c>
      <c r="AJ130" s="185">
        <v>0</v>
      </c>
      <c r="AK130" s="185">
        <v>0</v>
      </c>
      <c r="AL130" s="185">
        <f t="shared" si="196"/>
        <v>51</v>
      </c>
      <c r="AM130" s="185">
        <f t="shared" si="193"/>
        <v>2805</v>
      </c>
      <c r="AN130" s="712"/>
      <c r="AO130" s="714"/>
      <c r="AP130" s="712"/>
      <c r="AQ130" s="185"/>
      <c r="AR130" s="185"/>
    </row>
    <row r="131" spans="1:44">
      <c r="A131" s="185">
        <v>8</v>
      </c>
      <c r="B131" s="184" t="s">
        <v>163</v>
      </c>
      <c r="C131" s="185">
        <f t="shared" ref="C131" si="207">C132*8</f>
        <v>440</v>
      </c>
      <c r="D131" s="185">
        <v>1</v>
      </c>
      <c r="E131" s="221">
        <v>0</v>
      </c>
      <c r="F131" s="185">
        <v>1</v>
      </c>
      <c r="G131" s="185">
        <v>1</v>
      </c>
      <c r="H131" s="185">
        <v>1</v>
      </c>
      <c r="I131" s="185">
        <v>1</v>
      </c>
      <c r="J131" s="314">
        <v>1</v>
      </c>
      <c r="K131" s="185">
        <v>1</v>
      </c>
      <c r="L131" s="185">
        <v>1</v>
      </c>
      <c r="M131" s="185">
        <v>1</v>
      </c>
      <c r="N131" s="185">
        <v>1</v>
      </c>
      <c r="O131" s="185">
        <v>1</v>
      </c>
      <c r="P131" s="185">
        <v>1</v>
      </c>
      <c r="Q131" s="314"/>
      <c r="R131" s="221">
        <v>0</v>
      </c>
      <c r="S131" s="185">
        <v>1</v>
      </c>
      <c r="T131" s="185">
        <v>1</v>
      </c>
      <c r="U131" s="221">
        <v>0</v>
      </c>
      <c r="V131" s="221">
        <v>0</v>
      </c>
      <c r="W131" s="314"/>
      <c r="X131" s="314"/>
      <c r="Y131" s="185">
        <v>1</v>
      </c>
      <c r="Z131" s="185">
        <v>1</v>
      </c>
      <c r="AA131" s="221">
        <v>0</v>
      </c>
      <c r="AB131" s="185">
        <v>1</v>
      </c>
      <c r="AC131" s="185">
        <v>1</v>
      </c>
      <c r="AD131" s="185">
        <v>1</v>
      </c>
      <c r="AE131" s="314">
        <v>1</v>
      </c>
      <c r="AF131" s="185">
        <v>1</v>
      </c>
      <c r="AG131" s="185">
        <v>1</v>
      </c>
      <c r="AH131" s="185">
        <v>1</v>
      </c>
      <c r="AI131" s="185">
        <f t="shared" si="192"/>
        <v>23</v>
      </c>
      <c r="AJ131" s="185">
        <v>0</v>
      </c>
      <c r="AK131" s="185">
        <v>0</v>
      </c>
      <c r="AL131" s="185">
        <f t="shared" si="196"/>
        <v>23</v>
      </c>
      <c r="AM131" s="185">
        <f t="shared" si="193"/>
        <v>10120</v>
      </c>
      <c r="AN131" s="711">
        <f t="shared" ref="AN131" si="208">AM131+AM132</f>
        <v>12430</v>
      </c>
      <c r="AO131" s="713">
        <v>0</v>
      </c>
      <c r="AP131" s="711">
        <f t="shared" ref="AP131" si="209">AN131-AO131</f>
        <v>12430</v>
      </c>
      <c r="AQ131" s="185"/>
      <c r="AR131" s="185"/>
    </row>
    <row r="132" spans="1:44">
      <c r="A132" s="184"/>
      <c r="B132" s="184"/>
      <c r="C132" s="185">
        <v>55</v>
      </c>
      <c r="D132" s="185">
        <v>2</v>
      </c>
      <c r="E132" s="221">
        <v>0</v>
      </c>
      <c r="F132" s="185">
        <v>2</v>
      </c>
      <c r="G132" s="185">
        <v>2</v>
      </c>
      <c r="H132" s="185">
        <v>2</v>
      </c>
      <c r="I132" s="185">
        <v>2</v>
      </c>
      <c r="J132" s="314"/>
      <c r="K132" s="185">
        <v>2</v>
      </c>
      <c r="L132" s="185">
        <v>2</v>
      </c>
      <c r="M132" s="185">
        <v>2</v>
      </c>
      <c r="N132" s="185">
        <v>2</v>
      </c>
      <c r="O132" s="185">
        <v>2</v>
      </c>
      <c r="P132" s="185">
        <v>2</v>
      </c>
      <c r="Q132" s="314"/>
      <c r="R132" s="221">
        <v>0</v>
      </c>
      <c r="S132" s="185">
        <v>2</v>
      </c>
      <c r="T132" s="185">
        <v>2</v>
      </c>
      <c r="U132" s="221">
        <v>0</v>
      </c>
      <c r="V132" s="221">
        <v>0</v>
      </c>
      <c r="W132" s="314"/>
      <c r="X132" s="314"/>
      <c r="Y132" s="185">
        <v>2</v>
      </c>
      <c r="Z132" s="185">
        <v>2</v>
      </c>
      <c r="AA132" s="221">
        <v>0</v>
      </c>
      <c r="AB132" s="185">
        <v>2</v>
      </c>
      <c r="AC132" s="185">
        <v>2</v>
      </c>
      <c r="AD132" s="185">
        <v>2</v>
      </c>
      <c r="AE132" s="314"/>
      <c r="AF132" s="185">
        <v>2</v>
      </c>
      <c r="AG132" s="185">
        <v>2</v>
      </c>
      <c r="AH132" s="185">
        <v>2</v>
      </c>
      <c r="AI132" s="185">
        <f t="shared" si="192"/>
        <v>42</v>
      </c>
      <c r="AJ132" s="185">
        <v>0</v>
      </c>
      <c r="AK132" s="185">
        <v>0</v>
      </c>
      <c r="AL132" s="185">
        <f t="shared" si="196"/>
        <v>42</v>
      </c>
      <c r="AM132" s="185">
        <f t="shared" si="193"/>
        <v>2310</v>
      </c>
      <c r="AN132" s="712"/>
      <c r="AO132" s="714"/>
      <c r="AP132" s="712"/>
      <c r="AQ132" s="185"/>
      <c r="AR132" s="185"/>
    </row>
    <row r="133" spans="1:44">
      <c r="A133" s="185">
        <v>9</v>
      </c>
      <c r="B133" s="184" t="s">
        <v>164</v>
      </c>
      <c r="C133" s="203">
        <v>400</v>
      </c>
      <c r="D133" s="221">
        <v>0</v>
      </c>
      <c r="E133" s="221">
        <v>0</v>
      </c>
      <c r="F133" s="221">
        <v>0</v>
      </c>
      <c r="G133" s="185">
        <v>1</v>
      </c>
      <c r="H133" s="185">
        <v>1</v>
      </c>
      <c r="I133" s="185">
        <v>1</v>
      </c>
      <c r="J133" s="314">
        <v>1</v>
      </c>
      <c r="K133" s="185">
        <v>1</v>
      </c>
      <c r="L133" s="185">
        <v>1</v>
      </c>
      <c r="M133" s="185">
        <v>1</v>
      </c>
      <c r="N133" s="185">
        <v>1</v>
      </c>
      <c r="O133" s="221">
        <v>0.5</v>
      </c>
      <c r="P133" s="185">
        <v>1</v>
      </c>
      <c r="Q133" s="314"/>
      <c r="R133" s="185">
        <v>1</v>
      </c>
      <c r="S133" s="185">
        <v>1</v>
      </c>
      <c r="T133" s="185">
        <v>1</v>
      </c>
      <c r="U133" s="185">
        <v>1</v>
      </c>
      <c r="V133" s="185">
        <v>1</v>
      </c>
      <c r="W133" s="314"/>
      <c r="X133" s="314">
        <v>1</v>
      </c>
      <c r="Y133" s="185">
        <v>1</v>
      </c>
      <c r="Z133" s="185">
        <v>1</v>
      </c>
      <c r="AA133" s="185">
        <v>1</v>
      </c>
      <c r="AB133" s="185">
        <v>1</v>
      </c>
      <c r="AC133" s="185">
        <v>1</v>
      </c>
      <c r="AD133" s="185">
        <v>1</v>
      </c>
      <c r="AE133" s="314">
        <v>1</v>
      </c>
      <c r="AF133" s="185">
        <v>1</v>
      </c>
      <c r="AG133" s="185">
        <v>1</v>
      </c>
      <c r="AH133" s="185">
        <v>1</v>
      </c>
      <c r="AI133" s="185">
        <f t="shared" si="192"/>
        <v>25.5</v>
      </c>
      <c r="AJ133" s="185">
        <v>4</v>
      </c>
      <c r="AK133" s="185">
        <v>0</v>
      </c>
      <c r="AL133" s="185">
        <f t="shared" si="196"/>
        <v>29.5</v>
      </c>
      <c r="AM133" s="185">
        <f t="shared" si="193"/>
        <v>11800</v>
      </c>
      <c r="AN133" s="711">
        <f t="shared" ref="AN133" si="210">AM133+AM134</f>
        <v>14150</v>
      </c>
      <c r="AO133" s="713">
        <v>0</v>
      </c>
      <c r="AP133" s="711">
        <f t="shared" ref="AP133" si="211">AN133-AO133</f>
        <v>14150</v>
      </c>
      <c r="AQ133" s="185"/>
      <c r="AR133" s="185"/>
    </row>
    <row r="134" spans="1:44">
      <c r="A134" s="184"/>
      <c r="B134" s="184"/>
      <c r="C134" s="203">
        <v>50</v>
      </c>
      <c r="D134" s="221">
        <v>0</v>
      </c>
      <c r="E134" s="221">
        <v>0</v>
      </c>
      <c r="F134" s="221">
        <v>0</v>
      </c>
      <c r="G134" s="185">
        <v>2</v>
      </c>
      <c r="H134" s="185">
        <v>2</v>
      </c>
      <c r="I134" s="185">
        <v>2</v>
      </c>
      <c r="J134" s="314"/>
      <c r="K134" s="185">
        <v>2</v>
      </c>
      <c r="L134" s="185">
        <v>2</v>
      </c>
      <c r="M134" s="185">
        <v>2</v>
      </c>
      <c r="N134" s="185">
        <v>2</v>
      </c>
      <c r="O134" s="185">
        <v>0</v>
      </c>
      <c r="P134" s="185">
        <v>2</v>
      </c>
      <c r="Q134" s="314"/>
      <c r="R134" s="185">
        <v>3.5</v>
      </c>
      <c r="S134" s="185">
        <v>2</v>
      </c>
      <c r="T134" s="185">
        <v>2</v>
      </c>
      <c r="U134" s="185">
        <v>2</v>
      </c>
      <c r="V134" s="185">
        <v>3.5</v>
      </c>
      <c r="W134" s="314"/>
      <c r="X134" s="314"/>
      <c r="Y134" s="185">
        <v>2</v>
      </c>
      <c r="Z134" s="185">
        <v>2</v>
      </c>
      <c r="AA134" s="185">
        <v>2</v>
      </c>
      <c r="AB134" s="185">
        <v>2</v>
      </c>
      <c r="AC134" s="185">
        <v>2</v>
      </c>
      <c r="AD134" s="185">
        <v>2</v>
      </c>
      <c r="AE134" s="314"/>
      <c r="AF134" s="185">
        <v>2</v>
      </c>
      <c r="AG134" s="185">
        <v>2</v>
      </c>
      <c r="AH134" s="185">
        <v>2</v>
      </c>
      <c r="AI134" s="185">
        <f t="shared" si="192"/>
        <v>47</v>
      </c>
      <c r="AJ134" s="185">
        <v>0</v>
      </c>
      <c r="AK134" s="185">
        <v>0</v>
      </c>
      <c r="AL134" s="185">
        <f t="shared" si="196"/>
        <v>47</v>
      </c>
      <c r="AM134" s="185">
        <f t="shared" si="193"/>
        <v>2350</v>
      </c>
      <c r="AN134" s="712"/>
      <c r="AO134" s="714"/>
      <c r="AP134" s="712"/>
      <c r="AQ134" s="185"/>
      <c r="AR134" s="185"/>
    </row>
    <row r="135" spans="1:44">
      <c r="A135" s="767" t="s">
        <v>103</v>
      </c>
      <c r="B135" s="768"/>
      <c r="C135" s="291"/>
      <c r="D135" s="291">
        <f>D117+D121+D123+D125+D127+D129+D119+D131+D133</f>
        <v>8</v>
      </c>
      <c r="E135" s="291">
        <f t="shared" ref="E135:AH135" si="212">E117+E121+E123+E125+E127+E129+E119+E131+E133</f>
        <v>5</v>
      </c>
      <c r="F135" s="291">
        <f t="shared" si="212"/>
        <v>8</v>
      </c>
      <c r="G135" s="291">
        <f t="shared" si="212"/>
        <v>9</v>
      </c>
      <c r="H135" s="291">
        <f t="shared" si="212"/>
        <v>7</v>
      </c>
      <c r="I135" s="291">
        <f t="shared" si="212"/>
        <v>8</v>
      </c>
      <c r="J135" s="291">
        <f t="shared" si="212"/>
        <v>7</v>
      </c>
      <c r="K135" s="291">
        <f t="shared" si="212"/>
        <v>8</v>
      </c>
      <c r="L135" s="291">
        <f t="shared" si="212"/>
        <v>9</v>
      </c>
      <c r="M135" s="291">
        <f t="shared" si="212"/>
        <v>8</v>
      </c>
      <c r="N135" s="291">
        <f t="shared" si="212"/>
        <v>8.5</v>
      </c>
      <c r="O135" s="291">
        <f t="shared" si="212"/>
        <v>7.5</v>
      </c>
      <c r="P135" s="291">
        <f t="shared" si="212"/>
        <v>8.5</v>
      </c>
      <c r="Q135" s="291">
        <f t="shared" si="212"/>
        <v>0</v>
      </c>
      <c r="R135" s="291">
        <f t="shared" si="212"/>
        <v>6</v>
      </c>
      <c r="S135" s="291">
        <f t="shared" si="212"/>
        <v>9</v>
      </c>
      <c r="T135" s="291">
        <f t="shared" si="212"/>
        <v>8</v>
      </c>
      <c r="U135" s="291">
        <f t="shared" si="212"/>
        <v>7</v>
      </c>
      <c r="V135" s="291">
        <f t="shared" si="212"/>
        <v>7</v>
      </c>
      <c r="W135" s="291">
        <f t="shared" si="212"/>
        <v>0</v>
      </c>
      <c r="X135" s="291">
        <f t="shared" si="212"/>
        <v>6</v>
      </c>
      <c r="Y135" s="291">
        <f t="shared" si="212"/>
        <v>6</v>
      </c>
      <c r="Z135" s="291">
        <f t="shared" si="212"/>
        <v>9</v>
      </c>
      <c r="AA135" s="291">
        <f t="shared" si="212"/>
        <v>6</v>
      </c>
      <c r="AB135" s="291">
        <f t="shared" si="212"/>
        <v>9</v>
      </c>
      <c r="AC135" s="291">
        <f t="shared" si="212"/>
        <v>9</v>
      </c>
      <c r="AD135" s="291">
        <f t="shared" si="212"/>
        <v>9</v>
      </c>
      <c r="AE135" s="291">
        <f t="shared" si="212"/>
        <v>8</v>
      </c>
      <c r="AF135" s="291">
        <f t="shared" si="212"/>
        <v>9</v>
      </c>
      <c r="AG135" s="291">
        <f t="shared" si="212"/>
        <v>8.5</v>
      </c>
      <c r="AH135" s="291">
        <f t="shared" si="212"/>
        <v>9</v>
      </c>
      <c r="AI135" s="291">
        <f t="shared" ref="AI135" si="213">AI117+AI121+AI123+AI125+AI127+AI129+AI119+AI131+AI133</f>
        <v>227</v>
      </c>
      <c r="AJ135" s="291">
        <f t="shared" ref="AJ135:AR135" si="214">AJ117+AJ121+AJ123+AJ125+AJ127+AJ129+AJ119</f>
        <v>0</v>
      </c>
      <c r="AK135" s="291">
        <f t="shared" si="214"/>
        <v>0</v>
      </c>
      <c r="AL135" s="291">
        <f t="shared" ref="AL135" si="215">AL117+AL121+AL123+AL125+AL127+AL129+AL119+AL131+AL133</f>
        <v>231</v>
      </c>
      <c r="AM135" s="291">
        <f t="shared" si="214"/>
        <v>80960</v>
      </c>
      <c r="AN135" s="291">
        <f>AN117+AN121+AN123+AN125+AN127+AN129+AN119+AN131+AN133</f>
        <v>126745</v>
      </c>
      <c r="AO135" s="291">
        <f t="shared" si="214"/>
        <v>0</v>
      </c>
      <c r="AP135" s="303">
        <f>AP117+AP121+AP123+AP125+AP127+AP129+AP119+AP131+AP133</f>
        <v>126745</v>
      </c>
      <c r="AQ135" s="291">
        <f t="shared" si="214"/>
        <v>0</v>
      </c>
      <c r="AR135" s="291">
        <f t="shared" si="214"/>
        <v>0</v>
      </c>
    </row>
    <row r="136" spans="1:44">
      <c r="A136" s="769" t="s">
        <v>106</v>
      </c>
      <c r="B136" s="770"/>
      <c r="C136" s="292"/>
      <c r="D136" s="292">
        <f>D118+D120+D122+D124+D126++D128+D130+D132+D134</f>
        <v>16</v>
      </c>
      <c r="E136" s="292">
        <f t="shared" ref="E136:AH136" si="216">E118+E120+E122+E124+E126++E128+E130+E132+E134</f>
        <v>10</v>
      </c>
      <c r="F136" s="292">
        <f t="shared" si="216"/>
        <v>16</v>
      </c>
      <c r="G136" s="292">
        <f t="shared" si="216"/>
        <v>18</v>
      </c>
      <c r="H136" s="292">
        <f t="shared" si="216"/>
        <v>14</v>
      </c>
      <c r="I136" s="292">
        <f t="shared" si="216"/>
        <v>16</v>
      </c>
      <c r="J136" s="292">
        <f t="shared" si="216"/>
        <v>0</v>
      </c>
      <c r="K136" s="292">
        <f t="shared" si="216"/>
        <v>16</v>
      </c>
      <c r="L136" s="292">
        <f t="shared" si="216"/>
        <v>18</v>
      </c>
      <c r="M136" s="292">
        <f t="shared" si="216"/>
        <v>16</v>
      </c>
      <c r="N136" s="292">
        <f t="shared" si="216"/>
        <v>16</v>
      </c>
      <c r="O136" s="292">
        <f t="shared" si="216"/>
        <v>14</v>
      </c>
      <c r="P136" s="292">
        <f t="shared" si="216"/>
        <v>16</v>
      </c>
      <c r="Q136" s="292">
        <f t="shared" si="216"/>
        <v>0</v>
      </c>
      <c r="R136" s="292">
        <f t="shared" si="216"/>
        <v>19.5</v>
      </c>
      <c r="S136" s="292">
        <f t="shared" si="216"/>
        <v>18</v>
      </c>
      <c r="T136" s="292">
        <f t="shared" si="216"/>
        <v>16</v>
      </c>
      <c r="U136" s="292">
        <f t="shared" si="216"/>
        <v>14</v>
      </c>
      <c r="V136" s="292">
        <f t="shared" si="216"/>
        <v>24.5</v>
      </c>
      <c r="W136" s="292">
        <f t="shared" si="216"/>
        <v>0</v>
      </c>
      <c r="X136" s="292">
        <f t="shared" si="216"/>
        <v>2</v>
      </c>
      <c r="Y136" s="292">
        <f t="shared" si="216"/>
        <v>12</v>
      </c>
      <c r="Z136" s="292">
        <f t="shared" si="216"/>
        <v>18</v>
      </c>
      <c r="AA136" s="292">
        <f t="shared" si="216"/>
        <v>12</v>
      </c>
      <c r="AB136" s="292">
        <f t="shared" si="216"/>
        <v>18</v>
      </c>
      <c r="AC136" s="292">
        <f t="shared" si="216"/>
        <v>18</v>
      </c>
      <c r="AD136" s="292">
        <f t="shared" si="216"/>
        <v>18</v>
      </c>
      <c r="AE136" s="292">
        <f t="shared" si="216"/>
        <v>0</v>
      </c>
      <c r="AF136" s="292">
        <f t="shared" si="216"/>
        <v>18</v>
      </c>
      <c r="AG136" s="292">
        <f t="shared" si="216"/>
        <v>16</v>
      </c>
      <c r="AH136" s="292">
        <f t="shared" si="216"/>
        <v>18</v>
      </c>
      <c r="AI136" s="292">
        <f t="shared" ref="AI136" si="217">AI118+AI120+AI122+AI124+AI126++AI128+AI130+AI132+AI134</f>
        <v>428</v>
      </c>
      <c r="AJ136" s="292">
        <f t="shared" ref="AJ136:AR136" si="218">AJ118+AJ120+AJ122+AJ124+AJ126++AJ128+AJ130</f>
        <v>0</v>
      </c>
      <c r="AK136" s="292">
        <f t="shared" si="218"/>
        <v>0</v>
      </c>
      <c r="AL136" s="292">
        <f t="shared" ref="AL136" si="219">AL118+AL120+AL122+AL124+AL126++AL128+AL130+AL132+AL134</f>
        <v>428</v>
      </c>
      <c r="AM136" s="292">
        <f t="shared" si="218"/>
        <v>19205</v>
      </c>
      <c r="AN136" s="292">
        <f t="shared" si="218"/>
        <v>0</v>
      </c>
      <c r="AO136" s="292">
        <f t="shared" si="218"/>
        <v>0</v>
      </c>
      <c r="AP136" s="292">
        <f t="shared" si="218"/>
        <v>0</v>
      </c>
      <c r="AQ136" s="292">
        <f t="shared" si="218"/>
        <v>0</v>
      </c>
      <c r="AR136" s="292">
        <f t="shared" si="218"/>
        <v>0</v>
      </c>
    </row>
    <row r="138" spans="1:44" ht="23.25">
      <c r="A138" s="773" t="s">
        <v>113</v>
      </c>
      <c r="B138" s="775" t="s">
        <v>1</v>
      </c>
      <c r="C138" s="776"/>
      <c r="D138" s="779" t="s">
        <v>166</v>
      </c>
      <c r="E138" s="780"/>
      <c r="F138" s="780"/>
      <c r="G138" s="780"/>
      <c r="H138" s="780"/>
      <c r="I138" s="780"/>
      <c r="J138" s="780"/>
      <c r="K138" s="780"/>
      <c r="L138" s="780"/>
      <c r="M138" s="780"/>
      <c r="N138" s="780"/>
      <c r="O138" s="780"/>
      <c r="P138" s="780"/>
      <c r="Q138" s="780"/>
      <c r="R138" s="780"/>
      <c r="S138" s="780"/>
      <c r="T138" s="780"/>
      <c r="U138" s="780"/>
      <c r="V138" s="780"/>
      <c r="W138" s="780"/>
      <c r="X138" s="780"/>
      <c r="Y138" s="780"/>
      <c r="Z138" s="780"/>
      <c r="AA138" s="780"/>
      <c r="AB138" s="780"/>
      <c r="AC138" s="780"/>
      <c r="AD138" s="780"/>
      <c r="AE138" s="780"/>
      <c r="AF138" s="781"/>
      <c r="AG138" s="782">
        <v>31</v>
      </c>
      <c r="AH138" s="783"/>
      <c r="AI138" s="771" t="s">
        <v>107</v>
      </c>
      <c r="AJ138" s="771" t="s">
        <v>45</v>
      </c>
      <c r="AK138" s="771" t="s">
        <v>108</v>
      </c>
      <c r="AL138" s="771" t="s">
        <v>112</v>
      </c>
      <c r="AM138" s="784" t="s">
        <v>7</v>
      </c>
      <c r="AN138" s="785"/>
      <c r="AO138" s="771" t="s">
        <v>93</v>
      </c>
      <c r="AP138" s="771" t="s">
        <v>109</v>
      </c>
      <c r="AQ138" s="771" t="s">
        <v>33</v>
      </c>
      <c r="AR138" s="771" t="s">
        <v>111</v>
      </c>
    </row>
    <row r="139" spans="1:44">
      <c r="A139" s="774"/>
      <c r="B139" s="777"/>
      <c r="C139" s="778"/>
      <c r="D139" s="313">
        <v>1</v>
      </c>
      <c r="E139" s="313">
        <v>2</v>
      </c>
      <c r="F139" s="313">
        <v>3</v>
      </c>
      <c r="G139" s="313">
        <v>4</v>
      </c>
      <c r="H139" s="313">
        <v>5</v>
      </c>
      <c r="I139" s="313">
        <v>6</v>
      </c>
      <c r="J139" s="313">
        <v>7</v>
      </c>
      <c r="K139" s="313">
        <v>8</v>
      </c>
      <c r="L139" s="313">
        <v>9</v>
      </c>
      <c r="M139" s="313">
        <v>10</v>
      </c>
      <c r="N139" s="313">
        <v>11</v>
      </c>
      <c r="O139" s="313">
        <v>12</v>
      </c>
      <c r="P139" s="313">
        <v>13</v>
      </c>
      <c r="Q139" s="313">
        <v>14</v>
      </c>
      <c r="R139" s="313">
        <v>15</v>
      </c>
      <c r="S139" s="313">
        <v>16</v>
      </c>
      <c r="T139" s="313">
        <v>17</v>
      </c>
      <c r="U139" s="313">
        <v>18</v>
      </c>
      <c r="V139" s="313">
        <v>19</v>
      </c>
      <c r="W139" s="313">
        <v>20</v>
      </c>
      <c r="X139" s="313">
        <v>21</v>
      </c>
      <c r="Y139" s="313">
        <v>22</v>
      </c>
      <c r="Z139" s="313">
        <v>23</v>
      </c>
      <c r="AA139" s="313">
        <v>24</v>
      </c>
      <c r="AB139" s="313">
        <v>25</v>
      </c>
      <c r="AC139" s="313">
        <v>26</v>
      </c>
      <c r="AD139" s="313">
        <v>27</v>
      </c>
      <c r="AE139" s="313">
        <v>28</v>
      </c>
      <c r="AF139" s="313">
        <v>29</v>
      </c>
      <c r="AG139" s="313">
        <v>30</v>
      </c>
      <c r="AH139" s="313">
        <v>31</v>
      </c>
      <c r="AI139" s="772"/>
      <c r="AJ139" s="772"/>
      <c r="AK139" s="772"/>
      <c r="AL139" s="772"/>
      <c r="AM139" s="786"/>
      <c r="AN139" s="787"/>
      <c r="AO139" s="772"/>
      <c r="AP139" s="772"/>
      <c r="AQ139" s="772"/>
      <c r="AR139" s="772"/>
    </row>
    <row r="140" spans="1:44" ht="14.1" customHeight="1">
      <c r="A140" s="185">
        <v>1</v>
      </c>
      <c r="B140" s="184" t="s">
        <v>164</v>
      </c>
      <c r="C140" s="317">
        <v>400</v>
      </c>
      <c r="D140" s="185">
        <v>1</v>
      </c>
      <c r="E140" s="185">
        <v>1</v>
      </c>
      <c r="F140" s="256">
        <v>0.5</v>
      </c>
      <c r="G140" s="304">
        <v>1</v>
      </c>
      <c r="H140" s="185">
        <v>1</v>
      </c>
      <c r="I140" s="185">
        <v>1</v>
      </c>
      <c r="J140" s="185">
        <v>1</v>
      </c>
      <c r="K140" s="185">
        <v>1</v>
      </c>
      <c r="L140" s="185">
        <v>1</v>
      </c>
      <c r="M140" s="185">
        <v>1</v>
      </c>
      <c r="N140" s="304">
        <v>1</v>
      </c>
      <c r="O140" s="185">
        <v>1</v>
      </c>
      <c r="P140" s="185">
        <v>1</v>
      </c>
      <c r="Q140" s="185">
        <v>1</v>
      </c>
      <c r="R140" s="302">
        <v>0</v>
      </c>
      <c r="S140" s="185">
        <v>1</v>
      </c>
      <c r="T140" s="302">
        <v>0</v>
      </c>
      <c r="U140" s="304">
        <v>1</v>
      </c>
      <c r="V140" s="185">
        <v>1</v>
      </c>
      <c r="W140" s="185">
        <v>1</v>
      </c>
      <c r="X140" s="185">
        <v>1</v>
      </c>
      <c r="Y140" s="185">
        <v>1</v>
      </c>
      <c r="Z140" s="185">
        <v>1</v>
      </c>
      <c r="AA140" s="185">
        <v>1</v>
      </c>
      <c r="AB140" s="304">
        <v>0</v>
      </c>
      <c r="AC140" s="185">
        <v>1</v>
      </c>
      <c r="AD140" s="185">
        <v>1</v>
      </c>
      <c r="AE140" s="185">
        <v>1</v>
      </c>
      <c r="AF140" s="185">
        <v>1</v>
      </c>
      <c r="AG140" s="185">
        <v>1</v>
      </c>
      <c r="AH140" s="185">
        <v>1</v>
      </c>
      <c r="AI140" s="185">
        <f t="shared" ref="AI140:AI141" si="220">SUM(D140:AH140)</f>
        <v>27.5</v>
      </c>
      <c r="AJ140" s="185">
        <v>2.5</v>
      </c>
      <c r="AK140" s="185">
        <v>0</v>
      </c>
      <c r="AL140" s="185">
        <f t="shared" ref="AL140:AL141" si="221">AI140+AJ140-AK140</f>
        <v>30</v>
      </c>
      <c r="AM140" s="185">
        <f t="shared" ref="AM140:AM141" si="222">AL140*C140</f>
        <v>12000</v>
      </c>
      <c r="AN140" s="711">
        <f t="shared" ref="AN140" si="223">AM140+AM141</f>
        <v>14500</v>
      </c>
      <c r="AO140" s="713">
        <v>0</v>
      </c>
      <c r="AP140" s="711">
        <f t="shared" ref="AP140" si="224">AN140-AO140</f>
        <v>14500</v>
      </c>
      <c r="AQ140" s="185"/>
      <c r="AR140" s="185"/>
    </row>
    <row r="141" spans="1:44" ht="14.1" customHeight="1">
      <c r="A141" s="184"/>
      <c r="B141" s="184"/>
      <c r="C141" s="317">
        <v>50</v>
      </c>
      <c r="D141" s="185">
        <v>2</v>
      </c>
      <c r="E141" s="185">
        <v>2</v>
      </c>
      <c r="F141" s="256">
        <v>2</v>
      </c>
      <c r="G141" s="304">
        <v>0</v>
      </c>
      <c r="H141" s="185">
        <v>2</v>
      </c>
      <c r="I141" s="185">
        <v>2</v>
      </c>
      <c r="J141" s="185">
        <v>2</v>
      </c>
      <c r="K141" s="185">
        <v>2</v>
      </c>
      <c r="L141" s="185">
        <v>2</v>
      </c>
      <c r="M141" s="185">
        <v>2</v>
      </c>
      <c r="N141" s="304">
        <v>0</v>
      </c>
      <c r="O141" s="185">
        <v>2</v>
      </c>
      <c r="P141" s="185">
        <v>2</v>
      </c>
      <c r="Q141" s="185">
        <v>2</v>
      </c>
      <c r="R141" s="302">
        <v>0</v>
      </c>
      <c r="S141" s="185">
        <v>2</v>
      </c>
      <c r="T141" s="302">
        <v>0</v>
      </c>
      <c r="U141" s="304">
        <v>0</v>
      </c>
      <c r="V141" s="185">
        <v>2</v>
      </c>
      <c r="W141" s="185">
        <v>2</v>
      </c>
      <c r="X141" s="185">
        <v>2</v>
      </c>
      <c r="Y141" s="185">
        <v>2</v>
      </c>
      <c r="Z141" s="185">
        <v>2</v>
      </c>
      <c r="AA141" s="185">
        <v>2</v>
      </c>
      <c r="AB141" s="304">
        <v>0</v>
      </c>
      <c r="AC141" s="185">
        <v>2</v>
      </c>
      <c r="AD141" s="185">
        <v>2</v>
      </c>
      <c r="AE141" s="185">
        <v>2</v>
      </c>
      <c r="AF141" s="185">
        <v>2</v>
      </c>
      <c r="AG141" s="185">
        <v>2</v>
      </c>
      <c r="AH141" s="185">
        <v>2</v>
      </c>
      <c r="AI141" s="185">
        <f t="shared" si="220"/>
        <v>50</v>
      </c>
      <c r="AJ141" s="185">
        <v>0</v>
      </c>
      <c r="AK141" s="185">
        <v>0</v>
      </c>
      <c r="AL141" s="185">
        <f t="shared" si="221"/>
        <v>50</v>
      </c>
      <c r="AM141" s="185">
        <f t="shared" si="222"/>
        <v>2500</v>
      </c>
      <c r="AN141" s="712"/>
      <c r="AO141" s="714"/>
      <c r="AP141" s="712"/>
      <c r="AQ141" s="185"/>
      <c r="AR141" s="185"/>
    </row>
    <row r="142" spans="1:44" ht="14.1" customHeight="1">
      <c r="A142" s="185">
        <v>2</v>
      </c>
      <c r="B142" s="184" t="s">
        <v>156</v>
      </c>
      <c r="C142" s="185">
        <f>C143*8</f>
        <v>520</v>
      </c>
      <c r="D142" s="185">
        <v>1</v>
      </c>
      <c r="E142" s="256">
        <v>0.5</v>
      </c>
      <c r="F142" s="185">
        <v>1</v>
      </c>
      <c r="G142" s="304">
        <v>0</v>
      </c>
      <c r="H142" s="221">
        <v>0</v>
      </c>
      <c r="I142" s="221">
        <v>0</v>
      </c>
      <c r="J142" s="221">
        <v>0</v>
      </c>
      <c r="K142" s="221">
        <v>0</v>
      </c>
      <c r="L142" s="221">
        <v>0</v>
      </c>
      <c r="M142" s="221">
        <v>0</v>
      </c>
      <c r="N142" s="304">
        <v>0</v>
      </c>
      <c r="O142" s="185">
        <v>1</v>
      </c>
      <c r="P142" s="185">
        <v>1</v>
      </c>
      <c r="Q142" s="221">
        <v>0</v>
      </c>
      <c r="R142" s="302">
        <v>0</v>
      </c>
      <c r="S142" s="221">
        <v>0</v>
      </c>
      <c r="T142" s="302">
        <v>0</v>
      </c>
      <c r="U142" s="304">
        <v>0</v>
      </c>
      <c r="V142" s="221">
        <v>0</v>
      </c>
      <c r="W142" s="185">
        <v>1</v>
      </c>
      <c r="X142" s="185">
        <v>1</v>
      </c>
      <c r="Y142" s="185">
        <v>1</v>
      </c>
      <c r="Z142" s="221">
        <v>0</v>
      </c>
      <c r="AA142" s="221">
        <v>0</v>
      </c>
      <c r="AB142" s="304">
        <v>0</v>
      </c>
      <c r="AC142" s="221">
        <v>0</v>
      </c>
      <c r="AD142" s="221">
        <v>0</v>
      </c>
      <c r="AE142" s="221">
        <v>0</v>
      </c>
      <c r="AF142" s="185">
        <v>1</v>
      </c>
      <c r="AG142" s="185">
        <v>1</v>
      </c>
      <c r="AH142" s="221">
        <v>0</v>
      </c>
      <c r="AI142" s="185">
        <f t="shared" ref="AI142:AI147" si="225">SUM(D142:AH142)</f>
        <v>9.5</v>
      </c>
      <c r="AJ142" s="185">
        <v>0</v>
      </c>
      <c r="AK142" s="185">
        <v>0</v>
      </c>
      <c r="AL142" s="185">
        <f t="shared" ref="AL142:AL147" si="226">AI142+AJ142-AK142</f>
        <v>9.5</v>
      </c>
      <c r="AM142" s="185">
        <f t="shared" ref="AM142:AM147" si="227">AL142*C142</f>
        <v>4940</v>
      </c>
      <c r="AN142" s="711">
        <f t="shared" ref="AN142" si="228">AM142+AM143</f>
        <v>5980</v>
      </c>
      <c r="AO142" s="713">
        <v>0</v>
      </c>
      <c r="AP142" s="711">
        <f t="shared" ref="AP142" si="229">AN142-AO142</f>
        <v>5980</v>
      </c>
      <c r="AQ142" s="185"/>
      <c r="AR142" s="185"/>
    </row>
    <row r="143" spans="1:44" ht="14.1" customHeight="1">
      <c r="A143" s="185"/>
      <c r="B143" s="184"/>
      <c r="C143" s="185">
        <v>65</v>
      </c>
      <c r="D143" s="185">
        <v>2</v>
      </c>
      <c r="E143" s="256">
        <v>0</v>
      </c>
      <c r="F143" s="185">
        <v>2</v>
      </c>
      <c r="G143" s="304">
        <v>0</v>
      </c>
      <c r="H143" s="221">
        <v>0</v>
      </c>
      <c r="I143" s="221">
        <v>0</v>
      </c>
      <c r="J143" s="221">
        <v>0</v>
      </c>
      <c r="K143" s="221">
        <v>0</v>
      </c>
      <c r="L143" s="221">
        <v>0</v>
      </c>
      <c r="M143" s="221">
        <v>0</v>
      </c>
      <c r="N143" s="304">
        <v>0</v>
      </c>
      <c r="O143" s="185">
        <v>2</v>
      </c>
      <c r="P143" s="185">
        <v>2</v>
      </c>
      <c r="Q143" s="221">
        <v>0</v>
      </c>
      <c r="R143" s="302">
        <v>0</v>
      </c>
      <c r="S143" s="221">
        <v>0</v>
      </c>
      <c r="T143" s="302">
        <v>0</v>
      </c>
      <c r="U143" s="304">
        <v>0</v>
      </c>
      <c r="V143" s="221">
        <v>0</v>
      </c>
      <c r="W143" s="185">
        <v>2</v>
      </c>
      <c r="X143" s="185">
        <v>2</v>
      </c>
      <c r="Y143" s="185">
        <v>2</v>
      </c>
      <c r="Z143" s="221">
        <v>0</v>
      </c>
      <c r="AA143" s="221">
        <v>0</v>
      </c>
      <c r="AB143" s="304">
        <v>0</v>
      </c>
      <c r="AC143" s="221">
        <v>0</v>
      </c>
      <c r="AD143" s="221">
        <v>0</v>
      </c>
      <c r="AE143" s="221">
        <v>0</v>
      </c>
      <c r="AF143" s="185">
        <v>0</v>
      </c>
      <c r="AG143" s="185">
        <v>2</v>
      </c>
      <c r="AH143" s="221">
        <v>0</v>
      </c>
      <c r="AI143" s="185">
        <f t="shared" si="225"/>
        <v>16</v>
      </c>
      <c r="AJ143" s="185">
        <v>0</v>
      </c>
      <c r="AK143" s="185">
        <v>0</v>
      </c>
      <c r="AL143" s="185">
        <f t="shared" si="226"/>
        <v>16</v>
      </c>
      <c r="AM143" s="185">
        <f t="shared" si="227"/>
        <v>1040</v>
      </c>
      <c r="AN143" s="712"/>
      <c r="AO143" s="714"/>
      <c r="AP143" s="712"/>
      <c r="AQ143" s="185"/>
      <c r="AR143" s="185"/>
    </row>
    <row r="144" spans="1:44" ht="14.1" customHeight="1">
      <c r="A144" s="185">
        <v>3</v>
      </c>
      <c r="B144" s="184" t="s">
        <v>114</v>
      </c>
      <c r="C144" s="185">
        <f>C145*8</f>
        <v>480</v>
      </c>
      <c r="D144" s="221">
        <v>0</v>
      </c>
      <c r="E144" s="185">
        <v>1</v>
      </c>
      <c r="F144" s="185">
        <v>1</v>
      </c>
      <c r="G144" s="304">
        <v>1</v>
      </c>
      <c r="H144" s="185">
        <v>1</v>
      </c>
      <c r="I144" s="185">
        <v>1</v>
      </c>
      <c r="J144" s="185">
        <v>1</v>
      </c>
      <c r="K144" s="185">
        <v>1</v>
      </c>
      <c r="L144" s="185">
        <v>1</v>
      </c>
      <c r="M144" s="185">
        <v>1</v>
      </c>
      <c r="N144" s="304">
        <v>1</v>
      </c>
      <c r="O144" s="185">
        <v>1</v>
      </c>
      <c r="P144" s="221">
        <v>0</v>
      </c>
      <c r="Q144" s="185">
        <v>1</v>
      </c>
      <c r="R144" s="302">
        <v>0</v>
      </c>
      <c r="S144" s="185">
        <v>1</v>
      </c>
      <c r="T144" s="302">
        <v>0</v>
      </c>
      <c r="U144" s="304">
        <v>1</v>
      </c>
      <c r="V144" s="185">
        <v>1</v>
      </c>
      <c r="W144" s="185">
        <v>1</v>
      </c>
      <c r="X144" s="185">
        <v>1</v>
      </c>
      <c r="Y144" s="185">
        <v>1</v>
      </c>
      <c r="Z144" s="185">
        <v>1</v>
      </c>
      <c r="AA144" s="185">
        <v>1</v>
      </c>
      <c r="AB144" s="304">
        <v>0</v>
      </c>
      <c r="AC144" s="185">
        <v>1</v>
      </c>
      <c r="AD144" s="185">
        <v>1</v>
      </c>
      <c r="AE144" s="221">
        <v>0</v>
      </c>
      <c r="AF144" s="185">
        <v>1</v>
      </c>
      <c r="AG144" s="185">
        <v>1</v>
      </c>
      <c r="AH144" s="185">
        <v>1</v>
      </c>
      <c r="AI144" s="185">
        <f t="shared" si="225"/>
        <v>25</v>
      </c>
      <c r="AJ144" s="185">
        <v>0</v>
      </c>
      <c r="AK144" s="185">
        <v>0</v>
      </c>
      <c r="AL144" s="185">
        <f t="shared" si="226"/>
        <v>25</v>
      </c>
      <c r="AM144" s="185">
        <f t="shared" si="227"/>
        <v>12000</v>
      </c>
      <c r="AN144" s="711">
        <f t="shared" ref="AN144" si="230">AM144+AM145</f>
        <v>14640</v>
      </c>
      <c r="AO144" s="870">
        <v>4000</v>
      </c>
      <c r="AP144" s="711">
        <f t="shared" ref="AP144" si="231">AN144-AO144</f>
        <v>10640</v>
      </c>
      <c r="AQ144" s="185"/>
      <c r="AR144" s="185"/>
    </row>
    <row r="145" spans="1:44" ht="14.1" customHeight="1">
      <c r="A145" s="185"/>
      <c r="B145" s="184"/>
      <c r="C145" s="185">
        <v>60</v>
      </c>
      <c r="D145" s="221">
        <v>0</v>
      </c>
      <c r="E145" s="185">
        <v>2</v>
      </c>
      <c r="F145" s="185">
        <v>2</v>
      </c>
      <c r="G145" s="304">
        <v>0</v>
      </c>
      <c r="H145" s="185">
        <v>2</v>
      </c>
      <c r="I145" s="185">
        <v>2</v>
      </c>
      <c r="J145" s="185">
        <v>2</v>
      </c>
      <c r="K145" s="185">
        <v>2</v>
      </c>
      <c r="L145" s="185">
        <v>2</v>
      </c>
      <c r="M145" s="185">
        <v>2</v>
      </c>
      <c r="N145" s="304">
        <v>0</v>
      </c>
      <c r="O145" s="185">
        <v>2</v>
      </c>
      <c r="P145" s="221">
        <v>2</v>
      </c>
      <c r="Q145" s="185">
        <v>2</v>
      </c>
      <c r="R145" s="302">
        <v>0</v>
      </c>
      <c r="S145" s="185">
        <v>2</v>
      </c>
      <c r="T145" s="302">
        <v>0</v>
      </c>
      <c r="U145" s="304">
        <v>0</v>
      </c>
      <c r="V145" s="185">
        <v>2</v>
      </c>
      <c r="W145" s="185">
        <v>2</v>
      </c>
      <c r="X145" s="185">
        <v>2</v>
      </c>
      <c r="Y145" s="185">
        <v>2</v>
      </c>
      <c r="Z145" s="185">
        <v>2</v>
      </c>
      <c r="AA145" s="185">
        <v>2</v>
      </c>
      <c r="AB145" s="304">
        <v>0</v>
      </c>
      <c r="AC145" s="185">
        <v>2</v>
      </c>
      <c r="AD145" s="185">
        <v>2</v>
      </c>
      <c r="AE145" s="221">
        <v>0</v>
      </c>
      <c r="AF145" s="221">
        <v>0</v>
      </c>
      <c r="AG145" s="185">
        <v>2</v>
      </c>
      <c r="AH145" s="185">
        <v>2</v>
      </c>
      <c r="AI145" s="185">
        <f t="shared" si="225"/>
        <v>44</v>
      </c>
      <c r="AJ145" s="185">
        <v>0</v>
      </c>
      <c r="AK145" s="185">
        <v>0</v>
      </c>
      <c r="AL145" s="185">
        <f t="shared" si="226"/>
        <v>44</v>
      </c>
      <c r="AM145" s="185">
        <f t="shared" si="227"/>
        <v>2640</v>
      </c>
      <c r="AN145" s="712"/>
      <c r="AO145" s="871"/>
      <c r="AP145" s="712"/>
      <c r="AQ145" s="185"/>
      <c r="AR145" s="185"/>
    </row>
    <row r="146" spans="1:44" ht="14.1" customHeight="1">
      <c r="A146" s="185">
        <v>4</v>
      </c>
      <c r="B146" s="184" t="s">
        <v>167</v>
      </c>
      <c r="C146" s="185">
        <f>C147*8</f>
        <v>480</v>
      </c>
      <c r="D146" s="185">
        <v>1</v>
      </c>
      <c r="E146" s="221">
        <v>0</v>
      </c>
      <c r="F146" s="185">
        <v>1</v>
      </c>
      <c r="G146" s="304">
        <v>1</v>
      </c>
      <c r="H146" s="185">
        <v>1</v>
      </c>
      <c r="I146" s="185">
        <v>1</v>
      </c>
      <c r="J146" s="221">
        <v>0</v>
      </c>
      <c r="K146" s="185">
        <v>1</v>
      </c>
      <c r="L146" s="185">
        <v>1</v>
      </c>
      <c r="M146" s="185">
        <v>1</v>
      </c>
      <c r="N146" s="304">
        <v>0</v>
      </c>
      <c r="O146" s="185">
        <v>1</v>
      </c>
      <c r="P146" s="185">
        <v>1</v>
      </c>
      <c r="Q146" s="185">
        <v>1</v>
      </c>
      <c r="R146" s="302">
        <v>0</v>
      </c>
      <c r="S146" s="185">
        <v>1</v>
      </c>
      <c r="T146" s="302">
        <v>0</v>
      </c>
      <c r="U146" s="304">
        <v>1</v>
      </c>
      <c r="V146" s="185">
        <v>1</v>
      </c>
      <c r="W146" s="185">
        <v>1</v>
      </c>
      <c r="X146" s="185">
        <v>1</v>
      </c>
      <c r="Y146" s="185">
        <v>1</v>
      </c>
      <c r="Z146" s="185">
        <v>1</v>
      </c>
      <c r="AA146" s="185">
        <v>1</v>
      </c>
      <c r="AB146" s="304">
        <v>0</v>
      </c>
      <c r="AC146" s="185">
        <v>1</v>
      </c>
      <c r="AD146" s="185">
        <v>1</v>
      </c>
      <c r="AE146" s="185">
        <v>1</v>
      </c>
      <c r="AF146" s="185">
        <v>1</v>
      </c>
      <c r="AG146" s="185">
        <v>1</v>
      </c>
      <c r="AH146" s="221">
        <v>0</v>
      </c>
      <c r="AI146" s="185">
        <f t="shared" si="225"/>
        <v>24</v>
      </c>
      <c r="AJ146" s="185">
        <v>0</v>
      </c>
      <c r="AK146" s="185">
        <v>0</v>
      </c>
      <c r="AL146" s="185">
        <f t="shared" si="226"/>
        <v>24</v>
      </c>
      <c r="AM146" s="185">
        <f t="shared" si="227"/>
        <v>11520</v>
      </c>
      <c r="AN146" s="711">
        <f t="shared" ref="AN146" si="232">AM146+AM147</f>
        <v>14160</v>
      </c>
      <c r="AO146" s="713">
        <v>0</v>
      </c>
      <c r="AP146" s="711">
        <f t="shared" ref="AP146" si="233">AN146-AO146</f>
        <v>14160</v>
      </c>
      <c r="AQ146" s="185"/>
      <c r="AR146" s="185"/>
    </row>
    <row r="147" spans="1:44" ht="14.1" customHeight="1">
      <c r="A147" s="185"/>
      <c r="B147" s="184"/>
      <c r="C147" s="185">
        <v>60</v>
      </c>
      <c r="D147" s="185">
        <v>2</v>
      </c>
      <c r="E147" s="221">
        <v>0</v>
      </c>
      <c r="F147" s="185">
        <v>2</v>
      </c>
      <c r="G147" s="304">
        <v>0</v>
      </c>
      <c r="H147" s="185">
        <v>2</v>
      </c>
      <c r="I147" s="185">
        <v>2</v>
      </c>
      <c r="J147" s="221">
        <v>0</v>
      </c>
      <c r="K147" s="185">
        <v>2</v>
      </c>
      <c r="L147" s="185">
        <v>2</v>
      </c>
      <c r="M147" s="185">
        <v>2</v>
      </c>
      <c r="N147" s="304">
        <v>0</v>
      </c>
      <c r="O147" s="185">
        <v>2</v>
      </c>
      <c r="P147" s="185">
        <v>2</v>
      </c>
      <c r="Q147" s="185">
        <v>2</v>
      </c>
      <c r="R147" s="302">
        <v>0</v>
      </c>
      <c r="S147" s="185">
        <v>2</v>
      </c>
      <c r="T147" s="302">
        <v>0</v>
      </c>
      <c r="U147" s="304">
        <v>0</v>
      </c>
      <c r="V147" s="185">
        <v>2</v>
      </c>
      <c r="W147" s="185">
        <v>2</v>
      </c>
      <c r="X147" s="185">
        <v>2</v>
      </c>
      <c r="Y147" s="185">
        <v>2</v>
      </c>
      <c r="Z147" s="185">
        <v>2</v>
      </c>
      <c r="AA147" s="185">
        <v>2</v>
      </c>
      <c r="AB147" s="304">
        <v>0</v>
      </c>
      <c r="AC147" s="185">
        <v>2</v>
      </c>
      <c r="AD147" s="185">
        <v>2</v>
      </c>
      <c r="AE147" s="185">
        <v>2</v>
      </c>
      <c r="AF147" s="185">
        <v>2</v>
      </c>
      <c r="AG147" s="185">
        <v>2</v>
      </c>
      <c r="AH147" s="221">
        <v>0</v>
      </c>
      <c r="AI147" s="185">
        <f t="shared" si="225"/>
        <v>44</v>
      </c>
      <c r="AJ147" s="185">
        <v>0</v>
      </c>
      <c r="AK147" s="185">
        <v>0</v>
      </c>
      <c r="AL147" s="185">
        <f t="shared" si="226"/>
        <v>44</v>
      </c>
      <c r="AM147" s="185">
        <f t="shared" si="227"/>
        <v>2640</v>
      </c>
      <c r="AN147" s="712"/>
      <c r="AO147" s="714"/>
      <c r="AP147" s="712"/>
      <c r="AQ147" s="185"/>
      <c r="AR147" s="185"/>
    </row>
    <row r="148" spans="1:44" ht="14.1" customHeight="1">
      <c r="A148" s="185">
        <v>5</v>
      </c>
      <c r="B148" s="184" t="s">
        <v>160</v>
      </c>
      <c r="C148" s="203">
        <f>C149*8</f>
        <v>400</v>
      </c>
      <c r="D148" s="221">
        <v>0</v>
      </c>
      <c r="E148" s="185">
        <v>1</v>
      </c>
      <c r="F148" s="185">
        <v>1</v>
      </c>
      <c r="G148" s="304">
        <v>1</v>
      </c>
      <c r="H148" s="185">
        <v>1</v>
      </c>
      <c r="I148" s="185">
        <v>1</v>
      </c>
      <c r="J148" s="185">
        <v>1</v>
      </c>
      <c r="K148" s="185">
        <v>1</v>
      </c>
      <c r="L148" s="256">
        <v>0.5</v>
      </c>
      <c r="M148" s="185">
        <v>1</v>
      </c>
      <c r="N148" s="304">
        <v>0</v>
      </c>
      <c r="O148" s="185">
        <v>1</v>
      </c>
      <c r="P148" s="221">
        <v>0</v>
      </c>
      <c r="Q148" s="221">
        <v>0</v>
      </c>
      <c r="R148" s="302">
        <v>0</v>
      </c>
      <c r="S148" s="221">
        <v>0</v>
      </c>
      <c r="T148" s="302">
        <v>0</v>
      </c>
      <c r="U148" s="304">
        <v>0</v>
      </c>
      <c r="V148" s="221">
        <v>0</v>
      </c>
      <c r="W148" s="221">
        <v>0</v>
      </c>
      <c r="X148" s="221">
        <v>0</v>
      </c>
      <c r="Y148" s="221">
        <v>0</v>
      </c>
      <c r="Z148" s="221">
        <v>0</v>
      </c>
      <c r="AA148" s="221">
        <v>0</v>
      </c>
      <c r="AB148" s="304">
        <v>0</v>
      </c>
      <c r="AC148" s="221">
        <v>0</v>
      </c>
      <c r="AD148" s="221">
        <v>0</v>
      </c>
      <c r="AE148" s="221">
        <v>0</v>
      </c>
      <c r="AF148" s="221">
        <v>0</v>
      </c>
      <c r="AG148" s="221">
        <v>0</v>
      </c>
      <c r="AH148" s="221">
        <v>0</v>
      </c>
      <c r="AI148" s="185">
        <f t="shared" ref="AI148:AI161" si="234">SUM(D148:AH148)</f>
        <v>9.5</v>
      </c>
      <c r="AJ148" s="185">
        <v>0</v>
      </c>
      <c r="AK148" s="185">
        <v>0</v>
      </c>
      <c r="AL148" s="185">
        <f t="shared" ref="AL148:AL161" si="235">AI148+AJ148-AK148</f>
        <v>9.5</v>
      </c>
      <c r="AM148" s="185">
        <f t="shared" ref="AM148:AM161" si="236">AL148*C148</f>
        <v>3800</v>
      </c>
      <c r="AN148" s="711">
        <f t="shared" ref="AN148" si="237">AM148+AM149</f>
        <v>4600</v>
      </c>
      <c r="AO148" s="713">
        <v>0</v>
      </c>
      <c r="AP148" s="868">
        <f t="shared" ref="AP148" si="238">AN148-AO148</f>
        <v>4600</v>
      </c>
      <c r="AQ148" s="185"/>
      <c r="AR148" s="185"/>
    </row>
    <row r="149" spans="1:44" ht="14.1" customHeight="1">
      <c r="A149" s="185"/>
      <c r="B149" s="184"/>
      <c r="C149" s="203">
        <v>50</v>
      </c>
      <c r="D149" s="221">
        <v>0</v>
      </c>
      <c r="E149" s="185">
        <v>2</v>
      </c>
      <c r="F149" s="185">
        <v>2</v>
      </c>
      <c r="G149" s="304">
        <v>0</v>
      </c>
      <c r="H149" s="185">
        <v>2</v>
      </c>
      <c r="I149" s="185">
        <v>2</v>
      </c>
      <c r="J149" s="185">
        <v>2</v>
      </c>
      <c r="K149" s="185">
        <v>2</v>
      </c>
      <c r="L149" s="256">
        <v>0</v>
      </c>
      <c r="M149" s="185">
        <v>2</v>
      </c>
      <c r="N149" s="304">
        <v>0</v>
      </c>
      <c r="O149" s="185">
        <v>2</v>
      </c>
      <c r="P149" s="221">
        <v>0</v>
      </c>
      <c r="Q149" s="221">
        <v>0</v>
      </c>
      <c r="R149" s="302">
        <v>0</v>
      </c>
      <c r="S149" s="221">
        <v>0</v>
      </c>
      <c r="T149" s="302">
        <v>0</v>
      </c>
      <c r="U149" s="304">
        <v>0</v>
      </c>
      <c r="V149" s="221">
        <v>0</v>
      </c>
      <c r="W149" s="221">
        <v>0</v>
      </c>
      <c r="X149" s="221">
        <v>0</v>
      </c>
      <c r="Y149" s="221">
        <v>0</v>
      </c>
      <c r="Z149" s="221">
        <v>0</v>
      </c>
      <c r="AA149" s="221">
        <v>0</v>
      </c>
      <c r="AB149" s="304">
        <v>0</v>
      </c>
      <c r="AC149" s="221">
        <v>0</v>
      </c>
      <c r="AD149" s="221">
        <v>0</v>
      </c>
      <c r="AE149" s="221">
        <v>0</v>
      </c>
      <c r="AF149" s="221">
        <v>0</v>
      </c>
      <c r="AG149" s="221">
        <v>0</v>
      </c>
      <c r="AH149" s="221">
        <v>0</v>
      </c>
      <c r="AI149" s="185">
        <f t="shared" si="234"/>
        <v>16</v>
      </c>
      <c r="AJ149" s="185">
        <v>0</v>
      </c>
      <c r="AK149" s="185">
        <v>0</v>
      </c>
      <c r="AL149" s="185">
        <f t="shared" si="235"/>
        <v>16</v>
      </c>
      <c r="AM149" s="185">
        <f t="shared" si="236"/>
        <v>800</v>
      </c>
      <c r="AN149" s="712"/>
      <c r="AO149" s="714"/>
      <c r="AP149" s="869"/>
      <c r="AQ149" s="185"/>
      <c r="AR149" s="185"/>
    </row>
    <row r="150" spans="1:44" ht="13.5" customHeight="1">
      <c r="A150" s="185">
        <v>6</v>
      </c>
      <c r="B150" s="184" t="s">
        <v>168</v>
      </c>
      <c r="C150" s="185">
        <f>C151*8</f>
        <v>440</v>
      </c>
      <c r="D150" s="221">
        <v>0</v>
      </c>
      <c r="E150" s="185">
        <v>1</v>
      </c>
      <c r="F150" s="185">
        <v>1</v>
      </c>
      <c r="G150" s="304">
        <v>0</v>
      </c>
      <c r="H150" s="185">
        <v>1</v>
      </c>
      <c r="I150" s="185">
        <v>1</v>
      </c>
      <c r="J150" s="185">
        <v>1</v>
      </c>
      <c r="K150" s="185">
        <v>1</v>
      </c>
      <c r="L150" s="185">
        <v>1</v>
      </c>
      <c r="M150" s="221">
        <v>0</v>
      </c>
      <c r="N150" s="304">
        <v>0</v>
      </c>
      <c r="O150" s="221">
        <v>0</v>
      </c>
      <c r="P150" s="221">
        <v>0</v>
      </c>
      <c r="Q150" s="221">
        <v>0</v>
      </c>
      <c r="R150" s="302">
        <v>0</v>
      </c>
      <c r="S150" s="221">
        <v>0</v>
      </c>
      <c r="T150" s="302">
        <v>0</v>
      </c>
      <c r="U150" s="304">
        <v>0</v>
      </c>
      <c r="V150" s="221">
        <v>0</v>
      </c>
      <c r="W150" s="221">
        <v>0</v>
      </c>
      <c r="X150" s="221">
        <v>0</v>
      </c>
      <c r="Y150" s="221">
        <v>0</v>
      </c>
      <c r="Z150" s="221">
        <v>0</v>
      </c>
      <c r="AA150" s="221">
        <v>0</v>
      </c>
      <c r="AB150" s="304">
        <v>0</v>
      </c>
      <c r="AC150" s="221">
        <v>0</v>
      </c>
      <c r="AD150" s="221">
        <v>0</v>
      </c>
      <c r="AE150" s="221">
        <v>0</v>
      </c>
      <c r="AF150" s="221">
        <v>0</v>
      </c>
      <c r="AG150" s="221">
        <v>0</v>
      </c>
      <c r="AH150" s="221">
        <v>0</v>
      </c>
      <c r="AI150" s="185">
        <f t="shared" si="234"/>
        <v>7</v>
      </c>
      <c r="AJ150" s="185">
        <v>0</v>
      </c>
      <c r="AK150" s="185">
        <v>0</v>
      </c>
      <c r="AL150" s="185">
        <f t="shared" si="235"/>
        <v>7</v>
      </c>
      <c r="AM150" s="185">
        <f t="shared" si="236"/>
        <v>3080</v>
      </c>
      <c r="AN150" s="711">
        <f t="shared" ref="AN150" si="239">AM150+AM151</f>
        <v>3850</v>
      </c>
      <c r="AO150" s="713">
        <v>0</v>
      </c>
      <c r="AP150" s="868">
        <f t="shared" ref="AP150" si="240">AN150-AO150</f>
        <v>3850</v>
      </c>
      <c r="AQ150" s="185"/>
      <c r="AR150" s="185"/>
    </row>
    <row r="151" spans="1:44" ht="14.1" customHeight="1">
      <c r="A151" s="185"/>
      <c r="B151" s="184"/>
      <c r="C151" s="185">
        <v>55</v>
      </c>
      <c r="D151" s="221">
        <v>0</v>
      </c>
      <c r="E151" s="185">
        <v>2</v>
      </c>
      <c r="F151" s="185">
        <v>2</v>
      </c>
      <c r="G151" s="304">
        <v>0</v>
      </c>
      <c r="H151" s="185">
        <v>2</v>
      </c>
      <c r="I151" s="185">
        <v>2</v>
      </c>
      <c r="J151" s="185">
        <v>2</v>
      </c>
      <c r="K151" s="185">
        <v>2</v>
      </c>
      <c r="L151" s="185">
        <v>2</v>
      </c>
      <c r="M151" s="221">
        <v>0</v>
      </c>
      <c r="N151" s="304">
        <v>0</v>
      </c>
      <c r="O151" s="221">
        <v>0</v>
      </c>
      <c r="P151" s="221">
        <v>0</v>
      </c>
      <c r="Q151" s="221">
        <v>0</v>
      </c>
      <c r="R151" s="302">
        <v>0</v>
      </c>
      <c r="S151" s="221">
        <v>0</v>
      </c>
      <c r="T151" s="302">
        <v>0</v>
      </c>
      <c r="U151" s="304">
        <v>0</v>
      </c>
      <c r="V151" s="221">
        <v>0</v>
      </c>
      <c r="W151" s="221">
        <v>0</v>
      </c>
      <c r="X151" s="221">
        <v>0</v>
      </c>
      <c r="Y151" s="221">
        <v>0</v>
      </c>
      <c r="Z151" s="221">
        <v>0</v>
      </c>
      <c r="AA151" s="221">
        <v>0</v>
      </c>
      <c r="AB151" s="304">
        <v>0</v>
      </c>
      <c r="AC151" s="221">
        <v>0</v>
      </c>
      <c r="AD151" s="221">
        <v>0</v>
      </c>
      <c r="AE151" s="221">
        <v>0</v>
      </c>
      <c r="AF151" s="221">
        <v>0</v>
      </c>
      <c r="AG151" s="221">
        <v>0</v>
      </c>
      <c r="AH151" s="221">
        <v>0</v>
      </c>
      <c r="AI151" s="185">
        <f t="shared" si="234"/>
        <v>14</v>
      </c>
      <c r="AJ151" s="185">
        <v>0</v>
      </c>
      <c r="AK151" s="185">
        <v>0</v>
      </c>
      <c r="AL151" s="185">
        <f t="shared" si="235"/>
        <v>14</v>
      </c>
      <c r="AM151" s="185">
        <f t="shared" si="236"/>
        <v>770</v>
      </c>
      <c r="AN151" s="712"/>
      <c r="AO151" s="714"/>
      <c r="AP151" s="869"/>
      <c r="AQ151" s="185"/>
      <c r="AR151" s="185"/>
    </row>
    <row r="152" spans="1:44" ht="14.1" customHeight="1">
      <c r="A152" s="185">
        <v>7</v>
      </c>
      <c r="B152" s="184" t="s">
        <v>169</v>
      </c>
      <c r="C152" s="185">
        <f>C153*8</f>
        <v>440</v>
      </c>
      <c r="D152" s="221">
        <v>0</v>
      </c>
      <c r="E152" s="185">
        <v>1</v>
      </c>
      <c r="F152" s="185">
        <v>1</v>
      </c>
      <c r="G152" s="304">
        <v>1</v>
      </c>
      <c r="H152" s="185">
        <v>1</v>
      </c>
      <c r="I152" s="185">
        <v>1</v>
      </c>
      <c r="J152" s="185">
        <v>1</v>
      </c>
      <c r="K152" s="185">
        <v>1</v>
      </c>
      <c r="L152" s="185">
        <v>1</v>
      </c>
      <c r="M152" s="185">
        <v>1</v>
      </c>
      <c r="N152" s="304">
        <v>1</v>
      </c>
      <c r="O152" s="185">
        <v>1</v>
      </c>
      <c r="P152" s="221">
        <v>0</v>
      </c>
      <c r="Q152" s="221">
        <v>0</v>
      </c>
      <c r="R152" s="302">
        <v>0</v>
      </c>
      <c r="S152" s="221">
        <v>0</v>
      </c>
      <c r="T152" s="302">
        <v>0</v>
      </c>
      <c r="U152" s="304">
        <v>0</v>
      </c>
      <c r="V152" s="221">
        <v>0</v>
      </c>
      <c r="W152" s="221">
        <v>0</v>
      </c>
      <c r="X152" s="221">
        <v>0</v>
      </c>
      <c r="Y152" s="221">
        <v>0</v>
      </c>
      <c r="Z152" s="221">
        <v>0</v>
      </c>
      <c r="AA152" s="221">
        <v>0</v>
      </c>
      <c r="AB152" s="304">
        <v>0</v>
      </c>
      <c r="AC152" s="221">
        <v>0</v>
      </c>
      <c r="AD152" s="221">
        <v>0</v>
      </c>
      <c r="AE152" s="221">
        <v>0</v>
      </c>
      <c r="AF152" s="221">
        <v>0</v>
      </c>
      <c r="AG152" s="221">
        <v>0</v>
      </c>
      <c r="AH152" s="221">
        <v>0</v>
      </c>
      <c r="AI152" s="185">
        <f t="shared" si="234"/>
        <v>11</v>
      </c>
      <c r="AJ152" s="185">
        <v>0</v>
      </c>
      <c r="AK152" s="185">
        <v>0</v>
      </c>
      <c r="AL152" s="185">
        <f t="shared" si="235"/>
        <v>11</v>
      </c>
      <c r="AM152" s="185">
        <f t="shared" si="236"/>
        <v>4840</v>
      </c>
      <c r="AN152" s="711">
        <f t="shared" ref="AN152" si="241">AM152+AM153</f>
        <v>5830</v>
      </c>
      <c r="AO152" s="713">
        <v>0</v>
      </c>
      <c r="AP152" s="711">
        <f t="shared" ref="AP152" si="242">AN152-AO152</f>
        <v>5830</v>
      </c>
      <c r="AQ152" s="185"/>
      <c r="AR152" s="185"/>
    </row>
    <row r="153" spans="1:44" ht="14.1" customHeight="1">
      <c r="A153" s="185"/>
      <c r="B153" s="184"/>
      <c r="C153" s="185">
        <v>55</v>
      </c>
      <c r="D153" s="221">
        <v>0</v>
      </c>
      <c r="E153" s="185">
        <v>2</v>
      </c>
      <c r="F153" s="185">
        <v>2</v>
      </c>
      <c r="G153" s="304">
        <v>0</v>
      </c>
      <c r="H153" s="185">
        <v>2</v>
      </c>
      <c r="I153" s="185">
        <v>2</v>
      </c>
      <c r="J153" s="185">
        <v>2</v>
      </c>
      <c r="K153" s="185">
        <v>2</v>
      </c>
      <c r="L153" s="185">
        <v>2</v>
      </c>
      <c r="M153" s="185">
        <v>2</v>
      </c>
      <c r="N153" s="304">
        <v>0</v>
      </c>
      <c r="O153" s="185">
        <v>2</v>
      </c>
      <c r="P153" s="221">
        <v>0</v>
      </c>
      <c r="Q153" s="221">
        <v>0</v>
      </c>
      <c r="R153" s="302">
        <v>0</v>
      </c>
      <c r="S153" s="221">
        <v>0</v>
      </c>
      <c r="T153" s="302">
        <v>0</v>
      </c>
      <c r="U153" s="304">
        <v>0</v>
      </c>
      <c r="V153" s="221">
        <v>0</v>
      </c>
      <c r="W153" s="221">
        <v>0</v>
      </c>
      <c r="X153" s="221">
        <v>0</v>
      </c>
      <c r="Y153" s="221">
        <v>0</v>
      </c>
      <c r="Z153" s="221">
        <v>0</v>
      </c>
      <c r="AA153" s="221">
        <v>0</v>
      </c>
      <c r="AB153" s="304">
        <v>0</v>
      </c>
      <c r="AC153" s="221">
        <v>0</v>
      </c>
      <c r="AD153" s="221">
        <v>0</v>
      </c>
      <c r="AE153" s="221">
        <v>0</v>
      </c>
      <c r="AF153" s="221">
        <v>0</v>
      </c>
      <c r="AG153" s="221">
        <v>0</v>
      </c>
      <c r="AH153" s="221">
        <v>0</v>
      </c>
      <c r="AI153" s="185">
        <f t="shared" si="234"/>
        <v>18</v>
      </c>
      <c r="AJ153" s="185">
        <v>0</v>
      </c>
      <c r="AK153" s="185">
        <v>0</v>
      </c>
      <c r="AL153" s="185">
        <f t="shared" si="235"/>
        <v>18</v>
      </c>
      <c r="AM153" s="185">
        <f t="shared" si="236"/>
        <v>990</v>
      </c>
      <c r="AN153" s="712"/>
      <c r="AO153" s="714"/>
      <c r="AP153" s="712"/>
      <c r="AQ153" s="185"/>
      <c r="AR153" s="185"/>
    </row>
    <row r="154" spans="1:44" ht="14.1" customHeight="1">
      <c r="A154" s="185">
        <v>8</v>
      </c>
      <c r="B154" s="184" t="s">
        <v>170</v>
      </c>
      <c r="C154" s="185">
        <f>C155*8</f>
        <v>440</v>
      </c>
      <c r="D154" s="185">
        <v>1</v>
      </c>
      <c r="E154" s="185">
        <v>1</v>
      </c>
      <c r="F154" s="185">
        <v>1</v>
      </c>
      <c r="G154" s="304">
        <v>1</v>
      </c>
      <c r="H154" s="185">
        <v>1</v>
      </c>
      <c r="I154" s="185">
        <v>1</v>
      </c>
      <c r="J154" s="185">
        <v>1</v>
      </c>
      <c r="K154" s="185">
        <v>1</v>
      </c>
      <c r="L154" s="185">
        <v>1</v>
      </c>
      <c r="M154" s="185">
        <v>1</v>
      </c>
      <c r="N154" s="304">
        <v>1</v>
      </c>
      <c r="O154" s="185">
        <v>1</v>
      </c>
      <c r="P154" s="185">
        <v>1</v>
      </c>
      <c r="Q154" s="185">
        <v>1</v>
      </c>
      <c r="R154" s="302">
        <v>0</v>
      </c>
      <c r="S154" s="185">
        <v>1</v>
      </c>
      <c r="T154" s="302">
        <v>0</v>
      </c>
      <c r="U154" s="304">
        <v>1</v>
      </c>
      <c r="V154" s="185">
        <v>1</v>
      </c>
      <c r="W154" s="185">
        <v>1</v>
      </c>
      <c r="X154" s="185">
        <v>1</v>
      </c>
      <c r="Y154" s="185">
        <v>1</v>
      </c>
      <c r="Z154" s="185">
        <v>1</v>
      </c>
      <c r="AA154" s="185">
        <v>1</v>
      </c>
      <c r="AB154" s="304">
        <v>0</v>
      </c>
      <c r="AC154" s="185">
        <v>1</v>
      </c>
      <c r="AD154" s="185">
        <v>1</v>
      </c>
      <c r="AE154" s="185">
        <v>1</v>
      </c>
      <c r="AF154" s="185">
        <v>1</v>
      </c>
      <c r="AG154" s="185">
        <v>1</v>
      </c>
      <c r="AH154" s="185">
        <v>1</v>
      </c>
      <c r="AI154" s="185">
        <f t="shared" si="234"/>
        <v>28</v>
      </c>
      <c r="AJ154" s="185">
        <v>0</v>
      </c>
      <c r="AK154" s="185">
        <v>0</v>
      </c>
      <c r="AL154" s="185">
        <f t="shared" si="235"/>
        <v>28</v>
      </c>
      <c r="AM154" s="185">
        <f t="shared" si="236"/>
        <v>12320</v>
      </c>
      <c r="AN154" s="711">
        <f t="shared" ref="AN154" si="243">AM154+AM155</f>
        <v>15070</v>
      </c>
      <c r="AO154" s="713">
        <v>0</v>
      </c>
      <c r="AP154" s="711">
        <f t="shared" ref="AP154" si="244">AN154-AO154</f>
        <v>15070</v>
      </c>
      <c r="AQ154" s="185"/>
      <c r="AR154" s="185"/>
    </row>
    <row r="155" spans="1:44" ht="14.1" customHeight="1">
      <c r="A155" s="185"/>
      <c r="B155" s="184"/>
      <c r="C155" s="185">
        <v>55</v>
      </c>
      <c r="D155" s="185">
        <v>2</v>
      </c>
      <c r="E155" s="185">
        <v>2</v>
      </c>
      <c r="F155" s="185">
        <v>2</v>
      </c>
      <c r="G155" s="304">
        <v>0</v>
      </c>
      <c r="H155" s="185">
        <v>2</v>
      </c>
      <c r="I155" s="185">
        <v>2</v>
      </c>
      <c r="J155" s="185">
        <v>2</v>
      </c>
      <c r="K155" s="185">
        <v>2</v>
      </c>
      <c r="L155" s="185">
        <v>2</v>
      </c>
      <c r="M155" s="185">
        <v>2</v>
      </c>
      <c r="N155" s="304">
        <v>0</v>
      </c>
      <c r="O155" s="185">
        <v>2</v>
      </c>
      <c r="P155" s="185">
        <v>2</v>
      </c>
      <c r="Q155" s="185">
        <v>2</v>
      </c>
      <c r="R155" s="302">
        <v>0</v>
      </c>
      <c r="S155" s="185">
        <v>2</v>
      </c>
      <c r="T155" s="302">
        <v>0</v>
      </c>
      <c r="U155" s="304">
        <v>0</v>
      </c>
      <c r="V155" s="185">
        <v>2</v>
      </c>
      <c r="W155" s="185">
        <v>2</v>
      </c>
      <c r="X155" s="185">
        <v>2</v>
      </c>
      <c r="Y155" s="185">
        <v>2</v>
      </c>
      <c r="Z155" s="185">
        <v>2</v>
      </c>
      <c r="AA155" s="185">
        <v>2</v>
      </c>
      <c r="AB155" s="304">
        <v>0</v>
      </c>
      <c r="AC155" s="185">
        <v>2</v>
      </c>
      <c r="AD155" s="185">
        <v>2</v>
      </c>
      <c r="AE155" s="185">
        <v>2</v>
      </c>
      <c r="AF155" s="185">
        <v>2</v>
      </c>
      <c r="AG155" s="185">
        <v>2</v>
      </c>
      <c r="AH155" s="185">
        <v>2</v>
      </c>
      <c r="AI155" s="185">
        <f t="shared" si="234"/>
        <v>50</v>
      </c>
      <c r="AJ155" s="185">
        <v>0</v>
      </c>
      <c r="AK155" s="185">
        <v>0</v>
      </c>
      <c r="AL155" s="185">
        <f t="shared" si="235"/>
        <v>50</v>
      </c>
      <c r="AM155" s="185">
        <f t="shared" si="236"/>
        <v>2750</v>
      </c>
      <c r="AN155" s="712"/>
      <c r="AO155" s="714"/>
      <c r="AP155" s="712"/>
      <c r="AQ155" s="185"/>
      <c r="AR155" s="185"/>
    </row>
    <row r="156" spans="1:44" ht="14.1" customHeight="1">
      <c r="A156" s="185">
        <v>9</v>
      </c>
      <c r="B156" s="184" t="s">
        <v>171</v>
      </c>
      <c r="C156" s="185">
        <f>C157*8</f>
        <v>440</v>
      </c>
      <c r="D156" s="185">
        <v>1</v>
      </c>
      <c r="E156" s="185">
        <v>1</v>
      </c>
      <c r="F156" s="185">
        <v>1</v>
      </c>
      <c r="G156" s="304">
        <v>1</v>
      </c>
      <c r="H156" s="185">
        <v>1</v>
      </c>
      <c r="I156" s="185">
        <v>1</v>
      </c>
      <c r="J156" s="185">
        <v>1</v>
      </c>
      <c r="K156" s="185">
        <v>1</v>
      </c>
      <c r="L156" s="221">
        <v>0</v>
      </c>
      <c r="M156" s="185">
        <v>1</v>
      </c>
      <c r="N156" s="304">
        <v>1</v>
      </c>
      <c r="O156" s="185">
        <v>1</v>
      </c>
      <c r="P156" s="185">
        <v>1</v>
      </c>
      <c r="Q156" s="185">
        <v>1</v>
      </c>
      <c r="R156" s="302">
        <v>0</v>
      </c>
      <c r="S156" s="185">
        <v>1</v>
      </c>
      <c r="T156" s="302">
        <v>0</v>
      </c>
      <c r="U156" s="304">
        <v>1</v>
      </c>
      <c r="V156" s="185">
        <v>1</v>
      </c>
      <c r="W156" s="185">
        <v>1</v>
      </c>
      <c r="X156" s="221">
        <v>0</v>
      </c>
      <c r="Y156" s="185">
        <v>1</v>
      </c>
      <c r="Z156" s="185">
        <v>1</v>
      </c>
      <c r="AA156" s="185">
        <v>1</v>
      </c>
      <c r="AB156" s="304">
        <v>0</v>
      </c>
      <c r="AC156" s="221">
        <v>0</v>
      </c>
      <c r="AD156" s="221">
        <v>0</v>
      </c>
      <c r="AE156" s="185">
        <v>1</v>
      </c>
      <c r="AF156" s="185">
        <v>1</v>
      </c>
      <c r="AG156" s="185">
        <v>1</v>
      </c>
      <c r="AH156" s="185">
        <v>1</v>
      </c>
      <c r="AI156" s="185">
        <f t="shared" si="234"/>
        <v>24</v>
      </c>
      <c r="AJ156" s="185">
        <v>0</v>
      </c>
      <c r="AK156" s="185">
        <v>0</v>
      </c>
      <c r="AL156" s="185">
        <f t="shared" si="235"/>
        <v>24</v>
      </c>
      <c r="AM156" s="185">
        <f t="shared" si="236"/>
        <v>10560</v>
      </c>
      <c r="AN156" s="711">
        <f t="shared" ref="AN156" si="245">AM156+AM157</f>
        <v>12760</v>
      </c>
      <c r="AO156" s="713">
        <v>0</v>
      </c>
      <c r="AP156" s="711">
        <f t="shared" ref="AP156" si="246">AN156-AO156</f>
        <v>12760</v>
      </c>
      <c r="AQ156" s="185"/>
      <c r="AR156" s="185"/>
    </row>
    <row r="157" spans="1:44" ht="14.1" customHeight="1">
      <c r="A157" s="185"/>
      <c r="B157" s="184"/>
      <c r="C157" s="185">
        <v>55</v>
      </c>
      <c r="D157" s="185">
        <v>2</v>
      </c>
      <c r="E157" s="185">
        <v>2</v>
      </c>
      <c r="F157" s="185">
        <v>2</v>
      </c>
      <c r="G157" s="304">
        <v>0</v>
      </c>
      <c r="H157" s="185">
        <v>2</v>
      </c>
      <c r="I157" s="185">
        <v>2</v>
      </c>
      <c r="J157" s="185">
        <v>2</v>
      </c>
      <c r="K157" s="185">
        <v>2</v>
      </c>
      <c r="L157" s="221">
        <v>0</v>
      </c>
      <c r="M157" s="185">
        <v>2</v>
      </c>
      <c r="N157" s="304">
        <v>0</v>
      </c>
      <c r="O157" s="185">
        <v>2</v>
      </c>
      <c r="P157" s="185">
        <v>2</v>
      </c>
      <c r="Q157" s="185">
        <v>2</v>
      </c>
      <c r="R157" s="302">
        <v>0</v>
      </c>
      <c r="S157" s="185">
        <v>2</v>
      </c>
      <c r="T157" s="302">
        <v>0</v>
      </c>
      <c r="U157" s="304">
        <v>0</v>
      </c>
      <c r="V157" s="185">
        <v>2</v>
      </c>
      <c r="W157" s="185">
        <v>2</v>
      </c>
      <c r="X157" s="221">
        <v>0</v>
      </c>
      <c r="Y157" s="185">
        <v>2</v>
      </c>
      <c r="Z157" s="185">
        <v>2</v>
      </c>
      <c r="AA157" s="185">
        <v>2</v>
      </c>
      <c r="AB157" s="304">
        <v>0</v>
      </c>
      <c r="AC157" s="221">
        <v>0</v>
      </c>
      <c r="AD157" s="221">
        <v>0</v>
      </c>
      <c r="AE157" s="185">
        <v>2</v>
      </c>
      <c r="AF157" s="185">
        <v>2</v>
      </c>
      <c r="AG157" s="185">
        <v>2</v>
      </c>
      <c r="AH157" s="185">
        <v>0</v>
      </c>
      <c r="AI157" s="185">
        <f t="shared" si="234"/>
        <v>40</v>
      </c>
      <c r="AJ157" s="185">
        <v>0</v>
      </c>
      <c r="AK157" s="185">
        <v>0</v>
      </c>
      <c r="AL157" s="185">
        <f t="shared" si="235"/>
        <v>40</v>
      </c>
      <c r="AM157" s="185">
        <f t="shared" si="236"/>
        <v>2200</v>
      </c>
      <c r="AN157" s="712"/>
      <c r="AO157" s="714"/>
      <c r="AP157" s="712"/>
      <c r="AQ157" s="185"/>
      <c r="AR157" s="185"/>
    </row>
    <row r="158" spans="1:44" ht="14.1" customHeight="1">
      <c r="A158" s="185">
        <v>10</v>
      </c>
      <c r="B158" s="184" t="s">
        <v>172</v>
      </c>
      <c r="C158" s="185">
        <f>C159*8</f>
        <v>440</v>
      </c>
      <c r="D158" s="185">
        <v>1</v>
      </c>
      <c r="E158" s="185">
        <v>1</v>
      </c>
      <c r="F158" s="221">
        <v>0</v>
      </c>
      <c r="G158" s="304">
        <v>1</v>
      </c>
      <c r="H158" s="185">
        <v>1</v>
      </c>
      <c r="I158" s="185">
        <v>1</v>
      </c>
      <c r="J158" s="185">
        <v>1</v>
      </c>
      <c r="K158" s="221">
        <v>0</v>
      </c>
      <c r="L158" s="185">
        <v>1</v>
      </c>
      <c r="M158" s="185">
        <v>1</v>
      </c>
      <c r="N158" s="304">
        <v>0</v>
      </c>
      <c r="O158" s="185">
        <v>1</v>
      </c>
      <c r="P158" s="221">
        <v>0</v>
      </c>
      <c r="Q158" s="221">
        <v>0</v>
      </c>
      <c r="R158" s="302">
        <v>0</v>
      </c>
      <c r="S158" s="221">
        <v>0</v>
      </c>
      <c r="T158" s="302">
        <v>0</v>
      </c>
      <c r="U158" s="304">
        <v>0</v>
      </c>
      <c r="V158" s="221">
        <v>0</v>
      </c>
      <c r="W158" s="221">
        <v>0</v>
      </c>
      <c r="X158" s="221">
        <v>0</v>
      </c>
      <c r="Y158" s="221">
        <v>0</v>
      </c>
      <c r="Z158" s="221">
        <v>0</v>
      </c>
      <c r="AA158" s="221">
        <v>0</v>
      </c>
      <c r="AB158" s="304">
        <v>0</v>
      </c>
      <c r="AC158" s="221">
        <v>0</v>
      </c>
      <c r="AD158" s="221">
        <v>0</v>
      </c>
      <c r="AE158" s="221">
        <v>0</v>
      </c>
      <c r="AF158" s="221">
        <v>0</v>
      </c>
      <c r="AG158" s="221">
        <v>0</v>
      </c>
      <c r="AH158" s="221">
        <v>0</v>
      </c>
      <c r="AI158" s="185">
        <f t="shared" si="234"/>
        <v>9</v>
      </c>
      <c r="AJ158" s="185">
        <v>0</v>
      </c>
      <c r="AK158" s="185">
        <v>0</v>
      </c>
      <c r="AL158" s="185">
        <f t="shared" si="235"/>
        <v>9</v>
      </c>
      <c r="AM158" s="185">
        <f t="shared" si="236"/>
        <v>3960</v>
      </c>
      <c r="AN158" s="711">
        <f t="shared" ref="AN158" si="247">AM158+AM159</f>
        <v>4840</v>
      </c>
      <c r="AO158" s="713">
        <v>0</v>
      </c>
      <c r="AP158" s="868">
        <f t="shared" ref="AP158" si="248">AN158-AO158</f>
        <v>4840</v>
      </c>
      <c r="AQ158" s="185"/>
      <c r="AR158" s="185"/>
    </row>
    <row r="159" spans="1:44" ht="14.1" customHeight="1">
      <c r="A159" s="185"/>
      <c r="B159" s="184"/>
      <c r="C159" s="185">
        <v>55</v>
      </c>
      <c r="D159" s="185">
        <v>2</v>
      </c>
      <c r="E159" s="185">
        <v>2</v>
      </c>
      <c r="F159" s="221">
        <v>0</v>
      </c>
      <c r="G159" s="304">
        <v>0</v>
      </c>
      <c r="H159" s="185">
        <v>2</v>
      </c>
      <c r="I159" s="185">
        <v>2</v>
      </c>
      <c r="J159" s="185">
        <v>2</v>
      </c>
      <c r="K159" s="221">
        <v>0</v>
      </c>
      <c r="L159" s="185">
        <v>2</v>
      </c>
      <c r="M159" s="185">
        <v>2</v>
      </c>
      <c r="N159" s="304">
        <v>0</v>
      </c>
      <c r="O159" s="185">
        <v>2</v>
      </c>
      <c r="P159" s="221">
        <v>0</v>
      </c>
      <c r="Q159" s="221">
        <v>0</v>
      </c>
      <c r="R159" s="302">
        <v>0</v>
      </c>
      <c r="S159" s="221">
        <v>0</v>
      </c>
      <c r="T159" s="302">
        <v>0</v>
      </c>
      <c r="U159" s="304">
        <v>0</v>
      </c>
      <c r="V159" s="221">
        <v>0</v>
      </c>
      <c r="W159" s="221">
        <v>0</v>
      </c>
      <c r="X159" s="221">
        <v>0</v>
      </c>
      <c r="Y159" s="221">
        <v>0</v>
      </c>
      <c r="Z159" s="221">
        <v>0</v>
      </c>
      <c r="AA159" s="221">
        <v>0</v>
      </c>
      <c r="AB159" s="304">
        <v>0</v>
      </c>
      <c r="AC159" s="221">
        <v>0</v>
      </c>
      <c r="AD159" s="221">
        <v>0</v>
      </c>
      <c r="AE159" s="221">
        <v>0</v>
      </c>
      <c r="AF159" s="221">
        <v>0</v>
      </c>
      <c r="AG159" s="221">
        <v>0</v>
      </c>
      <c r="AH159" s="221">
        <v>0</v>
      </c>
      <c r="AI159" s="185">
        <f t="shared" si="234"/>
        <v>16</v>
      </c>
      <c r="AJ159" s="185">
        <v>0</v>
      </c>
      <c r="AK159" s="185">
        <v>0</v>
      </c>
      <c r="AL159" s="185">
        <f t="shared" si="235"/>
        <v>16</v>
      </c>
      <c r="AM159" s="185">
        <f t="shared" si="236"/>
        <v>880</v>
      </c>
      <c r="AN159" s="712"/>
      <c r="AO159" s="714"/>
      <c r="AP159" s="869"/>
      <c r="AQ159" s="185"/>
      <c r="AR159" s="185"/>
    </row>
    <row r="160" spans="1:44" ht="14.1" customHeight="1">
      <c r="A160" s="185">
        <v>11</v>
      </c>
      <c r="B160" s="184" t="s">
        <v>173</v>
      </c>
      <c r="C160" s="185">
        <f>C161*8</f>
        <v>440</v>
      </c>
      <c r="D160" s="221">
        <v>0</v>
      </c>
      <c r="E160" s="221">
        <v>0</v>
      </c>
      <c r="F160" s="221">
        <v>0</v>
      </c>
      <c r="G160" s="304">
        <v>0</v>
      </c>
      <c r="H160" s="221">
        <v>0</v>
      </c>
      <c r="I160" s="221">
        <v>0</v>
      </c>
      <c r="J160" s="185">
        <v>1</v>
      </c>
      <c r="K160" s="185">
        <v>1</v>
      </c>
      <c r="L160" s="185">
        <v>1</v>
      </c>
      <c r="M160" s="185">
        <v>1</v>
      </c>
      <c r="N160" s="304">
        <v>1</v>
      </c>
      <c r="O160" s="185">
        <v>1</v>
      </c>
      <c r="P160" s="185">
        <v>1</v>
      </c>
      <c r="Q160" s="185">
        <v>1</v>
      </c>
      <c r="R160" s="302">
        <v>0</v>
      </c>
      <c r="S160" s="185">
        <v>1</v>
      </c>
      <c r="T160" s="302">
        <v>0</v>
      </c>
      <c r="U160" s="304">
        <v>1</v>
      </c>
      <c r="V160" s="221">
        <v>0</v>
      </c>
      <c r="W160" s="185">
        <v>1</v>
      </c>
      <c r="X160" s="185">
        <v>1</v>
      </c>
      <c r="Y160" s="185">
        <v>1</v>
      </c>
      <c r="Z160" s="185">
        <v>1</v>
      </c>
      <c r="AA160" s="185">
        <v>1</v>
      </c>
      <c r="AB160" s="304">
        <v>0</v>
      </c>
      <c r="AC160" s="185">
        <v>1</v>
      </c>
      <c r="AD160" s="185">
        <v>1</v>
      </c>
      <c r="AE160" s="185">
        <v>1</v>
      </c>
      <c r="AF160" s="185">
        <v>1</v>
      </c>
      <c r="AG160" s="185">
        <v>1</v>
      </c>
      <c r="AH160" s="185">
        <v>1</v>
      </c>
      <c r="AI160" s="185">
        <f t="shared" si="234"/>
        <v>21</v>
      </c>
      <c r="AJ160" s="185">
        <v>0</v>
      </c>
      <c r="AK160" s="185">
        <v>0</v>
      </c>
      <c r="AL160" s="185">
        <f t="shared" si="235"/>
        <v>21</v>
      </c>
      <c r="AM160" s="185">
        <f t="shared" si="236"/>
        <v>9240</v>
      </c>
      <c r="AN160" s="711">
        <f t="shared" ref="AN160" si="249">AM160+AM161</f>
        <v>11330</v>
      </c>
      <c r="AO160" s="713">
        <v>0</v>
      </c>
      <c r="AP160" s="711">
        <f t="shared" ref="AP160" si="250">AN160-AO160</f>
        <v>11330</v>
      </c>
      <c r="AQ160" s="185"/>
      <c r="AR160" s="185"/>
    </row>
    <row r="161" spans="1:44" ht="14.1" customHeight="1">
      <c r="A161" s="185"/>
      <c r="B161" s="184"/>
      <c r="C161" s="185">
        <v>55</v>
      </c>
      <c r="D161" s="221">
        <v>0</v>
      </c>
      <c r="E161" s="221">
        <v>0</v>
      </c>
      <c r="F161" s="221">
        <v>0</v>
      </c>
      <c r="G161" s="304">
        <v>0</v>
      </c>
      <c r="H161" s="221">
        <v>0</v>
      </c>
      <c r="I161" s="221">
        <v>0</v>
      </c>
      <c r="J161" s="185">
        <v>2</v>
      </c>
      <c r="K161" s="185">
        <v>2</v>
      </c>
      <c r="L161" s="185">
        <v>2</v>
      </c>
      <c r="M161" s="185">
        <v>2</v>
      </c>
      <c r="N161" s="304">
        <v>0</v>
      </c>
      <c r="O161" s="185">
        <v>2</v>
      </c>
      <c r="P161" s="185">
        <v>2</v>
      </c>
      <c r="Q161" s="185">
        <v>2</v>
      </c>
      <c r="R161" s="302">
        <v>0</v>
      </c>
      <c r="S161" s="185">
        <v>2</v>
      </c>
      <c r="T161" s="302">
        <v>0</v>
      </c>
      <c r="U161" s="304">
        <v>0</v>
      </c>
      <c r="V161" s="221">
        <v>0</v>
      </c>
      <c r="W161" s="185">
        <v>2</v>
      </c>
      <c r="X161" s="185">
        <v>2</v>
      </c>
      <c r="Y161" s="185">
        <v>2</v>
      </c>
      <c r="Z161" s="185">
        <v>2</v>
      </c>
      <c r="AA161" s="185">
        <v>2</v>
      </c>
      <c r="AB161" s="304">
        <v>0</v>
      </c>
      <c r="AC161" s="185">
        <v>2</v>
      </c>
      <c r="AD161" s="185">
        <v>2</v>
      </c>
      <c r="AE161" s="185">
        <v>2</v>
      </c>
      <c r="AF161" s="185">
        <v>2</v>
      </c>
      <c r="AG161" s="185">
        <v>2</v>
      </c>
      <c r="AH161" s="185">
        <v>2</v>
      </c>
      <c r="AI161" s="185">
        <f t="shared" si="234"/>
        <v>38</v>
      </c>
      <c r="AJ161" s="185">
        <v>0</v>
      </c>
      <c r="AK161" s="185">
        <v>0</v>
      </c>
      <c r="AL161" s="185">
        <f t="shared" si="235"/>
        <v>38</v>
      </c>
      <c r="AM161" s="185">
        <f t="shared" si="236"/>
        <v>2090</v>
      </c>
      <c r="AN161" s="712"/>
      <c r="AO161" s="714"/>
      <c r="AP161" s="712"/>
      <c r="AQ161" s="185"/>
      <c r="AR161" s="185"/>
    </row>
    <row r="162" spans="1:44">
      <c r="A162" s="767" t="s">
        <v>103</v>
      </c>
      <c r="B162" s="768"/>
      <c r="C162" s="291"/>
      <c r="D162" s="291">
        <f>D140+D142+D144+D146+D148+D150+D152+D154+D156+D158+D160</f>
        <v>6</v>
      </c>
      <c r="E162" s="291">
        <f t="shared" ref="E162:AM162" si="251">E140+E142+E144+E146+E148+E150+E152+E154+E156+E158+E160</f>
        <v>8.5</v>
      </c>
      <c r="F162" s="291">
        <f t="shared" si="251"/>
        <v>8.5</v>
      </c>
      <c r="G162" s="291">
        <f t="shared" si="251"/>
        <v>8</v>
      </c>
      <c r="H162" s="291">
        <f t="shared" si="251"/>
        <v>9</v>
      </c>
      <c r="I162" s="291">
        <f t="shared" si="251"/>
        <v>9</v>
      </c>
      <c r="J162" s="291">
        <f t="shared" si="251"/>
        <v>9</v>
      </c>
      <c r="K162" s="291">
        <f t="shared" si="251"/>
        <v>9</v>
      </c>
      <c r="L162" s="291">
        <f t="shared" si="251"/>
        <v>8.5</v>
      </c>
      <c r="M162" s="291">
        <f t="shared" si="251"/>
        <v>9</v>
      </c>
      <c r="N162" s="291">
        <f t="shared" si="251"/>
        <v>6</v>
      </c>
      <c r="O162" s="291">
        <f t="shared" si="251"/>
        <v>10</v>
      </c>
      <c r="P162" s="291">
        <f t="shared" si="251"/>
        <v>6</v>
      </c>
      <c r="Q162" s="291">
        <f t="shared" si="251"/>
        <v>6</v>
      </c>
      <c r="R162" s="291">
        <f t="shared" si="251"/>
        <v>0</v>
      </c>
      <c r="S162" s="291">
        <f t="shared" si="251"/>
        <v>6</v>
      </c>
      <c r="T162" s="291">
        <f t="shared" si="251"/>
        <v>0</v>
      </c>
      <c r="U162" s="291">
        <f t="shared" si="251"/>
        <v>6</v>
      </c>
      <c r="V162" s="291">
        <f t="shared" si="251"/>
        <v>5</v>
      </c>
      <c r="W162" s="291">
        <f t="shared" si="251"/>
        <v>7</v>
      </c>
      <c r="X162" s="291">
        <f t="shared" si="251"/>
        <v>6</v>
      </c>
      <c r="Y162" s="291">
        <f t="shared" si="251"/>
        <v>7</v>
      </c>
      <c r="Z162" s="291">
        <f t="shared" si="251"/>
        <v>6</v>
      </c>
      <c r="AA162" s="291">
        <f t="shared" si="251"/>
        <v>6</v>
      </c>
      <c r="AB162" s="291">
        <f t="shared" si="251"/>
        <v>0</v>
      </c>
      <c r="AC162" s="291">
        <f t="shared" si="251"/>
        <v>5</v>
      </c>
      <c r="AD162" s="291">
        <f t="shared" si="251"/>
        <v>5</v>
      </c>
      <c r="AE162" s="291">
        <f t="shared" si="251"/>
        <v>5</v>
      </c>
      <c r="AF162" s="291">
        <f t="shared" si="251"/>
        <v>7</v>
      </c>
      <c r="AG162" s="291">
        <f t="shared" si="251"/>
        <v>7</v>
      </c>
      <c r="AH162" s="291">
        <f t="shared" si="251"/>
        <v>5</v>
      </c>
      <c r="AI162" s="291">
        <f t="shared" si="251"/>
        <v>195.5</v>
      </c>
      <c r="AJ162" s="291">
        <f t="shared" si="251"/>
        <v>2.5</v>
      </c>
      <c r="AK162" s="291">
        <f t="shared" si="251"/>
        <v>0</v>
      </c>
      <c r="AL162" s="291">
        <f t="shared" si="251"/>
        <v>198</v>
      </c>
      <c r="AM162" s="291">
        <f t="shared" si="251"/>
        <v>88260</v>
      </c>
      <c r="AN162" s="255">
        <f>AN140+AN142+AN144+AN146+AN148+AN150+AN152+AN154+AN156+AN158+AN160</f>
        <v>107560</v>
      </c>
      <c r="AO162" s="318">
        <f t="shared" ref="AO162:AR162" si="252">AO140+AO144+AO146+AO148+AO150+AO154+AO142</f>
        <v>4000</v>
      </c>
      <c r="AP162" s="303">
        <f>AP140+AP142+AP144+AP146+AP148+AP150+AP152+AP154+AP156+AP158+AP160</f>
        <v>103560</v>
      </c>
      <c r="AQ162" s="291">
        <f t="shared" si="252"/>
        <v>0</v>
      </c>
      <c r="AR162" s="291">
        <f t="shared" si="252"/>
        <v>0</v>
      </c>
    </row>
    <row r="163" spans="1:44">
      <c r="A163" s="769" t="s">
        <v>106</v>
      </c>
      <c r="B163" s="770"/>
      <c r="C163" s="292"/>
      <c r="D163" s="292">
        <f>D141+D143+D145+D147+D149+D151+D153+D155+D157+D159+D161</f>
        <v>12</v>
      </c>
      <c r="E163" s="292">
        <f t="shared" ref="E163:AM163" si="253">E141+E143+E145+E147+E149+E151+E153+E155+E157+E159+E161</f>
        <v>16</v>
      </c>
      <c r="F163" s="292">
        <f t="shared" si="253"/>
        <v>18</v>
      </c>
      <c r="G163" s="292">
        <f t="shared" si="253"/>
        <v>0</v>
      </c>
      <c r="H163" s="292">
        <f t="shared" si="253"/>
        <v>18</v>
      </c>
      <c r="I163" s="292">
        <f t="shared" si="253"/>
        <v>18</v>
      </c>
      <c r="J163" s="292">
        <f t="shared" si="253"/>
        <v>18</v>
      </c>
      <c r="K163" s="292">
        <f t="shared" si="253"/>
        <v>18</v>
      </c>
      <c r="L163" s="292">
        <f t="shared" si="253"/>
        <v>16</v>
      </c>
      <c r="M163" s="292">
        <f t="shared" si="253"/>
        <v>18</v>
      </c>
      <c r="N163" s="292">
        <f t="shared" si="253"/>
        <v>0</v>
      </c>
      <c r="O163" s="292">
        <f t="shared" si="253"/>
        <v>20</v>
      </c>
      <c r="P163" s="292">
        <f t="shared" si="253"/>
        <v>14</v>
      </c>
      <c r="Q163" s="292">
        <f t="shared" si="253"/>
        <v>12</v>
      </c>
      <c r="R163" s="292">
        <f t="shared" si="253"/>
        <v>0</v>
      </c>
      <c r="S163" s="292">
        <f t="shared" si="253"/>
        <v>12</v>
      </c>
      <c r="T163" s="292">
        <f t="shared" si="253"/>
        <v>0</v>
      </c>
      <c r="U163" s="292">
        <f t="shared" si="253"/>
        <v>0</v>
      </c>
      <c r="V163" s="292">
        <f t="shared" si="253"/>
        <v>10</v>
      </c>
      <c r="W163" s="292">
        <f t="shared" si="253"/>
        <v>14</v>
      </c>
      <c r="X163" s="292">
        <f t="shared" si="253"/>
        <v>12</v>
      </c>
      <c r="Y163" s="292">
        <f t="shared" si="253"/>
        <v>14</v>
      </c>
      <c r="Z163" s="292">
        <f t="shared" si="253"/>
        <v>12</v>
      </c>
      <c r="AA163" s="292">
        <f t="shared" si="253"/>
        <v>12</v>
      </c>
      <c r="AB163" s="292">
        <f t="shared" si="253"/>
        <v>0</v>
      </c>
      <c r="AC163" s="292">
        <f t="shared" si="253"/>
        <v>10</v>
      </c>
      <c r="AD163" s="292">
        <f t="shared" si="253"/>
        <v>10</v>
      </c>
      <c r="AE163" s="292">
        <f t="shared" si="253"/>
        <v>10</v>
      </c>
      <c r="AF163" s="292">
        <f t="shared" si="253"/>
        <v>10</v>
      </c>
      <c r="AG163" s="292">
        <f t="shared" si="253"/>
        <v>14</v>
      </c>
      <c r="AH163" s="292">
        <f t="shared" si="253"/>
        <v>8</v>
      </c>
      <c r="AI163" s="292">
        <f t="shared" si="253"/>
        <v>346</v>
      </c>
      <c r="AJ163" s="292">
        <f t="shared" si="253"/>
        <v>0</v>
      </c>
      <c r="AK163" s="292">
        <f t="shared" si="253"/>
        <v>0</v>
      </c>
      <c r="AL163" s="292">
        <f t="shared" si="253"/>
        <v>346</v>
      </c>
      <c r="AM163" s="292">
        <f t="shared" si="253"/>
        <v>19300</v>
      </c>
      <c r="AN163" s="292">
        <f t="shared" ref="AN163:AR163" si="254">AN141+AN143+AN145+AN147+AN149++AN153+AN155</f>
        <v>0</v>
      </c>
      <c r="AO163" s="292">
        <f t="shared" si="254"/>
        <v>0</v>
      </c>
      <c r="AP163" s="292">
        <f t="shared" si="254"/>
        <v>0</v>
      </c>
      <c r="AQ163" s="292">
        <f t="shared" si="254"/>
        <v>0</v>
      </c>
      <c r="AR163" s="292">
        <f t="shared" si="254"/>
        <v>0</v>
      </c>
    </row>
    <row r="165" spans="1:44" ht="23.25">
      <c r="A165" s="773" t="s">
        <v>113</v>
      </c>
      <c r="B165" s="775" t="s">
        <v>1</v>
      </c>
      <c r="C165" s="776"/>
      <c r="D165" s="779" t="s">
        <v>175</v>
      </c>
      <c r="E165" s="780"/>
      <c r="F165" s="780"/>
      <c r="G165" s="780"/>
      <c r="H165" s="780"/>
      <c r="I165" s="780"/>
      <c r="J165" s="780"/>
      <c r="K165" s="780"/>
      <c r="L165" s="780"/>
      <c r="M165" s="780"/>
      <c r="N165" s="780"/>
      <c r="O165" s="780"/>
      <c r="P165" s="780"/>
      <c r="Q165" s="780"/>
      <c r="R165" s="780"/>
      <c r="S165" s="780"/>
      <c r="T165" s="780"/>
      <c r="U165" s="780"/>
      <c r="V165" s="780"/>
      <c r="W165" s="780"/>
      <c r="X165" s="780"/>
      <c r="Y165" s="780"/>
      <c r="Z165" s="780"/>
      <c r="AA165" s="780"/>
      <c r="AB165" s="780"/>
      <c r="AC165" s="780"/>
      <c r="AD165" s="780"/>
      <c r="AE165" s="780"/>
      <c r="AF165" s="781"/>
      <c r="AG165" s="782">
        <v>30</v>
      </c>
      <c r="AH165" s="783"/>
      <c r="AI165" s="771" t="s">
        <v>107</v>
      </c>
      <c r="AJ165" s="771" t="s">
        <v>45</v>
      </c>
      <c r="AK165" s="771" t="s">
        <v>108</v>
      </c>
      <c r="AL165" s="771" t="s">
        <v>112</v>
      </c>
      <c r="AM165" s="784" t="s">
        <v>7</v>
      </c>
      <c r="AN165" s="785"/>
      <c r="AO165" s="771" t="s">
        <v>93</v>
      </c>
      <c r="AP165" s="771" t="s">
        <v>109</v>
      </c>
      <c r="AQ165" s="771" t="s">
        <v>33</v>
      </c>
      <c r="AR165" s="771" t="s">
        <v>111</v>
      </c>
    </row>
    <row r="166" spans="1:44">
      <c r="A166" s="774"/>
      <c r="B166" s="777"/>
      <c r="C166" s="778"/>
      <c r="D166" s="313">
        <v>1</v>
      </c>
      <c r="E166" s="313">
        <v>2</v>
      </c>
      <c r="F166" s="313">
        <v>3</v>
      </c>
      <c r="G166" s="313">
        <v>4</v>
      </c>
      <c r="H166" s="313">
        <v>5</v>
      </c>
      <c r="I166" s="313">
        <v>6</v>
      </c>
      <c r="J166" s="313">
        <v>7</v>
      </c>
      <c r="K166" s="313">
        <v>8</v>
      </c>
      <c r="L166" s="313">
        <v>9</v>
      </c>
      <c r="M166" s="313">
        <v>10</v>
      </c>
      <c r="N166" s="313">
        <v>11</v>
      </c>
      <c r="O166" s="313">
        <v>12</v>
      </c>
      <c r="P166" s="313">
        <v>13</v>
      </c>
      <c r="Q166" s="313">
        <v>14</v>
      </c>
      <c r="R166" s="313">
        <v>15</v>
      </c>
      <c r="S166" s="313">
        <v>16</v>
      </c>
      <c r="T166" s="313">
        <v>17</v>
      </c>
      <c r="U166" s="313">
        <v>18</v>
      </c>
      <c r="V166" s="313">
        <v>19</v>
      </c>
      <c r="W166" s="313">
        <v>20</v>
      </c>
      <c r="X166" s="313">
        <v>21</v>
      </c>
      <c r="Y166" s="313">
        <v>22</v>
      </c>
      <c r="Z166" s="313">
        <v>23</v>
      </c>
      <c r="AA166" s="313">
        <v>24</v>
      </c>
      <c r="AB166" s="313">
        <v>25</v>
      </c>
      <c r="AC166" s="313">
        <v>26</v>
      </c>
      <c r="AD166" s="313">
        <v>27</v>
      </c>
      <c r="AE166" s="313">
        <v>28</v>
      </c>
      <c r="AF166" s="313">
        <v>29</v>
      </c>
      <c r="AG166" s="313">
        <v>30</v>
      </c>
      <c r="AH166" s="313">
        <v>31</v>
      </c>
      <c r="AI166" s="772"/>
      <c r="AJ166" s="772"/>
      <c r="AK166" s="772"/>
      <c r="AL166" s="772"/>
      <c r="AM166" s="786"/>
      <c r="AN166" s="787"/>
      <c r="AO166" s="772"/>
      <c r="AP166" s="772"/>
      <c r="AQ166" s="772"/>
      <c r="AR166" s="772"/>
    </row>
    <row r="167" spans="1:44">
      <c r="A167" s="185">
        <v>1</v>
      </c>
      <c r="B167" s="184" t="s">
        <v>164</v>
      </c>
      <c r="C167" s="317">
        <v>400</v>
      </c>
      <c r="D167" s="314"/>
      <c r="E167" s="185">
        <v>1</v>
      </c>
      <c r="F167" s="185">
        <v>1</v>
      </c>
      <c r="G167" s="185">
        <v>1</v>
      </c>
      <c r="H167" s="185">
        <v>1</v>
      </c>
      <c r="I167" s="185">
        <v>1</v>
      </c>
      <c r="J167" s="314"/>
      <c r="K167" s="314"/>
      <c r="L167" s="185">
        <v>1</v>
      </c>
      <c r="M167" s="185">
        <v>1</v>
      </c>
      <c r="N167" s="185">
        <v>1</v>
      </c>
      <c r="O167" s="185">
        <v>1</v>
      </c>
      <c r="P167" s="185">
        <v>1</v>
      </c>
      <c r="Q167" s="185">
        <v>1</v>
      </c>
      <c r="R167" s="314"/>
      <c r="S167" s="185">
        <v>1</v>
      </c>
      <c r="T167" s="185">
        <v>1</v>
      </c>
      <c r="U167" s="185">
        <v>1</v>
      </c>
      <c r="V167" s="185">
        <v>1</v>
      </c>
      <c r="W167" s="185">
        <v>1</v>
      </c>
      <c r="X167" s="314">
        <v>1</v>
      </c>
      <c r="Y167" s="314"/>
      <c r="Z167" s="185">
        <v>1</v>
      </c>
      <c r="AA167" s="185">
        <v>1</v>
      </c>
      <c r="AB167" s="185">
        <v>1</v>
      </c>
      <c r="AC167" s="185">
        <v>1</v>
      </c>
      <c r="AD167" s="185">
        <v>1</v>
      </c>
      <c r="AE167" s="185">
        <v>1</v>
      </c>
      <c r="AF167" s="314"/>
      <c r="AG167" s="185">
        <v>1</v>
      </c>
      <c r="AH167" s="314"/>
      <c r="AI167" s="185">
        <f t="shared" ref="AI167:AI168" si="255">SUM(D167:AH167)</f>
        <v>24</v>
      </c>
      <c r="AJ167" s="185">
        <v>5</v>
      </c>
      <c r="AK167" s="185">
        <v>0</v>
      </c>
      <c r="AL167" s="185">
        <f t="shared" ref="AL167:AL182" si="256">AI167+AJ167-AK167</f>
        <v>29</v>
      </c>
      <c r="AM167" s="185">
        <f t="shared" ref="AM167:AM182" si="257">AL167*C167</f>
        <v>11600</v>
      </c>
      <c r="AN167" s="711">
        <f t="shared" ref="AN167" si="258">AM167+AM168</f>
        <v>14000</v>
      </c>
      <c r="AO167" s="713">
        <v>5000</v>
      </c>
      <c r="AP167" s="711">
        <f t="shared" ref="AP167" si="259">AN167-AO167</f>
        <v>9000</v>
      </c>
      <c r="AQ167" s="185"/>
      <c r="AR167" s="185"/>
    </row>
    <row r="168" spans="1:44">
      <c r="A168" s="184"/>
      <c r="B168" s="184"/>
      <c r="C168" s="317">
        <v>50</v>
      </c>
      <c r="D168" s="314"/>
      <c r="E168" s="185">
        <v>2</v>
      </c>
      <c r="F168" s="185">
        <v>2</v>
      </c>
      <c r="G168" s="185">
        <v>2</v>
      </c>
      <c r="H168" s="185">
        <v>2</v>
      </c>
      <c r="I168" s="185">
        <v>2</v>
      </c>
      <c r="J168" s="314"/>
      <c r="K168" s="314"/>
      <c r="L168" s="185">
        <v>2</v>
      </c>
      <c r="M168" s="185">
        <v>2</v>
      </c>
      <c r="N168" s="185">
        <v>2</v>
      </c>
      <c r="O168" s="185">
        <v>2</v>
      </c>
      <c r="P168" s="185">
        <v>2</v>
      </c>
      <c r="Q168" s="185">
        <v>2</v>
      </c>
      <c r="R168" s="314"/>
      <c r="S168" s="185">
        <v>2</v>
      </c>
      <c r="T168" s="185">
        <v>2</v>
      </c>
      <c r="U168" s="185">
        <v>2</v>
      </c>
      <c r="V168" s="185">
        <v>2</v>
      </c>
      <c r="W168" s="185">
        <v>2</v>
      </c>
      <c r="X168" s="314">
        <v>2</v>
      </c>
      <c r="Y168" s="314"/>
      <c r="Z168" s="185">
        <v>2</v>
      </c>
      <c r="AA168" s="185">
        <v>2</v>
      </c>
      <c r="AB168" s="185">
        <v>2</v>
      </c>
      <c r="AC168" s="185">
        <v>2</v>
      </c>
      <c r="AD168" s="185">
        <v>2</v>
      </c>
      <c r="AE168" s="185">
        <v>2</v>
      </c>
      <c r="AF168" s="314"/>
      <c r="AG168" s="185">
        <v>2</v>
      </c>
      <c r="AH168" s="314"/>
      <c r="AI168" s="185">
        <f t="shared" si="255"/>
        <v>48</v>
      </c>
      <c r="AJ168" s="185">
        <v>0</v>
      </c>
      <c r="AK168" s="185">
        <v>0</v>
      </c>
      <c r="AL168" s="185">
        <f t="shared" si="256"/>
        <v>48</v>
      </c>
      <c r="AM168" s="185">
        <f t="shared" si="257"/>
        <v>2400</v>
      </c>
      <c r="AN168" s="712"/>
      <c r="AO168" s="714"/>
      <c r="AP168" s="712"/>
      <c r="AQ168" s="185"/>
      <c r="AR168" s="185"/>
    </row>
    <row r="169" spans="1:44">
      <c r="A169" s="185">
        <v>2</v>
      </c>
      <c r="B169" s="184" t="s">
        <v>114</v>
      </c>
      <c r="C169" s="185">
        <f>C170*8</f>
        <v>480</v>
      </c>
      <c r="D169" s="314"/>
      <c r="E169" s="185">
        <v>1</v>
      </c>
      <c r="F169" s="185">
        <v>1</v>
      </c>
      <c r="G169" s="185">
        <v>1</v>
      </c>
      <c r="H169" s="185">
        <v>1</v>
      </c>
      <c r="I169" s="185">
        <v>1</v>
      </c>
      <c r="J169" s="314"/>
      <c r="K169" s="314"/>
      <c r="L169" s="185">
        <v>1</v>
      </c>
      <c r="M169" s="185">
        <v>1</v>
      </c>
      <c r="N169" s="185">
        <v>1</v>
      </c>
      <c r="O169" s="185">
        <v>1</v>
      </c>
      <c r="P169" s="319">
        <v>0</v>
      </c>
      <c r="Q169" s="185">
        <v>1</v>
      </c>
      <c r="R169" s="314"/>
      <c r="S169" s="185">
        <v>1</v>
      </c>
      <c r="T169" s="319">
        <v>0</v>
      </c>
      <c r="U169" s="185">
        <v>1</v>
      </c>
      <c r="V169" s="185">
        <v>1</v>
      </c>
      <c r="W169" s="185">
        <v>1</v>
      </c>
      <c r="X169" s="314"/>
      <c r="Y169" s="314"/>
      <c r="Z169" s="185">
        <v>1</v>
      </c>
      <c r="AA169" s="185">
        <v>1</v>
      </c>
      <c r="AB169" s="185">
        <v>1</v>
      </c>
      <c r="AC169" s="185">
        <v>1</v>
      </c>
      <c r="AD169" s="185">
        <v>1</v>
      </c>
      <c r="AE169" s="185">
        <v>1</v>
      </c>
      <c r="AF169" s="314"/>
      <c r="AG169" s="185">
        <v>1</v>
      </c>
      <c r="AH169" s="314"/>
      <c r="AI169" s="185">
        <f t="shared" ref="AI169:AI182" si="260">SUM(D169:AH169)</f>
        <v>21</v>
      </c>
      <c r="AJ169" s="185">
        <v>0</v>
      </c>
      <c r="AK169" s="185">
        <v>0</v>
      </c>
      <c r="AL169" s="185">
        <f t="shared" si="256"/>
        <v>21</v>
      </c>
      <c r="AM169" s="185">
        <f t="shared" si="257"/>
        <v>10080</v>
      </c>
      <c r="AN169" s="711">
        <f t="shared" ref="AN169" si="261">AM169+AM170</f>
        <v>12600</v>
      </c>
      <c r="AO169" s="713">
        <v>0</v>
      </c>
      <c r="AP169" s="711">
        <f t="shared" ref="AP169" si="262">AN169-AO169</f>
        <v>12600</v>
      </c>
      <c r="AQ169" s="185"/>
      <c r="AR169" s="185"/>
    </row>
    <row r="170" spans="1:44">
      <c r="A170" s="185"/>
      <c r="B170" s="184"/>
      <c r="C170" s="185">
        <v>60</v>
      </c>
      <c r="D170" s="314"/>
      <c r="E170" s="185">
        <v>2</v>
      </c>
      <c r="F170" s="185">
        <v>2</v>
      </c>
      <c r="G170" s="185">
        <v>2</v>
      </c>
      <c r="H170" s="185">
        <v>2</v>
      </c>
      <c r="I170" s="185">
        <v>2</v>
      </c>
      <c r="J170" s="314"/>
      <c r="K170" s="314"/>
      <c r="L170" s="185">
        <v>2</v>
      </c>
      <c r="M170" s="185">
        <v>2</v>
      </c>
      <c r="N170" s="185">
        <v>2</v>
      </c>
      <c r="O170" s="185">
        <v>2</v>
      </c>
      <c r="P170" s="319">
        <v>0</v>
      </c>
      <c r="Q170" s="185">
        <v>2</v>
      </c>
      <c r="R170" s="314"/>
      <c r="S170" s="185">
        <v>2</v>
      </c>
      <c r="T170" s="319">
        <v>0</v>
      </c>
      <c r="U170" s="185">
        <v>2</v>
      </c>
      <c r="V170" s="185">
        <v>2</v>
      </c>
      <c r="W170" s="185">
        <v>2</v>
      </c>
      <c r="X170" s="314"/>
      <c r="Y170" s="314"/>
      <c r="Z170" s="185">
        <v>2</v>
      </c>
      <c r="AA170" s="185">
        <v>2</v>
      </c>
      <c r="AB170" s="185">
        <v>2</v>
      </c>
      <c r="AC170" s="185">
        <v>2</v>
      </c>
      <c r="AD170" s="185">
        <v>2</v>
      </c>
      <c r="AE170" s="185">
        <v>2</v>
      </c>
      <c r="AF170" s="314"/>
      <c r="AG170" s="185">
        <v>2</v>
      </c>
      <c r="AH170" s="314"/>
      <c r="AI170" s="185">
        <f t="shared" si="260"/>
        <v>42</v>
      </c>
      <c r="AJ170" s="185">
        <v>0</v>
      </c>
      <c r="AK170" s="185">
        <v>0</v>
      </c>
      <c r="AL170" s="185">
        <f t="shared" si="256"/>
        <v>42</v>
      </c>
      <c r="AM170" s="185">
        <f t="shared" si="257"/>
        <v>2520</v>
      </c>
      <c r="AN170" s="712"/>
      <c r="AO170" s="714"/>
      <c r="AP170" s="712"/>
      <c r="AQ170" s="185"/>
      <c r="AR170" s="185"/>
    </row>
    <row r="171" spans="1:44">
      <c r="A171" s="185">
        <v>3</v>
      </c>
      <c r="B171" s="184" t="s">
        <v>167</v>
      </c>
      <c r="C171" s="185">
        <f>C172*8</f>
        <v>480</v>
      </c>
      <c r="D171" s="314"/>
      <c r="E171" s="319">
        <v>0</v>
      </c>
      <c r="F171" s="185">
        <v>1</v>
      </c>
      <c r="G171" s="185">
        <v>1</v>
      </c>
      <c r="H171" s="185">
        <v>1</v>
      </c>
      <c r="I171" s="185">
        <v>1</v>
      </c>
      <c r="J171" s="314"/>
      <c r="K171" s="314"/>
      <c r="L171" s="185">
        <v>1</v>
      </c>
      <c r="M171" s="185">
        <v>1</v>
      </c>
      <c r="N171" s="185">
        <v>1</v>
      </c>
      <c r="O171" s="185">
        <v>1</v>
      </c>
      <c r="P171" s="185">
        <v>1</v>
      </c>
      <c r="Q171" s="185">
        <v>1</v>
      </c>
      <c r="R171" s="314"/>
      <c r="S171" s="185">
        <v>1</v>
      </c>
      <c r="T171" s="185">
        <v>1</v>
      </c>
      <c r="U171" s="185">
        <v>1</v>
      </c>
      <c r="V171" s="185">
        <v>1</v>
      </c>
      <c r="W171" s="185">
        <v>1</v>
      </c>
      <c r="X171" s="314"/>
      <c r="Y171" s="314"/>
      <c r="Z171" s="185">
        <v>1</v>
      </c>
      <c r="AA171" s="319">
        <v>0</v>
      </c>
      <c r="AB171" s="319">
        <v>0</v>
      </c>
      <c r="AC171" s="185">
        <v>1</v>
      </c>
      <c r="AD171" s="185">
        <v>1</v>
      </c>
      <c r="AE171" s="185">
        <v>1</v>
      </c>
      <c r="AF171" s="314"/>
      <c r="AG171" s="185">
        <v>1</v>
      </c>
      <c r="AH171" s="314"/>
      <c r="AI171" s="185">
        <f t="shared" si="260"/>
        <v>20</v>
      </c>
      <c r="AJ171" s="185">
        <v>0</v>
      </c>
      <c r="AK171" s="185">
        <v>0</v>
      </c>
      <c r="AL171" s="185">
        <f t="shared" si="256"/>
        <v>20</v>
      </c>
      <c r="AM171" s="185">
        <f t="shared" si="257"/>
        <v>9600</v>
      </c>
      <c r="AN171" s="711">
        <f t="shared" ref="AN171" si="263">AM171+AM172</f>
        <v>11880</v>
      </c>
      <c r="AO171" s="713">
        <v>0</v>
      </c>
      <c r="AP171" s="711">
        <f t="shared" ref="AP171" si="264">AN171-AO171</f>
        <v>11880</v>
      </c>
      <c r="AQ171" s="185"/>
      <c r="AR171" s="185"/>
    </row>
    <row r="172" spans="1:44">
      <c r="A172" s="185"/>
      <c r="B172" s="184"/>
      <c r="C172" s="185">
        <v>60</v>
      </c>
      <c r="D172" s="314"/>
      <c r="E172" s="319">
        <v>0</v>
      </c>
      <c r="F172" s="185">
        <v>2</v>
      </c>
      <c r="G172" s="185">
        <v>2</v>
      </c>
      <c r="H172" s="185">
        <v>2</v>
      </c>
      <c r="I172" s="185">
        <v>2</v>
      </c>
      <c r="J172" s="314"/>
      <c r="K172" s="314"/>
      <c r="L172" s="185">
        <v>2</v>
      </c>
      <c r="M172" s="185">
        <v>2</v>
      </c>
      <c r="N172" s="185">
        <v>2</v>
      </c>
      <c r="O172" s="185">
        <v>2</v>
      </c>
      <c r="P172" s="185">
        <v>2</v>
      </c>
      <c r="Q172" s="185">
        <v>2</v>
      </c>
      <c r="R172" s="314"/>
      <c r="S172" s="319">
        <v>0</v>
      </c>
      <c r="T172" s="185">
        <v>2</v>
      </c>
      <c r="U172" s="185">
        <v>2</v>
      </c>
      <c r="V172" s="185">
        <v>2</v>
      </c>
      <c r="W172" s="185">
        <v>2</v>
      </c>
      <c r="X172" s="314"/>
      <c r="Y172" s="314"/>
      <c r="Z172" s="185">
        <v>2</v>
      </c>
      <c r="AA172" s="319">
        <v>0</v>
      </c>
      <c r="AB172" s="319">
        <v>0</v>
      </c>
      <c r="AC172" s="185">
        <v>2</v>
      </c>
      <c r="AD172" s="185">
        <v>2</v>
      </c>
      <c r="AE172" s="185">
        <v>2</v>
      </c>
      <c r="AF172" s="314"/>
      <c r="AG172" s="185">
        <v>2</v>
      </c>
      <c r="AH172" s="314"/>
      <c r="AI172" s="185">
        <f t="shared" si="260"/>
        <v>38</v>
      </c>
      <c r="AJ172" s="185">
        <v>0</v>
      </c>
      <c r="AK172" s="185">
        <v>0</v>
      </c>
      <c r="AL172" s="185">
        <f t="shared" si="256"/>
        <v>38</v>
      </c>
      <c r="AM172" s="185">
        <f t="shared" si="257"/>
        <v>2280</v>
      </c>
      <c r="AN172" s="712"/>
      <c r="AO172" s="714"/>
      <c r="AP172" s="712"/>
      <c r="AQ172" s="185"/>
      <c r="AR172" s="185"/>
    </row>
    <row r="173" spans="1:44">
      <c r="A173" s="185">
        <v>4</v>
      </c>
      <c r="B173" s="184" t="s">
        <v>169</v>
      </c>
      <c r="C173" s="185">
        <f>C174*8</f>
        <v>440</v>
      </c>
      <c r="D173" s="314"/>
      <c r="E173" s="185">
        <v>1</v>
      </c>
      <c r="F173" s="185">
        <v>1</v>
      </c>
      <c r="G173" s="185">
        <v>1</v>
      </c>
      <c r="H173" s="185">
        <v>1</v>
      </c>
      <c r="I173" s="185">
        <v>1</v>
      </c>
      <c r="J173" s="314"/>
      <c r="K173" s="314"/>
      <c r="L173" s="185">
        <v>1</v>
      </c>
      <c r="M173" s="185">
        <v>1</v>
      </c>
      <c r="N173" s="185">
        <v>1</v>
      </c>
      <c r="O173" s="185">
        <v>1</v>
      </c>
      <c r="P173" s="185">
        <v>1</v>
      </c>
      <c r="Q173" s="185">
        <v>1</v>
      </c>
      <c r="R173" s="314"/>
      <c r="S173" s="319">
        <v>0</v>
      </c>
      <c r="T173" s="185">
        <v>1</v>
      </c>
      <c r="U173" s="185">
        <v>1</v>
      </c>
      <c r="V173" s="185">
        <v>1</v>
      </c>
      <c r="W173" s="185">
        <v>1</v>
      </c>
      <c r="X173" s="314"/>
      <c r="Y173" s="314"/>
      <c r="Z173" s="185">
        <v>1</v>
      </c>
      <c r="AA173" s="185">
        <v>1</v>
      </c>
      <c r="AB173" s="185">
        <v>1</v>
      </c>
      <c r="AC173" s="185">
        <v>1</v>
      </c>
      <c r="AD173" s="185">
        <v>1</v>
      </c>
      <c r="AE173" s="185">
        <v>1</v>
      </c>
      <c r="AF173" s="314"/>
      <c r="AG173" s="185">
        <v>1</v>
      </c>
      <c r="AH173" s="314"/>
      <c r="AI173" s="185">
        <f t="shared" si="260"/>
        <v>22</v>
      </c>
      <c r="AJ173" s="185">
        <v>0</v>
      </c>
      <c r="AK173" s="185">
        <v>0</v>
      </c>
      <c r="AL173" s="185">
        <f t="shared" si="256"/>
        <v>22</v>
      </c>
      <c r="AM173" s="185">
        <f t="shared" si="257"/>
        <v>9680</v>
      </c>
      <c r="AN173" s="711">
        <f t="shared" ref="AN173" si="265">AM173+AM174</f>
        <v>12100</v>
      </c>
      <c r="AO173" s="713">
        <v>0</v>
      </c>
      <c r="AP173" s="711">
        <f t="shared" ref="AP173:AP177" si="266">AN173-AO173</f>
        <v>12100</v>
      </c>
      <c r="AQ173" s="185"/>
      <c r="AR173" s="185"/>
    </row>
    <row r="174" spans="1:44">
      <c r="A174" s="185"/>
      <c r="B174" s="184"/>
      <c r="C174" s="185">
        <v>55</v>
      </c>
      <c r="D174" s="314"/>
      <c r="E174" s="185">
        <v>2</v>
      </c>
      <c r="F174" s="185">
        <v>2</v>
      </c>
      <c r="G174" s="185">
        <v>2</v>
      </c>
      <c r="H174" s="185">
        <v>2</v>
      </c>
      <c r="I174" s="185">
        <v>2</v>
      </c>
      <c r="J174" s="314"/>
      <c r="K174" s="314"/>
      <c r="L174" s="185">
        <v>2</v>
      </c>
      <c r="M174" s="185">
        <v>2</v>
      </c>
      <c r="N174" s="185">
        <v>2</v>
      </c>
      <c r="O174" s="185">
        <v>2</v>
      </c>
      <c r="P174" s="185">
        <v>2</v>
      </c>
      <c r="Q174" s="185">
        <v>2</v>
      </c>
      <c r="R174" s="314"/>
      <c r="S174" s="319">
        <v>0</v>
      </c>
      <c r="T174" s="185">
        <v>2</v>
      </c>
      <c r="U174" s="185">
        <v>2</v>
      </c>
      <c r="V174" s="185">
        <v>2</v>
      </c>
      <c r="W174" s="185">
        <v>2</v>
      </c>
      <c r="X174" s="314"/>
      <c r="Y174" s="314"/>
      <c r="Z174" s="185">
        <v>2</v>
      </c>
      <c r="AA174" s="185">
        <v>2</v>
      </c>
      <c r="AB174" s="185">
        <v>2</v>
      </c>
      <c r="AC174" s="185">
        <v>2</v>
      </c>
      <c r="AD174" s="185">
        <v>2</v>
      </c>
      <c r="AE174" s="185">
        <v>2</v>
      </c>
      <c r="AF174" s="314"/>
      <c r="AG174" s="185">
        <v>2</v>
      </c>
      <c r="AH174" s="314"/>
      <c r="AI174" s="185">
        <f t="shared" si="260"/>
        <v>44</v>
      </c>
      <c r="AJ174" s="185">
        <v>0</v>
      </c>
      <c r="AK174" s="185">
        <v>0</v>
      </c>
      <c r="AL174" s="185">
        <f t="shared" si="256"/>
        <v>44</v>
      </c>
      <c r="AM174" s="185">
        <f t="shared" si="257"/>
        <v>2420</v>
      </c>
      <c r="AN174" s="712"/>
      <c r="AO174" s="714"/>
      <c r="AP174" s="712"/>
      <c r="AQ174" s="185"/>
      <c r="AR174" s="185"/>
    </row>
    <row r="175" spans="1:44">
      <c r="A175" s="185">
        <v>5</v>
      </c>
      <c r="B175" s="184" t="s">
        <v>173</v>
      </c>
      <c r="C175" s="185">
        <f>C176*8</f>
        <v>440</v>
      </c>
      <c r="D175" s="314"/>
      <c r="E175" s="185">
        <v>1</v>
      </c>
      <c r="F175" s="185">
        <v>1</v>
      </c>
      <c r="G175" s="185">
        <v>1</v>
      </c>
      <c r="H175" s="185">
        <v>1</v>
      </c>
      <c r="I175" s="185">
        <v>1</v>
      </c>
      <c r="J175" s="314"/>
      <c r="K175" s="314"/>
      <c r="L175" s="185">
        <v>1</v>
      </c>
      <c r="M175" s="185">
        <v>1</v>
      </c>
      <c r="N175" s="185">
        <v>1</v>
      </c>
      <c r="O175" s="185">
        <v>1</v>
      </c>
      <c r="P175" s="185">
        <v>1</v>
      </c>
      <c r="Q175" s="185">
        <v>1</v>
      </c>
      <c r="R175" s="314"/>
      <c r="S175" s="185">
        <v>1</v>
      </c>
      <c r="T175" s="185">
        <v>1</v>
      </c>
      <c r="U175" s="185">
        <v>1</v>
      </c>
      <c r="V175" s="185">
        <v>1</v>
      </c>
      <c r="W175" s="185">
        <v>1</v>
      </c>
      <c r="X175" s="314"/>
      <c r="Y175" s="314"/>
      <c r="Z175" s="185">
        <v>1</v>
      </c>
      <c r="AA175" s="185">
        <v>1</v>
      </c>
      <c r="AB175" s="185">
        <v>1</v>
      </c>
      <c r="AC175" s="185">
        <v>1</v>
      </c>
      <c r="AD175" s="185">
        <v>1</v>
      </c>
      <c r="AE175" s="185">
        <v>1</v>
      </c>
      <c r="AF175" s="314"/>
      <c r="AG175" s="185">
        <v>1</v>
      </c>
      <c r="AH175" s="314"/>
      <c r="AI175" s="185">
        <f t="shared" si="260"/>
        <v>23</v>
      </c>
      <c r="AJ175" s="185">
        <v>0</v>
      </c>
      <c r="AK175" s="185">
        <v>0</v>
      </c>
      <c r="AL175" s="185">
        <f t="shared" si="256"/>
        <v>23</v>
      </c>
      <c r="AM175" s="185">
        <f t="shared" si="257"/>
        <v>10120</v>
      </c>
      <c r="AN175" s="711">
        <f t="shared" ref="AN175" si="267">AM175+AM176</f>
        <v>12650</v>
      </c>
      <c r="AO175" s="713">
        <v>0</v>
      </c>
      <c r="AP175" s="711">
        <f t="shared" si="266"/>
        <v>12650</v>
      </c>
      <c r="AQ175" s="185"/>
      <c r="AR175" s="185"/>
    </row>
    <row r="176" spans="1:44">
      <c r="A176" s="185"/>
      <c r="B176" s="184"/>
      <c r="C176" s="185">
        <v>55</v>
      </c>
      <c r="D176" s="314"/>
      <c r="E176" s="185">
        <v>2</v>
      </c>
      <c r="F176" s="185">
        <v>2</v>
      </c>
      <c r="G176" s="185">
        <v>2</v>
      </c>
      <c r="H176" s="185">
        <v>2</v>
      </c>
      <c r="I176" s="185">
        <v>2</v>
      </c>
      <c r="J176" s="314"/>
      <c r="K176" s="314"/>
      <c r="L176" s="185">
        <v>2</v>
      </c>
      <c r="M176" s="185">
        <v>2</v>
      </c>
      <c r="N176" s="185">
        <v>2</v>
      </c>
      <c r="O176" s="185">
        <v>2</v>
      </c>
      <c r="P176" s="185">
        <v>2</v>
      </c>
      <c r="Q176" s="185">
        <v>2</v>
      </c>
      <c r="R176" s="314"/>
      <c r="S176" s="185">
        <v>2</v>
      </c>
      <c r="T176" s="185">
        <v>2</v>
      </c>
      <c r="U176" s="185">
        <v>2</v>
      </c>
      <c r="V176" s="185">
        <v>2</v>
      </c>
      <c r="W176" s="185">
        <v>2</v>
      </c>
      <c r="X176" s="314"/>
      <c r="Y176" s="314"/>
      <c r="Z176" s="185">
        <v>2</v>
      </c>
      <c r="AA176" s="185">
        <v>2</v>
      </c>
      <c r="AB176" s="185">
        <v>2</v>
      </c>
      <c r="AC176" s="185">
        <v>2</v>
      </c>
      <c r="AD176" s="185">
        <v>2</v>
      </c>
      <c r="AE176" s="185">
        <v>2</v>
      </c>
      <c r="AF176" s="314"/>
      <c r="AG176" s="185">
        <v>2</v>
      </c>
      <c r="AH176" s="314"/>
      <c r="AI176" s="185">
        <f t="shared" si="260"/>
        <v>46</v>
      </c>
      <c r="AJ176" s="185">
        <v>0</v>
      </c>
      <c r="AK176" s="185">
        <v>0</v>
      </c>
      <c r="AL176" s="185">
        <f t="shared" si="256"/>
        <v>46</v>
      </c>
      <c r="AM176" s="185">
        <f t="shared" si="257"/>
        <v>2530</v>
      </c>
      <c r="AN176" s="712"/>
      <c r="AO176" s="714"/>
      <c r="AP176" s="712"/>
      <c r="AQ176" s="185"/>
      <c r="AR176" s="185"/>
    </row>
    <row r="177" spans="1:44">
      <c r="A177" s="185">
        <v>6</v>
      </c>
      <c r="B177" s="184" t="s">
        <v>174</v>
      </c>
      <c r="C177" s="185">
        <f>C178*8</f>
        <v>440</v>
      </c>
      <c r="D177" s="314"/>
      <c r="E177" s="185">
        <v>1</v>
      </c>
      <c r="F177" s="185">
        <v>1</v>
      </c>
      <c r="G177" s="185">
        <v>1</v>
      </c>
      <c r="H177" s="185">
        <v>1</v>
      </c>
      <c r="I177" s="185">
        <v>1</v>
      </c>
      <c r="J177" s="314"/>
      <c r="K177" s="314"/>
      <c r="L177" s="185">
        <v>1</v>
      </c>
      <c r="M177" s="185">
        <v>1</v>
      </c>
      <c r="N177" s="185">
        <v>1</v>
      </c>
      <c r="O177" s="185">
        <v>1</v>
      </c>
      <c r="P177" s="185">
        <v>1</v>
      </c>
      <c r="Q177" s="185">
        <v>1</v>
      </c>
      <c r="R177" s="314"/>
      <c r="S177" s="185">
        <v>1</v>
      </c>
      <c r="T177" s="185">
        <v>1</v>
      </c>
      <c r="U177" s="185">
        <v>1</v>
      </c>
      <c r="V177" s="185">
        <v>1</v>
      </c>
      <c r="W177" s="185">
        <v>1</v>
      </c>
      <c r="X177" s="314"/>
      <c r="Y177" s="314"/>
      <c r="Z177" s="185">
        <v>1</v>
      </c>
      <c r="AA177" s="185">
        <v>1</v>
      </c>
      <c r="AB177" s="185">
        <v>1</v>
      </c>
      <c r="AC177" s="185">
        <v>1</v>
      </c>
      <c r="AD177" s="185">
        <v>1</v>
      </c>
      <c r="AE177" s="185">
        <v>1</v>
      </c>
      <c r="AF177" s="314"/>
      <c r="AG177" s="185">
        <v>1</v>
      </c>
      <c r="AH177" s="314"/>
      <c r="AI177" s="185">
        <f t="shared" si="260"/>
        <v>23</v>
      </c>
      <c r="AJ177" s="185">
        <v>0</v>
      </c>
      <c r="AK177" s="185">
        <v>0</v>
      </c>
      <c r="AL177" s="185">
        <f t="shared" si="256"/>
        <v>23</v>
      </c>
      <c r="AM177" s="185">
        <f t="shared" si="257"/>
        <v>10120</v>
      </c>
      <c r="AN177" s="711">
        <f t="shared" ref="AN177" si="268">AM177+AM178</f>
        <v>12650</v>
      </c>
      <c r="AO177" s="713">
        <v>0</v>
      </c>
      <c r="AP177" s="711">
        <f t="shared" si="266"/>
        <v>12650</v>
      </c>
      <c r="AQ177" s="185"/>
      <c r="AR177" s="185"/>
    </row>
    <row r="178" spans="1:44">
      <c r="A178" s="185"/>
      <c r="B178" s="184"/>
      <c r="C178" s="185">
        <v>55</v>
      </c>
      <c r="D178" s="314"/>
      <c r="E178" s="185">
        <v>2</v>
      </c>
      <c r="F178" s="185">
        <v>2</v>
      </c>
      <c r="G178" s="185">
        <v>2</v>
      </c>
      <c r="H178" s="185">
        <v>2</v>
      </c>
      <c r="I178" s="185">
        <v>2</v>
      </c>
      <c r="J178" s="314"/>
      <c r="K178" s="314"/>
      <c r="L178" s="185">
        <v>2</v>
      </c>
      <c r="M178" s="185">
        <v>2</v>
      </c>
      <c r="N178" s="185">
        <v>2</v>
      </c>
      <c r="O178" s="185">
        <v>2</v>
      </c>
      <c r="P178" s="185">
        <v>2</v>
      </c>
      <c r="Q178" s="185">
        <v>2</v>
      </c>
      <c r="R178" s="314"/>
      <c r="S178" s="185">
        <v>2</v>
      </c>
      <c r="T178" s="185">
        <v>2</v>
      </c>
      <c r="U178" s="185">
        <v>2</v>
      </c>
      <c r="V178" s="185">
        <v>2</v>
      </c>
      <c r="W178" s="185">
        <v>2</v>
      </c>
      <c r="X178" s="314"/>
      <c r="Y178" s="314"/>
      <c r="Z178" s="185">
        <v>2</v>
      </c>
      <c r="AA178" s="185">
        <v>2</v>
      </c>
      <c r="AB178" s="185">
        <v>2</v>
      </c>
      <c r="AC178" s="185">
        <v>2</v>
      </c>
      <c r="AD178" s="185">
        <v>2</v>
      </c>
      <c r="AE178" s="185">
        <v>2</v>
      </c>
      <c r="AF178" s="314"/>
      <c r="AG178" s="185">
        <v>2</v>
      </c>
      <c r="AH178" s="314"/>
      <c r="AI178" s="185">
        <f t="shared" si="260"/>
        <v>46</v>
      </c>
      <c r="AJ178" s="185">
        <v>0</v>
      </c>
      <c r="AK178" s="185">
        <v>0</v>
      </c>
      <c r="AL178" s="185">
        <f t="shared" si="256"/>
        <v>46</v>
      </c>
      <c r="AM178" s="185">
        <f t="shared" si="257"/>
        <v>2530</v>
      </c>
      <c r="AN178" s="712"/>
      <c r="AO178" s="714"/>
      <c r="AP178" s="712"/>
      <c r="AQ178" s="185"/>
      <c r="AR178" s="185"/>
    </row>
    <row r="179" spans="1:44">
      <c r="A179" s="185">
        <v>7</v>
      </c>
      <c r="B179" s="184" t="s">
        <v>177</v>
      </c>
      <c r="C179" s="185">
        <f>C180*8</f>
        <v>440</v>
      </c>
      <c r="D179" s="314"/>
      <c r="E179" s="319">
        <v>0</v>
      </c>
      <c r="F179" s="319">
        <v>0</v>
      </c>
      <c r="G179" s="319">
        <v>0</v>
      </c>
      <c r="H179" s="319">
        <v>0</v>
      </c>
      <c r="I179" s="319">
        <v>0</v>
      </c>
      <c r="J179" s="314"/>
      <c r="K179" s="314"/>
      <c r="L179" s="319">
        <v>0</v>
      </c>
      <c r="M179" s="319">
        <v>0</v>
      </c>
      <c r="N179" s="319">
        <v>0</v>
      </c>
      <c r="O179" s="185">
        <v>1</v>
      </c>
      <c r="P179" s="185">
        <v>1</v>
      </c>
      <c r="Q179" s="185">
        <v>1</v>
      </c>
      <c r="R179" s="314"/>
      <c r="S179" s="185">
        <v>1</v>
      </c>
      <c r="T179" s="319">
        <v>0.5</v>
      </c>
      <c r="U179" s="185">
        <v>1</v>
      </c>
      <c r="V179" s="185">
        <v>1</v>
      </c>
      <c r="W179" s="185">
        <v>1</v>
      </c>
      <c r="X179" s="314"/>
      <c r="Y179" s="314"/>
      <c r="Z179" s="185">
        <v>1</v>
      </c>
      <c r="AA179" s="185">
        <v>1</v>
      </c>
      <c r="AB179" s="185">
        <v>1</v>
      </c>
      <c r="AC179" s="319">
        <v>0</v>
      </c>
      <c r="AD179" s="185">
        <v>1</v>
      </c>
      <c r="AE179" s="185">
        <v>1</v>
      </c>
      <c r="AF179" s="314"/>
      <c r="AG179" s="185">
        <v>1</v>
      </c>
      <c r="AH179" s="314"/>
      <c r="AI179" s="185">
        <f t="shared" si="260"/>
        <v>13.5</v>
      </c>
      <c r="AJ179" s="185">
        <v>0</v>
      </c>
      <c r="AK179" s="185">
        <v>0</v>
      </c>
      <c r="AL179" s="185">
        <f t="shared" si="256"/>
        <v>13.5</v>
      </c>
      <c r="AM179" s="185">
        <f t="shared" si="257"/>
        <v>5940</v>
      </c>
      <c r="AN179" s="711">
        <f t="shared" ref="AN179" si="269">AM179+AM180</f>
        <v>7425</v>
      </c>
      <c r="AO179" s="713">
        <v>0</v>
      </c>
      <c r="AP179" s="711">
        <f t="shared" ref="AP179" si="270">AN179-AO179</f>
        <v>7425</v>
      </c>
      <c r="AQ179" s="185"/>
      <c r="AR179" s="185"/>
    </row>
    <row r="180" spans="1:44">
      <c r="A180" s="185"/>
      <c r="B180" s="184"/>
      <c r="C180" s="185">
        <v>55</v>
      </c>
      <c r="D180" s="314"/>
      <c r="E180" s="319">
        <v>0</v>
      </c>
      <c r="F180" s="319">
        <v>0</v>
      </c>
      <c r="G180" s="319">
        <v>0</v>
      </c>
      <c r="H180" s="319">
        <v>0</v>
      </c>
      <c r="I180" s="319">
        <v>0</v>
      </c>
      <c r="J180" s="314"/>
      <c r="K180" s="314"/>
      <c r="L180" s="319">
        <v>0</v>
      </c>
      <c r="M180" s="319">
        <v>0</v>
      </c>
      <c r="N180" s="319">
        <v>0</v>
      </c>
      <c r="O180" s="185">
        <v>2</v>
      </c>
      <c r="P180" s="185">
        <v>2</v>
      </c>
      <c r="Q180" s="185">
        <v>2</v>
      </c>
      <c r="R180" s="314"/>
      <c r="S180" s="185">
        <v>2</v>
      </c>
      <c r="T180" s="319">
        <v>1</v>
      </c>
      <c r="U180" s="185">
        <v>2</v>
      </c>
      <c r="V180" s="185">
        <v>2</v>
      </c>
      <c r="W180" s="185">
        <v>2</v>
      </c>
      <c r="X180" s="314"/>
      <c r="Y180" s="314"/>
      <c r="Z180" s="185">
        <v>2</v>
      </c>
      <c r="AA180" s="185">
        <v>2</v>
      </c>
      <c r="AB180" s="185">
        <v>2</v>
      </c>
      <c r="AC180" s="319">
        <v>0</v>
      </c>
      <c r="AD180" s="185">
        <v>2</v>
      </c>
      <c r="AE180" s="185">
        <v>2</v>
      </c>
      <c r="AF180" s="314"/>
      <c r="AG180" s="185">
        <v>2</v>
      </c>
      <c r="AH180" s="314"/>
      <c r="AI180" s="185">
        <f t="shared" si="260"/>
        <v>27</v>
      </c>
      <c r="AJ180" s="185">
        <v>0</v>
      </c>
      <c r="AK180" s="185">
        <v>0</v>
      </c>
      <c r="AL180" s="185">
        <f t="shared" si="256"/>
        <v>27</v>
      </c>
      <c r="AM180" s="185">
        <f t="shared" si="257"/>
        <v>1485</v>
      </c>
      <c r="AN180" s="712"/>
      <c r="AO180" s="714"/>
      <c r="AP180" s="712"/>
      <c r="AQ180" s="185"/>
      <c r="AR180" s="185"/>
    </row>
    <row r="181" spans="1:44">
      <c r="A181" s="185"/>
      <c r="B181" s="184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>
        <f t="shared" si="260"/>
        <v>0</v>
      </c>
      <c r="AJ181" s="185">
        <v>0</v>
      </c>
      <c r="AK181" s="185">
        <v>0</v>
      </c>
      <c r="AL181" s="185">
        <f t="shared" si="256"/>
        <v>0</v>
      </c>
      <c r="AM181" s="185">
        <f t="shared" si="257"/>
        <v>0</v>
      </c>
      <c r="AN181" s="711">
        <f t="shared" ref="AN181" si="271">AM181+AM182</f>
        <v>0</v>
      </c>
      <c r="AO181" s="713">
        <v>0</v>
      </c>
      <c r="AP181" s="711">
        <f t="shared" ref="AP181" si="272">AN181-AO181</f>
        <v>0</v>
      </c>
      <c r="AQ181" s="185"/>
      <c r="AR181" s="185"/>
    </row>
    <row r="182" spans="1:44">
      <c r="A182" s="185"/>
      <c r="B182" s="184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>
        <f t="shared" si="260"/>
        <v>0</v>
      </c>
      <c r="AJ182" s="185">
        <v>0</v>
      </c>
      <c r="AK182" s="185">
        <v>0</v>
      </c>
      <c r="AL182" s="185">
        <f t="shared" si="256"/>
        <v>0</v>
      </c>
      <c r="AM182" s="185">
        <f t="shared" si="257"/>
        <v>0</v>
      </c>
      <c r="AN182" s="712"/>
      <c r="AO182" s="714"/>
      <c r="AP182" s="712"/>
      <c r="AQ182" s="185"/>
      <c r="AR182" s="185"/>
    </row>
    <row r="183" spans="1:44">
      <c r="A183" s="767" t="s">
        <v>103</v>
      </c>
      <c r="B183" s="768"/>
      <c r="C183" s="291"/>
      <c r="D183" s="291">
        <f>D167+D169+D171+D173+D175+D177+D179+D181</f>
        <v>0</v>
      </c>
      <c r="E183" s="291">
        <f t="shared" ref="E183:AR183" si="273">E167+E169+E171+E173+E175+E177+E179+E181</f>
        <v>5</v>
      </c>
      <c r="F183" s="291">
        <f t="shared" si="273"/>
        <v>6</v>
      </c>
      <c r="G183" s="291">
        <f t="shared" si="273"/>
        <v>6</v>
      </c>
      <c r="H183" s="291">
        <f t="shared" si="273"/>
        <v>6</v>
      </c>
      <c r="I183" s="291">
        <f t="shared" si="273"/>
        <v>6</v>
      </c>
      <c r="J183" s="291">
        <f t="shared" si="273"/>
        <v>0</v>
      </c>
      <c r="K183" s="291">
        <f t="shared" si="273"/>
        <v>0</v>
      </c>
      <c r="L183" s="291">
        <f t="shared" si="273"/>
        <v>6</v>
      </c>
      <c r="M183" s="291">
        <f t="shared" si="273"/>
        <v>6</v>
      </c>
      <c r="N183" s="291">
        <f t="shared" si="273"/>
        <v>6</v>
      </c>
      <c r="O183" s="291">
        <f t="shared" si="273"/>
        <v>7</v>
      </c>
      <c r="P183" s="291">
        <f t="shared" si="273"/>
        <v>6</v>
      </c>
      <c r="Q183" s="291">
        <f t="shared" si="273"/>
        <v>7</v>
      </c>
      <c r="R183" s="291">
        <f t="shared" si="273"/>
        <v>0</v>
      </c>
      <c r="S183" s="291">
        <f t="shared" si="273"/>
        <v>6</v>
      </c>
      <c r="T183" s="291">
        <f t="shared" si="273"/>
        <v>5.5</v>
      </c>
      <c r="U183" s="291">
        <f t="shared" si="273"/>
        <v>7</v>
      </c>
      <c r="V183" s="291">
        <f t="shared" si="273"/>
        <v>7</v>
      </c>
      <c r="W183" s="291">
        <f t="shared" si="273"/>
        <v>7</v>
      </c>
      <c r="X183" s="291">
        <f t="shared" si="273"/>
        <v>1</v>
      </c>
      <c r="Y183" s="291">
        <f t="shared" si="273"/>
        <v>0</v>
      </c>
      <c r="Z183" s="291">
        <f t="shared" si="273"/>
        <v>7</v>
      </c>
      <c r="AA183" s="291">
        <f t="shared" si="273"/>
        <v>6</v>
      </c>
      <c r="AB183" s="291">
        <f t="shared" si="273"/>
        <v>6</v>
      </c>
      <c r="AC183" s="291">
        <f t="shared" ref="AC183" si="274">AC167+AC169+AC171+AC173+AC175+AC177+AC179+AC181</f>
        <v>6</v>
      </c>
      <c r="AD183" s="291">
        <f t="shared" si="273"/>
        <v>7</v>
      </c>
      <c r="AE183" s="291">
        <f t="shared" si="273"/>
        <v>7</v>
      </c>
      <c r="AF183" s="291">
        <f t="shared" si="273"/>
        <v>0</v>
      </c>
      <c r="AG183" s="291">
        <f t="shared" si="273"/>
        <v>7</v>
      </c>
      <c r="AH183" s="291">
        <f t="shared" si="273"/>
        <v>0</v>
      </c>
      <c r="AI183" s="291">
        <f t="shared" si="273"/>
        <v>146.5</v>
      </c>
      <c r="AJ183" s="291">
        <f t="shared" si="273"/>
        <v>5</v>
      </c>
      <c r="AK183" s="291">
        <f t="shared" si="273"/>
        <v>0</v>
      </c>
      <c r="AL183" s="291">
        <f t="shared" si="273"/>
        <v>151.5</v>
      </c>
      <c r="AM183" s="291">
        <f t="shared" si="273"/>
        <v>67140</v>
      </c>
      <c r="AN183" s="291">
        <f t="shared" si="273"/>
        <v>83305</v>
      </c>
      <c r="AO183" s="291">
        <f t="shared" si="273"/>
        <v>5000</v>
      </c>
      <c r="AP183" s="291">
        <f t="shared" si="273"/>
        <v>78305</v>
      </c>
      <c r="AQ183" s="291">
        <f t="shared" si="273"/>
        <v>0</v>
      </c>
      <c r="AR183" s="291">
        <f t="shared" si="273"/>
        <v>0</v>
      </c>
    </row>
    <row r="184" spans="1:44">
      <c r="A184" s="769" t="s">
        <v>106</v>
      </c>
      <c r="B184" s="770"/>
      <c r="C184" s="292"/>
      <c r="D184" s="292">
        <f>D168+D170+D172+D174+D176+D178+D180+D182</f>
        <v>0</v>
      </c>
      <c r="E184" s="292">
        <f t="shared" ref="E184:AR184" si="275">E168+E170+E172+E174+E176+E178+E180+E182</f>
        <v>10</v>
      </c>
      <c r="F184" s="292">
        <f t="shared" si="275"/>
        <v>12</v>
      </c>
      <c r="G184" s="292">
        <f t="shared" si="275"/>
        <v>12</v>
      </c>
      <c r="H184" s="292">
        <f t="shared" si="275"/>
        <v>12</v>
      </c>
      <c r="I184" s="292">
        <f t="shared" si="275"/>
        <v>12</v>
      </c>
      <c r="J184" s="292">
        <f t="shared" si="275"/>
        <v>0</v>
      </c>
      <c r="K184" s="292">
        <f t="shared" si="275"/>
        <v>0</v>
      </c>
      <c r="L184" s="292">
        <f t="shared" si="275"/>
        <v>12</v>
      </c>
      <c r="M184" s="292">
        <f t="shared" si="275"/>
        <v>12</v>
      </c>
      <c r="N184" s="292">
        <f t="shared" si="275"/>
        <v>12</v>
      </c>
      <c r="O184" s="292">
        <f t="shared" si="275"/>
        <v>14</v>
      </c>
      <c r="P184" s="292">
        <f t="shared" si="275"/>
        <v>12</v>
      </c>
      <c r="Q184" s="292">
        <f t="shared" si="275"/>
        <v>14</v>
      </c>
      <c r="R184" s="292">
        <f t="shared" si="275"/>
        <v>0</v>
      </c>
      <c r="S184" s="292">
        <f t="shared" si="275"/>
        <v>10</v>
      </c>
      <c r="T184" s="292">
        <f t="shared" si="275"/>
        <v>11</v>
      </c>
      <c r="U184" s="292">
        <f t="shared" si="275"/>
        <v>14</v>
      </c>
      <c r="V184" s="292">
        <f t="shared" si="275"/>
        <v>14</v>
      </c>
      <c r="W184" s="292">
        <f t="shared" si="275"/>
        <v>14</v>
      </c>
      <c r="X184" s="292">
        <f t="shared" si="275"/>
        <v>2</v>
      </c>
      <c r="Y184" s="292">
        <f t="shared" si="275"/>
        <v>0</v>
      </c>
      <c r="Z184" s="292">
        <f t="shared" si="275"/>
        <v>14</v>
      </c>
      <c r="AA184" s="292">
        <f t="shared" si="275"/>
        <v>12</v>
      </c>
      <c r="AB184" s="292">
        <f t="shared" si="275"/>
        <v>12</v>
      </c>
      <c r="AC184" s="292">
        <f t="shared" ref="AC184" si="276">AC168+AC170+AC172+AC174+AC176+AC178+AC180+AC182</f>
        <v>12</v>
      </c>
      <c r="AD184" s="292">
        <f t="shared" si="275"/>
        <v>14</v>
      </c>
      <c r="AE184" s="292">
        <f t="shared" si="275"/>
        <v>14</v>
      </c>
      <c r="AF184" s="292">
        <f t="shared" si="275"/>
        <v>0</v>
      </c>
      <c r="AG184" s="292">
        <f t="shared" si="275"/>
        <v>14</v>
      </c>
      <c r="AH184" s="292">
        <f t="shared" si="275"/>
        <v>0</v>
      </c>
      <c r="AI184" s="292">
        <f t="shared" si="275"/>
        <v>291</v>
      </c>
      <c r="AJ184" s="292">
        <f t="shared" si="275"/>
        <v>0</v>
      </c>
      <c r="AK184" s="292">
        <f t="shared" si="275"/>
        <v>0</v>
      </c>
      <c r="AL184" s="292">
        <f t="shared" si="275"/>
        <v>291</v>
      </c>
      <c r="AM184" s="292">
        <f t="shared" si="275"/>
        <v>16165</v>
      </c>
      <c r="AN184" s="292">
        <f t="shared" si="275"/>
        <v>0</v>
      </c>
      <c r="AO184" s="292">
        <f t="shared" si="275"/>
        <v>0</v>
      </c>
      <c r="AP184" s="292">
        <f t="shared" si="275"/>
        <v>0</v>
      </c>
      <c r="AQ184" s="292">
        <f t="shared" si="275"/>
        <v>0</v>
      </c>
      <c r="AR184" s="292">
        <f t="shared" si="275"/>
        <v>0</v>
      </c>
    </row>
    <row r="186" spans="1:44" ht="23.25">
      <c r="A186" s="773" t="s">
        <v>113</v>
      </c>
      <c r="B186" s="775" t="s">
        <v>1</v>
      </c>
      <c r="C186" s="776"/>
      <c r="D186" s="779" t="s">
        <v>176</v>
      </c>
      <c r="E186" s="780"/>
      <c r="F186" s="780"/>
      <c r="G186" s="780"/>
      <c r="H186" s="780"/>
      <c r="I186" s="780"/>
      <c r="J186" s="780"/>
      <c r="K186" s="780"/>
      <c r="L186" s="780"/>
      <c r="M186" s="780"/>
      <c r="N186" s="780"/>
      <c r="O186" s="780"/>
      <c r="P186" s="780"/>
      <c r="Q186" s="780"/>
      <c r="R186" s="780"/>
      <c r="S186" s="780"/>
      <c r="T186" s="780"/>
      <c r="U186" s="780"/>
      <c r="V186" s="780"/>
      <c r="W186" s="780"/>
      <c r="X186" s="780"/>
      <c r="Y186" s="780"/>
      <c r="Z186" s="780"/>
      <c r="AA186" s="780"/>
      <c r="AB186" s="780"/>
      <c r="AC186" s="780"/>
      <c r="AD186" s="780"/>
      <c r="AE186" s="780"/>
      <c r="AF186" s="781"/>
      <c r="AG186" s="782">
        <v>31</v>
      </c>
      <c r="AH186" s="783"/>
      <c r="AI186" s="771" t="s">
        <v>107</v>
      </c>
      <c r="AJ186" s="771" t="s">
        <v>45</v>
      </c>
      <c r="AK186" s="771" t="s">
        <v>108</v>
      </c>
      <c r="AL186" s="771" t="s">
        <v>112</v>
      </c>
      <c r="AM186" s="784" t="s">
        <v>7</v>
      </c>
      <c r="AN186" s="785"/>
      <c r="AO186" s="771" t="s">
        <v>93</v>
      </c>
      <c r="AP186" s="771" t="s">
        <v>109</v>
      </c>
      <c r="AQ186" s="771" t="s">
        <v>33</v>
      </c>
      <c r="AR186" s="771" t="s">
        <v>111</v>
      </c>
    </row>
    <row r="187" spans="1:44">
      <c r="A187" s="774"/>
      <c r="B187" s="777"/>
      <c r="C187" s="778"/>
      <c r="D187" s="313">
        <v>1</v>
      </c>
      <c r="E187" s="313">
        <v>2</v>
      </c>
      <c r="F187" s="313">
        <v>3</v>
      </c>
      <c r="G187" s="313">
        <v>4</v>
      </c>
      <c r="H187" s="313">
        <v>5</v>
      </c>
      <c r="I187" s="313">
        <v>6</v>
      </c>
      <c r="J187" s="313">
        <v>7</v>
      </c>
      <c r="K187" s="313">
        <v>8</v>
      </c>
      <c r="L187" s="313">
        <v>9</v>
      </c>
      <c r="M187" s="313">
        <v>10</v>
      </c>
      <c r="N187" s="313">
        <v>11</v>
      </c>
      <c r="O187" s="313">
        <v>12</v>
      </c>
      <c r="P187" s="313">
        <v>13</v>
      </c>
      <c r="Q187" s="313">
        <v>14</v>
      </c>
      <c r="R187" s="313">
        <v>15</v>
      </c>
      <c r="S187" s="313">
        <v>16</v>
      </c>
      <c r="T187" s="313">
        <v>17</v>
      </c>
      <c r="U187" s="313">
        <v>18</v>
      </c>
      <c r="V187" s="313">
        <v>19</v>
      </c>
      <c r="W187" s="313">
        <v>20</v>
      </c>
      <c r="X187" s="313">
        <v>21</v>
      </c>
      <c r="Y187" s="313">
        <v>22</v>
      </c>
      <c r="Z187" s="313">
        <v>23</v>
      </c>
      <c r="AA187" s="313">
        <v>24</v>
      </c>
      <c r="AB187" s="313">
        <v>25</v>
      </c>
      <c r="AC187" s="313">
        <v>26</v>
      </c>
      <c r="AD187" s="313">
        <v>27</v>
      </c>
      <c r="AE187" s="313">
        <v>28</v>
      </c>
      <c r="AF187" s="313">
        <v>29</v>
      </c>
      <c r="AG187" s="313">
        <v>30</v>
      </c>
      <c r="AH187" s="313">
        <v>31</v>
      </c>
      <c r="AI187" s="772"/>
      <c r="AJ187" s="772"/>
      <c r="AK187" s="772"/>
      <c r="AL187" s="772"/>
      <c r="AM187" s="786"/>
      <c r="AN187" s="787"/>
      <c r="AO187" s="772"/>
      <c r="AP187" s="772"/>
      <c r="AQ187" s="772"/>
      <c r="AR187" s="772"/>
    </row>
    <row r="188" spans="1:44">
      <c r="A188" s="185">
        <v>1</v>
      </c>
      <c r="B188" s="184" t="s">
        <v>164</v>
      </c>
      <c r="C188" s="317">
        <v>400</v>
      </c>
      <c r="D188" s="185">
        <v>1</v>
      </c>
      <c r="E188" s="314"/>
      <c r="F188" s="185">
        <v>1</v>
      </c>
      <c r="G188" s="185">
        <v>1</v>
      </c>
      <c r="H188" s="185">
        <v>1</v>
      </c>
      <c r="I188" s="314"/>
      <c r="J188" s="203">
        <v>0</v>
      </c>
      <c r="K188" s="203">
        <v>0</v>
      </c>
      <c r="L188" s="203">
        <v>0</v>
      </c>
      <c r="M188" s="203">
        <v>0.5</v>
      </c>
      <c r="N188" s="314"/>
      <c r="O188" s="314"/>
      <c r="P188" s="314"/>
      <c r="Q188" s="185">
        <v>1</v>
      </c>
      <c r="R188" s="185">
        <v>1</v>
      </c>
      <c r="S188" s="185">
        <v>1</v>
      </c>
      <c r="T188" s="185">
        <v>1</v>
      </c>
      <c r="U188" s="185">
        <v>1</v>
      </c>
      <c r="V188" s="314"/>
      <c r="W188" s="185">
        <v>1</v>
      </c>
      <c r="X188" s="203">
        <v>0.5</v>
      </c>
      <c r="Y188" s="185">
        <v>1</v>
      </c>
      <c r="Z188" s="185">
        <v>1</v>
      </c>
      <c r="AA188" s="185">
        <v>1</v>
      </c>
      <c r="AB188" s="185">
        <v>1</v>
      </c>
      <c r="AC188" s="185">
        <v>1</v>
      </c>
      <c r="AD188" s="185">
        <v>1</v>
      </c>
      <c r="AE188" s="185">
        <v>1</v>
      </c>
      <c r="AF188" s="185">
        <v>1</v>
      </c>
      <c r="AG188" s="185">
        <v>1</v>
      </c>
      <c r="AH188" s="314"/>
      <c r="AI188" s="185">
        <f t="shared" ref="AI188:AI189" si="277">SUM(D188:AH188)</f>
        <v>20</v>
      </c>
      <c r="AJ188" s="185">
        <v>6</v>
      </c>
      <c r="AK188" s="185">
        <v>0</v>
      </c>
      <c r="AL188" s="185">
        <f t="shared" ref="AL188:AL203" si="278">AI188+AJ188-AK188</f>
        <v>26</v>
      </c>
      <c r="AM188" s="185">
        <f t="shared" ref="AM188:AM203" si="279">AL188*C188</f>
        <v>10400</v>
      </c>
      <c r="AN188" s="711">
        <f t="shared" ref="AN188" si="280">AM188+AM189</f>
        <v>12400</v>
      </c>
      <c r="AO188" s="713">
        <v>0</v>
      </c>
      <c r="AP188" s="711">
        <f t="shared" ref="AP188" si="281">AN188-AO188</f>
        <v>12400</v>
      </c>
      <c r="AQ188" s="185"/>
      <c r="AR188" s="185"/>
    </row>
    <row r="189" spans="1:44">
      <c r="A189" s="184"/>
      <c r="B189" s="184"/>
      <c r="C189" s="317">
        <v>50</v>
      </c>
      <c r="D189" s="185">
        <v>2</v>
      </c>
      <c r="E189" s="314"/>
      <c r="F189" s="185">
        <v>2</v>
      </c>
      <c r="G189" s="185">
        <v>2</v>
      </c>
      <c r="H189" s="185">
        <v>2</v>
      </c>
      <c r="I189" s="314"/>
      <c r="J189" s="203">
        <v>0</v>
      </c>
      <c r="K189" s="203">
        <v>0</v>
      </c>
      <c r="L189" s="203">
        <v>0</v>
      </c>
      <c r="M189" s="203">
        <v>0</v>
      </c>
      <c r="N189" s="314"/>
      <c r="O189" s="314">
        <v>2</v>
      </c>
      <c r="P189" s="314"/>
      <c r="Q189" s="185">
        <v>2</v>
      </c>
      <c r="R189" s="185">
        <v>2</v>
      </c>
      <c r="S189" s="185">
        <v>2</v>
      </c>
      <c r="T189" s="185">
        <v>2</v>
      </c>
      <c r="U189" s="185">
        <v>2</v>
      </c>
      <c r="V189" s="314"/>
      <c r="W189" s="185">
        <v>2</v>
      </c>
      <c r="X189" s="203">
        <v>0</v>
      </c>
      <c r="Y189" s="185">
        <v>2</v>
      </c>
      <c r="Z189" s="185">
        <v>2</v>
      </c>
      <c r="AA189" s="185">
        <v>2</v>
      </c>
      <c r="AB189" s="185">
        <v>2</v>
      </c>
      <c r="AC189" s="185">
        <v>2</v>
      </c>
      <c r="AD189" s="185">
        <v>2</v>
      </c>
      <c r="AE189" s="185">
        <v>2</v>
      </c>
      <c r="AF189" s="185">
        <v>2</v>
      </c>
      <c r="AG189" s="185">
        <v>2</v>
      </c>
      <c r="AH189" s="314"/>
      <c r="AI189" s="185">
        <f t="shared" si="277"/>
        <v>40</v>
      </c>
      <c r="AJ189" s="185">
        <v>0</v>
      </c>
      <c r="AK189" s="185">
        <v>0</v>
      </c>
      <c r="AL189" s="185">
        <f t="shared" si="278"/>
        <v>40</v>
      </c>
      <c r="AM189" s="185">
        <f t="shared" si="279"/>
        <v>2000</v>
      </c>
      <c r="AN189" s="712"/>
      <c r="AO189" s="714"/>
      <c r="AP189" s="712"/>
      <c r="AQ189" s="185"/>
      <c r="AR189" s="185"/>
    </row>
    <row r="190" spans="1:44">
      <c r="A190" s="185">
        <v>2</v>
      </c>
      <c r="B190" s="184" t="s">
        <v>114</v>
      </c>
      <c r="C190" s="185">
        <f>C191*8</f>
        <v>480</v>
      </c>
      <c r="D190" s="185">
        <v>1</v>
      </c>
      <c r="E190" s="314"/>
      <c r="F190" s="185">
        <v>1</v>
      </c>
      <c r="G190" s="185">
        <v>1</v>
      </c>
      <c r="H190" s="185">
        <v>1</v>
      </c>
      <c r="I190" s="314"/>
      <c r="J190" s="203">
        <v>0</v>
      </c>
      <c r="K190" s="185">
        <v>1</v>
      </c>
      <c r="L190" s="185">
        <v>1</v>
      </c>
      <c r="M190" s="185">
        <v>1</v>
      </c>
      <c r="N190" s="314"/>
      <c r="O190" s="314"/>
      <c r="P190" s="314"/>
      <c r="Q190" s="185">
        <v>1</v>
      </c>
      <c r="R190" s="185">
        <v>1</v>
      </c>
      <c r="S190" s="185">
        <v>1</v>
      </c>
      <c r="T190" s="185">
        <v>1</v>
      </c>
      <c r="U190" s="185">
        <v>1</v>
      </c>
      <c r="V190" s="314"/>
      <c r="W190" s="185">
        <v>1</v>
      </c>
      <c r="X190" s="185">
        <v>1</v>
      </c>
      <c r="Y190" s="185">
        <v>1</v>
      </c>
      <c r="Z190" s="185">
        <v>1</v>
      </c>
      <c r="AA190" s="185">
        <v>1</v>
      </c>
      <c r="AB190" s="203">
        <v>0.5</v>
      </c>
      <c r="AC190" s="185">
        <v>1</v>
      </c>
      <c r="AD190" s="185">
        <v>1</v>
      </c>
      <c r="AE190" s="185">
        <v>1</v>
      </c>
      <c r="AF190" s="185">
        <v>1</v>
      </c>
      <c r="AG190" s="185">
        <v>1</v>
      </c>
      <c r="AH190" s="314"/>
      <c r="AI190" s="185">
        <f t="shared" ref="AI190:AI203" si="282">SUM(D190:AH190)</f>
        <v>22.5</v>
      </c>
      <c r="AJ190" s="185">
        <v>0</v>
      </c>
      <c r="AK190" s="185">
        <v>0</v>
      </c>
      <c r="AL190" s="185">
        <f t="shared" si="278"/>
        <v>22.5</v>
      </c>
      <c r="AM190" s="185">
        <f t="shared" si="279"/>
        <v>10800</v>
      </c>
      <c r="AN190" s="711">
        <f t="shared" ref="AN190" si="283">AM190+AM191</f>
        <v>13800</v>
      </c>
      <c r="AO190" s="713">
        <v>0</v>
      </c>
      <c r="AP190" s="711">
        <f t="shared" ref="AP190" si="284">AN190-AO190</f>
        <v>13800</v>
      </c>
      <c r="AQ190" s="185"/>
      <c r="AR190" s="185"/>
    </row>
    <row r="191" spans="1:44">
      <c r="A191" s="185"/>
      <c r="B191" s="184"/>
      <c r="C191" s="185">
        <v>60</v>
      </c>
      <c r="D191" s="185">
        <v>2</v>
      </c>
      <c r="E191" s="314"/>
      <c r="F191" s="185">
        <v>2</v>
      </c>
      <c r="G191" s="185">
        <v>2</v>
      </c>
      <c r="H191" s="185">
        <v>2</v>
      </c>
      <c r="I191" s="314"/>
      <c r="J191" s="203">
        <v>0</v>
      </c>
      <c r="K191" s="185">
        <v>2</v>
      </c>
      <c r="L191" s="185">
        <v>2</v>
      </c>
      <c r="M191" s="185">
        <v>2</v>
      </c>
      <c r="N191" s="314"/>
      <c r="O191" s="314">
        <v>6</v>
      </c>
      <c r="P191" s="314"/>
      <c r="Q191" s="185">
        <v>2</v>
      </c>
      <c r="R191" s="185">
        <v>2</v>
      </c>
      <c r="S191" s="185">
        <v>2</v>
      </c>
      <c r="T191" s="185">
        <v>2</v>
      </c>
      <c r="U191" s="185">
        <v>2</v>
      </c>
      <c r="V191" s="314"/>
      <c r="W191" s="185">
        <v>2</v>
      </c>
      <c r="X191" s="185">
        <v>2</v>
      </c>
      <c r="Y191" s="185">
        <v>2</v>
      </c>
      <c r="Z191" s="185">
        <v>2</v>
      </c>
      <c r="AA191" s="185">
        <v>2</v>
      </c>
      <c r="AB191" s="203">
        <v>0</v>
      </c>
      <c r="AC191" s="185">
        <v>2</v>
      </c>
      <c r="AD191" s="185">
        <v>2</v>
      </c>
      <c r="AE191" s="185">
        <v>2</v>
      </c>
      <c r="AF191" s="185">
        <v>2</v>
      </c>
      <c r="AG191" s="185">
        <v>2</v>
      </c>
      <c r="AH191" s="314"/>
      <c r="AI191" s="185">
        <f t="shared" si="282"/>
        <v>50</v>
      </c>
      <c r="AJ191" s="185">
        <v>0</v>
      </c>
      <c r="AK191" s="185">
        <v>0</v>
      </c>
      <c r="AL191" s="185">
        <f t="shared" si="278"/>
        <v>50</v>
      </c>
      <c r="AM191" s="185">
        <f t="shared" si="279"/>
        <v>3000</v>
      </c>
      <c r="AN191" s="712"/>
      <c r="AO191" s="714"/>
      <c r="AP191" s="712"/>
      <c r="AQ191" s="185"/>
      <c r="AR191" s="185"/>
    </row>
    <row r="192" spans="1:44">
      <c r="A192" s="185">
        <v>3</v>
      </c>
      <c r="B192" s="184" t="s">
        <v>167</v>
      </c>
      <c r="C192" s="185">
        <f>C193*8</f>
        <v>480</v>
      </c>
      <c r="D192" s="185">
        <v>1</v>
      </c>
      <c r="E192" s="314"/>
      <c r="F192" s="185">
        <v>1</v>
      </c>
      <c r="G192" s="185">
        <v>1</v>
      </c>
      <c r="H192" s="185">
        <v>1</v>
      </c>
      <c r="I192" s="314"/>
      <c r="J192" s="185">
        <v>1</v>
      </c>
      <c r="K192" s="185">
        <v>1</v>
      </c>
      <c r="L192" s="185">
        <v>1</v>
      </c>
      <c r="M192" s="185">
        <v>1</v>
      </c>
      <c r="N192" s="314"/>
      <c r="O192" s="314"/>
      <c r="P192" s="314"/>
      <c r="Q192" s="185">
        <v>1</v>
      </c>
      <c r="R192" s="185">
        <v>1</v>
      </c>
      <c r="S192" s="203">
        <v>0</v>
      </c>
      <c r="T192" s="185">
        <v>1</v>
      </c>
      <c r="U192" s="185">
        <v>1</v>
      </c>
      <c r="V192" s="314"/>
      <c r="W192" s="185">
        <v>1</v>
      </c>
      <c r="X192" s="185">
        <v>1</v>
      </c>
      <c r="Y192" s="185">
        <v>1</v>
      </c>
      <c r="Z192" s="185">
        <v>1</v>
      </c>
      <c r="AA192" s="185">
        <v>1</v>
      </c>
      <c r="AB192" s="185">
        <v>1</v>
      </c>
      <c r="AC192" s="185">
        <v>1</v>
      </c>
      <c r="AD192" s="185">
        <v>1</v>
      </c>
      <c r="AE192" s="185">
        <v>1</v>
      </c>
      <c r="AF192" s="185">
        <v>1</v>
      </c>
      <c r="AG192" s="185">
        <v>1</v>
      </c>
      <c r="AH192" s="314"/>
      <c r="AI192" s="185">
        <f t="shared" si="282"/>
        <v>23</v>
      </c>
      <c r="AJ192" s="185">
        <v>0</v>
      </c>
      <c r="AK192" s="185">
        <v>0</v>
      </c>
      <c r="AL192" s="185">
        <f t="shared" si="278"/>
        <v>23</v>
      </c>
      <c r="AM192" s="185">
        <f t="shared" si="279"/>
        <v>11040</v>
      </c>
      <c r="AN192" s="711">
        <f t="shared" ref="AN192" si="285">AM192+AM193</f>
        <v>13800</v>
      </c>
      <c r="AO192" s="713">
        <v>0</v>
      </c>
      <c r="AP192" s="711">
        <f t="shared" ref="AP192" si="286">AN192-AO192</f>
        <v>13800</v>
      </c>
      <c r="AQ192" s="185"/>
      <c r="AR192" s="185"/>
    </row>
    <row r="193" spans="1:44">
      <c r="A193" s="185"/>
      <c r="B193" s="184"/>
      <c r="C193" s="185">
        <v>60</v>
      </c>
      <c r="D193" s="185">
        <v>2</v>
      </c>
      <c r="E193" s="314"/>
      <c r="F193" s="185">
        <v>2</v>
      </c>
      <c r="G193" s="185">
        <v>2</v>
      </c>
      <c r="H193" s="185">
        <v>2</v>
      </c>
      <c r="I193" s="314"/>
      <c r="J193" s="185">
        <v>2</v>
      </c>
      <c r="K193" s="185">
        <v>2</v>
      </c>
      <c r="L193" s="185">
        <v>2</v>
      </c>
      <c r="M193" s="185">
        <v>2</v>
      </c>
      <c r="N193" s="314"/>
      <c r="O193" s="314"/>
      <c r="P193" s="314"/>
      <c r="Q193" s="185">
        <v>2</v>
      </c>
      <c r="R193" s="185">
        <v>2</v>
      </c>
      <c r="S193" s="203">
        <v>0</v>
      </c>
      <c r="T193" s="185">
        <v>2</v>
      </c>
      <c r="U193" s="185">
        <v>2</v>
      </c>
      <c r="V193" s="314"/>
      <c r="W193" s="185">
        <v>2</v>
      </c>
      <c r="X193" s="185">
        <v>2</v>
      </c>
      <c r="Y193" s="185">
        <v>2</v>
      </c>
      <c r="Z193" s="185">
        <v>2</v>
      </c>
      <c r="AA193" s="185">
        <v>2</v>
      </c>
      <c r="AB193" s="185">
        <v>2</v>
      </c>
      <c r="AC193" s="185">
        <v>2</v>
      </c>
      <c r="AD193" s="185">
        <v>2</v>
      </c>
      <c r="AE193" s="185">
        <v>2</v>
      </c>
      <c r="AF193" s="185">
        <v>2</v>
      </c>
      <c r="AG193" s="185">
        <v>2</v>
      </c>
      <c r="AH193" s="314"/>
      <c r="AI193" s="185">
        <f t="shared" si="282"/>
        <v>46</v>
      </c>
      <c r="AJ193" s="185">
        <v>0</v>
      </c>
      <c r="AK193" s="185">
        <v>0</v>
      </c>
      <c r="AL193" s="185">
        <f t="shared" si="278"/>
        <v>46</v>
      </c>
      <c r="AM193" s="185">
        <f t="shared" si="279"/>
        <v>2760</v>
      </c>
      <c r="AN193" s="712"/>
      <c r="AO193" s="714"/>
      <c r="AP193" s="712"/>
      <c r="AQ193" s="185"/>
      <c r="AR193" s="185"/>
    </row>
    <row r="194" spans="1:44">
      <c r="A194" s="185">
        <v>4</v>
      </c>
      <c r="B194" s="184" t="s">
        <v>174</v>
      </c>
      <c r="C194" s="185">
        <f>C195*8</f>
        <v>440</v>
      </c>
      <c r="D194" s="185">
        <v>1</v>
      </c>
      <c r="E194" s="314"/>
      <c r="F194" s="185">
        <v>1</v>
      </c>
      <c r="G194" s="185">
        <v>1</v>
      </c>
      <c r="H194" s="185">
        <v>1</v>
      </c>
      <c r="I194" s="314"/>
      <c r="J194" s="185">
        <v>1</v>
      </c>
      <c r="K194" s="185">
        <v>1</v>
      </c>
      <c r="L194" s="185">
        <v>1</v>
      </c>
      <c r="M194" s="185">
        <v>1</v>
      </c>
      <c r="N194" s="314"/>
      <c r="O194" s="314"/>
      <c r="P194" s="314"/>
      <c r="Q194" s="203">
        <v>0</v>
      </c>
      <c r="R194" s="185">
        <v>1</v>
      </c>
      <c r="S194" s="185">
        <v>1</v>
      </c>
      <c r="T194" s="185">
        <v>1</v>
      </c>
      <c r="U194" s="185">
        <v>1</v>
      </c>
      <c r="V194" s="314"/>
      <c r="W194" s="185">
        <v>1</v>
      </c>
      <c r="X194" s="185">
        <v>1</v>
      </c>
      <c r="Y194" s="185">
        <v>1</v>
      </c>
      <c r="Z194" s="203">
        <v>0</v>
      </c>
      <c r="AA194" s="185">
        <v>1</v>
      </c>
      <c r="AB194" s="185">
        <v>1</v>
      </c>
      <c r="AC194" s="185">
        <v>1</v>
      </c>
      <c r="AD194" s="185">
        <v>1</v>
      </c>
      <c r="AE194" s="185">
        <v>1</v>
      </c>
      <c r="AF194" s="185">
        <v>1</v>
      </c>
      <c r="AG194" s="185">
        <v>1</v>
      </c>
      <c r="AH194" s="314"/>
      <c r="AI194" s="185">
        <f t="shared" si="282"/>
        <v>22</v>
      </c>
      <c r="AJ194" s="185">
        <v>0</v>
      </c>
      <c r="AK194" s="185">
        <v>0</v>
      </c>
      <c r="AL194" s="185">
        <f t="shared" si="278"/>
        <v>22</v>
      </c>
      <c r="AM194" s="185">
        <f t="shared" si="279"/>
        <v>9680</v>
      </c>
      <c r="AN194" s="711">
        <f t="shared" ref="AN194" si="287">AM194+AM195</f>
        <v>11990</v>
      </c>
      <c r="AO194" s="713">
        <v>0</v>
      </c>
      <c r="AP194" s="711">
        <f t="shared" ref="AP194" si="288">AN194-AO194</f>
        <v>11990</v>
      </c>
      <c r="AQ194" s="185"/>
      <c r="AR194" s="185"/>
    </row>
    <row r="195" spans="1:44">
      <c r="A195" s="185"/>
      <c r="B195" s="184"/>
      <c r="C195" s="185">
        <v>55</v>
      </c>
      <c r="D195" s="185">
        <v>2</v>
      </c>
      <c r="E195" s="314"/>
      <c r="F195" s="185">
        <v>2</v>
      </c>
      <c r="G195" s="185">
        <v>2</v>
      </c>
      <c r="H195" s="185">
        <v>2</v>
      </c>
      <c r="I195" s="314"/>
      <c r="J195" s="185">
        <v>2</v>
      </c>
      <c r="K195" s="185">
        <v>2</v>
      </c>
      <c r="L195" s="203">
        <v>0</v>
      </c>
      <c r="M195" s="185">
        <v>2</v>
      </c>
      <c r="N195" s="314"/>
      <c r="O195" s="314"/>
      <c r="P195" s="314"/>
      <c r="Q195" s="203">
        <v>0</v>
      </c>
      <c r="R195" s="185">
        <v>2</v>
      </c>
      <c r="S195" s="185">
        <v>2</v>
      </c>
      <c r="T195" s="185">
        <v>2</v>
      </c>
      <c r="U195" s="185">
        <v>2</v>
      </c>
      <c r="V195" s="314"/>
      <c r="W195" s="185">
        <v>2</v>
      </c>
      <c r="X195" s="185">
        <v>2</v>
      </c>
      <c r="Y195" s="185">
        <v>2</v>
      </c>
      <c r="Z195" s="203">
        <v>0</v>
      </c>
      <c r="AA195" s="185">
        <v>2</v>
      </c>
      <c r="AB195" s="185">
        <v>2</v>
      </c>
      <c r="AC195" s="185">
        <v>2</v>
      </c>
      <c r="AD195" s="185">
        <v>2</v>
      </c>
      <c r="AE195" s="185">
        <v>2</v>
      </c>
      <c r="AF195" s="185">
        <v>2</v>
      </c>
      <c r="AG195" s="185">
        <v>2</v>
      </c>
      <c r="AH195" s="314"/>
      <c r="AI195" s="185">
        <f t="shared" si="282"/>
        <v>42</v>
      </c>
      <c r="AJ195" s="185">
        <v>0</v>
      </c>
      <c r="AK195" s="185">
        <v>0</v>
      </c>
      <c r="AL195" s="185">
        <f t="shared" si="278"/>
        <v>42</v>
      </c>
      <c r="AM195" s="185">
        <f t="shared" si="279"/>
        <v>2310</v>
      </c>
      <c r="AN195" s="712"/>
      <c r="AO195" s="714"/>
      <c r="AP195" s="712"/>
      <c r="AQ195" s="185"/>
      <c r="AR195" s="185"/>
    </row>
    <row r="196" spans="1:44">
      <c r="A196" s="185">
        <v>5</v>
      </c>
      <c r="B196" s="184" t="s">
        <v>177</v>
      </c>
      <c r="C196" s="185">
        <f>C197*8</f>
        <v>440</v>
      </c>
      <c r="D196" s="203">
        <v>0</v>
      </c>
      <c r="E196" s="314"/>
      <c r="F196" s="185">
        <v>1</v>
      </c>
      <c r="G196" s="185">
        <v>1</v>
      </c>
      <c r="H196" s="185">
        <v>1</v>
      </c>
      <c r="I196" s="314"/>
      <c r="J196" s="185">
        <v>1</v>
      </c>
      <c r="K196" s="185">
        <v>1</v>
      </c>
      <c r="L196" s="185">
        <v>1</v>
      </c>
      <c r="M196" s="203">
        <v>0</v>
      </c>
      <c r="N196" s="314"/>
      <c r="O196" s="314"/>
      <c r="P196" s="314"/>
      <c r="Q196" s="185">
        <v>1</v>
      </c>
      <c r="R196" s="185">
        <v>1</v>
      </c>
      <c r="S196" s="185">
        <v>1</v>
      </c>
      <c r="T196" s="185">
        <v>1</v>
      </c>
      <c r="U196" s="185">
        <v>1</v>
      </c>
      <c r="V196" s="314"/>
      <c r="W196" s="185">
        <v>1</v>
      </c>
      <c r="X196" s="185">
        <v>1</v>
      </c>
      <c r="Y196" s="185">
        <v>1</v>
      </c>
      <c r="Z196" s="203">
        <v>0</v>
      </c>
      <c r="AA196" s="185">
        <v>1</v>
      </c>
      <c r="AB196" s="185">
        <v>1</v>
      </c>
      <c r="AC196" s="185">
        <v>1</v>
      </c>
      <c r="AD196" s="185">
        <v>1</v>
      </c>
      <c r="AE196" s="185">
        <v>1</v>
      </c>
      <c r="AF196" s="185">
        <v>1</v>
      </c>
      <c r="AG196" s="185">
        <v>1</v>
      </c>
      <c r="AH196" s="314"/>
      <c r="AI196" s="185">
        <f t="shared" si="282"/>
        <v>21</v>
      </c>
      <c r="AJ196" s="185">
        <v>0</v>
      </c>
      <c r="AK196" s="185">
        <v>0</v>
      </c>
      <c r="AL196" s="185">
        <f t="shared" si="278"/>
        <v>21</v>
      </c>
      <c r="AM196" s="185">
        <f t="shared" si="279"/>
        <v>9240</v>
      </c>
      <c r="AN196" s="711">
        <f t="shared" ref="AN196" si="289">AM196+AM197</f>
        <v>11550</v>
      </c>
      <c r="AO196" s="713">
        <v>0</v>
      </c>
      <c r="AP196" s="711">
        <f t="shared" ref="AP196" si="290">AN196-AO196</f>
        <v>11550</v>
      </c>
      <c r="AQ196" s="185"/>
      <c r="AR196" s="185"/>
    </row>
    <row r="197" spans="1:44">
      <c r="A197" s="185"/>
      <c r="B197" s="184"/>
      <c r="C197" s="185">
        <v>55</v>
      </c>
      <c r="D197" s="203">
        <v>0</v>
      </c>
      <c r="E197" s="314"/>
      <c r="F197" s="185">
        <v>2</v>
      </c>
      <c r="G197" s="185">
        <v>2</v>
      </c>
      <c r="H197" s="185">
        <v>2</v>
      </c>
      <c r="I197" s="314"/>
      <c r="J197" s="185">
        <v>2</v>
      </c>
      <c r="K197" s="185">
        <v>2</v>
      </c>
      <c r="L197" s="185">
        <v>2</v>
      </c>
      <c r="M197" s="203">
        <v>0</v>
      </c>
      <c r="N197" s="314"/>
      <c r="O197" s="314"/>
      <c r="P197" s="314"/>
      <c r="Q197" s="185">
        <v>2</v>
      </c>
      <c r="R197" s="185">
        <v>2</v>
      </c>
      <c r="S197" s="185">
        <v>2</v>
      </c>
      <c r="T197" s="185">
        <v>2</v>
      </c>
      <c r="U197" s="185">
        <v>2</v>
      </c>
      <c r="V197" s="314"/>
      <c r="W197" s="185">
        <v>2</v>
      </c>
      <c r="X197" s="185">
        <v>2</v>
      </c>
      <c r="Y197" s="185">
        <v>2</v>
      </c>
      <c r="Z197" s="203">
        <v>0</v>
      </c>
      <c r="AA197" s="185">
        <v>2</v>
      </c>
      <c r="AB197" s="185">
        <v>2</v>
      </c>
      <c r="AC197" s="185">
        <v>2</v>
      </c>
      <c r="AD197" s="185">
        <v>2</v>
      </c>
      <c r="AE197" s="185">
        <v>2</v>
      </c>
      <c r="AF197" s="185">
        <v>2</v>
      </c>
      <c r="AG197" s="185">
        <v>2</v>
      </c>
      <c r="AH197" s="314"/>
      <c r="AI197" s="185">
        <f t="shared" si="282"/>
        <v>42</v>
      </c>
      <c r="AJ197" s="185">
        <v>0</v>
      </c>
      <c r="AK197" s="185">
        <v>0</v>
      </c>
      <c r="AL197" s="185">
        <f t="shared" si="278"/>
        <v>42</v>
      </c>
      <c r="AM197" s="185">
        <f t="shared" si="279"/>
        <v>2310</v>
      </c>
      <c r="AN197" s="712"/>
      <c r="AO197" s="714"/>
      <c r="AP197" s="712"/>
      <c r="AQ197" s="185"/>
      <c r="AR197" s="185"/>
    </row>
    <row r="198" spans="1:44">
      <c r="A198" s="185">
        <v>6</v>
      </c>
      <c r="B198" s="184" t="s">
        <v>140</v>
      </c>
      <c r="C198" s="185">
        <f>C199*8</f>
        <v>320</v>
      </c>
      <c r="D198" s="185">
        <v>0</v>
      </c>
      <c r="E198" s="314"/>
      <c r="F198" s="185">
        <v>0</v>
      </c>
      <c r="G198" s="185">
        <v>0</v>
      </c>
      <c r="H198" s="185">
        <v>0</v>
      </c>
      <c r="I198" s="314"/>
      <c r="J198" s="185">
        <v>0</v>
      </c>
      <c r="K198" s="185">
        <v>0</v>
      </c>
      <c r="L198" s="185">
        <v>0</v>
      </c>
      <c r="M198" s="185">
        <v>0</v>
      </c>
      <c r="N198" s="314"/>
      <c r="O198" s="314"/>
      <c r="P198" s="314"/>
      <c r="Q198" s="185">
        <v>0</v>
      </c>
      <c r="R198" s="185">
        <v>0</v>
      </c>
      <c r="S198" s="185">
        <v>0</v>
      </c>
      <c r="T198" s="185">
        <v>0</v>
      </c>
      <c r="U198" s="185">
        <v>0</v>
      </c>
      <c r="V198" s="314"/>
      <c r="W198" s="185">
        <v>1</v>
      </c>
      <c r="X198" s="185">
        <v>1</v>
      </c>
      <c r="Y198" s="185">
        <v>1</v>
      </c>
      <c r="Z198" s="185">
        <v>1</v>
      </c>
      <c r="AA198" s="185">
        <v>1</v>
      </c>
      <c r="AB198" s="185">
        <v>1</v>
      </c>
      <c r="AC198" s="203">
        <v>0</v>
      </c>
      <c r="AD198" s="203">
        <v>0</v>
      </c>
      <c r="AE198" s="185">
        <v>1</v>
      </c>
      <c r="AF198" s="185">
        <v>1</v>
      </c>
      <c r="AG198" s="185">
        <v>1</v>
      </c>
      <c r="AH198" s="314"/>
      <c r="AI198" s="185">
        <f t="shared" si="282"/>
        <v>9</v>
      </c>
      <c r="AJ198" s="185">
        <v>0</v>
      </c>
      <c r="AK198" s="185">
        <v>0</v>
      </c>
      <c r="AL198" s="185">
        <f t="shared" si="278"/>
        <v>9</v>
      </c>
      <c r="AM198" s="185">
        <f t="shared" si="279"/>
        <v>2880</v>
      </c>
      <c r="AN198" s="711">
        <f t="shared" ref="AN198" si="291">AM198+AM199</f>
        <v>3600</v>
      </c>
      <c r="AO198" s="713">
        <v>0</v>
      </c>
      <c r="AP198" s="711">
        <f t="shared" ref="AP198" si="292">AN198-AO198</f>
        <v>3600</v>
      </c>
      <c r="AQ198" s="185"/>
      <c r="AR198" s="185"/>
    </row>
    <row r="199" spans="1:44">
      <c r="A199" s="185"/>
      <c r="B199" s="184"/>
      <c r="C199" s="185">
        <v>40</v>
      </c>
      <c r="D199" s="185">
        <v>0</v>
      </c>
      <c r="E199" s="314"/>
      <c r="F199" s="185">
        <v>0</v>
      </c>
      <c r="G199" s="185">
        <v>0</v>
      </c>
      <c r="H199" s="185">
        <v>0</v>
      </c>
      <c r="I199" s="314"/>
      <c r="J199" s="185">
        <v>0</v>
      </c>
      <c r="K199" s="185">
        <v>0</v>
      </c>
      <c r="L199" s="185">
        <v>0</v>
      </c>
      <c r="M199" s="185">
        <v>0</v>
      </c>
      <c r="N199" s="314"/>
      <c r="O199" s="314"/>
      <c r="P199" s="314"/>
      <c r="Q199" s="185">
        <v>0</v>
      </c>
      <c r="R199" s="185">
        <v>0</v>
      </c>
      <c r="S199" s="185">
        <v>0</v>
      </c>
      <c r="T199" s="185">
        <v>0</v>
      </c>
      <c r="U199" s="185">
        <v>0</v>
      </c>
      <c r="V199" s="314"/>
      <c r="W199" s="185">
        <v>2</v>
      </c>
      <c r="X199" s="185">
        <v>2</v>
      </c>
      <c r="Y199" s="185">
        <v>2</v>
      </c>
      <c r="Z199" s="185">
        <v>2</v>
      </c>
      <c r="AA199" s="185">
        <v>2</v>
      </c>
      <c r="AB199" s="185">
        <v>2</v>
      </c>
      <c r="AC199" s="203">
        <v>0</v>
      </c>
      <c r="AD199" s="203">
        <v>0</v>
      </c>
      <c r="AE199" s="185">
        <v>2</v>
      </c>
      <c r="AF199" s="185">
        <v>2</v>
      </c>
      <c r="AG199" s="185">
        <v>2</v>
      </c>
      <c r="AH199" s="314"/>
      <c r="AI199" s="185">
        <f t="shared" si="282"/>
        <v>18</v>
      </c>
      <c r="AJ199" s="185">
        <v>0</v>
      </c>
      <c r="AK199" s="185">
        <v>0</v>
      </c>
      <c r="AL199" s="185">
        <f t="shared" si="278"/>
        <v>18</v>
      </c>
      <c r="AM199" s="185">
        <f t="shared" si="279"/>
        <v>720</v>
      </c>
      <c r="AN199" s="712"/>
      <c r="AO199" s="714"/>
      <c r="AP199" s="712"/>
      <c r="AQ199" s="185"/>
      <c r="AR199" s="185"/>
    </row>
    <row r="200" spans="1:44">
      <c r="A200" s="185"/>
      <c r="B200" s="184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>
        <f t="shared" si="282"/>
        <v>0</v>
      </c>
      <c r="AJ200" s="185">
        <v>0</v>
      </c>
      <c r="AK200" s="185">
        <v>0</v>
      </c>
      <c r="AL200" s="185">
        <f t="shared" si="278"/>
        <v>0</v>
      </c>
      <c r="AM200" s="185">
        <f t="shared" si="279"/>
        <v>0</v>
      </c>
      <c r="AN200" s="711">
        <f t="shared" ref="AN200" si="293">AM200+AM201</f>
        <v>0</v>
      </c>
      <c r="AO200" s="713">
        <v>0</v>
      </c>
      <c r="AP200" s="711">
        <f t="shared" ref="AP200" si="294">AN200-AO200</f>
        <v>0</v>
      </c>
      <c r="AQ200" s="185"/>
      <c r="AR200" s="185"/>
    </row>
    <row r="201" spans="1:44">
      <c r="A201" s="185"/>
      <c r="B201" s="184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>
        <f t="shared" si="282"/>
        <v>0</v>
      </c>
      <c r="AJ201" s="185">
        <v>0</v>
      </c>
      <c r="AK201" s="185">
        <v>0</v>
      </c>
      <c r="AL201" s="185">
        <f t="shared" si="278"/>
        <v>0</v>
      </c>
      <c r="AM201" s="185">
        <f t="shared" si="279"/>
        <v>0</v>
      </c>
      <c r="AN201" s="712"/>
      <c r="AO201" s="714"/>
      <c r="AP201" s="712"/>
      <c r="AQ201" s="185"/>
      <c r="AR201" s="185"/>
    </row>
    <row r="202" spans="1:44">
      <c r="A202" s="185"/>
      <c r="B202" s="184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>
        <f t="shared" si="282"/>
        <v>0</v>
      </c>
      <c r="AJ202" s="185">
        <v>0</v>
      </c>
      <c r="AK202" s="185">
        <v>0</v>
      </c>
      <c r="AL202" s="185">
        <f t="shared" si="278"/>
        <v>0</v>
      </c>
      <c r="AM202" s="185">
        <f t="shared" si="279"/>
        <v>0</v>
      </c>
      <c r="AN202" s="711">
        <f t="shared" ref="AN202" si="295">AM202+AM203</f>
        <v>0</v>
      </c>
      <c r="AO202" s="713">
        <v>0</v>
      </c>
      <c r="AP202" s="711">
        <f t="shared" ref="AP202" si="296">AN202-AO202</f>
        <v>0</v>
      </c>
      <c r="AQ202" s="185"/>
      <c r="AR202" s="185"/>
    </row>
    <row r="203" spans="1:44">
      <c r="A203" s="185"/>
      <c r="B203" s="184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>
        <f t="shared" si="282"/>
        <v>0</v>
      </c>
      <c r="AJ203" s="185">
        <v>0</v>
      </c>
      <c r="AK203" s="185">
        <v>0</v>
      </c>
      <c r="AL203" s="185">
        <f t="shared" si="278"/>
        <v>0</v>
      </c>
      <c r="AM203" s="185">
        <f t="shared" si="279"/>
        <v>0</v>
      </c>
      <c r="AN203" s="712"/>
      <c r="AO203" s="714"/>
      <c r="AP203" s="712"/>
      <c r="AQ203" s="185"/>
      <c r="AR203" s="185"/>
    </row>
    <row r="204" spans="1:44">
      <c r="A204" s="767" t="s">
        <v>103</v>
      </c>
      <c r="B204" s="768"/>
      <c r="C204" s="291"/>
      <c r="D204" s="291">
        <f>D188+D190+D192+D194+D196+D198+D200+D202</f>
        <v>4</v>
      </c>
      <c r="E204" s="291">
        <f t="shared" ref="E204:AR205" si="297">E188+E190+E192+E194+E196+E198+E200+E202</f>
        <v>0</v>
      </c>
      <c r="F204" s="291">
        <f t="shared" si="297"/>
        <v>5</v>
      </c>
      <c r="G204" s="291">
        <f t="shared" si="297"/>
        <v>5</v>
      </c>
      <c r="H204" s="291">
        <f t="shared" si="297"/>
        <v>5</v>
      </c>
      <c r="I204" s="291">
        <f t="shared" si="297"/>
        <v>0</v>
      </c>
      <c r="J204" s="291">
        <f t="shared" si="297"/>
        <v>3</v>
      </c>
      <c r="K204" s="291">
        <f t="shared" si="297"/>
        <v>4</v>
      </c>
      <c r="L204" s="291">
        <f t="shared" si="297"/>
        <v>4</v>
      </c>
      <c r="M204" s="291">
        <f t="shared" si="297"/>
        <v>3.5</v>
      </c>
      <c r="N204" s="291">
        <f t="shared" si="297"/>
        <v>0</v>
      </c>
      <c r="O204" s="291">
        <f t="shared" si="297"/>
        <v>0</v>
      </c>
      <c r="P204" s="291">
        <f t="shared" si="297"/>
        <v>0</v>
      </c>
      <c r="Q204" s="291">
        <f t="shared" si="297"/>
        <v>4</v>
      </c>
      <c r="R204" s="291">
        <f t="shared" si="297"/>
        <v>5</v>
      </c>
      <c r="S204" s="291">
        <f t="shared" si="297"/>
        <v>4</v>
      </c>
      <c r="T204" s="291">
        <f t="shared" si="297"/>
        <v>5</v>
      </c>
      <c r="U204" s="291">
        <f t="shared" si="297"/>
        <v>5</v>
      </c>
      <c r="V204" s="291">
        <f t="shared" si="297"/>
        <v>0</v>
      </c>
      <c r="W204" s="291">
        <f t="shared" si="297"/>
        <v>6</v>
      </c>
      <c r="X204" s="291">
        <f t="shared" si="297"/>
        <v>5.5</v>
      </c>
      <c r="Y204" s="291">
        <f t="shared" si="297"/>
        <v>6</v>
      </c>
      <c r="Z204" s="291">
        <f t="shared" si="297"/>
        <v>4</v>
      </c>
      <c r="AA204" s="291">
        <f t="shared" si="297"/>
        <v>6</v>
      </c>
      <c r="AB204" s="291">
        <f t="shared" si="297"/>
        <v>5.5</v>
      </c>
      <c r="AC204" s="291">
        <f t="shared" si="297"/>
        <v>5</v>
      </c>
      <c r="AD204" s="291">
        <f t="shared" si="297"/>
        <v>5</v>
      </c>
      <c r="AE204" s="291">
        <f t="shared" si="297"/>
        <v>6</v>
      </c>
      <c r="AF204" s="291">
        <f t="shared" si="297"/>
        <v>6</v>
      </c>
      <c r="AG204" s="291">
        <f t="shared" si="297"/>
        <v>6</v>
      </c>
      <c r="AH204" s="291">
        <f t="shared" si="297"/>
        <v>0</v>
      </c>
      <c r="AI204" s="291">
        <f t="shared" si="297"/>
        <v>117.5</v>
      </c>
      <c r="AJ204" s="291">
        <f t="shared" si="297"/>
        <v>6</v>
      </c>
      <c r="AK204" s="291">
        <f t="shared" si="297"/>
        <v>0</v>
      </c>
      <c r="AL204" s="291">
        <f t="shared" si="297"/>
        <v>123.5</v>
      </c>
      <c r="AM204" s="291">
        <f t="shared" si="297"/>
        <v>54040</v>
      </c>
      <c r="AN204" s="291">
        <f t="shared" si="297"/>
        <v>67140</v>
      </c>
      <c r="AO204" s="291">
        <f t="shared" si="297"/>
        <v>0</v>
      </c>
      <c r="AP204" s="291">
        <f t="shared" si="297"/>
        <v>67140</v>
      </c>
      <c r="AQ204" s="291">
        <f t="shared" si="297"/>
        <v>0</v>
      </c>
      <c r="AR204" s="291">
        <f t="shared" si="297"/>
        <v>0</v>
      </c>
    </row>
    <row r="205" spans="1:44">
      <c r="A205" s="769" t="s">
        <v>106</v>
      </c>
      <c r="B205" s="770"/>
      <c r="C205" s="292"/>
      <c r="D205" s="292">
        <f>D189+D191+D193+D195+D197+D199+D201+D203</f>
        <v>8</v>
      </c>
      <c r="E205" s="292">
        <f t="shared" ref="E205:AB205" si="298">E189+E191+E193+E195+E197+E199+E201+E203</f>
        <v>0</v>
      </c>
      <c r="F205" s="292">
        <f t="shared" si="298"/>
        <v>10</v>
      </c>
      <c r="G205" s="292">
        <f t="shared" si="298"/>
        <v>10</v>
      </c>
      <c r="H205" s="292">
        <f t="shared" si="298"/>
        <v>10</v>
      </c>
      <c r="I205" s="292">
        <f t="shared" si="298"/>
        <v>0</v>
      </c>
      <c r="J205" s="292">
        <f t="shared" si="298"/>
        <v>6</v>
      </c>
      <c r="K205" s="292">
        <f t="shared" si="298"/>
        <v>8</v>
      </c>
      <c r="L205" s="292">
        <f t="shared" si="298"/>
        <v>6</v>
      </c>
      <c r="M205" s="292">
        <f t="shared" si="298"/>
        <v>6</v>
      </c>
      <c r="N205" s="292">
        <f t="shared" si="298"/>
        <v>0</v>
      </c>
      <c r="O205" s="292">
        <f t="shared" si="298"/>
        <v>8</v>
      </c>
      <c r="P205" s="292">
        <f t="shared" si="298"/>
        <v>0</v>
      </c>
      <c r="Q205" s="292">
        <f t="shared" si="298"/>
        <v>8</v>
      </c>
      <c r="R205" s="292">
        <f t="shared" si="298"/>
        <v>10</v>
      </c>
      <c r="S205" s="292">
        <f t="shared" si="298"/>
        <v>8</v>
      </c>
      <c r="T205" s="292">
        <f t="shared" si="298"/>
        <v>10</v>
      </c>
      <c r="U205" s="292">
        <f t="shared" si="298"/>
        <v>10</v>
      </c>
      <c r="V205" s="292">
        <f t="shared" si="298"/>
        <v>0</v>
      </c>
      <c r="W205" s="292">
        <f t="shared" si="298"/>
        <v>12</v>
      </c>
      <c r="X205" s="292">
        <f t="shared" si="298"/>
        <v>10</v>
      </c>
      <c r="Y205" s="292">
        <f t="shared" si="298"/>
        <v>12</v>
      </c>
      <c r="Z205" s="292">
        <f t="shared" si="298"/>
        <v>8</v>
      </c>
      <c r="AA205" s="292">
        <f t="shared" si="298"/>
        <v>12</v>
      </c>
      <c r="AB205" s="292">
        <f t="shared" si="298"/>
        <v>10</v>
      </c>
      <c r="AC205" s="292">
        <f t="shared" si="297"/>
        <v>10</v>
      </c>
      <c r="AD205" s="292">
        <f t="shared" si="297"/>
        <v>10</v>
      </c>
      <c r="AE205" s="292">
        <f t="shared" si="297"/>
        <v>12</v>
      </c>
      <c r="AF205" s="292">
        <f t="shared" si="297"/>
        <v>12</v>
      </c>
      <c r="AG205" s="292">
        <f t="shared" si="297"/>
        <v>12</v>
      </c>
      <c r="AH205" s="292">
        <f t="shared" si="297"/>
        <v>0</v>
      </c>
      <c r="AI205" s="292">
        <f t="shared" si="297"/>
        <v>238</v>
      </c>
      <c r="AJ205" s="292">
        <f t="shared" si="297"/>
        <v>0</v>
      </c>
      <c r="AK205" s="292">
        <f t="shared" si="297"/>
        <v>0</v>
      </c>
      <c r="AL205" s="292">
        <f t="shared" si="297"/>
        <v>238</v>
      </c>
      <c r="AM205" s="292">
        <f t="shared" si="297"/>
        <v>13100</v>
      </c>
      <c r="AN205" s="292">
        <f t="shared" si="297"/>
        <v>0</v>
      </c>
      <c r="AO205" s="292">
        <f t="shared" si="297"/>
        <v>0</v>
      </c>
      <c r="AP205" s="292">
        <f t="shared" si="297"/>
        <v>0</v>
      </c>
      <c r="AQ205" s="292">
        <f t="shared" si="297"/>
        <v>0</v>
      </c>
      <c r="AR205" s="292">
        <f t="shared" si="297"/>
        <v>0</v>
      </c>
    </row>
    <row r="207" spans="1:44" ht="23.25">
      <c r="A207" s="773" t="s">
        <v>113</v>
      </c>
      <c r="B207" s="775" t="s">
        <v>1</v>
      </c>
      <c r="C207" s="776"/>
      <c r="D207" s="779" t="s">
        <v>178</v>
      </c>
      <c r="E207" s="780"/>
      <c r="F207" s="780"/>
      <c r="G207" s="780"/>
      <c r="H207" s="780"/>
      <c r="I207" s="780"/>
      <c r="J207" s="780"/>
      <c r="K207" s="780"/>
      <c r="L207" s="780"/>
      <c r="M207" s="780"/>
      <c r="N207" s="780"/>
      <c r="O207" s="780"/>
      <c r="P207" s="780"/>
      <c r="Q207" s="780"/>
      <c r="R207" s="780"/>
      <c r="S207" s="780"/>
      <c r="T207" s="780"/>
      <c r="U207" s="780"/>
      <c r="V207" s="780"/>
      <c r="W207" s="780"/>
      <c r="X207" s="780"/>
      <c r="Y207" s="780"/>
      <c r="Z207" s="780"/>
      <c r="AA207" s="780"/>
      <c r="AB207" s="780"/>
      <c r="AC207" s="780"/>
      <c r="AD207" s="780"/>
      <c r="AE207" s="780"/>
      <c r="AF207" s="781"/>
      <c r="AG207" s="782">
        <v>30</v>
      </c>
      <c r="AH207" s="783"/>
      <c r="AI207" s="771" t="s">
        <v>107</v>
      </c>
      <c r="AJ207" s="771" t="s">
        <v>45</v>
      </c>
      <c r="AK207" s="771" t="s">
        <v>108</v>
      </c>
      <c r="AL207" s="771" t="s">
        <v>112</v>
      </c>
      <c r="AM207" s="784" t="s">
        <v>7</v>
      </c>
      <c r="AN207" s="785"/>
      <c r="AO207" s="771" t="s">
        <v>93</v>
      </c>
      <c r="AP207" s="771" t="s">
        <v>109</v>
      </c>
      <c r="AQ207" s="771" t="s">
        <v>33</v>
      </c>
      <c r="AR207" s="771" t="s">
        <v>111</v>
      </c>
    </row>
    <row r="208" spans="1:44">
      <c r="A208" s="774"/>
      <c r="B208" s="777"/>
      <c r="C208" s="778"/>
      <c r="D208" s="313">
        <v>1</v>
      </c>
      <c r="E208" s="313">
        <v>2</v>
      </c>
      <c r="F208" s="313">
        <v>3</v>
      </c>
      <c r="G208" s="313">
        <v>4</v>
      </c>
      <c r="H208" s="313">
        <v>5</v>
      </c>
      <c r="I208" s="313">
        <v>6</v>
      </c>
      <c r="J208" s="313">
        <v>7</v>
      </c>
      <c r="K208" s="313">
        <v>8</v>
      </c>
      <c r="L208" s="313">
        <v>9</v>
      </c>
      <c r="M208" s="313">
        <v>10</v>
      </c>
      <c r="N208" s="313">
        <v>11</v>
      </c>
      <c r="O208" s="313">
        <v>12</v>
      </c>
      <c r="P208" s="313">
        <v>13</v>
      </c>
      <c r="Q208" s="313">
        <v>14</v>
      </c>
      <c r="R208" s="313">
        <v>15</v>
      </c>
      <c r="S208" s="313">
        <v>16</v>
      </c>
      <c r="T208" s="313">
        <v>17</v>
      </c>
      <c r="U208" s="313">
        <v>18</v>
      </c>
      <c r="V208" s="313">
        <v>19</v>
      </c>
      <c r="W208" s="313">
        <v>20</v>
      </c>
      <c r="X208" s="313">
        <v>21</v>
      </c>
      <c r="Y208" s="313">
        <v>22</v>
      </c>
      <c r="Z208" s="313">
        <v>23</v>
      </c>
      <c r="AA208" s="313">
        <v>24</v>
      </c>
      <c r="AB208" s="313">
        <v>25</v>
      </c>
      <c r="AC208" s="313">
        <v>26</v>
      </c>
      <c r="AD208" s="313">
        <v>27</v>
      </c>
      <c r="AE208" s="313">
        <v>28</v>
      </c>
      <c r="AF208" s="313">
        <v>29</v>
      </c>
      <c r="AG208" s="313">
        <v>30</v>
      </c>
      <c r="AH208" s="313">
        <v>31</v>
      </c>
      <c r="AI208" s="772"/>
      <c r="AJ208" s="772"/>
      <c r="AK208" s="772"/>
      <c r="AL208" s="772"/>
      <c r="AM208" s="786"/>
      <c r="AN208" s="787"/>
      <c r="AO208" s="772"/>
      <c r="AP208" s="772"/>
      <c r="AQ208" s="772"/>
      <c r="AR208" s="772"/>
    </row>
    <row r="209" spans="1:44">
      <c r="A209" s="185">
        <v>1</v>
      </c>
      <c r="B209" s="184" t="s">
        <v>164</v>
      </c>
      <c r="C209" s="317">
        <v>400</v>
      </c>
      <c r="D209" s="272">
        <v>0</v>
      </c>
      <c r="E209" s="272">
        <v>0</v>
      </c>
      <c r="F209" s="314"/>
      <c r="G209" s="272">
        <v>0</v>
      </c>
      <c r="H209" s="185">
        <v>1</v>
      </c>
      <c r="I209" s="185">
        <v>1</v>
      </c>
      <c r="J209" s="185">
        <v>1</v>
      </c>
      <c r="K209" s="185">
        <v>1</v>
      </c>
      <c r="L209" s="185">
        <v>1</v>
      </c>
      <c r="M209" s="289">
        <v>1</v>
      </c>
      <c r="N209" s="185">
        <v>1</v>
      </c>
      <c r="O209" s="185">
        <v>1</v>
      </c>
      <c r="P209" s="185">
        <v>1</v>
      </c>
      <c r="Q209" s="185">
        <v>1</v>
      </c>
      <c r="R209" s="185">
        <v>1</v>
      </c>
      <c r="S209" s="289">
        <v>0</v>
      </c>
      <c r="T209" s="289">
        <v>0</v>
      </c>
      <c r="U209" s="185">
        <v>1</v>
      </c>
      <c r="V209" s="185">
        <v>1</v>
      </c>
      <c r="W209" s="185">
        <v>1</v>
      </c>
      <c r="X209" s="185">
        <v>1</v>
      </c>
      <c r="Y209" s="185">
        <v>1</v>
      </c>
      <c r="Z209" s="185">
        <v>1</v>
      </c>
      <c r="AA209" s="289">
        <v>0</v>
      </c>
      <c r="AB209" s="185">
        <v>1</v>
      </c>
      <c r="AC209" s="185">
        <v>1</v>
      </c>
      <c r="AD209" s="185">
        <v>1</v>
      </c>
      <c r="AE209" s="185">
        <v>1</v>
      </c>
      <c r="AF209" s="185">
        <v>1</v>
      </c>
      <c r="AG209" s="185">
        <v>1</v>
      </c>
      <c r="AH209" s="206"/>
      <c r="AI209" s="185">
        <f t="shared" ref="AI209:AI210" si="299">SUM(D209:AH209)</f>
        <v>23</v>
      </c>
      <c r="AJ209" s="185">
        <v>3</v>
      </c>
      <c r="AK209" s="185">
        <v>0</v>
      </c>
      <c r="AL209" s="185">
        <f t="shared" ref="AL209:AL224" si="300">AI209+AJ209-AK209</f>
        <v>26</v>
      </c>
      <c r="AM209" s="185">
        <f t="shared" ref="AM209:AM224" si="301">AL209*C209</f>
        <v>10400</v>
      </c>
      <c r="AN209" s="711">
        <f t="shared" ref="AN209" si="302">AM209+AM210</f>
        <v>12900</v>
      </c>
      <c r="AO209" s="713">
        <v>0</v>
      </c>
      <c r="AP209" s="711">
        <f t="shared" ref="AP209" si="303">AN209-AO209</f>
        <v>12900</v>
      </c>
      <c r="AQ209" s="185"/>
      <c r="AR209" s="185"/>
    </row>
    <row r="210" spans="1:44">
      <c r="A210" s="184"/>
      <c r="B210" s="184"/>
      <c r="C210" s="317">
        <v>50</v>
      </c>
      <c r="D210" s="272">
        <v>0</v>
      </c>
      <c r="E210" s="272">
        <v>0</v>
      </c>
      <c r="F210" s="314"/>
      <c r="G210" s="272">
        <v>0</v>
      </c>
      <c r="H210" s="185">
        <v>2</v>
      </c>
      <c r="I210" s="185">
        <v>2</v>
      </c>
      <c r="J210" s="185">
        <v>2</v>
      </c>
      <c r="K210" s="185">
        <v>2</v>
      </c>
      <c r="L210" s="185">
        <v>2</v>
      </c>
      <c r="M210" s="289">
        <v>0</v>
      </c>
      <c r="N210" s="185">
        <v>2</v>
      </c>
      <c r="O210" s="185">
        <v>2</v>
      </c>
      <c r="P210" s="185">
        <v>2</v>
      </c>
      <c r="Q210" s="185">
        <v>2</v>
      </c>
      <c r="R210" s="185">
        <v>2</v>
      </c>
      <c r="S210" s="289">
        <v>0</v>
      </c>
      <c r="T210" s="289">
        <v>0</v>
      </c>
      <c r="U210" s="185">
        <v>2</v>
      </c>
      <c r="V210" s="185">
        <v>2</v>
      </c>
      <c r="W210" s="185">
        <v>2</v>
      </c>
      <c r="X210" s="185">
        <v>2</v>
      </c>
      <c r="Y210" s="185">
        <v>2</v>
      </c>
      <c r="Z210" s="185">
        <v>2</v>
      </c>
      <c r="AA210" s="289">
        <v>0</v>
      </c>
      <c r="AB210" s="185">
        <v>2</v>
      </c>
      <c r="AC210" s="185">
        <v>2</v>
      </c>
      <c r="AD210" s="185">
        <v>2</v>
      </c>
      <c r="AE210" s="185">
        <v>2</v>
      </c>
      <c r="AF210" s="185">
        <v>2</v>
      </c>
      <c r="AG210" s="185">
        <v>2</v>
      </c>
      <c r="AH210" s="206"/>
      <c r="AI210" s="185">
        <f t="shared" si="299"/>
        <v>44</v>
      </c>
      <c r="AJ210" s="185">
        <v>6</v>
      </c>
      <c r="AK210" s="185">
        <v>0</v>
      </c>
      <c r="AL210" s="185">
        <f t="shared" si="300"/>
        <v>50</v>
      </c>
      <c r="AM210" s="185">
        <f t="shared" si="301"/>
        <v>2500</v>
      </c>
      <c r="AN210" s="712"/>
      <c r="AO210" s="714"/>
      <c r="AP210" s="712"/>
      <c r="AQ210" s="185"/>
      <c r="AR210" s="185"/>
    </row>
    <row r="211" spans="1:44">
      <c r="A211" s="185">
        <v>2</v>
      </c>
      <c r="B211" s="184" t="s">
        <v>114</v>
      </c>
      <c r="C211" s="185">
        <f>C212*8</f>
        <v>480</v>
      </c>
      <c r="D211" s="185">
        <v>1</v>
      </c>
      <c r="E211" s="185">
        <v>1</v>
      </c>
      <c r="F211" s="314"/>
      <c r="G211" s="185">
        <v>1</v>
      </c>
      <c r="H211" s="185">
        <v>1</v>
      </c>
      <c r="I211" s="185">
        <v>1</v>
      </c>
      <c r="J211" s="185">
        <v>1</v>
      </c>
      <c r="K211" s="185">
        <v>1</v>
      </c>
      <c r="L211" s="185">
        <v>1</v>
      </c>
      <c r="M211" s="289">
        <v>1</v>
      </c>
      <c r="N211" s="185">
        <v>1</v>
      </c>
      <c r="O211" s="185">
        <v>1</v>
      </c>
      <c r="P211" s="185">
        <v>1</v>
      </c>
      <c r="Q211" s="185">
        <v>1</v>
      </c>
      <c r="R211" s="185">
        <v>1</v>
      </c>
      <c r="S211" s="289">
        <v>0</v>
      </c>
      <c r="T211" s="289">
        <v>0</v>
      </c>
      <c r="U211" s="272">
        <v>0</v>
      </c>
      <c r="V211" s="185">
        <v>1</v>
      </c>
      <c r="W211" s="185">
        <v>1</v>
      </c>
      <c r="X211" s="185">
        <v>1</v>
      </c>
      <c r="Y211" s="272">
        <v>0</v>
      </c>
      <c r="Z211" s="185">
        <v>1</v>
      </c>
      <c r="AA211" s="289">
        <v>0</v>
      </c>
      <c r="AB211" s="185">
        <v>1</v>
      </c>
      <c r="AC211" s="185">
        <v>1</v>
      </c>
      <c r="AD211" s="185">
        <v>1</v>
      </c>
      <c r="AE211" s="185">
        <v>1</v>
      </c>
      <c r="AF211" s="185">
        <v>1</v>
      </c>
      <c r="AG211" s="206"/>
      <c r="AH211" s="206"/>
      <c r="AI211" s="185">
        <f t="shared" ref="AI211:AI224" si="304">SUM(D211:AH211)</f>
        <v>23</v>
      </c>
      <c r="AJ211" s="185">
        <v>0</v>
      </c>
      <c r="AK211" s="185">
        <v>0</v>
      </c>
      <c r="AL211" s="185">
        <f t="shared" si="300"/>
        <v>23</v>
      </c>
      <c r="AM211" s="185">
        <f t="shared" si="301"/>
        <v>11040</v>
      </c>
      <c r="AN211" s="711">
        <f t="shared" ref="AN211" si="305">AM211+AM212</f>
        <v>13680</v>
      </c>
      <c r="AO211" s="713">
        <v>7000</v>
      </c>
      <c r="AP211" s="711">
        <f t="shared" ref="AP211" si="306">AN211-AO211</f>
        <v>6680</v>
      </c>
      <c r="AQ211" s="185"/>
      <c r="AR211" s="185"/>
    </row>
    <row r="212" spans="1:44">
      <c r="A212" s="185"/>
      <c r="B212" s="184"/>
      <c r="C212" s="185">
        <v>60</v>
      </c>
      <c r="D212" s="185">
        <v>2</v>
      </c>
      <c r="E212" s="185">
        <v>2</v>
      </c>
      <c r="F212" s="314"/>
      <c r="G212" s="185">
        <v>2</v>
      </c>
      <c r="H212" s="185">
        <v>2</v>
      </c>
      <c r="I212" s="185">
        <v>2</v>
      </c>
      <c r="J212" s="185">
        <v>2</v>
      </c>
      <c r="K212" s="185">
        <v>2</v>
      </c>
      <c r="L212" s="185">
        <v>2</v>
      </c>
      <c r="M212" s="289">
        <v>0</v>
      </c>
      <c r="N212" s="185">
        <v>2</v>
      </c>
      <c r="O212" s="185">
        <v>2</v>
      </c>
      <c r="P212" s="185">
        <v>2</v>
      </c>
      <c r="Q212" s="185">
        <v>2</v>
      </c>
      <c r="R212" s="185">
        <v>2</v>
      </c>
      <c r="S212" s="289">
        <v>0</v>
      </c>
      <c r="T212" s="289">
        <v>0</v>
      </c>
      <c r="U212" s="272">
        <v>0</v>
      </c>
      <c r="V212" s="185">
        <v>2</v>
      </c>
      <c r="W212" s="185">
        <v>2</v>
      </c>
      <c r="X212" s="185">
        <v>2</v>
      </c>
      <c r="Y212" s="272">
        <v>0</v>
      </c>
      <c r="Z212" s="185">
        <v>2</v>
      </c>
      <c r="AA212" s="289">
        <v>0</v>
      </c>
      <c r="AB212" s="185">
        <v>2</v>
      </c>
      <c r="AC212" s="185">
        <v>2</v>
      </c>
      <c r="AD212" s="185">
        <v>2</v>
      </c>
      <c r="AE212" s="185">
        <v>2</v>
      </c>
      <c r="AF212" s="185">
        <v>2</v>
      </c>
      <c r="AG212" s="206"/>
      <c r="AH212" s="206"/>
      <c r="AI212" s="185">
        <f t="shared" si="304"/>
        <v>44</v>
      </c>
      <c r="AJ212" s="185">
        <v>0</v>
      </c>
      <c r="AK212" s="185">
        <v>0</v>
      </c>
      <c r="AL212" s="185">
        <f t="shared" si="300"/>
        <v>44</v>
      </c>
      <c r="AM212" s="185">
        <f t="shared" si="301"/>
        <v>2640</v>
      </c>
      <c r="AN212" s="712"/>
      <c r="AO212" s="714"/>
      <c r="AP212" s="712"/>
      <c r="AQ212" s="185"/>
      <c r="AR212" s="185"/>
    </row>
    <row r="213" spans="1:44">
      <c r="A213" s="185">
        <v>3</v>
      </c>
      <c r="B213" s="184" t="s">
        <v>167</v>
      </c>
      <c r="C213" s="185">
        <f>C214*8</f>
        <v>480</v>
      </c>
      <c r="D213" s="185">
        <v>1</v>
      </c>
      <c r="E213" s="185">
        <v>1</v>
      </c>
      <c r="F213" s="314"/>
      <c r="G213" s="185">
        <v>1</v>
      </c>
      <c r="H213" s="185">
        <v>1</v>
      </c>
      <c r="I213" s="272">
        <v>0</v>
      </c>
      <c r="J213" s="185">
        <v>1</v>
      </c>
      <c r="K213" s="185">
        <v>1</v>
      </c>
      <c r="L213" s="185">
        <v>1</v>
      </c>
      <c r="M213" s="289">
        <v>1</v>
      </c>
      <c r="N213" s="185">
        <v>1</v>
      </c>
      <c r="O213" s="185">
        <v>1</v>
      </c>
      <c r="P213" s="185">
        <v>1</v>
      </c>
      <c r="Q213" s="185">
        <v>1</v>
      </c>
      <c r="R213" s="185">
        <v>1</v>
      </c>
      <c r="S213" s="289">
        <v>0</v>
      </c>
      <c r="T213" s="289">
        <v>0</v>
      </c>
      <c r="U213" s="185">
        <v>1</v>
      </c>
      <c r="V213" s="185">
        <v>1</v>
      </c>
      <c r="W213" s="185">
        <v>1</v>
      </c>
      <c r="X213" s="185">
        <v>1</v>
      </c>
      <c r="Y213" s="185">
        <v>1</v>
      </c>
      <c r="Z213" s="272">
        <v>0</v>
      </c>
      <c r="AA213" s="289">
        <v>0</v>
      </c>
      <c r="AB213" s="185">
        <v>1</v>
      </c>
      <c r="AC213" s="185">
        <v>1</v>
      </c>
      <c r="AD213" s="185">
        <v>1</v>
      </c>
      <c r="AE213" s="185">
        <v>1</v>
      </c>
      <c r="AF213" s="185">
        <v>1</v>
      </c>
      <c r="AG213" s="206"/>
      <c r="AH213" s="206"/>
      <c r="AI213" s="185">
        <f t="shared" si="304"/>
        <v>23</v>
      </c>
      <c r="AJ213" s="185">
        <v>0</v>
      </c>
      <c r="AK213" s="185">
        <v>0</v>
      </c>
      <c r="AL213" s="185">
        <f t="shared" si="300"/>
        <v>23</v>
      </c>
      <c r="AM213" s="185">
        <f t="shared" si="301"/>
        <v>11040</v>
      </c>
      <c r="AN213" s="711">
        <f t="shared" ref="AN213" si="307">AM213+AM214</f>
        <v>13680</v>
      </c>
      <c r="AO213" s="713">
        <v>0</v>
      </c>
      <c r="AP213" s="711">
        <f t="shared" ref="AP213" si="308">AN213-AO213</f>
        <v>13680</v>
      </c>
      <c r="AQ213" s="185"/>
      <c r="AR213" s="185"/>
    </row>
    <row r="214" spans="1:44">
      <c r="A214" s="185"/>
      <c r="B214" s="184"/>
      <c r="C214" s="185">
        <v>60</v>
      </c>
      <c r="D214" s="185">
        <v>2</v>
      </c>
      <c r="E214" s="185">
        <v>2</v>
      </c>
      <c r="F214" s="314"/>
      <c r="G214" s="185">
        <v>2</v>
      </c>
      <c r="H214" s="185">
        <v>2</v>
      </c>
      <c r="I214" s="272">
        <v>0</v>
      </c>
      <c r="J214" s="185">
        <v>2</v>
      </c>
      <c r="K214" s="185">
        <v>2</v>
      </c>
      <c r="L214" s="185">
        <v>2</v>
      </c>
      <c r="M214" s="289">
        <v>0</v>
      </c>
      <c r="N214" s="185">
        <v>2</v>
      </c>
      <c r="O214" s="185">
        <v>2</v>
      </c>
      <c r="P214" s="185">
        <v>2</v>
      </c>
      <c r="Q214" s="185">
        <v>2</v>
      </c>
      <c r="R214" s="185">
        <v>2</v>
      </c>
      <c r="S214" s="289">
        <v>0</v>
      </c>
      <c r="T214" s="289">
        <v>0</v>
      </c>
      <c r="U214" s="185">
        <v>2</v>
      </c>
      <c r="V214" s="185">
        <v>2</v>
      </c>
      <c r="W214" s="185">
        <v>2</v>
      </c>
      <c r="X214" s="185">
        <v>2</v>
      </c>
      <c r="Y214" s="185">
        <v>2</v>
      </c>
      <c r="Z214" s="272">
        <v>0</v>
      </c>
      <c r="AA214" s="289">
        <v>0</v>
      </c>
      <c r="AB214" s="185">
        <v>2</v>
      </c>
      <c r="AC214" s="185">
        <v>2</v>
      </c>
      <c r="AD214" s="185">
        <v>2</v>
      </c>
      <c r="AE214" s="185">
        <v>2</v>
      </c>
      <c r="AF214" s="185">
        <v>2</v>
      </c>
      <c r="AG214" s="206"/>
      <c r="AH214" s="206"/>
      <c r="AI214" s="185">
        <f t="shared" si="304"/>
        <v>44</v>
      </c>
      <c r="AJ214" s="185">
        <v>0</v>
      </c>
      <c r="AK214" s="185">
        <v>0</v>
      </c>
      <c r="AL214" s="185">
        <f t="shared" si="300"/>
        <v>44</v>
      </c>
      <c r="AM214" s="185">
        <f t="shared" si="301"/>
        <v>2640</v>
      </c>
      <c r="AN214" s="712"/>
      <c r="AO214" s="714"/>
      <c r="AP214" s="712"/>
      <c r="AQ214" s="185"/>
      <c r="AR214" s="185"/>
    </row>
    <row r="215" spans="1:44">
      <c r="A215" s="185">
        <v>4</v>
      </c>
      <c r="B215" s="184" t="s">
        <v>177</v>
      </c>
      <c r="C215" s="185">
        <f>C216*8</f>
        <v>440</v>
      </c>
      <c r="D215" s="185">
        <v>1</v>
      </c>
      <c r="E215" s="185">
        <v>1</v>
      </c>
      <c r="F215" s="314"/>
      <c r="G215" s="185">
        <v>1</v>
      </c>
      <c r="H215" s="185">
        <v>1</v>
      </c>
      <c r="I215" s="185">
        <v>1</v>
      </c>
      <c r="J215" s="185">
        <v>1</v>
      </c>
      <c r="K215" s="185">
        <v>1</v>
      </c>
      <c r="L215" s="185">
        <v>1</v>
      </c>
      <c r="M215" s="272">
        <v>0</v>
      </c>
      <c r="N215" s="272">
        <v>0</v>
      </c>
      <c r="O215" s="272">
        <v>0</v>
      </c>
      <c r="P215" s="272">
        <v>0</v>
      </c>
      <c r="Q215" s="272">
        <v>0</v>
      </c>
      <c r="R215" s="272">
        <v>0</v>
      </c>
      <c r="S215" s="289">
        <v>0</v>
      </c>
      <c r="T215" s="289">
        <v>0</v>
      </c>
      <c r="U215" s="203">
        <v>1</v>
      </c>
      <c r="V215" s="203">
        <v>1</v>
      </c>
      <c r="W215" s="203">
        <v>1</v>
      </c>
      <c r="X215" s="203">
        <v>1</v>
      </c>
      <c r="Y215" s="203">
        <v>1</v>
      </c>
      <c r="Z215" s="203">
        <v>1</v>
      </c>
      <c r="AA215" s="289">
        <v>0</v>
      </c>
      <c r="AB215" s="203">
        <v>1</v>
      </c>
      <c r="AC215" s="272">
        <v>0</v>
      </c>
      <c r="AD215" s="272">
        <v>0</v>
      </c>
      <c r="AE215" s="321">
        <v>1</v>
      </c>
      <c r="AF215" s="321">
        <v>1</v>
      </c>
      <c r="AG215" s="206"/>
      <c r="AH215" s="206"/>
      <c r="AI215" s="185">
        <f t="shared" si="304"/>
        <v>17</v>
      </c>
      <c r="AJ215" s="185">
        <v>0</v>
      </c>
      <c r="AK215" s="185">
        <v>0</v>
      </c>
      <c r="AL215" s="185">
        <f t="shared" si="300"/>
        <v>17</v>
      </c>
      <c r="AM215" s="185">
        <f t="shared" si="301"/>
        <v>7480</v>
      </c>
      <c r="AN215" s="711">
        <f t="shared" ref="AN215" si="309">AM215+AM216</f>
        <v>9350</v>
      </c>
      <c r="AO215" s="713">
        <v>4000</v>
      </c>
      <c r="AP215" s="711">
        <f t="shared" ref="AP215" si="310">AN215-AO215</f>
        <v>5350</v>
      </c>
      <c r="AQ215" s="185"/>
      <c r="AR215" s="185"/>
    </row>
    <row r="216" spans="1:44">
      <c r="A216" s="185"/>
      <c r="B216" s="184"/>
      <c r="C216" s="185">
        <v>55</v>
      </c>
      <c r="D216" s="185">
        <v>2</v>
      </c>
      <c r="E216" s="185">
        <v>2</v>
      </c>
      <c r="F216" s="314"/>
      <c r="G216" s="185">
        <v>2</v>
      </c>
      <c r="H216" s="185">
        <v>2</v>
      </c>
      <c r="I216" s="185">
        <v>2</v>
      </c>
      <c r="J216" s="185">
        <v>2</v>
      </c>
      <c r="K216" s="185">
        <v>2</v>
      </c>
      <c r="L216" s="185">
        <v>2</v>
      </c>
      <c r="M216" s="272">
        <v>0</v>
      </c>
      <c r="N216" s="272">
        <v>0</v>
      </c>
      <c r="O216" s="272">
        <v>0</v>
      </c>
      <c r="P216" s="272">
        <v>0</v>
      </c>
      <c r="Q216" s="272">
        <v>0</v>
      </c>
      <c r="R216" s="272">
        <v>0</v>
      </c>
      <c r="S216" s="289">
        <v>0</v>
      </c>
      <c r="T216" s="289">
        <v>0</v>
      </c>
      <c r="U216" s="203">
        <v>2</v>
      </c>
      <c r="V216" s="203">
        <v>2</v>
      </c>
      <c r="W216" s="203">
        <v>2</v>
      </c>
      <c r="X216" s="203">
        <v>2</v>
      </c>
      <c r="Y216" s="203">
        <v>2</v>
      </c>
      <c r="Z216" s="203">
        <v>2</v>
      </c>
      <c r="AA216" s="289">
        <v>0</v>
      </c>
      <c r="AB216" s="203">
        <v>2</v>
      </c>
      <c r="AC216" s="272">
        <v>0</v>
      </c>
      <c r="AD216" s="272">
        <v>0</v>
      </c>
      <c r="AE216" s="321">
        <v>2</v>
      </c>
      <c r="AF216" s="321">
        <v>2</v>
      </c>
      <c r="AG216" s="206"/>
      <c r="AH216" s="206"/>
      <c r="AI216" s="185">
        <f t="shared" si="304"/>
        <v>34</v>
      </c>
      <c r="AJ216" s="185">
        <v>0</v>
      </c>
      <c r="AK216" s="185">
        <v>0</v>
      </c>
      <c r="AL216" s="185">
        <f t="shared" si="300"/>
        <v>34</v>
      </c>
      <c r="AM216" s="185">
        <f t="shared" si="301"/>
        <v>1870</v>
      </c>
      <c r="AN216" s="712"/>
      <c r="AO216" s="714"/>
      <c r="AP216" s="712"/>
      <c r="AQ216" s="185"/>
      <c r="AR216" s="185"/>
    </row>
    <row r="217" spans="1:44">
      <c r="A217" s="185">
        <v>5</v>
      </c>
      <c r="B217" s="184" t="s">
        <v>140</v>
      </c>
      <c r="C217" s="185">
        <f>C218*8</f>
        <v>320</v>
      </c>
      <c r="D217" s="272">
        <v>0</v>
      </c>
      <c r="E217" s="185">
        <v>1</v>
      </c>
      <c r="F217" s="314"/>
      <c r="G217" s="185">
        <v>1</v>
      </c>
      <c r="H217" s="185">
        <v>1</v>
      </c>
      <c r="I217" s="272">
        <v>0</v>
      </c>
      <c r="J217" s="272">
        <v>0</v>
      </c>
      <c r="K217" s="272">
        <v>0</v>
      </c>
      <c r="L217" s="272">
        <v>0</v>
      </c>
      <c r="M217" s="272">
        <v>0</v>
      </c>
      <c r="N217" s="272">
        <v>0</v>
      </c>
      <c r="O217" s="272">
        <v>0</v>
      </c>
      <c r="P217" s="272">
        <v>0</v>
      </c>
      <c r="Q217" s="272">
        <v>0</v>
      </c>
      <c r="R217" s="272">
        <v>0</v>
      </c>
      <c r="S217" s="289">
        <v>0</v>
      </c>
      <c r="T217" s="289">
        <v>0</v>
      </c>
      <c r="U217" s="272">
        <v>0</v>
      </c>
      <c r="V217" s="272">
        <v>0</v>
      </c>
      <c r="W217" s="272">
        <v>0</v>
      </c>
      <c r="X217" s="272">
        <v>0</v>
      </c>
      <c r="Y217" s="272">
        <v>0</v>
      </c>
      <c r="Z217" s="272">
        <v>0</v>
      </c>
      <c r="AA217" s="272">
        <v>0</v>
      </c>
      <c r="AB217" s="272">
        <v>0</v>
      </c>
      <c r="AC217" s="272">
        <v>0</v>
      </c>
      <c r="AD217" s="272">
        <v>0</v>
      </c>
      <c r="AE217" s="321">
        <v>1</v>
      </c>
      <c r="AF217" s="321">
        <v>1</v>
      </c>
      <c r="AG217" s="206"/>
      <c r="AH217" s="206"/>
      <c r="AI217" s="185">
        <f t="shared" si="304"/>
        <v>5</v>
      </c>
      <c r="AJ217" s="185">
        <v>0</v>
      </c>
      <c r="AK217" s="185">
        <v>0</v>
      </c>
      <c r="AL217" s="185">
        <f t="shared" si="300"/>
        <v>5</v>
      </c>
      <c r="AM217" s="185">
        <f t="shared" si="301"/>
        <v>1600</v>
      </c>
      <c r="AN217" s="711">
        <f t="shared" ref="AN217" si="311">AM217+AM218</f>
        <v>2000</v>
      </c>
      <c r="AO217" s="713">
        <v>2000</v>
      </c>
      <c r="AP217" s="711">
        <f t="shared" ref="AP217" si="312">AN217-AO217</f>
        <v>0</v>
      </c>
      <c r="AQ217" s="185"/>
      <c r="AR217" s="185"/>
    </row>
    <row r="218" spans="1:44">
      <c r="A218" s="185"/>
      <c r="B218" s="184"/>
      <c r="C218" s="185">
        <v>40</v>
      </c>
      <c r="D218" s="272">
        <v>0</v>
      </c>
      <c r="E218" s="185">
        <v>2</v>
      </c>
      <c r="F218" s="314"/>
      <c r="G218" s="185">
        <v>2</v>
      </c>
      <c r="H218" s="185">
        <v>2</v>
      </c>
      <c r="I218" s="272">
        <v>0</v>
      </c>
      <c r="J218" s="272">
        <v>0</v>
      </c>
      <c r="K218" s="272">
        <v>0</v>
      </c>
      <c r="L218" s="272">
        <v>0</v>
      </c>
      <c r="M218" s="272">
        <v>0</v>
      </c>
      <c r="N218" s="272">
        <v>0</v>
      </c>
      <c r="O218" s="272">
        <v>0</v>
      </c>
      <c r="P218" s="272">
        <v>0</v>
      </c>
      <c r="Q218" s="272">
        <v>0</v>
      </c>
      <c r="R218" s="272">
        <v>0</v>
      </c>
      <c r="S218" s="289">
        <v>0</v>
      </c>
      <c r="T218" s="289">
        <v>0</v>
      </c>
      <c r="U218" s="272">
        <v>0</v>
      </c>
      <c r="V218" s="272">
        <v>0</v>
      </c>
      <c r="W218" s="272">
        <v>0</v>
      </c>
      <c r="X218" s="272">
        <v>0</v>
      </c>
      <c r="Y218" s="272">
        <v>0</v>
      </c>
      <c r="Z218" s="272">
        <v>0</v>
      </c>
      <c r="AA218" s="272">
        <v>0</v>
      </c>
      <c r="AB218" s="272">
        <v>0</v>
      </c>
      <c r="AC218" s="272">
        <v>0</v>
      </c>
      <c r="AD218" s="272">
        <v>0</v>
      </c>
      <c r="AE218" s="321">
        <v>2</v>
      </c>
      <c r="AF218" s="321">
        <v>2</v>
      </c>
      <c r="AG218" s="206"/>
      <c r="AH218" s="206"/>
      <c r="AI218" s="185">
        <f t="shared" si="304"/>
        <v>10</v>
      </c>
      <c r="AJ218" s="185">
        <v>0</v>
      </c>
      <c r="AK218" s="185">
        <v>0</v>
      </c>
      <c r="AL218" s="185">
        <f t="shared" si="300"/>
        <v>10</v>
      </c>
      <c r="AM218" s="185">
        <f t="shared" si="301"/>
        <v>400</v>
      </c>
      <c r="AN218" s="712"/>
      <c r="AO218" s="714"/>
      <c r="AP218" s="712"/>
      <c r="AQ218" s="185"/>
      <c r="AR218" s="185"/>
    </row>
    <row r="219" spans="1:44">
      <c r="A219" s="185">
        <v>6</v>
      </c>
      <c r="B219" s="320">
        <v>100</v>
      </c>
      <c r="C219" s="185">
        <f>C220*8</f>
        <v>320</v>
      </c>
      <c r="D219" s="185"/>
      <c r="E219" s="185"/>
      <c r="F219" s="314"/>
      <c r="G219" s="185"/>
      <c r="H219" s="185"/>
      <c r="I219" s="185"/>
      <c r="J219" s="185"/>
      <c r="K219" s="185">
        <v>1</v>
      </c>
      <c r="L219" s="185">
        <v>1</v>
      </c>
      <c r="M219" s="289">
        <v>1</v>
      </c>
      <c r="N219" s="185">
        <v>1</v>
      </c>
      <c r="O219" s="272">
        <v>0</v>
      </c>
      <c r="P219" s="185">
        <v>1</v>
      </c>
      <c r="Q219" s="185">
        <v>1</v>
      </c>
      <c r="R219" s="185">
        <v>1</v>
      </c>
      <c r="S219" s="289">
        <v>0</v>
      </c>
      <c r="T219" s="289">
        <v>0</v>
      </c>
      <c r="U219" s="185">
        <v>1</v>
      </c>
      <c r="V219" s="185">
        <v>1</v>
      </c>
      <c r="W219" s="185">
        <v>1</v>
      </c>
      <c r="X219" s="185">
        <v>1</v>
      </c>
      <c r="Y219" s="185">
        <v>1</v>
      </c>
      <c r="Z219" s="185">
        <v>1</v>
      </c>
      <c r="AA219" s="289">
        <v>0</v>
      </c>
      <c r="AB219" s="185">
        <v>1</v>
      </c>
      <c r="AC219" s="185">
        <v>1</v>
      </c>
      <c r="AD219" s="321">
        <v>0</v>
      </c>
      <c r="AE219" s="321">
        <v>1</v>
      </c>
      <c r="AF219" s="321">
        <v>1</v>
      </c>
      <c r="AG219" s="206"/>
      <c r="AH219" s="206"/>
      <c r="AI219" s="185">
        <f t="shared" si="304"/>
        <v>17</v>
      </c>
      <c r="AJ219" s="185">
        <v>0</v>
      </c>
      <c r="AK219" s="185">
        <v>0</v>
      </c>
      <c r="AL219" s="185">
        <f t="shared" si="300"/>
        <v>17</v>
      </c>
      <c r="AM219" s="185">
        <f t="shared" si="301"/>
        <v>5440</v>
      </c>
      <c r="AN219" s="711">
        <f t="shared" ref="AN219" si="313">AM219+AM220</f>
        <v>6920</v>
      </c>
      <c r="AO219" s="713">
        <v>0</v>
      </c>
      <c r="AP219" s="711">
        <f t="shared" ref="AP219" si="314">AN219-AO219</f>
        <v>6920</v>
      </c>
      <c r="AQ219" s="185"/>
      <c r="AR219" s="185"/>
    </row>
    <row r="220" spans="1:44">
      <c r="A220" s="185"/>
      <c r="B220" s="320"/>
      <c r="C220" s="185">
        <v>40</v>
      </c>
      <c r="D220" s="185"/>
      <c r="E220" s="185"/>
      <c r="F220" s="314"/>
      <c r="G220" s="185"/>
      <c r="H220" s="185"/>
      <c r="I220" s="185"/>
      <c r="J220" s="185"/>
      <c r="K220" s="185">
        <v>2</v>
      </c>
      <c r="L220" s="185">
        <v>2</v>
      </c>
      <c r="M220" s="289">
        <v>0</v>
      </c>
      <c r="N220" s="185">
        <v>2</v>
      </c>
      <c r="O220" s="272">
        <v>0</v>
      </c>
      <c r="P220" s="185">
        <v>2</v>
      </c>
      <c r="Q220" s="185">
        <v>2</v>
      </c>
      <c r="R220" s="185">
        <v>2</v>
      </c>
      <c r="S220" s="289">
        <v>0</v>
      </c>
      <c r="T220" s="289">
        <v>0</v>
      </c>
      <c r="U220" s="185">
        <v>2</v>
      </c>
      <c r="V220" s="185">
        <v>2</v>
      </c>
      <c r="W220" s="185">
        <v>2</v>
      </c>
      <c r="X220" s="185">
        <v>2</v>
      </c>
      <c r="Y220" s="185">
        <v>2</v>
      </c>
      <c r="Z220" s="185">
        <v>2</v>
      </c>
      <c r="AA220" s="289">
        <v>0</v>
      </c>
      <c r="AB220" s="185">
        <v>2</v>
      </c>
      <c r="AC220" s="185">
        <v>2</v>
      </c>
      <c r="AD220" s="321">
        <v>5</v>
      </c>
      <c r="AE220" s="321">
        <v>2</v>
      </c>
      <c r="AF220" s="321">
        <v>2</v>
      </c>
      <c r="AG220" s="206"/>
      <c r="AH220" s="206"/>
      <c r="AI220" s="185">
        <f t="shared" si="304"/>
        <v>37</v>
      </c>
      <c r="AJ220" s="185">
        <v>0</v>
      </c>
      <c r="AK220" s="185">
        <v>0</v>
      </c>
      <c r="AL220" s="185">
        <f t="shared" si="300"/>
        <v>37</v>
      </c>
      <c r="AM220" s="185">
        <f t="shared" si="301"/>
        <v>1480</v>
      </c>
      <c r="AN220" s="712"/>
      <c r="AO220" s="714"/>
      <c r="AP220" s="712"/>
      <c r="AQ220" s="185"/>
      <c r="AR220" s="185"/>
    </row>
    <row r="221" spans="1:44">
      <c r="A221" s="185">
        <v>7</v>
      </c>
      <c r="B221" s="320">
        <v>200</v>
      </c>
      <c r="C221" s="185">
        <f>C222*8</f>
        <v>320</v>
      </c>
      <c r="D221" s="185"/>
      <c r="E221" s="185"/>
      <c r="F221" s="314"/>
      <c r="G221" s="185"/>
      <c r="H221" s="185"/>
      <c r="I221" s="185"/>
      <c r="J221" s="185"/>
      <c r="K221" s="185">
        <v>1</v>
      </c>
      <c r="L221" s="185">
        <v>1</v>
      </c>
      <c r="M221" s="289">
        <v>1</v>
      </c>
      <c r="N221" s="185">
        <v>1</v>
      </c>
      <c r="O221" s="272">
        <v>0</v>
      </c>
      <c r="P221" s="185">
        <v>1</v>
      </c>
      <c r="Q221" s="185">
        <v>1</v>
      </c>
      <c r="R221" s="185">
        <v>1</v>
      </c>
      <c r="S221" s="289">
        <v>0</v>
      </c>
      <c r="T221" s="289">
        <v>0</v>
      </c>
      <c r="U221" s="185">
        <v>1</v>
      </c>
      <c r="V221" s="185">
        <v>1</v>
      </c>
      <c r="W221" s="206">
        <v>0.5</v>
      </c>
      <c r="X221" s="206">
        <v>0</v>
      </c>
      <c r="Y221" s="185">
        <v>1</v>
      </c>
      <c r="Z221" s="185">
        <v>1</v>
      </c>
      <c r="AA221" s="289">
        <v>0</v>
      </c>
      <c r="AB221" s="185">
        <v>1</v>
      </c>
      <c r="AC221" s="185">
        <v>1</v>
      </c>
      <c r="AD221" s="206">
        <v>2</v>
      </c>
      <c r="AE221" s="321">
        <v>1</v>
      </c>
      <c r="AF221" s="321">
        <v>1</v>
      </c>
      <c r="AG221" s="206"/>
      <c r="AH221" s="206"/>
      <c r="AI221" s="185">
        <f t="shared" si="304"/>
        <v>17.5</v>
      </c>
      <c r="AJ221" s="185">
        <v>0</v>
      </c>
      <c r="AK221" s="185">
        <v>0</v>
      </c>
      <c r="AL221" s="185">
        <f t="shared" si="300"/>
        <v>17.5</v>
      </c>
      <c r="AM221" s="185">
        <f t="shared" si="301"/>
        <v>5600</v>
      </c>
      <c r="AN221" s="711">
        <f t="shared" ref="AN221" si="315">AM221+AM222</f>
        <v>6880</v>
      </c>
      <c r="AO221" s="713">
        <v>0</v>
      </c>
      <c r="AP221" s="711">
        <f t="shared" ref="AP221" si="316">AN221-AO221</f>
        <v>6880</v>
      </c>
      <c r="AQ221" s="185"/>
      <c r="AR221" s="185"/>
    </row>
    <row r="222" spans="1:44">
      <c r="A222" s="185"/>
      <c r="B222" s="320"/>
      <c r="C222" s="185">
        <v>40</v>
      </c>
      <c r="D222" s="185"/>
      <c r="E222" s="185"/>
      <c r="F222" s="314"/>
      <c r="G222" s="185"/>
      <c r="H222" s="185"/>
      <c r="I222" s="185"/>
      <c r="J222" s="185"/>
      <c r="K222" s="185">
        <v>2</v>
      </c>
      <c r="L222" s="185">
        <v>2</v>
      </c>
      <c r="M222" s="289">
        <v>0</v>
      </c>
      <c r="N222" s="185">
        <v>2</v>
      </c>
      <c r="O222" s="272">
        <v>0</v>
      </c>
      <c r="P222" s="185">
        <v>2</v>
      </c>
      <c r="Q222" s="185">
        <v>2</v>
      </c>
      <c r="R222" s="185">
        <v>2</v>
      </c>
      <c r="S222" s="289">
        <v>0</v>
      </c>
      <c r="T222" s="289">
        <v>0</v>
      </c>
      <c r="U222" s="185">
        <v>2</v>
      </c>
      <c r="V222" s="185">
        <v>2</v>
      </c>
      <c r="W222" s="206">
        <v>0</v>
      </c>
      <c r="X222" s="206">
        <v>2</v>
      </c>
      <c r="Y222" s="185">
        <v>2</v>
      </c>
      <c r="Z222" s="185">
        <v>2</v>
      </c>
      <c r="AA222" s="289">
        <v>0</v>
      </c>
      <c r="AB222" s="185">
        <v>2</v>
      </c>
      <c r="AC222" s="185">
        <v>2</v>
      </c>
      <c r="AD222" s="206">
        <v>2</v>
      </c>
      <c r="AE222" s="321">
        <v>2</v>
      </c>
      <c r="AF222" s="321">
        <v>2</v>
      </c>
      <c r="AG222" s="206"/>
      <c r="AH222" s="206"/>
      <c r="AI222" s="185">
        <f t="shared" si="304"/>
        <v>32</v>
      </c>
      <c r="AJ222" s="185">
        <v>0</v>
      </c>
      <c r="AK222" s="185">
        <v>0</v>
      </c>
      <c r="AL222" s="185">
        <f t="shared" si="300"/>
        <v>32</v>
      </c>
      <c r="AM222" s="185">
        <f t="shared" si="301"/>
        <v>1280</v>
      </c>
      <c r="AN222" s="712"/>
      <c r="AO222" s="714"/>
      <c r="AP222" s="712"/>
      <c r="AQ222" s="185"/>
      <c r="AR222" s="185"/>
    </row>
    <row r="223" spans="1:44">
      <c r="A223" s="185">
        <v>8</v>
      </c>
      <c r="B223" s="320">
        <v>300</v>
      </c>
      <c r="C223" s="185">
        <f>C224*8</f>
        <v>320</v>
      </c>
      <c r="D223" s="185"/>
      <c r="E223" s="185"/>
      <c r="F223" s="314"/>
      <c r="G223" s="185"/>
      <c r="H223" s="185"/>
      <c r="I223" s="185"/>
      <c r="J223" s="185"/>
      <c r="K223" s="185">
        <v>1</v>
      </c>
      <c r="L223" s="185">
        <v>1</v>
      </c>
      <c r="M223" s="289">
        <v>1</v>
      </c>
      <c r="N223" s="185">
        <v>1</v>
      </c>
      <c r="O223" s="185">
        <v>1</v>
      </c>
      <c r="P223" s="185">
        <v>1</v>
      </c>
      <c r="Q223" s="185">
        <v>1</v>
      </c>
      <c r="R223" s="185">
        <v>1</v>
      </c>
      <c r="S223" s="289">
        <v>0</v>
      </c>
      <c r="T223" s="289">
        <v>0</v>
      </c>
      <c r="U223" s="185">
        <v>1</v>
      </c>
      <c r="V223" s="185">
        <v>1</v>
      </c>
      <c r="W223" s="185">
        <v>1</v>
      </c>
      <c r="X223" s="185">
        <v>1</v>
      </c>
      <c r="Y223" s="185">
        <v>1</v>
      </c>
      <c r="Z223" s="185">
        <v>1</v>
      </c>
      <c r="AA223" s="289">
        <v>0</v>
      </c>
      <c r="AB223" s="272">
        <v>0</v>
      </c>
      <c r="AC223" s="272">
        <v>0</v>
      </c>
      <c r="AD223" s="321">
        <v>1</v>
      </c>
      <c r="AE223" s="321">
        <v>1</v>
      </c>
      <c r="AF223" s="321">
        <v>1</v>
      </c>
      <c r="AG223" s="206"/>
      <c r="AH223" s="206"/>
      <c r="AI223" s="185">
        <f t="shared" si="304"/>
        <v>17</v>
      </c>
      <c r="AJ223" s="185">
        <v>0</v>
      </c>
      <c r="AK223" s="185">
        <v>0</v>
      </c>
      <c r="AL223" s="185">
        <f t="shared" si="300"/>
        <v>17</v>
      </c>
      <c r="AM223" s="185">
        <f t="shared" si="301"/>
        <v>5440</v>
      </c>
      <c r="AN223" s="711">
        <f t="shared" ref="AN223" si="317">AM223+AM224</f>
        <v>6720</v>
      </c>
      <c r="AO223" s="713">
        <v>0</v>
      </c>
      <c r="AP223" s="711">
        <f t="shared" ref="AP223" si="318">AN223-AO223</f>
        <v>6720</v>
      </c>
      <c r="AQ223" s="185"/>
      <c r="AR223" s="185"/>
    </row>
    <row r="224" spans="1:44">
      <c r="A224" s="185"/>
      <c r="B224" s="320"/>
      <c r="C224" s="185">
        <v>40</v>
      </c>
      <c r="D224" s="185"/>
      <c r="E224" s="185"/>
      <c r="F224" s="314"/>
      <c r="G224" s="185"/>
      <c r="H224" s="185"/>
      <c r="I224" s="185"/>
      <c r="J224" s="185"/>
      <c r="K224" s="185">
        <v>2</v>
      </c>
      <c r="L224" s="185">
        <v>2</v>
      </c>
      <c r="M224" s="289">
        <v>0</v>
      </c>
      <c r="N224" s="185">
        <v>2</v>
      </c>
      <c r="O224" s="185">
        <v>2</v>
      </c>
      <c r="P224" s="185">
        <v>2</v>
      </c>
      <c r="Q224" s="185">
        <v>2</v>
      </c>
      <c r="R224" s="185">
        <v>2</v>
      </c>
      <c r="S224" s="289">
        <v>0</v>
      </c>
      <c r="T224" s="289">
        <v>0</v>
      </c>
      <c r="U224" s="185">
        <v>2</v>
      </c>
      <c r="V224" s="185">
        <v>2</v>
      </c>
      <c r="W224" s="185">
        <v>2</v>
      </c>
      <c r="X224" s="185">
        <v>2</v>
      </c>
      <c r="Y224" s="185">
        <v>2</v>
      </c>
      <c r="Z224" s="185">
        <v>2</v>
      </c>
      <c r="AA224" s="289">
        <v>0</v>
      </c>
      <c r="AB224" s="272">
        <v>0</v>
      </c>
      <c r="AC224" s="272">
        <v>0</v>
      </c>
      <c r="AD224" s="321">
        <v>2</v>
      </c>
      <c r="AE224" s="321">
        <v>2</v>
      </c>
      <c r="AF224" s="321">
        <v>2</v>
      </c>
      <c r="AG224" s="206"/>
      <c r="AH224" s="206"/>
      <c r="AI224" s="185">
        <f t="shared" si="304"/>
        <v>32</v>
      </c>
      <c r="AJ224" s="185">
        <v>0</v>
      </c>
      <c r="AK224" s="185">
        <v>0</v>
      </c>
      <c r="AL224" s="185">
        <f t="shared" si="300"/>
        <v>32</v>
      </c>
      <c r="AM224" s="185">
        <f t="shared" si="301"/>
        <v>1280</v>
      </c>
      <c r="AN224" s="712"/>
      <c r="AO224" s="714"/>
      <c r="AP224" s="712"/>
      <c r="AQ224" s="185"/>
      <c r="AR224" s="185"/>
    </row>
    <row r="225" spans="1:44">
      <c r="A225" s="767" t="s">
        <v>103</v>
      </c>
      <c r="B225" s="768"/>
      <c r="C225" s="291"/>
      <c r="D225" s="291">
        <f>D209+D211+D213+D215+D217+D219+D221+D223</f>
        <v>3</v>
      </c>
      <c r="E225" s="291">
        <f t="shared" ref="E225:AR225" si="319">E209+E211+E213+E215+E217+E219+E221+E223</f>
        <v>4</v>
      </c>
      <c r="F225" s="291">
        <f t="shared" si="319"/>
        <v>0</v>
      </c>
      <c r="G225" s="291">
        <f t="shared" si="319"/>
        <v>4</v>
      </c>
      <c r="H225" s="291">
        <f t="shared" si="319"/>
        <v>5</v>
      </c>
      <c r="I225" s="291">
        <f t="shared" si="319"/>
        <v>3</v>
      </c>
      <c r="J225" s="291">
        <f t="shared" si="319"/>
        <v>4</v>
      </c>
      <c r="K225" s="291">
        <f t="shared" si="319"/>
        <v>7</v>
      </c>
      <c r="L225" s="291">
        <f t="shared" si="319"/>
        <v>7</v>
      </c>
      <c r="M225" s="291">
        <f t="shared" si="319"/>
        <v>6</v>
      </c>
      <c r="N225" s="291">
        <f t="shared" si="319"/>
        <v>6</v>
      </c>
      <c r="O225" s="291">
        <f t="shared" si="319"/>
        <v>4</v>
      </c>
      <c r="P225" s="291">
        <f t="shared" si="319"/>
        <v>6</v>
      </c>
      <c r="Q225" s="291">
        <f t="shared" si="319"/>
        <v>6</v>
      </c>
      <c r="R225" s="291">
        <f t="shared" si="319"/>
        <v>6</v>
      </c>
      <c r="S225" s="291">
        <f t="shared" si="319"/>
        <v>0</v>
      </c>
      <c r="T225" s="291">
        <f t="shared" si="319"/>
        <v>0</v>
      </c>
      <c r="U225" s="291">
        <f t="shared" si="319"/>
        <v>6</v>
      </c>
      <c r="V225" s="291">
        <f t="shared" si="319"/>
        <v>7</v>
      </c>
      <c r="W225" s="291">
        <f t="shared" si="319"/>
        <v>6.5</v>
      </c>
      <c r="X225" s="291">
        <f t="shared" si="319"/>
        <v>6</v>
      </c>
      <c r="Y225" s="291">
        <f t="shared" si="319"/>
        <v>6</v>
      </c>
      <c r="Z225" s="291">
        <f t="shared" si="319"/>
        <v>6</v>
      </c>
      <c r="AA225" s="291">
        <f t="shared" si="319"/>
        <v>0</v>
      </c>
      <c r="AB225" s="291">
        <f t="shared" si="319"/>
        <v>6</v>
      </c>
      <c r="AC225" s="291">
        <f t="shared" si="319"/>
        <v>5</v>
      </c>
      <c r="AD225" s="291">
        <f t="shared" si="319"/>
        <v>6</v>
      </c>
      <c r="AE225" s="291">
        <f t="shared" si="319"/>
        <v>8</v>
      </c>
      <c r="AF225" s="291">
        <f t="shared" si="319"/>
        <v>8</v>
      </c>
      <c r="AG225" s="291">
        <f t="shared" si="319"/>
        <v>1</v>
      </c>
      <c r="AH225" s="291">
        <f t="shared" si="319"/>
        <v>0</v>
      </c>
      <c r="AI225" s="291">
        <f t="shared" si="319"/>
        <v>142.5</v>
      </c>
      <c r="AJ225" s="291">
        <f t="shared" si="319"/>
        <v>3</v>
      </c>
      <c r="AK225" s="291">
        <f t="shared" si="319"/>
        <v>0</v>
      </c>
      <c r="AL225" s="291">
        <f t="shared" si="319"/>
        <v>145.5</v>
      </c>
      <c r="AM225" s="291">
        <f t="shared" si="319"/>
        <v>58040</v>
      </c>
      <c r="AN225" s="291">
        <f t="shared" si="319"/>
        <v>72130</v>
      </c>
      <c r="AO225" s="291">
        <f t="shared" si="319"/>
        <v>13000</v>
      </c>
      <c r="AP225" s="291">
        <f t="shared" si="319"/>
        <v>59130</v>
      </c>
      <c r="AQ225" s="291">
        <f t="shared" si="319"/>
        <v>0</v>
      </c>
      <c r="AR225" s="291">
        <f t="shared" si="319"/>
        <v>0</v>
      </c>
    </row>
    <row r="226" spans="1:44">
      <c r="A226" s="769" t="s">
        <v>106</v>
      </c>
      <c r="B226" s="770"/>
      <c r="C226" s="292"/>
      <c r="D226" s="292">
        <f>D210+D212+D214+D216+D218+D220+D222+D224</f>
        <v>6</v>
      </c>
      <c r="E226" s="292">
        <f t="shared" ref="E226:AR226" si="320">E210+E212+E214+E216+E218+E220+E222+E224</f>
        <v>8</v>
      </c>
      <c r="F226" s="292">
        <f t="shared" si="320"/>
        <v>0</v>
      </c>
      <c r="G226" s="292">
        <f t="shared" si="320"/>
        <v>8</v>
      </c>
      <c r="H226" s="292">
        <f t="shared" si="320"/>
        <v>10</v>
      </c>
      <c r="I226" s="292">
        <f t="shared" si="320"/>
        <v>6</v>
      </c>
      <c r="J226" s="292">
        <f t="shared" si="320"/>
        <v>8</v>
      </c>
      <c r="K226" s="292">
        <f t="shared" si="320"/>
        <v>14</v>
      </c>
      <c r="L226" s="292">
        <f t="shared" si="320"/>
        <v>14</v>
      </c>
      <c r="M226" s="292">
        <f t="shared" si="320"/>
        <v>0</v>
      </c>
      <c r="N226" s="292">
        <f t="shared" si="320"/>
        <v>12</v>
      </c>
      <c r="O226" s="292">
        <f t="shared" si="320"/>
        <v>8</v>
      </c>
      <c r="P226" s="292">
        <f t="shared" si="320"/>
        <v>12</v>
      </c>
      <c r="Q226" s="292">
        <f t="shared" si="320"/>
        <v>12</v>
      </c>
      <c r="R226" s="292">
        <f t="shared" si="320"/>
        <v>12</v>
      </c>
      <c r="S226" s="292">
        <f t="shared" si="320"/>
        <v>0</v>
      </c>
      <c r="T226" s="292">
        <f t="shared" si="320"/>
        <v>0</v>
      </c>
      <c r="U226" s="292">
        <f t="shared" si="320"/>
        <v>12</v>
      </c>
      <c r="V226" s="292">
        <f t="shared" si="320"/>
        <v>14</v>
      </c>
      <c r="W226" s="292">
        <f t="shared" si="320"/>
        <v>12</v>
      </c>
      <c r="X226" s="292">
        <f t="shared" si="320"/>
        <v>14</v>
      </c>
      <c r="Y226" s="292">
        <f t="shared" si="320"/>
        <v>12</v>
      </c>
      <c r="Z226" s="292">
        <f t="shared" si="320"/>
        <v>12</v>
      </c>
      <c r="AA226" s="292">
        <f t="shared" si="320"/>
        <v>0</v>
      </c>
      <c r="AB226" s="292">
        <f t="shared" si="320"/>
        <v>12</v>
      </c>
      <c r="AC226" s="292">
        <f t="shared" si="320"/>
        <v>10</v>
      </c>
      <c r="AD226" s="292">
        <f t="shared" si="320"/>
        <v>15</v>
      </c>
      <c r="AE226" s="292">
        <f t="shared" si="320"/>
        <v>16</v>
      </c>
      <c r="AF226" s="292">
        <f t="shared" si="320"/>
        <v>16</v>
      </c>
      <c r="AG226" s="292">
        <f t="shared" si="320"/>
        <v>2</v>
      </c>
      <c r="AH226" s="292">
        <f t="shared" si="320"/>
        <v>0</v>
      </c>
      <c r="AI226" s="292">
        <f t="shared" si="320"/>
        <v>277</v>
      </c>
      <c r="AJ226" s="292">
        <f t="shared" si="320"/>
        <v>6</v>
      </c>
      <c r="AK226" s="292">
        <f t="shared" si="320"/>
        <v>0</v>
      </c>
      <c r="AL226" s="292">
        <f t="shared" si="320"/>
        <v>283</v>
      </c>
      <c r="AM226" s="292">
        <f t="shared" si="320"/>
        <v>14090</v>
      </c>
      <c r="AN226" s="292">
        <f t="shared" si="320"/>
        <v>0</v>
      </c>
      <c r="AO226" s="292">
        <f t="shared" si="320"/>
        <v>0</v>
      </c>
      <c r="AP226" s="292">
        <f t="shared" si="320"/>
        <v>0</v>
      </c>
      <c r="AQ226" s="292">
        <f t="shared" si="320"/>
        <v>0</v>
      </c>
      <c r="AR226" s="292">
        <f t="shared" si="320"/>
        <v>0</v>
      </c>
    </row>
    <row r="228" spans="1:44" ht="23.25">
      <c r="A228" s="773" t="s">
        <v>113</v>
      </c>
      <c r="B228" s="775" t="s">
        <v>1</v>
      </c>
      <c r="C228" s="776"/>
      <c r="D228" s="779" t="s">
        <v>179</v>
      </c>
      <c r="E228" s="780"/>
      <c r="F228" s="780"/>
      <c r="G228" s="780"/>
      <c r="H228" s="780"/>
      <c r="I228" s="780"/>
      <c r="J228" s="780"/>
      <c r="K228" s="780"/>
      <c r="L228" s="780"/>
      <c r="M228" s="780"/>
      <c r="N228" s="780"/>
      <c r="O228" s="780"/>
      <c r="P228" s="780"/>
      <c r="Q228" s="780"/>
      <c r="R228" s="780"/>
      <c r="S228" s="780"/>
      <c r="T228" s="780"/>
      <c r="U228" s="780"/>
      <c r="V228" s="780"/>
      <c r="W228" s="780"/>
      <c r="X228" s="780"/>
      <c r="Y228" s="780"/>
      <c r="Z228" s="780"/>
      <c r="AA228" s="780"/>
      <c r="AB228" s="780"/>
      <c r="AC228" s="780"/>
      <c r="AD228" s="780"/>
      <c r="AE228" s="780"/>
      <c r="AF228" s="781"/>
      <c r="AG228" s="782">
        <v>31</v>
      </c>
      <c r="AH228" s="783"/>
      <c r="AI228" s="771" t="s">
        <v>107</v>
      </c>
      <c r="AJ228" s="771" t="s">
        <v>45</v>
      </c>
      <c r="AK228" s="771" t="s">
        <v>108</v>
      </c>
      <c r="AL228" s="771" t="s">
        <v>112</v>
      </c>
      <c r="AM228" s="784" t="s">
        <v>7</v>
      </c>
      <c r="AN228" s="785"/>
      <c r="AO228" s="771" t="s">
        <v>93</v>
      </c>
      <c r="AP228" s="771" t="s">
        <v>109</v>
      </c>
      <c r="AQ228" s="771" t="s">
        <v>33</v>
      </c>
      <c r="AR228" s="771" t="s">
        <v>111</v>
      </c>
    </row>
    <row r="229" spans="1:44">
      <c r="A229" s="774"/>
      <c r="B229" s="777"/>
      <c r="C229" s="778"/>
      <c r="D229" s="313">
        <v>1</v>
      </c>
      <c r="E229" s="313">
        <v>2</v>
      </c>
      <c r="F229" s="313">
        <v>3</v>
      </c>
      <c r="G229" s="313">
        <v>4</v>
      </c>
      <c r="H229" s="313">
        <v>5</v>
      </c>
      <c r="I229" s="313">
        <v>6</v>
      </c>
      <c r="J229" s="313">
        <v>7</v>
      </c>
      <c r="K229" s="313">
        <v>8</v>
      </c>
      <c r="L229" s="313">
        <v>9</v>
      </c>
      <c r="M229" s="313">
        <v>10</v>
      </c>
      <c r="N229" s="313">
        <v>11</v>
      </c>
      <c r="O229" s="313">
        <v>12</v>
      </c>
      <c r="P229" s="313">
        <v>13</v>
      </c>
      <c r="Q229" s="313">
        <v>14</v>
      </c>
      <c r="R229" s="313">
        <v>15</v>
      </c>
      <c r="S229" s="313">
        <v>16</v>
      </c>
      <c r="T229" s="313">
        <v>17</v>
      </c>
      <c r="U229" s="313">
        <v>18</v>
      </c>
      <c r="V229" s="313">
        <v>19</v>
      </c>
      <c r="W229" s="313">
        <v>20</v>
      </c>
      <c r="X229" s="313">
        <v>21</v>
      </c>
      <c r="Y229" s="313">
        <v>22</v>
      </c>
      <c r="Z229" s="313">
        <v>23</v>
      </c>
      <c r="AA229" s="313">
        <v>24</v>
      </c>
      <c r="AB229" s="313">
        <v>25</v>
      </c>
      <c r="AC229" s="313">
        <v>26</v>
      </c>
      <c r="AD229" s="313">
        <v>27</v>
      </c>
      <c r="AE229" s="313">
        <v>28</v>
      </c>
      <c r="AF229" s="313">
        <v>29</v>
      </c>
      <c r="AG229" s="313">
        <v>30</v>
      </c>
      <c r="AH229" s="313">
        <v>31</v>
      </c>
      <c r="AI229" s="772"/>
      <c r="AJ229" s="772"/>
      <c r="AK229" s="772"/>
      <c r="AL229" s="772"/>
      <c r="AM229" s="786"/>
      <c r="AN229" s="787"/>
      <c r="AO229" s="772"/>
      <c r="AP229" s="772"/>
      <c r="AQ229" s="772"/>
      <c r="AR229" s="772"/>
    </row>
    <row r="230" spans="1:44">
      <c r="A230" s="185">
        <v>1</v>
      </c>
      <c r="B230" s="184" t="s">
        <v>164</v>
      </c>
      <c r="C230" s="185">
        <f t="shared" ref="C230:C244" si="321">C231*8</f>
        <v>480</v>
      </c>
      <c r="D230" s="323"/>
      <c r="E230" s="185">
        <v>1</v>
      </c>
      <c r="F230" s="185">
        <v>1</v>
      </c>
      <c r="G230" s="185">
        <v>1</v>
      </c>
      <c r="H230" s="185">
        <v>1</v>
      </c>
      <c r="I230" s="185">
        <v>1</v>
      </c>
      <c r="J230" s="185">
        <v>1</v>
      </c>
      <c r="K230" s="323"/>
      <c r="L230" s="203">
        <v>0.5</v>
      </c>
      <c r="M230" s="185">
        <v>1</v>
      </c>
      <c r="N230" s="185">
        <v>1</v>
      </c>
      <c r="O230" s="185">
        <v>1</v>
      </c>
      <c r="P230" s="185">
        <v>1</v>
      </c>
      <c r="Q230" s="185">
        <v>1</v>
      </c>
      <c r="R230" s="323">
        <v>1</v>
      </c>
      <c r="S230" s="185">
        <v>1</v>
      </c>
      <c r="T230" s="185">
        <v>1</v>
      </c>
      <c r="U230" s="185">
        <v>1</v>
      </c>
      <c r="V230" s="185">
        <v>1</v>
      </c>
      <c r="W230" s="185">
        <v>1</v>
      </c>
      <c r="X230" s="323"/>
      <c r="Y230" s="185">
        <v>1</v>
      </c>
      <c r="Z230" s="185">
        <v>1</v>
      </c>
      <c r="AA230" s="185">
        <v>1</v>
      </c>
      <c r="AB230" s="185">
        <v>1</v>
      </c>
      <c r="AC230" s="185">
        <v>1</v>
      </c>
      <c r="AD230" s="203">
        <v>0.5</v>
      </c>
      <c r="AE230" s="185">
        <v>1</v>
      </c>
      <c r="AF230" s="185">
        <v>1</v>
      </c>
      <c r="AG230" s="185">
        <v>1</v>
      </c>
      <c r="AH230" s="185">
        <v>1</v>
      </c>
      <c r="AI230" s="185">
        <f t="shared" ref="AI230:AI231" si="322">SUM(D230:AH230)</f>
        <v>27</v>
      </c>
      <c r="AJ230" s="185">
        <v>0</v>
      </c>
      <c r="AK230" s="185">
        <v>0</v>
      </c>
      <c r="AL230" s="185">
        <f t="shared" ref="AL230:AL245" si="323">AI230+AJ230-AK230</f>
        <v>27</v>
      </c>
      <c r="AM230" s="185">
        <f t="shared" ref="AM230:AM245" si="324">AL230*C230</f>
        <v>12960</v>
      </c>
      <c r="AN230" s="711">
        <f t="shared" ref="AN230" si="325">AM230+AM231</f>
        <v>15960</v>
      </c>
      <c r="AO230" s="713">
        <v>0</v>
      </c>
      <c r="AP230" s="711">
        <f t="shared" ref="AP230" si="326">AN230-AO230</f>
        <v>15960</v>
      </c>
      <c r="AQ230" s="185"/>
      <c r="AR230" s="185"/>
    </row>
    <row r="231" spans="1:44">
      <c r="A231" s="184"/>
      <c r="B231" s="184"/>
      <c r="C231" s="185">
        <v>60</v>
      </c>
      <c r="D231" s="323"/>
      <c r="E231" s="185">
        <v>2</v>
      </c>
      <c r="F231" s="185">
        <v>2</v>
      </c>
      <c r="G231" s="185">
        <v>2</v>
      </c>
      <c r="H231" s="185">
        <v>2</v>
      </c>
      <c r="I231" s="185">
        <v>2</v>
      </c>
      <c r="J231" s="185">
        <v>2</v>
      </c>
      <c r="K231" s="323"/>
      <c r="L231" s="203">
        <v>0</v>
      </c>
      <c r="M231" s="185">
        <v>2</v>
      </c>
      <c r="N231" s="185">
        <v>2</v>
      </c>
      <c r="O231" s="185">
        <v>2</v>
      </c>
      <c r="P231" s="185">
        <v>2</v>
      </c>
      <c r="Q231" s="185">
        <v>2</v>
      </c>
      <c r="R231" s="323">
        <v>0</v>
      </c>
      <c r="S231" s="185">
        <v>2</v>
      </c>
      <c r="T231" s="185">
        <v>2</v>
      </c>
      <c r="U231" s="185">
        <v>2</v>
      </c>
      <c r="V231" s="185">
        <v>2</v>
      </c>
      <c r="W231" s="185">
        <v>2</v>
      </c>
      <c r="X231" s="323"/>
      <c r="Y231" s="185">
        <v>2</v>
      </c>
      <c r="Z231" s="185">
        <v>2</v>
      </c>
      <c r="AA231" s="185">
        <v>2</v>
      </c>
      <c r="AB231" s="185">
        <v>2</v>
      </c>
      <c r="AC231" s="185">
        <v>2</v>
      </c>
      <c r="AD231" s="203">
        <v>0</v>
      </c>
      <c r="AE231" s="185">
        <v>2</v>
      </c>
      <c r="AF231" s="185">
        <v>2</v>
      </c>
      <c r="AG231" s="185">
        <v>2</v>
      </c>
      <c r="AH231" s="185">
        <v>2</v>
      </c>
      <c r="AI231" s="185">
        <f t="shared" si="322"/>
        <v>50</v>
      </c>
      <c r="AJ231" s="185">
        <v>0</v>
      </c>
      <c r="AK231" s="185">
        <v>0</v>
      </c>
      <c r="AL231" s="185">
        <f t="shared" si="323"/>
        <v>50</v>
      </c>
      <c r="AM231" s="185">
        <f t="shared" si="324"/>
        <v>3000</v>
      </c>
      <c r="AN231" s="712"/>
      <c r="AO231" s="714"/>
      <c r="AP231" s="712"/>
      <c r="AQ231" s="185"/>
      <c r="AR231" s="185"/>
    </row>
    <row r="232" spans="1:44">
      <c r="A232" s="185">
        <v>2</v>
      </c>
      <c r="B232" s="184" t="s">
        <v>114</v>
      </c>
      <c r="C232" s="185">
        <f t="shared" si="321"/>
        <v>520</v>
      </c>
      <c r="D232" s="323"/>
      <c r="E232" s="185">
        <v>1</v>
      </c>
      <c r="F232" s="322">
        <v>0</v>
      </c>
      <c r="G232" s="185">
        <v>1</v>
      </c>
      <c r="H232" s="185">
        <v>1</v>
      </c>
      <c r="I232" s="185">
        <v>1</v>
      </c>
      <c r="J232" s="185">
        <v>1</v>
      </c>
      <c r="K232" s="323"/>
      <c r="L232" s="185">
        <v>1</v>
      </c>
      <c r="M232" s="185">
        <v>1</v>
      </c>
      <c r="N232" s="185">
        <v>1</v>
      </c>
      <c r="O232" s="324">
        <v>0</v>
      </c>
      <c r="P232" s="185">
        <v>1</v>
      </c>
      <c r="Q232" s="185">
        <v>1</v>
      </c>
      <c r="R232" s="323">
        <v>1</v>
      </c>
      <c r="S232" s="185">
        <v>1</v>
      </c>
      <c r="T232" s="185">
        <v>1</v>
      </c>
      <c r="U232" s="185">
        <v>1</v>
      </c>
      <c r="V232" s="185">
        <v>1</v>
      </c>
      <c r="W232" s="185">
        <v>1</v>
      </c>
      <c r="X232" s="323"/>
      <c r="Y232" s="185">
        <v>1</v>
      </c>
      <c r="Z232" s="185">
        <v>1</v>
      </c>
      <c r="AA232" s="185">
        <v>1</v>
      </c>
      <c r="AB232" s="185">
        <v>1</v>
      </c>
      <c r="AC232" s="185">
        <v>1</v>
      </c>
      <c r="AD232" s="185">
        <v>1</v>
      </c>
      <c r="AE232" s="185">
        <v>1</v>
      </c>
      <c r="AF232" s="185">
        <v>1</v>
      </c>
      <c r="AG232" s="185">
        <v>1</v>
      </c>
      <c r="AH232" s="185">
        <v>1</v>
      </c>
      <c r="AI232" s="185">
        <f t="shared" ref="AI232:AI245" si="327">SUM(D232:AH232)</f>
        <v>26</v>
      </c>
      <c r="AJ232" s="185">
        <v>0</v>
      </c>
      <c r="AK232" s="185">
        <v>0</v>
      </c>
      <c r="AL232" s="185">
        <f t="shared" si="323"/>
        <v>26</v>
      </c>
      <c r="AM232" s="185">
        <f t="shared" si="324"/>
        <v>13520</v>
      </c>
      <c r="AN232" s="711">
        <f t="shared" ref="AN232" si="328">AM232+AM233</f>
        <v>17030</v>
      </c>
      <c r="AO232" s="713">
        <v>0</v>
      </c>
      <c r="AP232" s="711">
        <f t="shared" ref="AP232" si="329">AN232-AO232</f>
        <v>17030</v>
      </c>
      <c r="AQ232" s="185"/>
      <c r="AR232" s="185"/>
    </row>
    <row r="233" spans="1:44">
      <c r="A233" s="185"/>
      <c r="B233" s="184"/>
      <c r="C233" s="185">
        <v>65</v>
      </c>
      <c r="D233" s="323"/>
      <c r="E233" s="185">
        <v>2</v>
      </c>
      <c r="F233" s="322">
        <v>0</v>
      </c>
      <c r="G233" s="185">
        <v>2</v>
      </c>
      <c r="H233" s="185">
        <v>2</v>
      </c>
      <c r="I233" s="185">
        <v>2</v>
      </c>
      <c r="J233" s="185">
        <v>2</v>
      </c>
      <c r="K233" s="323"/>
      <c r="L233" s="185">
        <v>2</v>
      </c>
      <c r="M233" s="185">
        <v>2</v>
      </c>
      <c r="N233" s="185">
        <v>2</v>
      </c>
      <c r="O233" s="324">
        <v>0</v>
      </c>
      <c r="P233" s="185">
        <v>2</v>
      </c>
      <c r="Q233" s="185">
        <v>2</v>
      </c>
      <c r="R233" s="323">
        <v>0</v>
      </c>
      <c r="S233" s="185">
        <v>2</v>
      </c>
      <c r="T233" s="256">
        <v>4</v>
      </c>
      <c r="U233" s="256">
        <v>4</v>
      </c>
      <c r="V233" s="185">
        <v>2</v>
      </c>
      <c r="W233" s="185">
        <v>2</v>
      </c>
      <c r="X233" s="323"/>
      <c r="Y233" s="185">
        <v>2</v>
      </c>
      <c r="Z233" s="185">
        <v>2</v>
      </c>
      <c r="AA233" s="185">
        <v>2</v>
      </c>
      <c r="AB233" s="185">
        <v>2</v>
      </c>
      <c r="AC233" s="185">
        <v>2</v>
      </c>
      <c r="AD233" s="185">
        <v>2</v>
      </c>
      <c r="AE233" s="185">
        <v>2</v>
      </c>
      <c r="AF233" s="185">
        <v>2</v>
      </c>
      <c r="AG233" s="185">
        <v>2</v>
      </c>
      <c r="AH233" s="185">
        <v>2</v>
      </c>
      <c r="AI233" s="185">
        <f t="shared" si="327"/>
        <v>54</v>
      </c>
      <c r="AJ233" s="185">
        <v>0</v>
      </c>
      <c r="AK233" s="185">
        <v>0</v>
      </c>
      <c r="AL233" s="185">
        <f t="shared" si="323"/>
        <v>54</v>
      </c>
      <c r="AM233" s="185">
        <f t="shared" si="324"/>
        <v>3510</v>
      </c>
      <c r="AN233" s="712"/>
      <c r="AO233" s="714"/>
      <c r="AP233" s="712"/>
      <c r="AQ233" s="185"/>
      <c r="AR233" s="185"/>
    </row>
    <row r="234" spans="1:44">
      <c r="A234" s="185">
        <v>3</v>
      </c>
      <c r="B234" s="184" t="s">
        <v>167</v>
      </c>
      <c r="C234" s="185">
        <f t="shared" si="321"/>
        <v>520</v>
      </c>
      <c r="D234" s="323"/>
      <c r="E234" s="185">
        <v>1</v>
      </c>
      <c r="F234" s="185">
        <v>1</v>
      </c>
      <c r="G234" s="322">
        <v>0</v>
      </c>
      <c r="H234" s="322">
        <v>0</v>
      </c>
      <c r="I234" s="185">
        <v>1</v>
      </c>
      <c r="J234" s="185">
        <v>1</v>
      </c>
      <c r="K234" s="323"/>
      <c r="L234" s="185">
        <v>1</v>
      </c>
      <c r="M234" s="185">
        <v>1</v>
      </c>
      <c r="N234" s="185">
        <v>1</v>
      </c>
      <c r="O234" s="185">
        <v>1</v>
      </c>
      <c r="P234" s="185">
        <v>1</v>
      </c>
      <c r="Q234" s="185">
        <v>1</v>
      </c>
      <c r="R234" s="323">
        <v>1</v>
      </c>
      <c r="S234" s="185">
        <v>1</v>
      </c>
      <c r="T234" s="185">
        <v>1</v>
      </c>
      <c r="U234" s="185">
        <v>1</v>
      </c>
      <c r="V234" s="185">
        <v>1</v>
      </c>
      <c r="W234" s="185">
        <v>1</v>
      </c>
      <c r="X234" s="323"/>
      <c r="Y234" s="185">
        <v>1</v>
      </c>
      <c r="Z234" s="185">
        <v>1</v>
      </c>
      <c r="AA234" s="325">
        <v>0</v>
      </c>
      <c r="AB234" s="185">
        <v>1</v>
      </c>
      <c r="AC234" s="185">
        <v>1</v>
      </c>
      <c r="AD234" s="185">
        <v>1</v>
      </c>
      <c r="AE234" s="185">
        <v>1</v>
      </c>
      <c r="AF234" s="185">
        <v>1</v>
      </c>
      <c r="AG234" s="185">
        <v>1</v>
      </c>
      <c r="AH234" s="185">
        <v>1</v>
      </c>
      <c r="AI234" s="185">
        <f t="shared" si="327"/>
        <v>25</v>
      </c>
      <c r="AJ234" s="185">
        <v>0</v>
      </c>
      <c r="AK234" s="185">
        <v>0</v>
      </c>
      <c r="AL234" s="185">
        <f t="shared" si="323"/>
        <v>25</v>
      </c>
      <c r="AM234" s="185">
        <f t="shared" si="324"/>
        <v>13000</v>
      </c>
      <c r="AN234" s="711">
        <f t="shared" ref="AN234" si="330">AM234+AM235</f>
        <v>16250</v>
      </c>
      <c r="AO234" s="713">
        <v>0</v>
      </c>
      <c r="AP234" s="711">
        <f t="shared" ref="AP234" si="331">AN234-AO234</f>
        <v>16250</v>
      </c>
      <c r="AQ234" s="185"/>
      <c r="AR234" s="185"/>
    </row>
    <row r="235" spans="1:44">
      <c r="A235" s="185"/>
      <c r="B235" s="184"/>
      <c r="C235" s="185">
        <v>65</v>
      </c>
      <c r="D235" s="323"/>
      <c r="E235" s="185">
        <v>2</v>
      </c>
      <c r="F235" s="185">
        <v>2</v>
      </c>
      <c r="G235" s="322">
        <v>0</v>
      </c>
      <c r="H235" s="322">
        <v>0</v>
      </c>
      <c r="I235" s="185">
        <v>2</v>
      </c>
      <c r="J235" s="185">
        <v>2</v>
      </c>
      <c r="K235" s="323"/>
      <c r="L235" s="185">
        <v>2</v>
      </c>
      <c r="M235" s="185">
        <v>2</v>
      </c>
      <c r="N235" s="185">
        <v>2</v>
      </c>
      <c r="O235" s="185">
        <v>2</v>
      </c>
      <c r="P235" s="185">
        <v>2</v>
      </c>
      <c r="Q235" s="185">
        <v>2</v>
      </c>
      <c r="R235" s="323">
        <v>0</v>
      </c>
      <c r="S235" s="185">
        <v>2</v>
      </c>
      <c r="T235" s="185">
        <v>2</v>
      </c>
      <c r="U235" s="256">
        <v>4</v>
      </c>
      <c r="V235" s="185">
        <v>2</v>
      </c>
      <c r="W235" s="185">
        <v>2</v>
      </c>
      <c r="X235" s="323"/>
      <c r="Y235" s="185">
        <v>2</v>
      </c>
      <c r="Z235" s="185">
        <v>2</v>
      </c>
      <c r="AA235" s="325">
        <v>0</v>
      </c>
      <c r="AB235" s="185">
        <v>2</v>
      </c>
      <c r="AC235" s="185">
        <v>2</v>
      </c>
      <c r="AD235" s="185">
        <v>2</v>
      </c>
      <c r="AE235" s="185">
        <v>2</v>
      </c>
      <c r="AF235" s="185">
        <v>2</v>
      </c>
      <c r="AG235" s="185">
        <v>2</v>
      </c>
      <c r="AH235" s="185">
        <v>2</v>
      </c>
      <c r="AI235" s="185">
        <f t="shared" si="327"/>
        <v>50</v>
      </c>
      <c r="AJ235" s="185">
        <v>0</v>
      </c>
      <c r="AK235" s="185">
        <v>0</v>
      </c>
      <c r="AL235" s="185">
        <f t="shared" si="323"/>
        <v>50</v>
      </c>
      <c r="AM235" s="185">
        <f t="shared" si="324"/>
        <v>3250</v>
      </c>
      <c r="AN235" s="712"/>
      <c r="AO235" s="714"/>
      <c r="AP235" s="712"/>
      <c r="AQ235" s="185"/>
      <c r="AR235" s="185"/>
    </row>
    <row r="236" spans="1:44">
      <c r="A236" s="185">
        <v>4</v>
      </c>
      <c r="B236" s="185">
        <v>1</v>
      </c>
      <c r="C236" s="185">
        <f t="shared" si="321"/>
        <v>480</v>
      </c>
      <c r="D236" s="323"/>
      <c r="E236" s="185">
        <v>1</v>
      </c>
      <c r="F236" s="185">
        <v>1</v>
      </c>
      <c r="G236" s="185">
        <v>1</v>
      </c>
      <c r="H236" s="185">
        <v>1</v>
      </c>
      <c r="I236" s="185">
        <v>1</v>
      </c>
      <c r="J236" s="185">
        <v>1</v>
      </c>
      <c r="K236" s="323"/>
      <c r="L236" s="185">
        <v>1</v>
      </c>
      <c r="M236" s="185">
        <v>1</v>
      </c>
      <c r="N236" s="185">
        <v>1</v>
      </c>
      <c r="O236" s="324">
        <v>0</v>
      </c>
      <c r="P236" s="185">
        <v>1</v>
      </c>
      <c r="Q236" s="185">
        <v>1</v>
      </c>
      <c r="R236" s="323">
        <v>1</v>
      </c>
      <c r="S236" s="185">
        <v>1</v>
      </c>
      <c r="T236" s="185">
        <v>1</v>
      </c>
      <c r="U236" s="185">
        <v>1</v>
      </c>
      <c r="V236" s="185">
        <v>1</v>
      </c>
      <c r="W236" s="185">
        <v>1</v>
      </c>
      <c r="X236" s="323"/>
      <c r="Y236" s="185">
        <v>1</v>
      </c>
      <c r="Z236" s="185">
        <v>1</v>
      </c>
      <c r="AA236" s="185">
        <v>1</v>
      </c>
      <c r="AB236" s="185">
        <v>1</v>
      </c>
      <c r="AC236" s="185">
        <v>1</v>
      </c>
      <c r="AD236" s="185">
        <v>1</v>
      </c>
      <c r="AE236" s="185">
        <v>1</v>
      </c>
      <c r="AF236" s="185">
        <v>1</v>
      </c>
      <c r="AG236" s="185">
        <v>1</v>
      </c>
      <c r="AH236" s="185">
        <v>1</v>
      </c>
      <c r="AI236" s="185">
        <f t="shared" si="327"/>
        <v>27</v>
      </c>
      <c r="AJ236" s="185">
        <v>0</v>
      </c>
      <c r="AK236" s="185">
        <v>0</v>
      </c>
      <c r="AL236" s="185">
        <f t="shared" si="323"/>
        <v>27</v>
      </c>
      <c r="AM236" s="185">
        <f t="shared" si="324"/>
        <v>12960</v>
      </c>
      <c r="AN236" s="711">
        <f t="shared" ref="AN236" si="332">AM236+AM237</f>
        <v>16080</v>
      </c>
      <c r="AO236" s="713">
        <v>1000</v>
      </c>
      <c r="AP236" s="711">
        <f t="shared" ref="AP236" si="333">AN236-AO236</f>
        <v>15080</v>
      </c>
      <c r="AQ236" s="185"/>
      <c r="AR236" s="185"/>
    </row>
    <row r="237" spans="1:44">
      <c r="A237" s="185"/>
      <c r="B237" s="184"/>
      <c r="C237" s="185">
        <v>60</v>
      </c>
      <c r="D237" s="323"/>
      <c r="E237" s="185">
        <v>2</v>
      </c>
      <c r="F237" s="185">
        <v>2</v>
      </c>
      <c r="G237" s="185">
        <v>2</v>
      </c>
      <c r="H237" s="185">
        <v>2</v>
      </c>
      <c r="I237" s="185">
        <v>2</v>
      </c>
      <c r="J237" s="185">
        <v>2</v>
      </c>
      <c r="K237" s="323"/>
      <c r="L237" s="185">
        <v>2</v>
      </c>
      <c r="M237" s="185">
        <v>2</v>
      </c>
      <c r="N237" s="185">
        <v>2</v>
      </c>
      <c r="O237" s="324">
        <v>0</v>
      </c>
      <c r="P237" s="185">
        <v>2</v>
      </c>
      <c r="Q237" s="185">
        <v>2</v>
      </c>
      <c r="R237" s="323">
        <v>0</v>
      </c>
      <c r="S237" s="185">
        <v>2</v>
      </c>
      <c r="T237" s="185">
        <v>2</v>
      </c>
      <c r="U237" s="185">
        <v>2</v>
      </c>
      <c r="V237" s="185">
        <v>2</v>
      </c>
      <c r="W237" s="185">
        <v>2</v>
      </c>
      <c r="X237" s="323"/>
      <c r="Y237" s="185">
        <v>2</v>
      </c>
      <c r="Z237" s="185">
        <v>2</v>
      </c>
      <c r="AA237" s="185">
        <v>2</v>
      </c>
      <c r="AB237" s="185">
        <v>2</v>
      </c>
      <c r="AC237" s="185">
        <v>2</v>
      </c>
      <c r="AD237" s="185">
        <v>2</v>
      </c>
      <c r="AE237" s="185">
        <v>2</v>
      </c>
      <c r="AF237" s="185">
        <v>2</v>
      </c>
      <c r="AG237" s="185">
        <v>2</v>
      </c>
      <c r="AH237" s="185">
        <v>2</v>
      </c>
      <c r="AI237" s="185">
        <f t="shared" si="327"/>
        <v>52</v>
      </c>
      <c r="AJ237" s="185">
        <v>0</v>
      </c>
      <c r="AK237" s="185">
        <v>0</v>
      </c>
      <c r="AL237" s="185">
        <f t="shared" si="323"/>
        <v>52</v>
      </c>
      <c r="AM237" s="185">
        <f t="shared" si="324"/>
        <v>3120</v>
      </c>
      <c r="AN237" s="712"/>
      <c r="AO237" s="714"/>
      <c r="AP237" s="712"/>
      <c r="AQ237" s="185"/>
      <c r="AR237" s="185"/>
    </row>
    <row r="238" spans="1:44">
      <c r="A238" s="185">
        <v>5</v>
      </c>
      <c r="B238" s="185">
        <v>2</v>
      </c>
      <c r="C238" s="185">
        <f t="shared" si="321"/>
        <v>480</v>
      </c>
      <c r="D238" s="323"/>
      <c r="E238" s="185">
        <v>1</v>
      </c>
      <c r="F238" s="185">
        <v>1</v>
      </c>
      <c r="G238" s="185">
        <v>1</v>
      </c>
      <c r="H238" s="185">
        <v>1</v>
      </c>
      <c r="I238" s="185">
        <v>1</v>
      </c>
      <c r="J238" s="185">
        <v>1</v>
      </c>
      <c r="K238" s="323"/>
      <c r="L238" s="185">
        <v>1</v>
      </c>
      <c r="M238" s="185">
        <v>1</v>
      </c>
      <c r="N238" s="185">
        <v>1</v>
      </c>
      <c r="O238" s="324">
        <v>0</v>
      </c>
      <c r="P238" s="185">
        <v>1</v>
      </c>
      <c r="Q238" s="185">
        <v>1</v>
      </c>
      <c r="R238" s="323">
        <v>1</v>
      </c>
      <c r="S238" s="185">
        <v>1</v>
      </c>
      <c r="T238" s="185">
        <v>1</v>
      </c>
      <c r="U238" s="185">
        <v>1</v>
      </c>
      <c r="V238" s="185">
        <v>1</v>
      </c>
      <c r="W238" s="185">
        <v>1</v>
      </c>
      <c r="X238" s="323"/>
      <c r="Y238" s="185">
        <v>1</v>
      </c>
      <c r="Z238" s="185">
        <v>1</v>
      </c>
      <c r="AA238" s="185">
        <v>1</v>
      </c>
      <c r="AB238" s="185">
        <v>1</v>
      </c>
      <c r="AC238" s="185">
        <v>1</v>
      </c>
      <c r="AD238" s="185">
        <v>1</v>
      </c>
      <c r="AE238" s="185">
        <v>1</v>
      </c>
      <c r="AF238" s="185">
        <v>1</v>
      </c>
      <c r="AG238" s="185">
        <v>1</v>
      </c>
      <c r="AH238" s="185">
        <v>1</v>
      </c>
      <c r="AI238" s="185">
        <f t="shared" si="327"/>
        <v>27</v>
      </c>
      <c r="AJ238" s="185">
        <v>0</v>
      </c>
      <c r="AK238" s="185">
        <v>0</v>
      </c>
      <c r="AL238" s="185">
        <f t="shared" si="323"/>
        <v>27</v>
      </c>
      <c r="AM238" s="185">
        <f t="shared" si="324"/>
        <v>12960</v>
      </c>
      <c r="AN238" s="711">
        <f t="shared" ref="AN238" si="334">AM238+AM239</f>
        <v>16080</v>
      </c>
      <c r="AO238" s="713">
        <v>1000</v>
      </c>
      <c r="AP238" s="711">
        <f t="shared" ref="AP238" si="335">AN238-AO238</f>
        <v>15080</v>
      </c>
      <c r="AQ238" s="185"/>
      <c r="AR238" s="185"/>
    </row>
    <row r="239" spans="1:44">
      <c r="A239" s="185"/>
      <c r="B239" s="184"/>
      <c r="C239" s="185">
        <v>60</v>
      </c>
      <c r="D239" s="323"/>
      <c r="E239" s="185">
        <v>2</v>
      </c>
      <c r="F239" s="185">
        <v>2</v>
      </c>
      <c r="G239" s="185">
        <v>2</v>
      </c>
      <c r="H239" s="185">
        <v>2</v>
      </c>
      <c r="I239" s="185">
        <v>2</v>
      </c>
      <c r="J239" s="185">
        <v>2</v>
      </c>
      <c r="K239" s="323"/>
      <c r="L239" s="185">
        <v>2</v>
      </c>
      <c r="M239" s="185">
        <v>2</v>
      </c>
      <c r="N239" s="185">
        <v>2</v>
      </c>
      <c r="O239" s="324">
        <v>0</v>
      </c>
      <c r="P239" s="185">
        <v>2</v>
      </c>
      <c r="Q239" s="185">
        <v>2</v>
      </c>
      <c r="R239" s="323">
        <v>0</v>
      </c>
      <c r="S239" s="185">
        <v>2</v>
      </c>
      <c r="T239" s="185">
        <v>2</v>
      </c>
      <c r="U239" s="185">
        <v>2</v>
      </c>
      <c r="V239" s="185">
        <v>2</v>
      </c>
      <c r="W239" s="185">
        <v>2</v>
      </c>
      <c r="X239" s="323"/>
      <c r="Y239" s="185">
        <v>2</v>
      </c>
      <c r="Z239" s="185">
        <v>2</v>
      </c>
      <c r="AA239" s="185">
        <v>2</v>
      </c>
      <c r="AB239" s="185">
        <v>2</v>
      </c>
      <c r="AC239" s="185">
        <v>2</v>
      </c>
      <c r="AD239" s="185">
        <v>2</v>
      </c>
      <c r="AE239" s="185">
        <v>2</v>
      </c>
      <c r="AF239" s="185">
        <v>2</v>
      </c>
      <c r="AG239" s="185">
        <v>2</v>
      </c>
      <c r="AH239" s="185">
        <v>2</v>
      </c>
      <c r="AI239" s="185">
        <f t="shared" si="327"/>
        <v>52</v>
      </c>
      <c r="AJ239" s="185">
        <v>0</v>
      </c>
      <c r="AK239" s="185">
        <v>0</v>
      </c>
      <c r="AL239" s="185">
        <f t="shared" si="323"/>
        <v>52</v>
      </c>
      <c r="AM239" s="185">
        <f t="shared" si="324"/>
        <v>3120</v>
      </c>
      <c r="AN239" s="712"/>
      <c r="AO239" s="714"/>
      <c r="AP239" s="712"/>
      <c r="AQ239" s="185"/>
      <c r="AR239" s="185"/>
    </row>
    <row r="240" spans="1:44">
      <c r="A240" s="185">
        <v>6</v>
      </c>
      <c r="B240" s="185">
        <v>3</v>
      </c>
      <c r="C240" s="185">
        <f t="shared" si="321"/>
        <v>480</v>
      </c>
      <c r="D240" s="323"/>
      <c r="E240" s="185">
        <v>1</v>
      </c>
      <c r="F240" s="185">
        <v>1</v>
      </c>
      <c r="G240" s="185">
        <v>1</v>
      </c>
      <c r="H240" s="185">
        <v>1</v>
      </c>
      <c r="I240" s="185">
        <v>1</v>
      </c>
      <c r="J240" s="185">
        <v>1</v>
      </c>
      <c r="K240" s="323"/>
      <c r="L240" s="185">
        <v>1</v>
      </c>
      <c r="M240" s="185">
        <v>1</v>
      </c>
      <c r="N240" s="185">
        <v>1</v>
      </c>
      <c r="O240" s="324">
        <v>0</v>
      </c>
      <c r="P240" s="185">
        <v>1</v>
      </c>
      <c r="Q240" s="185">
        <v>1</v>
      </c>
      <c r="R240" s="325">
        <v>0</v>
      </c>
      <c r="S240" s="185">
        <v>1</v>
      </c>
      <c r="T240" s="185">
        <v>1</v>
      </c>
      <c r="U240" s="185">
        <v>1</v>
      </c>
      <c r="V240" s="185">
        <v>1</v>
      </c>
      <c r="W240" s="185">
        <v>1</v>
      </c>
      <c r="X240" s="323"/>
      <c r="Y240" s="185">
        <v>1</v>
      </c>
      <c r="Z240" s="185">
        <v>1</v>
      </c>
      <c r="AA240" s="185">
        <v>1</v>
      </c>
      <c r="AB240" s="185">
        <v>1</v>
      </c>
      <c r="AC240" s="185">
        <v>1</v>
      </c>
      <c r="AD240" s="185">
        <v>1</v>
      </c>
      <c r="AE240" s="185">
        <v>1</v>
      </c>
      <c r="AF240" s="185">
        <v>1</v>
      </c>
      <c r="AG240" s="185">
        <v>1</v>
      </c>
      <c r="AH240" s="185">
        <v>1</v>
      </c>
      <c r="AI240" s="185">
        <f t="shared" si="327"/>
        <v>26</v>
      </c>
      <c r="AJ240" s="185">
        <v>0</v>
      </c>
      <c r="AK240" s="185">
        <v>0</v>
      </c>
      <c r="AL240" s="185">
        <f t="shared" si="323"/>
        <v>26</v>
      </c>
      <c r="AM240" s="185">
        <f t="shared" si="324"/>
        <v>12480</v>
      </c>
      <c r="AN240" s="711">
        <f t="shared" ref="AN240" si="336">AM240+AM241</f>
        <v>15600</v>
      </c>
      <c r="AO240" s="713">
        <v>1000</v>
      </c>
      <c r="AP240" s="711">
        <f t="shared" ref="AP240" si="337">AN240-AO240</f>
        <v>14600</v>
      </c>
      <c r="AQ240" s="185"/>
      <c r="AR240" s="185"/>
    </row>
    <row r="241" spans="1:44">
      <c r="A241" s="185"/>
      <c r="B241" s="184"/>
      <c r="C241" s="185">
        <v>60</v>
      </c>
      <c r="D241" s="323"/>
      <c r="E241" s="185">
        <v>2</v>
      </c>
      <c r="F241" s="185">
        <v>2</v>
      </c>
      <c r="G241" s="185">
        <v>2</v>
      </c>
      <c r="H241" s="185">
        <v>2</v>
      </c>
      <c r="I241" s="185">
        <v>2</v>
      </c>
      <c r="J241" s="185">
        <v>2</v>
      </c>
      <c r="K241" s="323"/>
      <c r="L241" s="185">
        <v>2</v>
      </c>
      <c r="M241" s="185">
        <v>2</v>
      </c>
      <c r="N241" s="185">
        <v>2</v>
      </c>
      <c r="O241" s="324">
        <v>0</v>
      </c>
      <c r="P241" s="185">
        <v>2</v>
      </c>
      <c r="Q241" s="185">
        <v>2</v>
      </c>
      <c r="R241" s="325">
        <v>0</v>
      </c>
      <c r="S241" s="185">
        <v>2</v>
      </c>
      <c r="T241" s="185">
        <v>2</v>
      </c>
      <c r="U241" s="185">
        <v>2</v>
      </c>
      <c r="V241" s="185">
        <v>2</v>
      </c>
      <c r="W241" s="185">
        <v>2</v>
      </c>
      <c r="X241" s="323"/>
      <c r="Y241" s="185">
        <v>2</v>
      </c>
      <c r="Z241" s="185">
        <v>2</v>
      </c>
      <c r="AA241" s="185">
        <v>2</v>
      </c>
      <c r="AB241" s="185">
        <v>2</v>
      </c>
      <c r="AC241" s="185">
        <v>2</v>
      </c>
      <c r="AD241" s="185">
        <v>2</v>
      </c>
      <c r="AE241" s="185">
        <v>2</v>
      </c>
      <c r="AF241" s="185">
        <v>2</v>
      </c>
      <c r="AG241" s="185">
        <v>2</v>
      </c>
      <c r="AH241" s="185">
        <v>2</v>
      </c>
      <c r="AI241" s="185">
        <f t="shared" si="327"/>
        <v>52</v>
      </c>
      <c r="AJ241" s="185">
        <v>0</v>
      </c>
      <c r="AK241" s="185">
        <v>0</v>
      </c>
      <c r="AL241" s="185">
        <f t="shared" si="323"/>
        <v>52</v>
      </c>
      <c r="AM241" s="185">
        <f t="shared" si="324"/>
        <v>3120</v>
      </c>
      <c r="AN241" s="712"/>
      <c r="AO241" s="714"/>
      <c r="AP241" s="712"/>
      <c r="AQ241" s="185"/>
      <c r="AR241" s="185"/>
    </row>
    <row r="242" spans="1:44">
      <c r="A242" s="185">
        <v>7</v>
      </c>
      <c r="B242" s="185">
        <v>4</v>
      </c>
      <c r="C242" s="185">
        <f t="shared" si="321"/>
        <v>480</v>
      </c>
      <c r="D242" s="323"/>
      <c r="E242" s="185">
        <v>1</v>
      </c>
      <c r="F242" s="185">
        <v>1</v>
      </c>
      <c r="G242" s="185">
        <v>1</v>
      </c>
      <c r="H242" s="185">
        <v>1</v>
      </c>
      <c r="I242" s="185">
        <v>1</v>
      </c>
      <c r="J242" s="185">
        <v>1</v>
      </c>
      <c r="K242" s="323"/>
      <c r="L242" s="185">
        <v>1</v>
      </c>
      <c r="M242" s="185">
        <v>1</v>
      </c>
      <c r="N242" s="185">
        <v>1</v>
      </c>
      <c r="O242" s="324">
        <v>0</v>
      </c>
      <c r="P242" s="185">
        <v>1</v>
      </c>
      <c r="Q242" s="185">
        <v>1</v>
      </c>
      <c r="R242" s="325">
        <v>0</v>
      </c>
      <c r="S242" s="185">
        <v>1</v>
      </c>
      <c r="T242" s="185">
        <v>1</v>
      </c>
      <c r="U242" s="185">
        <v>1</v>
      </c>
      <c r="V242" s="185">
        <v>1</v>
      </c>
      <c r="W242" s="185">
        <v>1</v>
      </c>
      <c r="X242" s="323"/>
      <c r="Y242" s="185">
        <v>1</v>
      </c>
      <c r="Z242" s="185">
        <v>1</v>
      </c>
      <c r="AA242" s="325">
        <v>0</v>
      </c>
      <c r="AB242" s="185">
        <v>1</v>
      </c>
      <c r="AC242" s="185">
        <v>1</v>
      </c>
      <c r="AD242" s="185">
        <v>1</v>
      </c>
      <c r="AE242" s="185">
        <v>1</v>
      </c>
      <c r="AF242" s="185">
        <v>1</v>
      </c>
      <c r="AG242" s="185">
        <v>1</v>
      </c>
      <c r="AH242" s="185">
        <v>1</v>
      </c>
      <c r="AI242" s="185">
        <f t="shared" si="327"/>
        <v>25</v>
      </c>
      <c r="AJ242" s="185">
        <v>0</v>
      </c>
      <c r="AK242" s="185">
        <v>0</v>
      </c>
      <c r="AL242" s="185">
        <f t="shared" si="323"/>
        <v>25</v>
      </c>
      <c r="AM242" s="185">
        <f t="shared" si="324"/>
        <v>12000</v>
      </c>
      <c r="AN242" s="711">
        <f t="shared" ref="AN242" si="338">AM242+AM243</f>
        <v>15000</v>
      </c>
      <c r="AO242" s="713">
        <v>1000</v>
      </c>
      <c r="AP242" s="711">
        <f t="shared" ref="AP242" si="339">AN242-AO242</f>
        <v>14000</v>
      </c>
      <c r="AQ242" s="185"/>
      <c r="AR242" s="185"/>
    </row>
    <row r="243" spans="1:44">
      <c r="A243" s="185"/>
      <c r="B243" s="184"/>
      <c r="C243" s="185">
        <v>60</v>
      </c>
      <c r="D243" s="323"/>
      <c r="E243" s="185">
        <v>2</v>
      </c>
      <c r="F243" s="185">
        <v>2</v>
      </c>
      <c r="G243" s="185">
        <v>2</v>
      </c>
      <c r="H243" s="185">
        <v>2</v>
      </c>
      <c r="I243" s="185">
        <v>2</v>
      </c>
      <c r="J243" s="185">
        <v>2</v>
      </c>
      <c r="K243" s="323"/>
      <c r="L243" s="185">
        <v>2</v>
      </c>
      <c r="M243" s="185">
        <v>2</v>
      </c>
      <c r="N243" s="185">
        <v>2</v>
      </c>
      <c r="O243" s="324">
        <v>0</v>
      </c>
      <c r="P243" s="185">
        <v>2</v>
      </c>
      <c r="Q243" s="185">
        <v>2</v>
      </c>
      <c r="R243" s="325">
        <v>0</v>
      </c>
      <c r="S243" s="185">
        <v>2</v>
      </c>
      <c r="T243" s="185">
        <v>2</v>
      </c>
      <c r="U243" s="185">
        <v>2</v>
      </c>
      <c r="V243" s="185">
        <v>2</v>
      </c>
      <c r="W243" s="185">
        <v>2</v>
      </c>
      <c r="X243" s="323"/>
      <c r="Y243" s="185">
        <v>2</v>
      </c>
      <c r="Z243" s="185">
        <v>2</v>
      </c>
      <c r="AA243" s="325">
        <v>0</v>
      </c>
      <c r="AB243" s="185">
        <v>2</v>
      </c>
      <c r="AC243" s="185">
        <v>2</v>
      </c>
      <c r="AD243" s="185">
        <v>2</v>
      </c>
      <c r="AE243" s="185">
        <v>2</v>
      </c>
      <c r="AF243" s="185">
        <v>2</v>
      </c>
      <c r="AG243" s="185">
        <v>2</v>
      </c>
      <c r="AH243" s="185">
        <v>2</v>
      </c>
      <c r="AI243" s="185">
        <f t="shared" si="327"/>
        <v>50</v>
      </c>
      <c r="AJ243" s="185">
        <v>0</v>
      </c>
      <c r="AK243" s="185">
        <v>0</v>
      </c>
      <c r="AL243" s="185">
        <f t="shared" si="323"/>
        <v>50</v>
      </c>
      <c r="AM243" s="185">
        <f t="shared" si="324"/>
        <v>3000</v>
      </c>
      <c r="AN243" s="712"/>
      <c r="AO243" s="714"/>
      <c r="AP243" s="712"/>
      <c r="AQ243" s="185"/>
      <c r="AR243" s="185"/>
    </row>
    <row r="244" spans="1:44">
      <c r="A244" s="185">
        <v>8</v>
      </c>
      <c r="B244" s="185">
        <v>5</v>
      </c>
      <c r="C244" s="185">
        <f t="shared" si="321"/>
        <v>480</v>
      </c>
      <c r="D244" s="323"/>
      <c r="E244" s="185">
        <v>1</v>
      </c>
      <c r="F244" s="185">
        <v>1</v>
      </c>
      <c r="G244" s="185">
        <v>1</v>
      </c>
      <c r="H244" s="185">
        <v>1</v>
      </c>
      <c r="I244" s="185">
        <v>1</v>
      </c>
      <c r="J244" s="185">
        <v>1</v>
      </c>
      <c r="K244" s="323"/>
      <c r="L244" s="185">
        <v>1</v>
      </c>
      <c r="M244" s="185">
        <v>1</v>
      </c>
      <c r="N244" s="185">
        <v>1</v>
      </c>
      <c r="O244" s="324">
        <v>0</v>
      </c>
      <c r="P244" s="185">
        <v>1</v>
      </c>
      <c r="Q244" s="185">
        <v>1</v>
      </c>
      <c r="R244" s="325">
        <v>0</v>
      </c>
      <c r="S244" s="325">
        <v>0</v>
      </c>
      <c r="T244" s="185">
        <v>1</v>
      </c>
      <c r="U244" s="185">
        <v>1</v>
      </c>
      <c r="V244" s="185">
        <v>1</v>
      </c>
      <c r="W244" s="185">
        <v>1</v>
      </c>
      <c r="X244" s="323"/>
      <c r="Y244" s="185">
        <v>1</v>
      </c>
      <c r="Z244" s="185">
        <v>1</v>
      </c>
      <c r="AA244" s="325">
        <v>0</v>
      </c>
      <c r="AB244" s="185">
        <v>1</v>
      </c>
      <c r="AC244" s="185">
        <v>1</v>
      </c>
      <c r="AD244" s="185">
        <v>1</v>
      </c>
      <c r="AE244" s="185">
        <v>1</v>
      </c>
      <c r="AF244" s="185">
        <v>1</v>
      </c>
      <c r="AG244" s="185">
        <v>1</v>
      </c>
      <c r="AH244" s="185">
        <v>1</v>
      </c>
      <c r="AI244" s="185">
        <f t="shared" si="327"/>
        <v>24</v>
      </c>
      <c r="AJ244" s="185">
        <v>0</v>
      </c>
      <c r="AK244" s="185">
        <v>0</v>
      </c>
      <c r="AL244" s="185">
        <f t="shared" si="323"/>
        <v>24</v>
      </c>
      <c r="AM244" s="185">
        <f t="shared" si="324"/>
        <v>11520</v>
      </c>
      <c r="AN244" s="711">
        <f t="shared" ref="AN244" si="340">AM244+AM245</f>
        <v>14400</v>
      </c>
      <c r="AO244" s="713">
        <v>1000</v>
      </c>
      <c r="AP244" s="711">
        <f t="shared" ref="AP244" si="341">AN244-AO244</f>
        <v>13400</v>
      </c>
      <c r="AQ244" s="185"/>
      <c r="AR244" s="185"/>
    </row>
    <row r="245" spans="1:44">
      <c r="A245" s="185"/>
      <c r="B245" s="184"/>
      <c r="C245" s="185">
        <v>60</v>
      </c>
      <c r="D245" s="323"/>
      <c r="E245" s="185">
        <v>2</v>
      </c>
      <c r="F245" s="185">
        <v>2</v>
      </c>
      <c r="G245" s="185">
        <v>2</v>
      </c>
      <c r="H245" s="185">
        <v>2</v>
      </c>
      <c r="I245" s="185">
        <v>2</v>
      </c>
      <c r="J245" s="185">
        <v>2</v>
      </c>
      <c r="K245" s="323"/>
      <c r="L245" s="185">
        <v>2</v>
      </c>
      <c r="M245" s="185">
        <v>2</v>
      </c>
      <c r="N245" s="185">
        <v>2</v>
      </c>
      <c r="O245" s="324">
        <v>0</v>
      </c>
      <c r="P245" s="185">
        <v>2</v>
      </c>
      <c r="Q245" s="185">
        <v>2</v>
      </c>
      <c r="R245" s="325">
        <v>0</v>
      </c>
      <c r="S245" s="325">
        <v>0</v>
      </c>
      <c r="T245" s="185">
        <v>2</v>
      </c>
      <c r="U245" s="185">
        <v>2</v>
      </c>
      <c r="V245" s="185">
        <v>2</v>
      </c>
      <c r="W245" s="185">
        <v>2</v>
      </c>
      <c r="X245" s="323"/>
      <c r="Y245" s="185">
        <v>2</v>
      </c>
      <c r="Z245" s="185">
        <v>2</v>
      </c>
      <c r="AA245" s="325">
        <v>0</v>
      </c>
      <c r="AB245" s="185">
        <v>2</v>
      </c>
      <c r="AC245" s="185">
        <v>2</v>
      </c>
      <c r="AD245" s="185">
        <v>2</v>
      </c>
      <c r="AE245" s="185">
        <v>2</v>
      </c>
      <c r="AF245" s="185">
        <v>2</v>
      </c>
      <c r="AG245" s="185">
        <v>2</v>
      </c>
      <c r="AH245" s="185">
        <v>2</v>
      </c>
      <c r="AI245" s="185">
        <f t="shared" si="327"/>
        <v>48</v>
      </c>
      <c r="AJ245" s="185">
        <v>0</v>
      </c>
      <c r="AK245" s="185">
        <v>0</v>
      </c>
      <c r="AL245" s="185">
        <f t="shared" si="323"/>
        <v>48</v>
      </c>
      <c r="AM245" s="185">
        <f t="shared" si="324"/>
        <v>2880</v>
      </c>
      <c r="AN245" s="712"/>
      <c r="AO245" s="714"/>
      <c r="AP245" s="712"/>
      <c r="AQ245" s="185"/>
      <c r="AR245" s="185"/>
    </row>
    <row r="246" spans="1:44">
      <c r="A246" s="767" t="s">
        <v>103</v>
      </c>
      <c r="B246" s="768"/>
      <c r="C246" s="291"/>
      <c r="D246" s="291">
        <f>D230+D232+D234+D236+D238+D240+D242+D244</f>
        <v>0</v>
      </c>
      <c r="E246" s="291">
        <f t="shared" ref="E246:AR246" si="342">E230+E232+E234+E236+E238+E240+E242+E244</f>
        <v>8</v>
      </c>
      <c r="F246" s="291">
        <f t="shared" si="342"/>
        <v>7</v>
      </c>
      <c r="G246" s="291">
        <f t="shared" si="342"/>
        <v>7</v>
      </c>
      <c r="H246" s="291">
        <f t="shared" si="342"/>
        <v>7</v>
      </c>
      <c r="I246" s="291">
        <f t="shared" si="342"/>
        <v>8</v>
      </c>
      <c r="J246" s="291">
        <f t="shared" si="342"/>
        <v>8</v>
      </c>
      <c r="K246" s="291">
        <f t="shared" si="342"/>
        <v>0</v>
      </c>
      <c r="L246" s="291">
        <f t="shared" si="342"/>
        <v>7.5</v>
      </c>
      <c r="M246" s="291">
        <f t="shared" si="342"/>
        <v>8</v>
      </c>
      <c r="N246" s="291">
        <f t="shared" si="342"/>
        <v>8</v>
      </c>
      <c r="O246" s="291">
        <f t="shared" si="342"/>
        <v>2</v>
      </c>
      <c r="P246" s="291">
        <f t="shared" si="342"/>
        <v>8</v>
      </c>
      <c r="Q246" s="291">
        <f t="shared" si="342"/>
        <v>8</v>
      </c>
      <c r="R246" s="291">
        <f t="shared" si="342"/>
        <v>5</v>
      </c>
      <c r="S246" s="291">
        <f t="shared" si="342"/>
        <v>7</v>
      </c>
      <c r="T246" s="291">
        <f t="shared" si="342"/>
        <v>8</v>
      </c>
      <c r="U246" s="291">
        <f t="shared" si="342"/>
        <v>8</v>
      </c>
      <c r="V246" s="291">
        <f t="shared" si="342"/>
        <v>8</v>
      </c>
      <c r="W246" s="291">
        <f t="shared" si="342"/>
        <v>8</v>
      </c>
      <c r="X246" s="291">
        <f t="shared" si="342"/>
        <v>0</v>
      </c>
      <c r="Y246" s="291">
        <f t="shared" si="342"/>
        <v>8</v>
      </c>
      <c r="Z246" s="291">
        <f t="shared" si="342"/>
        <v>8</v>
      </c>
      <c r="AA246" s="291">
        <f t="shared" si="342"/>
        <v>5</v>
      </c>
      <c r="AB246" s="291">
        <f t="shared" si="342"/>
        <v>8</v>
      </c>
      <c r="AC246" s="291">
        <f t="shared" si="342"/>
        <v>8</v>
      </c>
      <c r="AD246" s="291">
        <f t="shared" si="342"/>
        <v>7.5</v>
      </c>
      <c r="AE246" s="291">
        <f t="shared" si="342"/>
        <v>8</v>
      </c>
      <c r="AF246" s="291">
        <f t="shared" si="342"/>
        <v>8</v>
      </c>
      <c r="AG246" s="291">
        <f t="shared" si="342"/>
        <v>8</v>
      </c>
      <c r="AH246" s="291">
        <f t="shared" si="342"/>
        <v>8</v>
      </c>
      <c r="AI246" s="291">
        <f t="shared" si="342"/>
        <v>207</v>
      </c>
      <c r="AJ246" s="291">
        <f t="shared" si="342"/>
        <v>0</v>
      </c>
      <c r="AK246" s="291">
        <f t="shared" si="342"/>
        <v>0</v>
      </c>
      <c r="AL246" s="291">
        <f t="shared" si="342"/>
        <v>207</v>
      </c>
      <c r="AM246" s="291">
        <f t="shared" si="342"/>
        <v>101400</v>
      </c>
      <c r="AN246" s="291">
        <f t="shared" si="342"/>
        <v>126400</v>
      </c>
      <c r="AO246" s="291">
        <f t="shared" si="342"/>
        <v>5000</v>
      </c>
      <c r="AP246" s="291">
        <f t="shared" si="342"/>
        <v>121400</v>
      </c>
      <c r="AQ246" s="291">
        <f t="shared" si="342"/>
        <v>0</v>
      </c>
      <c r="AR246" s="291">
        <f t="shared" si="342"/>
        <v>0</v>
      </c>
    </row>
    <row r="247" spans="1:44">
      <c r="A247" s="769" t="s">
        <v>106</v>
      </c>
      <c r="B247" s="770"/>
      <c r="C247" s="292"/>
      <c r="D247" s="292">
        <f>D231+D233+D235+D237+D239+D241+D243+D245</f>
        <v>0</v>
      </c>
      <c r="E247" s="292">
        <f t="shared" ref="E247:AR247" si="343">E231+E233+E235+E237+E239+E241+E243+E245</f>
        <v>16</v>
      </c>
      <c r="F247" s="292">
        <f t="shared" si="343"/>
        <v>14</v>
      </c>
      <c r="G247" s="292">
        <f t="shared" si="343"/>
        <v>14</v>
      </c>
      <c r="H247" s="292">
        <f t="shared" si="343"/>
        <v>14</v>
      </c>
      <c r="I247" s="292">
        <f t="shared" si="343"/>
        <v>16</v>
      </c>
      <c r="J247" s="292">
        <f t="shared" si="343"/>
        <v>16</v>
      </c>
      <c r="K247" s="292">
        <f t="shared" si="343"/>
        <v>0</v>
      </c>
      <c r="L247" s="292">
        <f t="shared" si="343"/>
        <v>14</v>
      </c>
      <c r="M247" s="292">
        <f t="shared" si="343"/>
        <v>16</v>
      </c>
      <c r="N247" s="292">
        <f t="shared" si="343"/>
        <v>16</v>
      </c>
      <c r="O247" s="292">
        <f t="shared" si="343"/>
        <v>4</v>
      </c>
      <c r="P247" s="292">
        <f t="shared" si="343"/>
        <v>16</v>
      </c>
      <c r="Q247" s="292">
        <f t="shared" si="343"/>
        <v>16</v>
      </c>
      <c r="R247" s="292">
        <f t="shared" si="343"/>
        <v>0</v>
      </c>
      <c r="S247" s="292">
        <f t="shared" si="343"/>
        <v>14</v>
      </c>
      <c r="T247" s="292">
        <f t="shared" si="343"/>
        <v>18</v>
      </c>
      <c r="U247" s="292">
        <f t="shared" si="343"/>
        <v>20</v>
      </c>
      <c r="V247" s="292">
        <f t="shared" si="343"/>
        <v>16</v>
      </c>
      <c r="W247" s="292">
        <f t="shared" si="343"/>
        <v>16</v>
      </c>
      <c r="X247" s="292">
        <f t="shared" si="343"/>
        <v>0</v>
      </c>
      <c r="Y247" s="292">
        <f t="shared" si="343"/>
        <v>16</v>
      </c>
      <c r="Z247" s="292">
        <f t="shared" si="343"/>
        <v>16</v>
      </c>
      <c r="AA247" s="292">
        <f t="shared" si="343"/>
        <v>10</v>
      </c>
      <c r="AB247" s="292">
        <f t="shared" si="343"/>
        <v>16</v>
      </c>
      <c r="AC247" s="292">
        <f t="shared" si="343"/>
        <v>16</v>
      </c>
      <c r="AD247" s="292">
        <f t="shared" si="343"/>
        <v>14</v>
      </c>
      <c r="AE247" s="292">
        <f t="shared" si="343"/>
        <v>16</v>
      </c>
      <c r="AF247" s="292">
        <f t="shared" si="343"/>
        <v>16</v>
      </c>
      <c r="AG247" s="292">
        <f t="shared" si="343"/>
        <v>16</v>
      </c>
      <c r="AH247" s="292">
        <f t="shared" si="343"/>
        <v>16</v>
      </c>
      <c r="AI247" s="292">
        <f t="shared" si="343"/>
        <v>408</v>
      </c>
      <c r="AJ247" s="292">
        <f t="shared" si="343"/>
        <v>0</v>
      </c>
      <c r="AK247" s="292">
        <f t="shared" si="343"/>
        <v>0</v>
      </c>
      <c r="AL247" s="292">
        <f t="shared" si="343"/>
        <v>408</v>
      </c>
      <c r="AM247" s="292">
        <f t="shared" si="343"/>
        <v>25000</v>
      </c>
      <c r="AN247" s="292">
        <f t="shared" si="343"/>
        <v>0</v>
      </c>
      <c r="AO247" s="292">
        <f t="shared" si="343"/>
        <v>0</v>
      </c>
      <c r="AP247" s="292">
        <f t="shared" si="343"/>
        <v>0</v>
      </c>
      <c r="AQ247" s="292">
        <f t="shared" si="343"/>
        <v>0</v>
      </c>
      <c r="AR247" s="292">
        <f t="shared" si="343"/>
        <v>0</v>
      </c>
    </row>
  </sheetData>
  <mergeCells count="511">
    <mergeCell ref="A225:B225"/>
    <mergeCell ref="A226:B226"/>
    <mergeCell ref="AN219:AN220"/>
    <mergeCell ref="AO219:AO220"/>
    <mergeCell ref="AP219:AP220"/>
    <mergeCell ref="AN221:AN222"/>
    <mergeCell ref="AO221:AO222"/>
    <mergeCell ref="AP221:AP222"/>
    <mergeCell ref="AN223:AN224"/>
    <mergeCell ref="AO223:AO224"/>
    <mergeCell ref="AP223:AP224"/>
    <mergeCell ref="AN213:AN214"/>
    <mergeCell ref="AO213:AO214"/>
    <mergeCell ref="AP213:AP214"/>
    <mergeCell ref="AN215:AN216"/>
    <mergeCell ref="AO215:AO216"/>
    <mergeCell ref="AP215:AP216"/>
    <mergeCell ref="AN217:AN218"/>
    <mergeCell ref="AO217:AO218"/>
    <mergeCell ref="AP217:AP218"/>
    <mergeCell ref="AO207:AO208"/>
    <mergeCell ref="AP207:AP208"/>
    <mergeCell ref="AQ207:AQ208"/>
    <mergeCell ref="AR207:AR208"/>
    <mergeCell ref="AN209:AN210"/>
    <mergeCell ref="AO209:AO210"/>
    <mergeCell ref="AP209:AP210"/>
    <mergeCell ref="AN211:AN212"/>
    <mergeCell ref="AO211:AO212"/>
    <mergeCell ref="AP211:AP212"/>
    <mergeCell ref="A207:A208"/>
    <mergeCell ref="B207:C208"/>
    <mergeCell ref="D207:AF207"/>
    <mergeCell ref="AG207:AH207"/>
    <mergeCell ref="AI207:AI208"/>
    <mergeCell ref="AJ207:AJ208"/>
    <mergeCell ref="AK207:AK208"/>
    <mergeCell ref="AL207:AL208"/>
    <mergeCell ref="AM207:AN208"/>
    <mergeCell ref="A204:B204"/>
    <mergeCell ref="A205:B205"/>
    <mergeCell ref="AN198:AN199"/>
    <mergeCell ref="AO198:AO199"/>
    <mergeCell ref="AP198:AP199"/>
    <mergeCell ref="AN200:AN201"/>
    <mergeCell ref="AO200:AO201"/>
    <mergeCell ref="AP200:AP201"/>
    <mergeCell ref="AN202:AN203"/>
    <mergeCell ref="AO202:AO203"/>
    <mergeCell ref="AP202:AP203"/>
    <mergeCell ref="AN192:AN193"/>
    <mergeCell ref="AO192:AO193"/>
    <mergeCell ref="AP192:AP193"/>
    <mergeCell ref="AN194:AN195"/>
    <mergeCell ref="AO194:AO195"/>
    <mergeCell ref="AP194:AP195"/>
    <mergeCell ref="AN196:AN197"/>
    <mergeCell ref="AO196:AO197"/>
    <mergeCell ref="AP196:AP197"/>
    <mergeCell ref="AO186:AO187"/>
    <mergeCell ref="AP186:AP187"/>
    <mergeCell ref="AQ186:AQ187"/>
    <mergeCell ref="AR186:AR187"/>
    <mergeCell ref="AN188:AN189"/>
    <mergeCell ref="AO188:AO189"/>
    <mergeCell ref="AP188:AP189"/>
    <mergeCell ref="AN190:AN191"/>
    <mergeCell ref="AO190:AO191"/>
    <mergeCell ref="AP190:AP191"/>
    <mergeCell ref="A186:A187"/>
    <mergeCell ref="B186:C187"/>
    <mergeCell ref="D186:AF186"/>
    <mergeCell ref="AG186:AH186"/>
    <mergeCell ref="AI186:AI187"/>
    <mergeCell ref="AJ186:AJ187"/>
    <mergeCell ref="AK186:AK187"/>
    <mergeCell ref="AL186:AL187"/>
    <mergeCell ref="AM186:AN187"/>
    <mergeCell ref="AP156:AP157"/>
    <mergeCell ref="AN158:AN159"/>
    <mergeCell ref="AO158:AO159"/>
    <mergeCell ref="AP158:AP159"/>
    <mergeCell ref="AN160:AN161"/>
    <mergeCell ref="AO160:AO161"/>
    <mergeCell ref="AP160:AP161"/>
    <mergeCell ref="A162:B162"/>
    <mergeCell ref="A163:B163"/>
    <mergeCell ref="AN156:AN157"/>
    <mergeCell ref="AO156:AO157"/>
    <mergeCell ref="AN144:AN145"/>
    <mergeCell ref="AO144:AO145"/>
    <mergeCell ref="AP144:AP145"/>
    <mergeCell ref="AN146:AN147"/>
    <mergeCell ref="AO146:AO147"/>
    <mergeCell ref="AP146:AP147"/>
    <mergeCell ref="AO138:AO139"/>
    <mergeCell ref="AP138:AP139"/>
    <mergeCell ref="AN148:AN149"/>
    <mergeCell ref="AO148:AO149"/>
    <mergeCell ref="AP148:AP149"/>
    <mergeCell ref="AN150:AN151"/>
    <mergeCell ref="AO150:AO151"/>
    <mergeCell ref="AP150:AP151"/>
    <mergeCell ref="AN152:AN153"/>
    <mergeCell ref="AO152:AO153"/>
    <mergeCell ref="AP152:AP153"/>
    <mergeCell ref="AN154:AN155"/>
    <mergeCell ref="AO154:AO155"/>
    <mergeCell ref="AP154:AP155"/>
    <mergeCell ref="AQ138:AQ139"/>
    <mergeCell ref="AR138:AR139"/>
    <mergeCell ref="AN140:AN141"/>
    <mergeCell ref="AO140:AO141"/>
    <mergeCell ref="AP140:AP141"/>
    <mergeCell ref="AN142:AN143"/>
    <mergeCell ref="AO142:AO143"/>
    <mergeCell ref="AP142:AP143"/>
    <mergeCell ref="A138:A139"/>
    <mergeCell ref="B138:C139"/>
    <mergeCell ref="D138:AF138"/>
    <mergeCell ref="AG138:AH138"/>
    <mergeCell ref="AI138:AI139"/>
    <mergeCell ref="AJ138:AJ139"/>
    <mergeCell ref="AK138:AK139"/>
    <mergeCell ref="AL138:AL139"/>
    <mergeCell ref="AM138:AN139"/>
    <mergeCell ref="AN127:AN128"/>
    <mergeCell ref="AO127:AO128"/>
    <mergeCell ref="AP127:AP128"/>
    <mergeCell ref="AN129:AN130"/>
    <mergeCell ref="AO129:AO130"/>
    <mergeCell ref="AP129:AP130"/>
    <mergeCell ref="A135:B135"/>
    <mergeCell ref="A136:B136"/>
    <mergeCell ref="AN131:AN132"/>
    <mergeCell ref="AO131:AO132"/>
    <mergeCell ref="AP131:AP132"/>
    <mergeCell ref="AN133:AN134"/>
    <mergeCell ref="AO133:AO134"/>
    <mergeCell ref="AP133:AP134"/>
    <mergeCell ref="AN121:AN122"/>
    <mergeCell ref="AO121:AO122"/>
    <mergeCell ref="AP121:AP122"/>
    <mergeCell ref="AN123:AN124"/>
    <mergeCell ref="AO123:AO124"/>
    <mergeCell ref="AP123:AP124"/>
    <mergeCell ref="AN125:AN126"/>
    <mergeCell ref="AO125:AO126"/>
    <mergeCell ref="AP125:AP126"/>
    <mergeCell ref="AO115:AO116"/>
    <mergeCell ref="AP115:AP116"/>
    <mergeCell ref="AQ115:AQ116"/>
    <mergeCell ref="AR115:AR116"/>
    <mergeCell ref="AN117:AN118"/>
    <mergeCell ref="AO117:AO118"/>
    <mergeCell ref="AP117:AP118"/>
    <mergeCell ref="AN119:AN120"/>
    <mergeCell ref="AO119:AO120"/>
    <mergeCell ref="AP119:AP120"/>
    <mergeCell ref="A115:A116"/>
    <mergeCell ref="B115:C116"/>
    <mergeCell ref="D115:AF115"/>
    <mergeCell ref="AG115:AH115"/>
    <mergeCell ref="AI115:AI116"/>
    <mergeCell ref="AJ115:AJ116"/>
    <mergeCell ref="AK115:AK116"/>
    <mergeCell ref="AL115:AL116"/>
    <mergeCell ref="AM115:AN116"/>
    <mergeCell ref="AR60:AR61"/>
    <mergeCell ref="AR62:AR63"/>
    <mergeCell ref="AR64:AR65"/>
    <mergeCell ref="AR66:AR67"/>
    <mergeCell ref="AR68:AR69"/>
    <mergeCell ref="AR70:AR71"/>
    <mergeCell ref="AR72:AR73"/>
    <mergeCell ref="AN89:AN90"/>
    <mergeCell ref="AO89:AO90"/>
    <mergeCell ref="AP89:AP90"/>
    <mergeCell ref="AO77:AO78"/>
    <mergeCell ref="AP77:AP78"/>
    <mergeCell ref="AQ77:AQ78"/>
    <mergeCell ref="AR77:AR78"/>
    <mergeCell ref="AN79:AN80"/>
    <mergeCell ref="AO79:AO80"/>
    <mergeCell ref="AP79:AP80"/>
    <mergeCell ref="AN81:AN82"/>
    <mergeCell ref="AO81:AO82"/>
    <mergeCell ref="AP81:AP82"/>
    <mergeCell ref="AP60:AP61"/>
    <mergeCell ref="AO68:AO69"/>
    <mergeCell ref="AN70:AN71"/>
    <mergeCell ref="AO70:AO71"/>
    <mergeCell ref="AN91:AN92"/>
    <mergeCell ref="AO91:AO92"/>
    <mergeCell ref="AP91:AP92"/>
    <mergeCell ref="A93:B93"/>
    <mergeCell ref="A94:B94"/>
    <mergeCell ref="AN83:AN84"/>
    <mergeCell ref="AO83:AO84"/>
    <mergeCell ref="AP83:AP84"/>
    <mergeCell ref="AN85:AN86"/>
    <mergeCell ref="AO85:AO86"/>
    <mergeCell ref="AP85:AP86"/>
    <mergeCell ref="AN87:AN88"/>
    <mergeCell ref="AO87:AO88"/>
    <mergeCell ref="AP87:AP88"/>
    <mergeCell ref="AO72:AO73"/>
    <mergeCell ref="AP62:AP63"/>
    <mergeCell ref="AP64:AP65"/>
    <mergeCell ref="AP66:AP67"/>
    <mergeCell ref="AP68:AP69"/>
    <mergeCell ref="AP70:AP71"/>
    <mergeCell ref="AP72:AP73"/>
    <mergeCell ref="A74:B74"/>
    <mergeCell ref="A77:A78"/>
    <mergeCell ref="B77:C78"/>
    <mergeCell ref="D77:AF77"/>
    <mergeCell ref="AG77:AH77"/>
    <mergeCell ref="AI77:AI78"/>
    <mergeCell ref="AJ77:AJ78"/>
    <mergeCell ref="AK77:AK78"/>
    <mergeCell ref="AL77:AL78"/>
    <mergeCell ref="AM77:AN78"/>
    <mergeCell ref="A75:B75"/>
    <mergeCell ref="AN72:AN73"/>
    <mergeCell ref="AO58:AO59"/>
    <mergeCell ref="AP58:AP59"/>
    <mergeCell ref="AQ58:AQ59"/>
    <mergeCell ref="AR58:AR59"/>
    <mergeCell ref="A58:A59"/>
    <mergeCell ref="B58:C59"/>
    <mergeCell ref="D58:AF58"/>
    <mergeCell ref="AG58:AH58"/>
    <mergeCell ref="AI58:AI59"/>
    <mergeCell ref="AJ58:AJ59"/>
    <mergeCell ref="AK58:AK59"/>
    <mergeCell ref="AL58:AL59"/>
    <mergeCell ref="AM58:AN59"/>
    <mergeCell ref="AN60:AN61"/>
    <mergeCell ref="AO60:AO61"/>
    <mergeCell ref="AN62:AN63"/>
    <mergeCell ref="AO62:AO63"/>
    <mergeCell ref="AN64:AN65"/>
    <mergeCell ref="AO64:AO65"/>
    <mergeCell ref="AN66:AN67"/>
    <mergeCell ref="AO66:AO67"/>
    <mergeCell ref="AN68:AN69"/>
    <mergeCell ref="AQ34:AQ35"/>
    <mergeCell ref="AR34:AR35"/>
    <mergeCell ref="AN32:AN33"/>
    <mergeCell ref="AO32:AO33"/>
    <mergeCell ref="AP32:AP33"/>
    <mergeCell ref="AQ32:AQ33"/>
    <mergeCell ref="AR32:AR33"/>
    <mergeCell ref="A36:B36"/>
    <mergeCell ref="A37:B37"/>
    <mergeCell ref="AN34:AN35"/>
    <mergeCell ref="AO34:AO35"/>
    <mergeCell ref="AP34:AP35"/>
    <mergeCell ref="AP26:AP27"/>
    <mergeCell ref="AQ26:AQ27"/>
    <mergeCell ref="AR26:AR27"/>
    <mergeCell ref="AN28:AN29"/>
    <mergeCell ref="AO28:AO29"/>
    <mergeCell ref="AP28:AP29"/>
    <mergeCell ref="AQ28:AQ29"/>
    <mergeCell ref="AR28:AR29"/>
    <mergeCell ref="AN30:AN31"/>
    <mergeCell ref="AO30:AO31"/>
    <mergeCell ref="AP30:AP31"/>
    <mergeCell ref="AQ30:AQ31"/>
    <mergeCell ref="AR30:AR31"/>
    <mergeCell ref="AP20:AP21"/>
    <mergeCell ref="AQ20:AQ21"/>
    <mergeCell ref="AR20:AR21"/>
    <mergeCell ref="AN22:AN23"/>
    <mergeCell ref="AO22:AO23"/>
    <mergeCell ref="AP22:AP23"/>
    <mergeCell ref="AQ22:AQ23"/>
    <mergeCell ref="AR22:AR23"/>
    <mergeCell ref="AN24:AN25"/>
    <mergeCell ref="AO24:AO25"/>
    <mergeCell ref="AP24:AP25"/>
    <mergeCell ref="AQ24:AQ25"/>
    <mergeCell ref="AR24:AR25"/>
    <mergeCell ref="AJ1:AJ2"/>
    <mergeCell ref="A1:A2"/>
    <mergeCell ref="B1:C2"/>
    <mergeCell ref="D1:AF1"/>
    <mergeCell ref="AG1:AH1"/>
    <mergeCell ref="AI1:AI2"/>
    <mergeCell ref="A20:A21"/>
    <mergeCell ref="B20:C21"/>
    <mergeCell ref="D20:AF20"/>
    <mergeCell ref="AG20:AH20"/>
    <mergeCell ref="AI20:AI21"/>
    <mergeCell ref="AJ20:AJ21"/>
    <mergeCell ref="AR1:AR2"/>
    <mergeCell ref="AN3:AN4"/>
    <mergeCell ref="AO3:AO4"/>
    <mergeCell ref="AP3:AP4"/>
    <mergeCell ref="AQ3:AQ4"/>
    <mergeCell ref="AR3:AR4"/>
    <mergeCell ref="AQ1:AQ2"/>
    <mergeCell ref="AK1:AK2"/>
    <mergeCell ref="AL1:AL2"/>
    <mergeCell ref="AM1:AN2"/>
    <mergeCell ref="AO1:AO2"/>
    <mergeCell ref="AP1:AP2"/>
    <mergeCell ref="AN5:AN6"/>
    <mergeCell ref="AO5:AO6"/>
    <mergeCell ref="AP5:AP6"/>
    <mergeCell ref="AQ5:AQ6"/>
    <mergeCell ref="AR5:AR6"/>
    <mergeCell ref="AN7:AN8"/>
    <mergeCell ref="AO7:AO8"/>
    <mergeCell ref="AP7:AP8"/>
    <mergeCell ref="AQ7:AQ8"/>
    <mergeCell ref="AR7:AR8"/>
    <mergeCell ref="AP13:AP14"/>
    <mergeCell ref="AQ13:AQ14"/>
    <mergeCell ref="AR13:AR14"/>
    <mergeCell ref="AN15:AN16"/>
    <mergeCell ref="AO15:AO16"/>
    <mergeCell ref="AP15:AP16"/>
    <mergeCell ref="AQ15:AQ16"/>
    <mergeCell ref="AR15:AR16"/>
    <mergeCell ref="AN9:AN10"/>
    <mergeCell ref="AO9:AO10"/>
    <mergeCell ref="AP9:AP10"/>
    <mergeCell ref="AQ9:AQ10"/>
    <mergeCell ref="AR9:AR10"/>
    <mergeCell ref="AN11:AN12"/>
    <mergeCell ref="AO11:AO12"/>
    <mergeCell ref="AP11:AP12"/>
    <mergeCell ref="AQ11:AQ12"/>
    <mergeCell ref="AR11:AR12"/>
    <mergeCell ref="A39:A40"/>
    <mergeCell ref="B39:C40"/>
    <mergeCell ref="D39:AF39"/>
    <mergeCell ref="AG39:AH39"/>
    <mergeCell ref="AI39:AI40"/>
    <mergeCell ref="A17:B17"/>
    <mergeCell ref="A18:B18"/>
    <mergeCell ref="AN13:AN14"/>
    <mergeCell ref="AO13:AO14"/>
    <mergeCell ref="AK20:AK21"/>
    <mergeCell ref="AL20:AL21"/>
    <mergeCell ref="AM20:AN21"/>
    <mergeCell ref="AO20:AO21"/>
    <mergeCell ref="AN26:AN27"/>
    <mergeCell ref="AO26:AO27"/>
    <mergeCell ref="AP39:AP40"/>
    <mergeCell ref="AQ39:AQ40"/>
    <mergeCell ref="AR39:AR40"/>
    <mergeCell ref="AN41:AN42"/>
    <mergeCell ref="AO41:AO42"/>
    <mergeCell ref="AP41:AP42"/>
    <mergeCell ref="AQ41:AQ42"/>
    <mergeCell ref="AR41:AR42"/>
    <mergeCell ref="AJ39:AJ40"/>
    <mergeCell ref="AK39:AK40"/>
    <mergeCell ref="AL39:AL40"/>
    <mergeCell ref="AM39:AN40"/>
    <mergeCell ref="AO39:AO40"/>
    <mergeCell ref="AN45:AN46"/>
    <mergeCell ref="AO45:AO46"/>
    <mergeCell ref="AP45:AP46"/>
    <mergeCell ref="AQ45:AQ46"/>
    <mergeCell ref="AR45:AR46"/>
    <mergeCell ref="AN43:AN44"/>
    <mergeCell ref="AO43:AO44"/>
    <mergeCell ref="AP43:AP44"/>
    <mergeCell ref="AQ43:AQ44"/>
    <mergeCell ref="AR43:AR44"/>
    <mergeCell ref="AN49:AN50"/>
    <mergeCell ref="AO49:AO50"/>
    <mergeCell ref="AP49:AP50"/>
    <mergeCell ref="AQ49:AQ50"/>
    <mergeCell ref="AR49:AR50"/>
    <mergeCell ref="AN47:AN48"/>
    <mergeCell ref="AO47:AO48"/>
    <mergeCell ref="AP47:AP48"/>
    <mergeCell ref="AQ47:AQ48"/>
    <mergeCell ref="AR47:AR48"/>
    <mergeCell ref="A55:B55"/>
    <mergeCell ref="A56:B56"/>
    <mergeCell ref="AN53:AN54"/>
    <mergeCell ref="AO53:AO54"/>
    <mergeCell ref="AP53:AP54"/>
    <mergeCell ref="AQ53:AQ54"/>
    <mergeCell ref="AR53:AR54"/>
    <mergeCell ref="AN51:AN52"/>
    <mergeCell ref="AO51:AO52"/>
    <mergeCell ref="AP51:AP52"/>
    <mergeCell ref="AQ51:AQ52"/>
    <mergeCell ref="AR51:AR52"/>
    <mergeCell ref="A96:A97"/>
    <mergeCell ref="B96:C97"/>
    <mergeCell ref="D96:AF96"/>
    <mergeCell ref="AG96:AH96"/>
    <mergeCell ref="AI96:AI97"/>
    <mergeCell ref="AJ96:AJ97"/>
    <mergeCell ref="AK96:AK97"/>
    <mergeCell ref="AL96:AL97"/>
    <mergeCell ref="AM96:AN97"/>
    <mergeCell ref="AO96:AO97"/>
    <mergeCell ref="AP96:AP97"/>
    <mergeCell ref="AQ96:AQ97"/>
    <mergeCell ref="AR96:AR97"/>
    <mergeCell ref="AN98:AN99"/>
    <mergeCell ref="AO98:AO99"/>
    <mergeCell ref="AP98:AP99"/>
    <mergeCell ref="AN100:AN101"/>
    <mergeCell ref="AO100:AO101"/>
    <mergeCell ref="AP100:AP101"/>
    <mergeCell ref="AN108:AN109"/>
    <mergeCell ref="AO108:AO109"/>
    <mergeCell ref="AP108:AP109"/>
    <mergeCell ref="AN110:AN111"/>
    <mergeCell ref="AO110:AO111"/>
    <mergeCell ref="AP110:AP111"/>
    <mergeCell ref="A112:B112"/>
    <mergeCell ref="A113:B113"/>
    <mergeCell ref="AN102:AN103"/>
    <mergeCell ref="AO102:AO103"/>
    <mergeCell ref="AP102:AP103"/>
    <mergeCell ref="AN104:AN105"/>
    <mergeCell ref="AO104:AO105"/>
    <mergeCell ref="AP104:AP105"/>
    <mergeCell ref="AN106:AN107"/>
    <mergeCell ref="AO106:AO107"/>
    <mergeCell ref="AP106:AP107"/>
    <mergeCell ref="A165:A166"/>
    <mergeCell ref="B165:C166"/>
    <mergeCell ref="D165:AF165"/>
    <mergeCell ref="AG165:AH165"/>
    <mergeCell ref="AI165:AI166"/>
    <mergeCell ref="AJ165:AJ166"/>
    <mergeCell ref="AK165:AK166"/>
    <mergeCell ref="AL165:AL166"/>
    <mergeCell ref="AM165:AN166"/>
    <mergeCell ref="AO165:AO166"/>
    <mergeCell ref="AP165:AP166"/>
    <mergeCell ref="AQ165:AQ166"/>
    <mergeCell ref="AR165:AR166"/>
    <mergeCell ref="AN167:AN168"/>
    <mergeCell ref="AO167:AO168"/>
    <mergeCell ref="AP167:AP168"/>
    <mergeCell ref="AN169:AN170"/>
    <mergeCell ref="AO169:AO170"/>
    <mergeCell ref="AP169:AP170"/>
    <mergeCell ref="AN171:AN172"/>
    <mergeCell ref="AO171:AO172"/>
    <mergeCell ref="AP171:AP172"/>
    <mergeCell ref="AN173:AN174"/>
    <mergeCell ref="AO173:AO174"/>
    <mergeCell ref="AP173:AP174"/>
    <mergeCell ref="AN175:AN176"/>
    <mergeCell ref="AO175:AO176"/>
    <mergeCell ref="AP175:AP176"/>
    <mergeCell ref="A183:B183"/>
    <mergeCell ref="A184:B184"/>
    <mergeCell ref="AN181:AN182"/>
    <mergeCell ref="AO181:AO182"/>
    <mergeCell ref="AP181:AP182"/>
    <mergeCell ref="AN177:AN178"/>
    <mergeCell ref="AO177:AO178"/>
    <mergeCell ref="AP177:AP178"/>
    <mergeCell ref="AN179:AN180"/>
    <mergeCell ref="AO179:AO180"/>
    <mergeCell ref="AP179:AP180"/>
    <mergeCell ref="A228:A229"/>
    <mergeCell ref="B228:C229"/>
    <mergeCell ref="D228:AF228"/>
    <mergeCell ref="AG228:AH228"/>
    <mergeCell ref="AI228:AI229"/>
    <mergeCell ref="AJ228:AJ229"/>
    <mergeCell ref="AK228:AK229"/>
    <mergeCell ref="AL228:AL229"/>
    <mergeCell ref="AM228:AN229"/>
    <mergeCell ref="AO228:AO229"/>
    <mergeCell ref="AP228:AP229"/>
    <mergeCell ref="AQ228:AQ229"/>
    <mergeCell ref="AR228:AR229"/>
    <mergeCell ref="AN230:AN231"/>
    <mergeCell ref="AO230:AO231"/>
    <mergeCell ref="AP230:AP231"/>
    <mergeCell ref="AN232:AN233"/>
    <mergeCell ref="AO232:AO233"/>
    <mergeCell ref="AP232:AP233"/>
    <mergeCell ref="AN234:AN235"/>
    <mergeCell ref="AO234:AO235"/>
    <mergeCell ref="AP234:AP235"/>
    <mergeCell ref="AN236:AN237"/>
    <mergeCell ref="AO236:AO237"/>
    <mergeCell ref="AP236:AP237"/>
    <mergeCell ref="AN238:AN239"/>
    <mergeCell ref="AO238:AO239"/>
    <mergeCell ref="AP238:AP239"/>
    <mergeCell ref="A246:B246"/>
    <mergeCell ref="A247:B247"/>
    <mergeCell ref="AN240:AN241"/>
    <mergeCell ref="AO240:AO241"/>
    <mergeCell ref="AP240:AP241"/>
    <mergeCell ref="AN242:AN243"/>
    <mergeCell ref="AO242:AO243"/>
    <mergeCell ref="AP242:AP243"/>
    <mergeCell ref="AN244:AN245"/>
    <mergeCell ref="AO244:AO245"/>
    <mergeCell ref="AP244:AP245"/>
  </mergeCells>
  <pageMargins left="0.7" right="0.7" top="0.75" bottom="0.75" header="0.3" footer="0.3"/>
  <pageSetup orientation="portrait" horizontalDpi="0" verticalDpi="0" r:id="rId1"/>
  <ignoredErrors>
    <ignoredError sqref="AI4:AI13 AI14 AI23 AI25 AI27:AI33 AI44 AI46:AI52 AI54 AI63 AI69:AI70 AI71 AI73 AI67 AI80 AI82:AI84 AI86 AI88:AI90 AI140:AI143 AI145 AI147 AI149 AI153 AI151 AI155 AI157 AI159 AI161 AI189 AI191 AI193 AI195 AI197" formulaRange="1"/>
    <ignoredError sqref="W17:W18 W36:W37 AI64 AI72 AO162" formula="1"/>
    <ignoredError sqref="AI65:AI66 AI68" formula="1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FF6600"/>
  </sheetPr>
  <dimension ref="A1:AR221"/>
  <sheetViews>
    <sheetView tabSelected="1" topLeftCell="A194" workbookViewId="0">
      <selection activeCell="AT205" sqref="AT205"/>
    </sheetView>
  </sheetViews>
  <sheetFormatPr defaultRowHeight="15"/>
  <cols>
    <col min="1" max="1" width="3.5703125" customWidth="1"/>
    <col min="2" max="2" width="11.140625" customWidth="1"/>
    <col min="3" max="3" width="3.85546875" customWidth="1"/>
    <col min="4" max="33" width="3" customWidth="1"/>
    <col min="34" max="34" width="3.42578125" customWidth="1"/>
    <col min="35" max="38" width="5.7109375" customWidth="1"/>
    <col min="39" max="44" width="6.7109375" customWidth="1"/>
  </cols>
  <sheetData>
    <row r="1" spans="1:44" ht="16.5" customHeight="1">
      <c r="A1" s="929" t="s">
        <v>113</v>
      </c>
      <c r="B1" s="931" t="s">
        <v>1</v>
      </c>
      <c r="C1" s="932"/>
      <c r="D1" s="935" t="s">
        <v>180</v>
      </c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  <c r="S1" s="936"/>
      <c r="T1" s="936"/>
      <c r="U1" s="936"/>
      <c r="V1" s="936"/>
      <c r="W1" s="936"/>
      <c r="X1" s="936"/>
      <c r="Y1" s="936"/>
      <c r="Z1" s="936"/>
      <c r="AA1" s="936"/>
      <c r="AB1" s="936"/>
      <c r="AC1" s="936"/>
      <c r="AD1" s="936"/>
      <c r="AE1" s="936"/>
      <c r="AF1" s="937"/>
      <c r="AG1" s="826">
        <v>31</v>
      </c>
      <c r="AH1" s="827"/>
      <c r="AI1" s="927" t="s">
        <v>107</v>
      </c>
      <c r="AJ1" s="927" t="s">
        <v>45</v>
      </c>
      <c r="AK1" s="927" t="s">
        <v>108</v>
      </c>
      <c r="AL1" s="927" t="s">
        <v>112</v>
      </c>
      <c r="AM1" s="938" t="s">
        <v>7</v>
      </c>
      <c r="AN1" s="939"/>
      <c r="AO1" s="927" t="s">
        <v>93</v>
      </c>
      <c r="AP1" s="927" t="s">
        <v>109</v>
      </c>
      <c r="AQ1" s="927" t="s">
        <v>33</v>
      </c>
      <c r="AR1" s="927" t="s">
        <v>111</v>
      </c>
    </row>
    <row r="2" spans="1:44" ht="13.5" customHeight="1">
      <c r="A2" s="930"/>
      <c r="B2" s="933"/>
      <c r="C2" s="934"/>
      <c r="D2" s="330">
        <v>1</v>
      </c>
      <c r="E2" s="330">
        <v>2</v>
      </c>
      <c r="F2" s="330">
        <v>3</v>
      </c>
      <c r="G2" s="330">
        <v>4</v>
      </c>
      <c r="H2" s="330">
        <v>5</v>
      </c>
      <c r="I2" s="330">
        <v>6</v>
      </c>
      <c r="J2" s="330">
        <v>7</v>
      </c>
      <c r="K2" s="330">
        <v>8</v>
      </c>
      <c r="L2" s="330">
        <v>9</v>
      </c>
      <c r="M2" s="330">
        <v>10</v>
      </c>
      <c r="N2" s="330">
        <v>11</v>
      </c>
      <c r="O2" s="330">
        <v>12</v>
      </c>
      <c r="P2" s="330">
        <v>13</v>
      </c>
      <c r="Q2" s="330">
        <v>14</v>
      </c>
      <c r="R2" s="330">
        <v>15</v>
      </c>
      <c r="S2" s="330">
        <v>16</v>
      </c>
      <c r="T2" s="330">
        <v>17</v>
      </c>
      <c r="U2" s="330">
        <v>18</v>
      </c>
      <c r="V2" s="330">
        <v>19</v>
      </c>
      <c r="W2" s="330">
        <v>20</v>
      </c>
      <c r="X2" s="330">
        <v>21</v>
      </c>
      <c r="Y2" s="330">
        <v>22</v>
      </c>
      <c r="Z2" s="330">
        <v>23</v>
      </c>
      <c r="AA2" s="330">
        <v>24</v>
      </c>
      <c r="AB2" s="330">
        <v>25</v>
      </c>
      <c r="AC2" s="330">
        <v>26</v>
      </c>
      <c r="AD2" s="330">
        <v>27</v>
      </c>
      <c r="AE2" s="330">
        <v>28</v>
      </c>
      <c r="AF2" s="330">
        <v>29</v>
      </c>
      <c r="AG2" s="330">
        <v>30</v>
      </c>
      <c r="AH2" s="330">
        <v>31</v>
      </c>
      <c r="AI2" s="928"/>
      <c r="AJ2" s="928"/>
      <c r="AK2" s="928"/>
      <c r="AL2" s="928"/>
      <c r="AM2" s="940"/>
      <c r="AN2" s="941"/>
      <c r="AO2" s="928"/>
      <c r="AP2" s="928"/>
      <c r="AQ2" s="928"/>
      <c r="AR2" s="928"/>
    </row>
    <row r="3" spans="1:44" ht="12" customHeight="1">
      <c r="A3" s="331">
        <v>1</v>
      </c>
      <c r="B3" s="329" t="s">
        <v>164</v>
      </c>
      <c r="C3" s="331">
        <f t="shared" ref="C3:C23" si="0">C4*8</f>
        <v>480</v>
      </c>
      <c r="D3" s="326"/>
      <c r="E3" s="332">
        <v>1</v>
      </c>
      <c r="F3" s="332">
        <v>1</v>
      </c>
      <c r="G3" s="332">
        <v>1</v>
      </c>
      <c r="H3" s="332">
        <v>1</v>
      </c>
      <c r="I3" s="332">
        <v>1</v>
      </c>
      <c r="J3" s="332">
        <v>1</v>
      </c>
      <c r="K3" s="332">
        <v>1</v>
      </c>
      <c r="L3" s="332">
        <v>1</v>
      </c>
      <c r="M3" s="332">
        <v>1</v>
      </c>
      <c r="N3" s="332">
        <v>1</v>
      </c>
      <c r="O3" s="332">
        <v>1</v>
      </c>
      <c r="P3" s="332">
        <v>1</v>
      </c>
      <c r="Q3" s="334">
        <v>0</v>
      </c>
      <c r="R3" s="334">
        <v>0</v>
      </c>
      <c r="S3" s="332">
        <v>1</v>
      </c>
      <c r="T3" s="332">
        <v>1</v>
      </c>
      <c r="U3" s="332">
        <v>1</v>
      </c>
      <c r="V3" s="332">
        <v>1</v>
      </c>
      <c r="W3" s="332">
        <v>1</v>
      </c>
      <c r="X3" s="333">
        <v>1</v>
      </c>
      <c r="Y3" s="333">
        <v>1</v>
      </c>
      <c r="Z3" s="335">
        <v>1</v>
      </c>
      <c r="AA3" s="336">
        <v>1</v>
      </c>
      <c r="AB3" s="334">
        <v>0</v>
      </c>
      <c r="AC3" s="334">
        <v>0</v>
      </c>
      <c r="AD3" s="338">
        <v>1</v>
      </c>
      <c r="AE3" s="339">
        <v>1</v>
      </c>
      <c r="AF3" s="340">
        <v>1</v>
      </c>
      <c r="AG3" s="341">
        <v>1</v>
      </c>
      <c r="AH3" s="337">
        <v>0.5</v>
      </c>
      <c r="AI3" s="332">
        <f t="shared" ref="AI3:AI4" si="1">SUM(D3:AH3)</f>
        <v>25.5</v>
      </c>
      <c r="AJ3" s="332">
        <v>0</v>
      </c>
      <c r="AK3" s="332">
        <v>0</v>
      </c>
      <c r="AL3" s="332">
        <f t="shared" ref="AL3:AL24" si="2">AI3+AJ3-AK3</f>
        <v>25.5</v>
      </c>
      <c r="AM3" s="332">
        <f t="shared" ref="AM3:AM24" si="3">AL3*C3</f>
        <v>12240</v>
      </c>
      <c r="AN3" s="711">
        <f t="shared" ref="AN3" si="4">AM3+AM4</f>
        <v>15120</v>
      </c>
      <c r="AO3" s="713">
        <v>0</v>
      </c>
      <c r="AP3" s="711">
        <f t="shared" ref="AP3" si="5">AN3-AO3</f>
        <v>15120</v>
      </c>
      <c r="AQ3" s="711">
        <v>16000</v>
      </c>
      <c r="AR3" s="711"/>
    </row>
    <row r="4" spans="1:44" ht="12" customHeight="1">
      <c r="A4" s="401"/>
      <c r="B4" s="329"/>
      <c r="C4" s="331">
        <v>60</v>
      </c>
      <c r="D4" s="326"/>
      <c r="E4" s="332">
        <v>2</v>
      </c>
      <c r="F4" s="332">
        <v>2</v>
      </c>
      <c r="G4" s="332">
        <v>2</v>
      </c>
      <c r="H4" s="332">
        <v>2</v>
      </c>
      <c r="I4" s="332">
        <v>2</v>
      </c>
      <c r="J4" s="332">
        <v>2</v>
      </c>
      <c r="K4" s="332">
        <v>2</v>
      </c>
      <c r="L4" s="332">
        <v>2</v>
      </c>
      <c r="M4" s="332">
        <v>2</v>
      </c>
      <c r="N4" s="332">
        <v>2</v>
      </c>
      <c r="O4" s="332">
        <v>2</v>
      </c>
      <c r="P4" s="332">
        <v>2</v>
      </c>
      <c r="Q4" s="334">
        <v>0</v>
      </c>
      <c r="R4" s="334">
        <v>0</v>
      </c>
      <c r="S4" s="332">
        <v>2</v>
      </c>
      <c r="T4" s="332">
        <v>2</v>
      </c>
      <c r="U4" s="332">
        <v>2</v>
      </c>
      <c r="V4" s="334">
        <v>0</v>
      </c>
      <c r="W4" s="332">
        <v>2</v>
      </c>
      <c r="X4" s="333">
        <v>2</v>
      </c>
      <c r="Y4" s="333">
        <v>2</v>
      </c>
      <c r="Z4" s="335">
        <v>2</v>
      </c>
      <c r="AA4" s="336">
        <v>2</v>
      </c>
      <c r="AB4" s="334">
        <v>0</v>
      </c>
      <c r="AC4" s="334">
        <v>0</v>
      </c>
      <c r="AD4" s="338">
        <v>2</v>
      </c>
      <c r="AE4" s="339">
        <v>2</v>
      </c>
      <c r="AF4" s="340">
        <v>2</v>
      </c>
      <c r="AG4" s="341">
        <v>2</v>
      </c>
      <c r="AH4" s="337">
        <v>0</v>
      </c>
      <c r="AI4" s="332">
        <f t="shared" si="1"/>
        <v>48</v>
      </c>
      <c r="AJ4" s="332">
        <v>0</v>
      </c>
      <c r="AK4" s="332">
        <v>0</v>
      </c>
      <c r="AL4" s="332">
        <f t="shared" si="2"/>
        <v>48</v>
      </c>
      <c r="AM4" s="332">
        <f t="shared" si="3"/>
        <v>2880</v>
      </c>
      <c r="AN4" s="712"/>
      <c r="AO4" s="714"/>
      <c r="AP4" s="712"/>
      <c r="AQ4" s="712"/>
      <c r="AR4" s="712"/>
    </row>
    <row r="5" spans="1:44" ht="12" customHeight="1">
      <c r="A5" s="331">
        <v>2</v>
      </c>
      <c r="B5" s="329" t="s">
        <v>114</v>
      </c>
      <c r="C5" s="331">
        <f t="shared" si="0"/>
        <v>520</v>
      </c>
      <c r="D5" s="326"/>
      <c r="E5" s="334">
        <v>0</v>
      </c>
      <c r="F5" s="332">
        <v>1</v>
      </c>
      <c r="G5" s="332">
        <v>1</v>
      </c>
      <c r="H5" s="332">
        <v>1</v>
      </c>
      <c r="I5" s="332">
        <v>1</v>
      </c>
      <c r="J5" s="332">
        <v>1</v>
      </c>
      <c r="K5" s="332">
        <v>1</v>
      </c>
      <c r="L5" s="332">
        <v>1</v>
      </c>
      <c r="M5" s="332">
        <v>1</v>
      </c>
      <c r="N5" s="332">
        <v>1</v>
      </c>
      <c r="O5" s="332">
        <v>1</v>
      </c>
      <c r="P5" s="332">
        <v>1</v>
      </c>
      <c r="Q5" s="334">
        <v>0</v>
      </c>
      <c r="R5" s="334">
        <v>0</v>
      </c>
      <c r="S5" s="332">
        <v>1</v>
      </c>
      <c r="T5" s="332">
        <v>1</v>
      </c>
      <c r="U5" s="332">
        <v>1</v>
      </c>
      <c r="V5" s="332">
        <v>1</v>
      </c>
      <c r="W5" s="332">
        <v>1</v>
      </c>
      <c r="X5" s="333">
        <v>1</v>
      </c>
      <c r="Y5" s="333">
        <v>1</v>
      </c>
      <c r="Z5" s="335">
        <v>1</v>
      </c>
      <c r="AA5" s="336">
        <v>1</v>
      </c>
      <c r="AB5" s="334">
        <v>0</v>
      </c>
      <c r="AC5" s="334">
        <v>0</v>
      </c>
      <c r="AD5" s="338">
        <v>1</v>
      </c>
      <c r="AE5" s="339">
        <v>1</v>
      </c>
      <c r="AF5" s="340">
        <v>1</v>
      </c>
      <c r="AG5" s="341">
        <v>1</v>
      </c>
      <c r="AH5" s="341">
        <v>1</v>
      </c>
      <c r="AI5" s="332">
        <f t="shared" ref="AI5:AI24" si="6">SUM(D5:AH5)</f>
        <v>25</v>
      </c>
      <c r="AJ5" s="332">
        <v>0</v>
      </c>
      <c r="AK5" s="332">
        <v>0</v>
      </c>
      <c r="AL5" s="332">
        <f t="shared" si="2"/>
        <v>25</v>
      </c>
      <c r="AM5" s="332">
        <f t="shared" si="3"/>
        <v>13000</v>
      </c>
      <c r="AN5" s="711">
        <f t="shared" ref="AN5" si="7">AM5+AM6</f>
        <v>16120</v>
      </c>
      <c r="AO5" s="713">
        <v>0</v>
      </c>
      <c r="AP5" s="711">
        <f t="shared" ref="AP5" si="8">AN5-AO5</f>
        <v>16120</v>
      </c>
      <c r="AQ5" s="711">
        <v>16500</v>
      </c>
      <c r="AR5" s="711"/>
    </row>
    <row r="6" spans="1:44" ht="12" customHeight="1">
      <c r="A6" s="331"/>
      <c r="B6" s="329"/>
      <c r="C6" s="331">
        <v>65</v>
      </c>
      <c r="D6" s="326"/>
      <c r="E6" s="334">
        <v>0</v>
      </c>
      <c r="F6" s="332">
        <v>2</v>
      </c>
      <c r="G6" s="332">
        <v>2</v>
      </c>
      <c r="H6" s="332">
        <v>2</v>
      </c>
      <c r="I6" s="332">
        <v>2</v>
      </c>
      <c r="J6" s="332">
        <v>2</v>
      </c>
      <c r="K6" s="332">
        <v>2</v>
      </c>
      <c r="L6" s="332">
        <v>2</v>
      </c>
      <c r="M6" s="332">
        <v>2</v>
      </c>
      <c r="N6" s="332">
        <v>2</v>
      </c>
      <c r="O6" s="332">
        <v>2</v>
      </c>
      <c r="P6" s="332">
        <v>2</v>
      </c>
      <c r="Q6" s="334">
        <v>0</v>
      </c>
      <c r="R6" s="334">
        <v>0</v>
      </c>
      <c r="S6" s="332">
        <v>2</v>
      </c>
      <c r="T6" s="332">
        <v>2</v>
      </c>
      <c r="U6" s="332">
        <v>2</v>
      </c>
      <c r="V6" s="332">
        <v>2</v>
      </c>
      <c r="W6" s="334">
        <v>0</v>
      </c>
      <c r="X6" s="333">
        <v>2</v>
      </c>
      <c r="Y6" s="333">
        <v>2</v>
      </c>
      <c r="Z6" s="335">
        <v>2</v>
      </c>
      <c r="AA6" s="336">
        <v>2</v>
      </c>
      <c r="AB6" s="334">
        <v>0</v>
      </c>
      <c r="AC6" s="334">
        <v>0</v>
      </c>
      <c r="AD6" s="338">
        <v>2</v>
      </c>
      <c r="AE6" s="339">
        <v>2</v>
      </c>
      <c r="AF6" s="340">
        <v>2</v>
      </c>
      <c r="AG6" s="341">
        <v>2</v>
      </c>
      <c r="AH6" s="341">
        <v>2</v>
      </c>
      <c r="AI6" s="332">
        <f t="shared" si="6"/>
        <v>48</v>
      </c>
      <c r="AJ6" s="332">
        <v>0</v>
      </c>
      <c r="AK6" s="332">
        <v>0</v>
      </c>
      <c r="AL6" s="332">
        <f t="shared" si="2"/>
        <v>48</v>
      </c>
      <c r="AM6" s="332">
        <f t="shared" si="3"/>
        <v>3120</v>
      </c>
      <c r="AN6" s="712"/>
      <c r="AO6" s="714"/>
      <c r="AP6" s="712"/>
      <c r="AQ6" s="712"/>
      <c r="AR6" s="712"/>
    </row>
    <row r="7" spans="1:44" ht="12" customHeight="1">
      <c r="A7" s="331">
        <v>3</v>
      </c>
      <c r="B7" s="329" t="s">
        <v>167</v>
      </c>
      <c r="C7" s="331">
        <f t="shared" si="0"/>
        <v>520</v>
      </c>
      <c r="D7" s="326"/>
      <c r="E7" s="334">
        <v>0</v>
      </c>
      <c r="F7" s="332">
        <v>1</v>
      </c>
      <c r="G7" s="332">
        <v>1</v>
      </c>
      <c r="H7" s="332">
        <v>1</v>
      </c>
      <c r="I7" s="332">
        <v>1</v>
      </c>
      <c r="J7" s="332">
        <v>1</v>
      </c>
      <c r="K7" s="332">
        <v>1</v>
      </c>
      <c r="L7" s="332">
        <v>1</v>
      </c>
      <c r="M7" s="332">
        <v>1</v>
      </c>
      <c r="N7" s="332">
        <v>1</v>
      </c>
      <c r="O7" s="332">
        <v>1</v>
      </c>
      <c r="P7" s="332">
        <v>1</v>
      </c>
      <c r="Q7" s="334">
        <v>0</v>
      </c>
      <c r="R7" s="334">
        <v>0</v>
      </c>
      <c r="S7" s="332">
        <v>1</v>
      </c>
      <c r="T7" s="332">
        <v>1</v>
      </c>
      <c r="U7" s="332">
        <v>1</v>
      </c>
      <c r="V7" s="332">
        <v>1</v>
      </c>
      <c r="W7" s="332">
        <v>1</v>
      </c>
      <c r="X7" s="333">
        <v>1</v>
      </c>
      <c r="Y7" s="333">
        <v>1</v>
      </c>
      <c r="Z7" s="335">
        <v>1</v>
      </c>
      <c r="AA7" s="336">
        <v>1</v>
      </c>
      <c r="AB7" s="334">
        <v>0</v>
      </c>
      <c r="AC7" s="334">
        <v>0</v>
      </c>
      <c r="AD7" s="338">
        <v>1</v>
      </c>
      <c r="AE7" s="339">
        <v>1</v>
      </c>
      <c r="AF7" s="340">
        <v>1</v>
      </c>
      <c r="AG7" s="341">
        <v>1</v>
      </c>
      <c r="AH7" s="341">
        <v>1</v>
      </c>
      <c r="AI7" s="332">
        <f t="shared" si="6"/>
        <v>25</v>
      </c>
      <c r="AJ7" s="332">
        <v>0</v>
      </c>
      <c r="AK7" s="332">
        <v>0</v>
      </c>
      <c r="AL7" s="332">
        <f t="shared" si="2"/>
        <v>25</v>
      </c>
      <c r="AM7" s="332">
        <f t="shared" si="3"/>
        <v>13000</v>
      </c>
      <c r="AN7" s="711">
        <f t="shared" ref="AN7" si="9">AM7+AM8</f>
        <v>16120</v>
      </c>
      <c r="AO7" s="713">
        <v>0</v>
      </c>
      <c r="AP7" s="711">
        <f t="shared" ref="AP7" si="10">AN7-AO7</f>
        <v>16120</v>
      </c>
      <c r="AQ7" s="711">
        <v>16500</v>
      </c>
      <c r="AR7" s="711"/>
    </row>
    <row r="8" spans="1:44" ht="12" customHeight="1">
      <c r="A8" s="331"/>
      <c r="B8" s="329"/>
      <c r="C8" s="331">
        <v>65</v>
      </c>
      <c r="D8" s="326"/>
      <c r="E8" s="334">
        <v>0</v>
      </c>
      <c r="F8" s="332">
        <v>2</v>
      </c>
      <c r="G8" s="332">
        <v>2</v>
      </c>
      <c r="H8" s="332">
        <v>2</v>
      </c>
      <c r="I8" s="332">
        <v>2</v>
      </c>
      <c r="J8" s="332">
        <v>2</v>
      </c>
      <c r="K8" s="332">
        <v>2</v>
      </c>
      <c r="L8" s="332">
        <v>2</v>
      </c>
      <c r="M8" s="332">
        <v>2</v>
      </c>
      <c r="N8" s="332">
        <v>2</v>
      </c>
      <c r="O8" s="332">
        <v>2</v>
      </c>
      <c r="P8" s="332">
        <v>2</v>
      </c>
      <c r="Q8" s="334">
        <v>0</v>
      </c>
      <c r="R8" s="334">
        <v>0</v>
      </c>
      <c r="S8" s="332">
        <v>2</v>
      </c>
      <c r="T8" s="332">
        <v>2</v>
      </c>
      <c r="U8" s="332">
        <v>2</v>
      </c>
      <c r="V8" s="332">
        <v>2</v>
      </c>
      <c r="W8" s="332">
        <v>2</v>
      </c>
      <c r="X8" s="334">
        <v>0</v>
      </c>
      <c r="Y8" s="333">
        <v>2</v>
      </c>
      <c r="Z8" s="335">
        <v>2</v>
      </c>
      <c r="AA8" s="336">
        <v>2</v>
      </c>
      <c r="AB8" s="334">
        <v>0</v>
      </c>
      <c r="AC8" s="334">
        <v>0</v>
      </c>
      <c r="AD8" s="338">
        <v>2</v>
      </c>
      <c r="AE8" s="339">
        <v>2</v>
      </c>
      <c r="AF8" s="340">
        <v>2</v>
      </c>
      <c r="AG8" s="341">
        <v>2</v>
      </c>
      <c r="AH8" s="341">
        <v>2</v>
      </c>
      <c r="AI8" s="332">
        <f t="shared" si="6"/>
        <v>48</v>
      </c>
      <c r="AJ8" s="332">
        <v>0</v>
      </c>
      <c r="AK8" s="332">
        <v>0</v>
      </c>
      <c r="AL8" s="332">
        <f t="shared" si="2"/>
        <v>48</v>
      </c>
      <c r="AM8" s="332">
        <f t="shared" si="3"/>
        <v>3120</v>
      </c>
      <c r="AN8" s="712"/>
      <c r="AO8" s="714"/>
      <c r="AP8" s="712"/>
      <c r="AQ8" s="712"/>
      <c r="AR8" s="712"/>
    </row>
    <row r="9" spans="1:44" ht="12" customHeight="1">
      <c r="A9" s="331">
        <v>4</v>
      </c>
      <c r="B9" s="331">
        <v>1</v>
      </c>
      <c r="C9" s="331">
        <f t="shared" si="0"/>
        <v>480</v>
      </c>
      <c r="D9" s="326"/>
      <c r="E9" s="332">
        <v>1</v>
      </c>
      <c r="F9" s="332">
        <v>1</v>
      </c>
      <c r="G9" s="334">
        <v>0</v>
      </c>
      <c r="H9" s="334">
        <v>0</v>
      </c>
      <c r="I9" s="334">
        <v>0</v>
      </c>
      <c r="J9" s="332">
        <v>1</v>
      </c>
      <c r="K9" s="334">
        <v>0</v>
      </c>
      <c r="L9" s="334">
        <v>0</v>
      </c>
      <c r="M9" s="332">
        <v>1</v>
      </c>
      <c r="N9" s="334">
        <v>0</v>
      </c>
      <c r="O9" s="334">
        <v>0</v>
      </c>
      <c r="P9" s="334">
        <v>0</v>
      </c>
      <c r="Q9" s="334">
        <v>0</v>
      </c>
      <c r="R9" s="334">
        <v>0</v>
      </c>
      <c r="S9" s="334">
        <v>0</v>
      </c>
      <c r="T9" s="334">
        <v>0</v>
      </c>
      <c r="U9" s="334">
        <v>0</v>
      </c>
      <c r="V9" s="334">
        <v>0</v>
      </c>
      <c r="W9" s="334">
        <v>0</v>
      </c>
      <c r="X9" s="334">
        <v>0</v>
      </c>
      <c r="Y9" s="334">
        <v>0</v>
      </c>
      <c r="Z9" s="337">
        <v>1</v>
      </c>
      <c r="AA9" s="334">
        <v>0</v>
      </c>
      <c r="AB9" s="334">
        <v>0</v>
      </c>
      <c r="AC9" s="334">
        <v>0</v>
      </c>
      <c r="AD9" s="334">
        <v>0</v>
      </c>
      <c r="AE9" s="334">
        <v>0</v>
      </c>
      <c r="AF9" s="334">
        <v>0</v>
      </c>
      <c r="AG9" s="334">
        <v>0</v>
      </c>
      <c r="AH9" s="334">
        <v>0</v>
      </c>
      <c r="AI9" s="332">
        <f t="shared" si="6"/>
        <v>5</v>
      </c>
      <c r="AJ9" s="332">
        <v>0</v>
      </c>
      <c r="AK9" s="332">
        <v>0</v>
      </c>
      <c r="AL9" s="332">
        <f t="shared" si="2"/>
        <v>5</v>
      </c>
      <c r="AM9" s="332">
        <f t="shared" si="3"/>
        <v>2400</v>
      </c>
      <c r="AN9" s="711">
        <f t="shared" ref="AN9" si="11">AM9+AM10</f>
        <v>2880</v>
      </c>
      <c r="AO9" s="713">
        <v>0</v>
      </c>
      <c r="AP9" s="711">
        <f t="shared" ref="AP9" si="12">AN9-AO9</f>
        <v>2880</v>
      </c>
      <c r="AQ9" s="942">
        <v>0</v>
      </c>
      <c r="AR9" s="711"/>
    </row>
    <row r="10" spans="1:44" ht="12" customHeight="1">
      <c r="A10" s="331"/>
      <c r="B10" s="331"/>
      <c r="C10" s="331">
        <v>60</v>
      </c>
      <c r="D10" s="326"/>
      <c r="E10" s="332">
        <v>2</v>
      </c>
      <c r="F10" s="332">
        <v>2</v>
      </c>
      <c r="G10" s="334">
        <v>0</v>
      </c>
      <c r="H10" s="334">
        <v>0</v>
      </c>
      <c r="I10" s="334">
        <v>0</v>
      </c>
      <c r="J10" s="332">
        <v>2</v>
      </c>
      <c r="K10" s="334">
        <v>0</v>
      </c>
      <c r="L10" s="334">
        <v>0</v>
      </c>
      <c r="M10" s="332">
        <v>2</v>
      </c>
      <c r="N10" s="334">
        <v>0</v>
      </c>
      <c r="O10" s="334">
        <v>0</v>
      </c>
      <c r="P10" s="334">
        <v>0</v>
      </c>
      <c r="Q10" s="334">
        <v>0</v>
      </c>
      <c r="R10" s="334">
        <v>0</v>
      </c>
      <c r="S10" s="334">
        <v>0</v>
      </c>
      <c r="T10" s="334">
        <v>0</v>
      </c>
      <c r="U10" s="334">
        <v>0</v>
      </c>
      <c r="V10" s="334">
        <v>0</v>
      </c>
      <c r="W10" s="334">
        <v>0</v>
      </c>
      <c r="X10" s="334">
        <v>0</v>
      </c>
      <c r="Y10" s="334">
        <v>0</v>
      </c>
      <c r="Z10" s="337">
        <v>0</v>
      </c>
      <c r="AA10" s="334">
        <v>0</v>
      </c>
      <c r="AB10" s="334">
        <v>0</v>
      </c>
      <c r="AC10" s="334">
        <v>0</v>
      </c>
      <c r="AD10" s="334">
        <v>0</v>
      </c>
      <c r="AE10" s="334">
        <v>0</v>
      </c>
      <c r="AF10" s="334">
        <v>0</v>
      </c>
      <c r="AG10" s="334">
        <v>0</v>
      </c>
      <c r="AH10" s="334">
        <v>0</v>
      </c>
      <c r="AI10" s="332">
        <f t="shared" si="6"/>
        <v>8</v>
      </c>
      <c r="AJ10" s="332">
        <v>0</v>
      </c>
      <c r="AK10" s="332">
        <v>0</v>
      </c>
      <c r="AL10" s="332">
        <f t="shared" si="2"/>
        <v>8</v>
      </c>
      <c r="AM10" s="332">
        <f t="shared" si="3"/>
        <v>480</v>
      </c>
      <c r="AN10" s="712"/>
      <c r="AO10" s="714"/>
      <c r="AP10" s="712"/>
      <c r="AQ10" s="943"/>
      <c r="AR10" s="712"/>
    </row>
    <row r="11" spans="1:44" ht="12" customHeight="1">
      <c r="A11" s="331">
        <v>5</v>
      </c>
      <c r="B11" s="331">
        <v>2</v>
      </c>
      <c r="C11" s="331">
        <f t="shared" si="0"/>
        <v>480</v>
      </c>
      <c r="D11" s="326"/>
      <c r="E11" s="332">
        <v>1</v>
      </c>
      <c r="F11" s="332">
        <v>1</v>
      </c>
      <c r="G11" s="334">
        <v>0</v>
      </c>
      <c r="H11" s="334">
        <v>0</v>
      </c>
      <c r="I11" s="332">
        <v>1</v>
      </c>
      <c r="J11" s="332">
        <v>1</v>
      </c>
      <c r="K11" s="332">
        <v>1</v>
      </c>
      <c r="L11" s="332">
        <v>1</v>
      </c>
      <c r="M11" s="332">
        <v>1</v>
      </c>
      <c r="N11" s="332">
        <v>1</v>
      </c>
      <c r="O11" s="332">
        <v>1</v>
      </c>
      <c r="P11" s="332">
        <v>1</v>
      </c>
      <c r="Q11" s="334">
        <v>0</v>
      </c>
      <c r="R11" s="334">
        <v>0</v>
      </c>
      <c r="S11" s="334">
        <v>0</v>
      </c>
      <c r="T11" s="334">
        <v>0</v>
      </c>
      <c r="U11" s="334">
        <v>0</v>
      </c>
      <c r="V11" s="334">
        <v>0</v>
      </c>
      <c r="W11" s="334">
        <v>0</v>
      </c>
      <c r="X11" s="334">
        <v>0</v>
      </c>
      <c r="Y11" s="334">
        <v>0</v>
      </c>
      <c r="Z11" s="337">
        <v>1</v>
      </c>
      <c r="AA11" s="334">
        <v>0</v>
      </c>
      <c r="AB11" s="334">
        <v>0</v>
      </c>
      <c r="AC11" s="334">
        <v>0</v>
      </c>
      <c r="AD11" s="334">
        <v>0</v>
      </c>
      <c r="AE11" s="334">
        <v>0</v>
      </c>
      <c r="AF11" s="334">
        <v>0</v>
      </c>
      <c r="AG11" s="334">
        <v>0</v>
      </c>
      <c r="AH11" s="334">
        <v>0</v>
      </c>
      <c r="AI11" s="332">
        <f t="shared" si="6"/>
        <v>11</v>
      </c>
      <c r="AJ11" s="332">
        <v>0</v>
      </c>
      <c r="AK11" s="332">
        <v>0</v>
      </c>
      <c r="AL11" s="332">
        <f t="shared" si="2"/>
        <v>11</v>
      </c>
      <c r="AM11" s="332">
        <f t="shared" si="3"/>
        <v>5280</v>
      </c>
      <c r="AN11" s="711">
        <f t="shared" ref="AN11" si="13">AM11+AM12</f>
        <v>6480</v>
      </c>
      <c r="AO11" s="713">
        <v>0</v>
      </c>
      <c r="AP11" s="711">
        <f t="shared" ref="AP11" si="14">AN11-AO11</f>
        <v>6480</v>
      </c>
      <c r="AQ11" s="942">
        <v>0</v>
      </c>
      <c r="AR11" s="711"/>
    </row>
    <row r="12" spans="1:44" ht="12" customHeight="1">
      <c r="A12" s="331"/>
      <c r="B12" s="331"/>
      <c r="C12" s="331">
        <v>60</v>
      </c>
      <c r="D12" s="326"/>
      <c r="E12" s="332">
        <v>2</v>
      </c>
      <c r="F12" s="332">
        <v>2</v>
      </c>
      <c r="G12" s="334">
        <v>0</v>
      </c>
      <c r="H12" s="334">
        <v>0</v>
      </c>
      <c r="I12" s="332">
        <v>2</v>
      </c>
      <c r="J12" s="332">
        <v>2</v>
      </c>
      <c r="K12" s="332">
        <v>2</v>
      </c>
      <c r="L12" s="332">
        <v>2</v>
      </c>
      <c r="M12" s="332">
        <v>2</v>
      </c>
      <c r="N12" s="332">
        <v>2</v>
      </c>
      <c r="O12" s="332">
        <v>2</v>
      </c>
      <c r="P12" s="332">
        <v>2</v>
      </c>
      <c r="Q12" s="334">
        <v>0</v>
      </c>
      <c r="R12" s="334">
        <v>0</v>
      </c>
      <c r="S12" s="334">
        <v>0</v>
      </c>
      <c r="T12" s="334">
        <v>0</v>
      </c>
      <c r="U12" s="334">
        <v>0</v>
      </c>
      <c r="V12" s="334">
        <v>0</v>
      </c>
      <c r="W12" s="334">
        <v>0</v>
      </c>
      <c r="X12" s="334">
        <v>0</v>
      </c>
      <c r="Y12" s="334">
        <v>0</v>
      </c>
      <c r="Z12" s="337">
        <v>0</v>
      </c>
      <c r="AA12" s="334">
        <v>0</v>
      </c>
      <c r="AB12" s="334">
        <v>0</v>
      </c>
      <c r="AC12" s="334">
        <v>0</v>
      </c>
      <c r="AD12" s="334">
        <v>0</v>
      </c>
      <c r="AE12" s="334">
        <v>0</v>
      </c>
      <c r="AF12" s="334">
        <v>0</v>
      </c>
      <c r="AG12" s="334">
        <v>0</v>
      </c>
      <c r="AH12" s="334">
        <v>0</v>
      </c>
      <c r="AI12" s="332">
        <f t="shared" si="6"/>
        <v>20</v>
      </c>
      <c r="AJ12" s="332">
        <v>0</v>
      </c>
      <c r="AK12" s="332">
        <v>0</v>
      </c>
      <c r="AL12" s="332">
        <f t="shared" si="2"/>
        <v>20</v>
      </c>
      <c r="AM12" s="332">
        <f t="shared" si="3"/>
        <v>1200</v>
      </c>
      <c r="AN12" s="712"/>
      <c r="AO12" s="714"/>
      <c r="AP12" s="712"/>
      <c r="AQ12" s="943"/>
      <c r="AR12" s="712"/>
    </row>
    <row r="13" spans="1:44" ht="12" customHeight="1">
      <c r="A13" s="331">
        <v>6</v>
      </c>
      <c r="B13" s="331">
        <v>3</v>
      </c>
      <c r="C13" s="331">
        <f t="shared" si="0"/>
        <v>480</v>
      </c>
      <c r="D13" s="326"/>
      <c r="E13" s="332">
        <v>1</v>
      </c>
      <c r="F13" s="332">
        <v>1</v>
      </c>
      <c r="G13" s="332">
        <v>1</v>
      </c>
      <c r="H13" s="334">
        <v>0</v>
      </c>
      <c r="I13" s="332">
        <v>1</v>
      </c>
      <c r="J13" s="332">
        <v>1</v>
      </c>
      <c r="K13" s="332">
        <v>1</v>
      </c>
      <c r="L13" s="332">
        <v>1</v>
      </c>
      <c r="M13" s="332">
        <v>1</v>
      </c>
      <c r="N13" s="334">
        <v>0</v>
      </c>
      <c r="O13" s="332">
        <v>1</v>
      </c>
      <c r="P13" s="332">
        <v>1</v>
      </c>
      <c r="Q13" s="334">
        <v>0</v>
      </c>
      <c r="R13" s="334">
        <v>0</v>
      </c>
      <c r="S13" s="334">
        <v>0</v>
      </c>
      <c r="T13" s="334">
        <v>0</v>
      </c>
      <c r="U13" s="334">
        <v>0</v>
      </c>
      <c r="V13" s="334">
        <v>0</v>
      </c>
      <c r="W13" s="334">
        <v>0</v>
      </c>
      <c r="X13" s="334">
        <v>0</v>
      </c>
      <c r="Y13" s="334">
        <v>0</v>
      </c>
      <c r="Z13" s="334">
        <v>0</v>
      </c>
      <c r="AA13" s="334">
        <v>0</v>
      </c>
      <c r="AB13" s="334">
        <v>0</v>
      </c>
      <c r="AC13" s="334">
        <v>0</v>
      </c>
      <c r="AD13" s="334">
        <v>0</v>
      </c>
      <c r="AE13" s="334">
        <v>0</v>
      </c>
      <c r="AF13" s="334">
        <v>0</v>
      </c>
      <c r="AG13" s="334">
        <v>0</v>
      </c>
      <c r="AH13" s="334">
        <v>0</v>
      </c>
      <c r="AI13" s="332">
        <f t="shared" si="6"/>
        <v>10</v>
      </c>
      <c r="AJ13" s="332">
        <v>0</v>
      </c>
      <c r="AK13" s="332">
        <v>0</v>
      </c>
      <c r="AL13" s="332">
        <f t="shared" si="2"/>
        <v>10</v>
      </c>
      <c r="AM13" s="332">
        <f t="shared" si="3"/>
        <v>4800</v>
      </c>
      <c r="AN13" s="711">
        <f t="shared" ref="AN13" si="15">AM13+AM14</f>
        <v>6000</v>
      </c>
      <c r="AO13" s="713">
        <v>0</v>
      </c>
      <c r="AP13" s="711">
        <f t="shared" ref="AP13" si="16">AN13-AO13</f>
        <v>6000</v>
      </c>
      <c r="AQ13" s="942">
        <v>0</v>
      </c>
      <c r="AR13" s="711"/>
    </row>
    <row r="14" spans="1:44" ht="12" customHeight="1">
      <c r="A14" s="331"/>
      <c r="B14" s="331"/>
      <c r="C14" s="331">
        <v>60</v>
      </c>
      <c r="D14" s="326"/>
      <c r="E14" s="332">
        <v>2</v>
      </c>
      <c r="F14" s="332">
        <v>2</v>
      </c>
      <c r="G14" s="332">
        <v>2</v>
      </c>
      <c r="H14" s="334">
        <v>0</v>
      </c>
      <c r="I14" s="332">
        <v>2</v>
      </c>
      <c r="J14" s="332">
        <v>2</v>
      </c>
      <c r="K14" s="332">
        <v>2</v>
      </c>
      <c r="L14" s="332">
        <v>2</v>
      </c>
      <c r="M14" s="332">
        <v>2</v>
      </c>
      <c r="N14" s="334">
        <v>0</v>
      </c>
      <c r="O14" s="332">
        <v>2</v>
      </c>
      <c r="P14" s="332">
        <v>2</v>
      </c>
      <c r="Q14" s="334">
        <v>0</v>
      </c>
      <c r="R14" s="334">
        <v>0</v>
      </c>
      <c r="S14" s="334">
        <v>0</v>
      </c>
      <c r="T14" s="334">
        <v>0</v>
      </c>
      <c r="U14" s="334">
        <v>0</v>
      </c>
      <c r="V14" s="334">
        <v>0</v>
      </c>
      <c r="W14" s="334">
        <v>0</v>
      </c>
      <c r="X14" s="334">
        <v>0</v>
      </c>
      <c r="Y14" s="334">
        <v>0</v>
      </c>
      <c r="Z14" s="334">
        <v>0</v>
      </c>
      <c r="AA14" s="334">
        <v>0</v>
      </c>
      <c r="AB14" s="334">
        <v>0</v>
      </c>
      <c r="AC14" s="334">
        <v>0</v>
      </c>
      <c r="AD14" s="334">
        <v>0</v>
      </c>
      <c r="AE14" s="334">
        <v>0</v>
      </c>
      <c r="AF14" s="334">
        <v>0</v>
      </c>
      <c r="AG14" s="334">
        <v>0</v>
      </c>
      <c r="AH14" s="334">
        <v>0</v>
      </c>
      <c r="AI14" s="332">
        <f t="shared" si="6"/>
        <v>20</v>
      </c>
      <c r="AJ14" s="332">
        <v>0</v>
      </c>
      <c r="AK14" s="332">
        <v>0</v>
      </c>
      <c r="AL14" s="332">
        <f t="shared" si="2"/>
        <v>20</v>
      </c>
      <c r="AM14" s="332">
        <f t="shared" si="3"/>
        <v>1200</v>
      </c>
      <c r="AN14" s="712"/>
      <c r="AO14" s="714"/>
      <c r="AP14" s="712"/>
      <c r="AQ14" s="943"/>
      <c r="AR14" s="712"/>
    </row>
    <row r="15" spans="1:44" ht="12" customHeight="1">
      <c r="A15" s="331">
        <v>7</v>
      </c>
      <c r="B15" s="331">
        <v>4</v>
      </c>
      <c r="C15" s="331">
        <f t="shared" si="0"/>
        <v>480</v>
      </c>
      <c r="D15" s="326"/>
      <c r="E15" s="332">
        <v>1</v>
      </c>
      <c r="F15" s="334">
        <v>0</v>
      </c>
      <c r="G15" s="332">
        <v>1</v>
      </c>
      <c r="H15" s="334">
        <v>0</v>
      </c>
      <c r="I15" s="332">
        <v>1</v>
      </c>
      <c r="J15" s="332">
        <v>1</v>
      </c>
      <c r="K15" s="332">
        <v>1</v>
      </c>
      <c r="L15" s="332">
        <v>1</v>
      </c>
      <c r="M15" s="332">
        <v>1</v>
      </c>
      <c r="N15" s="334">
        <v>0</v>
      </c>
      <c r="O15" s="332">
        <v>1</v>
      </c>
      <c r="P15" s="332">
        <v>1</v>
      </c>
      <c r="Q15" s="334">
        <v>0</v>
      </c>
      <c r="R15" s="334">
        <v>0</v>
      </c>
      <c r="S15" s="334">
        <v>0</v>
      </c>
      <c r="T15" s="334">
        <v>0</v>
      </c>
      <c r="U15" s="334">
        <v>0</v>
      </c>
      <c r="V15" s="334">
        <v>0</v>
      </c>
      <c r="W15" s="334">
        <v>0</v>
      </c>
      <c r="X15" s="334">
        <v>0</v>
      </c>
      <c r="Y15" s="334">
        <v>0</v>
      </c>
      <c r="Z15" s="334">
        <v>0</v>
      </c>
      <c r="AA15" s="334">
        <v>0</v>
      </c>
      <c r="AB15" s="334">
        <v>0</v>
      </c>
      <c r="AC15" s="334">
        <v>0</v>
      </c>
      <c r="AD15" s="334">
        <v>0</v>
      </c>
      <c r="AE15" s="334">
        <v>0</v>
      </c>
      <c r="AF15" s="334">
        <v>0</v>
      </c>
      <c r="AG15" s="334">
        <v>0</v>
      </c>
      <c r="AH15" s="334">
        <v>0</v>
      </c>
      <c r="AI15" s="332">
        <f t="shared" si="6"/>
        <v>9</v>
      </c>
      <c r="AJ15" s="332">
        <v>0</v>
      </c>
      <c r="AK15" s="332">
        <v>0</v>
      </c>
      <c r="AL15" s="332">
        <f t="shared" si="2"/>
        <v>9</v>
      </c>
      <c r="AM15" s="332">
        <f t="shared" si="3"/>
        <v>4320</v>
      </c>
      <c r="AN15" s="711">
        <f t="shared" ref="AN15" si="17">AM15+AM16</f>
        <v>5400</v>
      </c>
      <c r="AO15" s="713">
        <v>0</v>
      </c>
      <c r="AP15" s="711">
        <f t="shared" ref="AP15" si="18">AN15-AO15</f>
        <v>5400</v>
      </c>
      <c r="AQ15" s="942">
        <v>0</v>
      </c>
      <c r="AR15" s="711"/>
    </row>
    <row r="16" spans="1:44" ht="12" customHeight="1">
      <c r="A16" s="331"/>
      <c r="B16" s="331"/>
      <c r="C16" s="331">
        <v>60</v>
      </c>
      <c r="D16" s="326"/>
      <c r="E16" s="332">
        <v>2</v>
      </c>
      <c r="F16" s="334">
        <v>0</v>
      </c>
      <c r="G16" s="332">
        <v>2</v>
      </c>
      <c r="H16" s="334">
        <v>0</v>
      </c>
      <c r="I16" s="332">
        <v>2</v>
      </c>
      <c r="J16" s="332">
        <v>2</v>
      </c>
      <c r="K16" s="332">
        <v>2</v>
      </c>
      <c r="L16" s="332">
        <v>2</v>
      </c>
      <c r="M16" s="332">
        <v>2</v>
      </c>
      <c r="N16" s="334">
        <v>0</v>
      </c>
      <c r="O16" s="332">
        <v>2</v>
      </c>
      <c r="P16" s="332">
        <v>2</v>
      </c>
      <c r="Q16" s="334">
        <v>0</v>
      </c>
      <c r="R16" s="334">
        <v>0</v>
      </c>
      <c r="S16" s="334">
        <v>0</v>
      </c>
      <c r="T16" s="334">
        <v>0</v>
      </c>
      <c r="U16" s="334">
        <v>0</v>
      </c>
      <c r="V16" s="334">
        <v>0</v>
      </c>
      <c r="W16" s="334">
        <v>0</v>
      </c>
      <c r="X16" s="334">
        <v>0</v>
      </c>
      <c r="Y16" s="334">
        <v>0</v>
      </c>
      <c r="Z16" s="334">
        <v>0</v>
      </c>
      <c r="AA16" s="334">
        <v>0</v>
      </c>
      <c r="AB16" s="334">
        <v>0</v>
      </c>
      <c r="AC16" s="334">
        <v>0</v>
      </c>
      <c r="AD16" s="334">
        <v>0</v>
      </c>
      <c r="AE16" s="334">
        <v>0</v>
      </c>
      <c r="AF16" s="334">
        <v>0</v>
      </c>
      <c r="AG16" s="334">
        <v>0</v>
      </c>
      <c r="AH16" s="334">
        <v>0</v>
      </c>
      <c r="AI16" s="332">
        <f t="shared" si="6"/>
        <v>18</v>
      </c>
      <c r="AJ16" s="332">
        <v>0</v>
      </c>
      <c r="AK16" s="332">
        <v>0</v>
      </c>
      <c r="AL16" s="332">
        <f t="shared" si="2"/>
        <v>18</v>
      </c>
      <c r="AM16" s="332">
        <f t="shared" si="3"/>
        <v>1080</v>
      </c>
      <c r="AN16" s="712"/>
      <c r="AO16" s="714"/>
      <c r="AP16" s="712"/>
      <c r="AQ16" s="943"/>
      <c r="AR16" s="712"/>
    </row>
    <row r="17" spans="1:44" ht="12" customHeight="1">
      <c r="A17" s="331">
        <v>8</v>
      </c>
      <c r="B17" s="331" t="s">
        <v>188</v>
      </c>
      <c r="C17" s="331">
        <f t="shared" si="0"/>
        <v>480</v>
      </c>
      <c r="D17" s="326"/>
      <c r="E17" s="334">
        <v>0</v>
      </c>
      <c r="F17" s="334">
        <v>0</v>
      </c>
      <c r="G17" s="334">
        <v>0</v>
      </c>
      <c r="H17" s="334">
        <v>0</v>
      </c>
      <c r="I17" s="334">
        <v>0</v>
      </c>
      <c r="J17" s="334">
        <v>0</v>
      </c>
      <c r="K17" s="334">
        <v>0</v>
      </c>
      <c r="L17" s="334">
        <v>0</v>
      </c>
      <c r="M17" s="334">
        <v>0</v>
      </c>
      <c r="N17" s="334">
        <v>0</v>
      </c>
      <c r="O17" s="334">
        <v>0</v>
      </c>
      <c r="P17" s="334">
        <v>0</v>
      </c>
      <c r="Q17" s="334">
        <v>0</v>
      </c>
      <c r="R17" s="334">
        <v>0</v>
      </c>
      <c r="S17" s="334">
        <v>0</v>
      </c>
      <c r="T17" s="346">
        <v>1</v>
      </c>
      <c r="U17" s="346">
        <v>1</v>
      </c>
      <c r="V17" s="346">
        <v>1</v>
      </c>
      <c r="W17" s="334">
        <v>0</v>
      </c>
      <c r="X17" s="346">
        <v>1</v>
      </c>
      <c r="Y17" s="346">
        <v>1</v>
      </c>
      <c r="Z17" s="346">
        <v>1</v>
      </c>
      <c r="AA17" s="346">
        <v>1</v>
      </c>
      <c r="AB17" s="334">
        <v>0</v>
      </c>
      <c r="AC17" s="334">
        <v>0</v>
      </c>
      <c r="AD17" s="346">
        <v>1</v>
      </c>
      <c r="AE17" s="346">
        <v>1</v>
      </c>
      <c r="AF17" s="346">
        <v>1</v>
      </c>
      <c r="AG17" s="334">
        <v>0</v>
      </c>
      <c r="AH17" s="346">
        <v>1</v>
      </c>
      <c r="AI17" s="332">
        <f t="shared" ref="AI17:AI22" si="19">SUM(D17:AH17)</f>
        <v>11</v>
      </c>
      <c r="AJ17" s="332">
        <v>0</v>
      </c>
      <c r="AK17" s="332">
        <v>0</v>
      </c>
      <c r="AL17" s="332">
        <f t="shared" ref="AL17:AL22" si="20">AI17+AJ17-AK17</f>
        <v>11</v>
      </c>
      <c r="AM17" s="332">
        <f t="shared" ref="AM17:AM22" si="21">AL17*C17</f>
        <v>5280</v>
      </c>
      <c r="AN17" s="711">
        <f t="shared" ref="AN17" si="22">AM17+AM18</f>
        <v>6600</v>
      </c>
      <c r="AO17" s="713">
        <v>0</v>
      </c>
      <c r="AP17" s="711">
        <f t="shared" ref="AP17" si="23">AN17-AO17</f>
        <v>6600</v>
      </c>
      <c r="AQ17" s="711">
        <v>6600</v>
      </c>
      <c r="AR17" s="711"/>
    </row>
    <row r="18" spans="1:44" ht="12" customHeight="1">
      <c r="A18" s="331"/>
      <c r="B18" s="331"/>
      <c r="C18" s="331">
        <v>60</v>
      </c>
      <c r="D18" s="326"/>
      <c r="E18" s="334">
        <v>0</v>
      </c>
      <c r="F18" s="334">
        <v>0</v>
      </c>
      <c r="G18" s="334">
        <v>0</v>
      </c>
      <c r="H18" s="334">
        <v>0</v>
      </c>
      <c r="I18" s="334">
        <v>0</v>
      </c>
      <c r="J18" s="334">
        <v>0</v>
      </c>
      <c r="K18" s="334">
        <v>0</v>
      </c>
      <c r="L18" s="334">
        <v>0</v>
      </c>
      <c r="M18" s="334">
        <v>0</v>
      </c>
      <c r="N18" s="334">
        <v>0</v>
      </c>
      <c r="O18" s="334">
        <v>0</v>
      </c>
      <c r="P18" s="334">
        <v>0</v>
      </c>
      <c r="Q18" s="334">
        <v>0</v>
      </c>
      <c r="R18" s="334">
        <v>0</v>
      </c>
      <c r="S18" s="334">
        <v>0</v>
      </c>
      <c r="T18" s="346">
        <v>2</v>
      </c>
      <c r="U18" s="346">
        <v>2</v>
      </c>
      <c r="V18" s="346">
        <v>2</v>
      </c>
      <c r="W18" s="334">
        <v>0</v>
      </c>
      <c r="X18" s="346">
        <v>2</v>
      </c>
      <c r="Y18" s="346">
        <v>2</v>
      </c>
      <c r="Z18" s="346">
        <v>2</v>
      </c>
      <c r="AA18" s="346">
        <v>2</v>
      </c>
      <c r="AB18" s="334">
        <v>0</v>
      </c>
      <c r="AC18" s="334">
        <v>0</v>
      </c>
      <c r="AD18" s="346">
        <v>2</v>
      </c>
      <c r="AE18" s="346">
        <v>2</v>
      </c>
      <c r="AF18" s="346">
        <v>2</v>
      </c>
      <c r="AG18" s="334">
        <v>0</v>
      </c>
      <c r="AH18" s="346">
        <v>2</v>
      </c>
      <c r="AI18" s="332">
        <f t="shared" si="19"/>
        <v>22</v>
      </c>
      <c r="AJ18" s="332">
        <v>0</v>
      </c>
      <c r="AK18" s="332">
        <v>0</v>
      </c>
      <c r="AL18" s="332">
        <f t="shared" si="20"/>
        <v>22</v>
      </c>
      <c r="AM18" s="332">
        <f t="shared" si="21"/>
        <v>1320</v>
      </c>
      <c r="AN18" s="712"/>
      <c r="AO18" s="714"/>
      <c r="AP18" s="712"/>
      <c r="AQ18" s="712"/>
      <c r="AR18" s="712"/>
    </row>
    <row r="19" spans="1:44" ht="12" customHeight="1">
      <c r="A19" s="331">
        <v>9</v>
      </c>
      <c r="B19" s="331" t="s">
        <v>186</v>
      </c>
      <c r="C19" s="331">
        <f t="shared" si="0"/>
        <v>480</v>
      </c>
      <c r="D19" s="326"/>
      <c r="E19" s="332">
        <v>1</v>
      </c>
      <c r="F19" s="346">
        <v>1</v>
      </c>
      <c r="G19" s="346">
        <v>1</v>
      </c>
      <c r="H19" s="334">
        <v>0</v>
      </c>
      <c r="I19" s="346">
        <v>1</v>
      </c>
      <c r="J19" s="346">
        <v>1</v>
      </c>
      <c r="K19" s="346">
        <v>1</v>
      </c>
      <c r="L19" s="346">
        <v>1</v>
      </c>
      <c r="M19" s="346">
        <v>1</v>
      </c>
      <c r="N19" s="346">
        <v>1</v>
      </c>
      <c r="O19" s="334">
        <v>0</v>
      </c>
      <c r="P19" s="346">
        <v>1</v>
      </c>
      <c r="Q19" s="334">
        <v>0</v>
      </c>
      <c r="R19" s="334">
        <v>0</v>
      </c>
      <c r="S19" s="332">
        <v>1</v>
      </c>
      <c r="T19" s="332">
        <v>1</v>
      </c>
      <c r="U19" s="332">
        <v>1</v>
      </c>
      <c r="V19" s="332">
        <v>1</v>
      </c>
      <c r="W19" s="334">
        <v>0</v>
      </c>
      <c r="X19" s="333">
        <v>1</v>
      </c>
      <c r="Y19" s="333">
        <v>1</v>
      </c>
      <c r="Z19" s="335">
        <v>1</v>
      </c>
      <c r="AA19" s="336">
        <v>1</v>
      </c>
      <c r="AB19" s="334">
        <v>0</v>
      </c>
      <c r="AC19" s="334">
        <v>0</v>
      </c>
      <c r="AD19" s="338">
        <v>1</v>
      </c>
      <c r="AE19" s="339">
        <v>1</v>
      </c>
      <c r="AF19" s="340">
        <v>1</v>
      </c>
      <c r="AG19" s="346">
        <v>1</v>
      </c>
      <c r="AH19" s="346">
        <v>1</v>
      </c>
      <c r="AI19" s="332">
        <f t="shared" si="19"/>
        <v>23</v>
      </c>
      <c r="AJ19" s="332">
        <v>0</v>
      </c>
      <c r="AK19" s="332">
        <v>0</v>
      </c>
      <c r="AL19" s="332">
        <f t="shared" si="20"/>
        <v>23</v>
      </c>
      <c r="AM19" s="332">
        <f t="shared" si="21"/>
        <v>11040</v>
      </c>
      <c r="AN19" s="711">
        <f t="shared" ref="AN19" si="24">AM19+AM20</f>
        <v>13800</v>
      </c>
      <c r="AO19" s="713">
        <v>0</v>
      </c>
      <c r="AP19" s="711">
        <f t="shared" ref="AP19" si="25">AN19-AO19</f>
        <v>13800</v>
      </c>
      <c r="AQ19" s="711">
        <v>12000</v>
      </c>
      <c r="AR19" s="711"/>
    </row>
    <row r="20" spans="1:44" ht="12" customHeight="1">
      <c r="A20" s="331"/>
      <c r="B20" s="331"/>
      <c r="C20" s="331">
        <v>60</v>
      </c>
      <c r="D20" s="326"/>
      <c r="E20" s="332">
        <v>2</v>
      </c>
      <c r="F20" s="346">
        <v>2</v>
      </c>
      <c r="G20" s="346">
        <v>2</v>
      </c>
      <c r="H20" s="334">
        <v>0</v>
      </c>
      <c r="I20" s="346">
        <v>2</v>
      </c>
      <c r="J20" s="346">
        <v>2</v>
      </c>
      <c r="K20" s="346">
        <v>2</v>
      </c>
      <c r="L20" s="346">
        <v>2</v>
      </c>
      <c r="M20" s="346">
        <v>2</v>
      </c>
      <c r="N20" s="346">
        <v>2</v>
      </c>
      <c r="O20" s="334">
        <v>0</v>
      </c>
      <c r="P20" s="346">
        <v>2</v>
      </c>
      <c r="Q20" s="334">
        <v>0</v>
      </c>
      <c r="R20" s="334">
        <v>0</v>
      </c>
      <c r="S20" s="332">
        <v>2</v>
      </c>
      <c r="T20" s="332">
        <v>2</v>
      </c>
      <c r="U20" s="332">
        <v>2</v>
      </c>
      <c r="V20" s="332">
        <v>2</v>
      </c>
      <c r="W20" s="334">
        <v>0</v>
      </c>
      <c r="X20" s="333">
        <v>2</v>
      </c>
      <c r="Y20" s="333">
        <v>2</v>
      </c>
      <c r="Z20" s="335">
        <v>2</v>
      </c>
      <c r="AA20" s="336">
        <v>2</v>
      </c>
      <c r="AB20" s="334">
        <v>0</v>
      </c>
      <c r="AC20" s="334">
        <v>0</v>
      </c>
      <c r="AD20" s="338">
        <v>2</v>
      </c>
      <c r="AE20" s="339">
        <v>2</v>
      </c>
      <c r="AF20" s="340">
        <v>2</v>
      </c>
      <c r="AG20" s="346">
        <v>2</v>
      </c>
      <c r="AH20" s="346">
        <v>2</v>
      </c>
      <c r="AI20" s="332">
        <f t="shared" si="19"/>
        <v>46</v>
      </c>
      <c r="AJ20" s="332">
        <v>0</v>
      </c>
      <c r="AK20" s="332">
        <v>0</v>
      </c>
      <c r="AL20" s="332">
        <f t="shared" si="20"/>
        <v>46</v>
      </c>
      <c r="AM20" s="332">
        <f t="shared" si="21"/>
        <v>2760</v>
      </c>
      <c r="AN20" s="712"/>
      <c r="AO20" s="714"/>
      <c r="AP20" s="712"/>
      <c r="AQ20" s="712"/>
      <c r="AR20" s="712"/>
    </row>
    <row r="21" spans="1:44" ht="12" customHeight="1">
      <c r="A21" s="331">
        <v>10</v>
      </c>
      <c r="B21" s="331" t="s">
        <v>187</v>
      </c>
      <c r="C21" s="331">
        <f t="shared" si="0"/>
        <v>480</v>
      </c>
      <c r="D21" s="326"/>
      <c r="E21" s="346">
        <v>1</v>
      </c>
      <c r="F21" s="346">
        <v>1</v>
      </c>
      <c r="G21" s="346">
        <v>1</v>
      </c>
      <c r="H21" s="334">
        <v>0</v>
      </c>
      <c r="I21" s="346">
        <v>1</v>
      </c>
      <c r="J21" s="346">
        <v>1</v>
      </c>
      <c r="K21" s="346">
        <v>1</v>
      </c>
      <c r="L21" s="346">
        <v>1</v>
      </c>
      <c r="M21" s="346">
        <v>1</v>
      </c>
      <c r="N21" s="346">
        <v>1</v>
      </c>
      <c r="O21" s="346">
        <v>1</v>
      </c>
      <c r="P21" s="346">
        <v>1</v>
      </c>
      <c r="Q21" s="334">
        <v>0</v>
      </c>
      <c r="R21" s="334">
        <v>0</v>
      </c>
      <c r="S21" s="332">
        <v>1</v>
      </c>
      <c r="T21" s="332">
        <v>1</v>
      </c>
      <c r="U21" s="332">
        <v>1</v>
      </c>
      <c r="V21" s="332">
        <v>1</v>
      </c>
      <c r="W21" s="332">
        <v>1</v>
      </c>
      <c r="X21" s="333">
        <v>1</v>
      </c>
      <c r="Y21" s="333">
        <v>1</v>
      </c>
      <c r="Z21" s="335">
        <v>1</v>
      </c>
      <c r="AA21" s="336">
        <v>1</v>
      </c>
      <c r="AB21" s="334">
        <v>0</v>
      </c>
      <c r="AC21" s="334">
        <v>0</v>
      </c>
      <c r="AD21" s="338">
        <v>1</v>
      </c>
      <c r="AE21" s="346">
        <v>1</v>
      </c>
      <c r="AF21" s="340">
        <v>1</v>
      </c>
      <c r="AG21" s="341">
        <v>1</v>
      </c>
      <c r="AH21" s="341">
        <v>1</v>
      </c>
      <c r="AI21" s="332">
        <f t="shared" si="19"/>
        <v>25</v>
      </c>
      <c r="AJ21" s="332">
        <v>0</v>
      </c>
      <c r="AK21" s="332">
        <v>0</v>
      </c>
      <c r="AL21" s="332">
        <f t="shared" si="20"/>
        <v>25</v>
      </c>
      <c r="AM21" s="332">
        <f t="shared" si="21"/>
        <v>12000</v>
      </c>
      <c r="AN21" s="711">
        <f t="shared" ref="AN21" si="26">AM21+AM22</f>
        <v>14940</v>
      </c>
      <c r="AO21" s="713">
        <v>0</v>
      </c>
      <c r="AP21" s="711">
        <f t="shared" ref="AP21" si="27">AN21-AO21</f>
        <v>14940</v>
      </c>
      <c r="AQ21" s="711">
        <v>15000</v>
      </c>
      <c r="AR21" s="711"/>
    </row>
    <row r="22" spans="1:44" ht="12" customHeight="1">
      <c r="A22" s="331"/>
      <c r="B22" s="331"/>
      <c r="C22" s="331">
        <v>60</v>
      </c>
      <c r="D22" s="326"/>
      <c r="E22" s="346">
        <v>2</v>
      </c>
      <c r="F22" s="346">
        <v>2</v>
      </c>
      <c r="G22" s="346">
        <v>2</v>
      </c>
      <c r="H22" s="334">
        <v>0</v>
      </c>
      <c r="I22" s="346">
        <v>2</v>
      </c>
      <c r="J22" s="346">
        <v>2</v>
      </c>
      <c r="K22" s="346">
        <v>2</v>
      </c>
      <c r="L22" s="346">
        <v>2</v>
      </c>
      <c r="M22" s="346">
        <v>2</v>
      </c>
      <c r="N22" s="346">
        <v>2</v>
      </c>
      <c r="O22" s="346">
        <v>2</v>
      </c>
      <c r="P22" s="346">
        <v>2</v>
      </c>
      <c r="Q22" s="334">
        <v>0</v>
      </c>
      <c r="R22" s="334">
        <v>0</v>
      </c>
      <c r="S22" s="332">
        <v>2</v>
      </c>
      <c r="T22" s="332">
        <v>2</v>
      </c>
      <c r="U22" s="332">
        <v>2</v>
      </c>
      <c r="V22" s="332">
        <v>2</v>
      </c>
      <c r="W22" s="334">
        <v>1</v>
      </c>
      <c r="X22" s="333">
        <v>2</v>
      </c>
      <c r="Y22" s="333">
        <v>2</v>
      </c>
      <c r="Z22" s="335">
        <v>2</v>
      </c>
      <c r="AA22" s="336">
        <v>2</v>
      </c>
      <c r="AB22" s="334">
        <v>0</v>
      </c>
      <c r="AC22" s="334">
        <v>0</v>
      </c>
      <c r="AD22" s="338">
        <v>2</v>
      </c>
      <c r="AE22" s="346">
        <v>2</v>
      </c>
      <c r="AF22" s="340">
        <v>2</v>
      </c>
      <c r="AG22" s="341">
        <v>2</v>
      </c>
      <c r="AH22" s="341">
        <v>2</v>
      </c>
      <c r="AI22" s="332">
        <f t="shared" si="19"/>
        <v>49</v>
      </c>
      <c r="AJ22" s="332">
        <v>0</v>
      </c>
      <c r="AK22" s="332">
        <v>0</v>
      </c>
      <c r="AL22" s="332">
        <f t="shared" si="20"/>
        <v>49</v>
      </c>
      <c r="AM22" s="332">
        <f t="shared" si="21"/>
        <v>2940</v>
      </c>
      <c r="AN22" s="712"/>
      <c r="AO22" s="714"/>
      <c r="AP22" s="712"/>
      <c r="AQ22" s="712"/>
      <c r="AR22" s="712"/>
    </row>
    <row r="23" spans="1:44" ht="12" customHeight="1">
      <c r="A23" s="331">
        <v>11</v>
      </c>
      <c r="B23" s="331" t="s">
        <v>183</v>
      </c>
      <c r="C23" s="331">
        <f t="shared" si="0"/>
        <v>480</v>
      </c>
      <c r="D23" s="326"/>
      <c r="E23" s="332">
        <v>1</v>
      </c>
      <c r="F23" s="332">
        <v>1</v>
      </c>
      <c r="G23" s="334">
        <v>0</v>
      </c>
      <c r="H23" s="332">
        <v>1</v>
      </c>
      <c r="I23" s="332">
        <v>1</v>
      </c>
      <c r="J23" s="332">
        <v>1</v>
      </c>
      <c r="K23" s="334">
        <v>0</v>
      </c>
      <c r="L23" s="332">
        <v>1</v>
      </c>
      <c r="M23" s="332">
        <v>1</v>
      </c>
      <c r="N23" s="332">
        <v>1</v>
      </c>
      <c r="O23" s="334">
        <v>0</v>
      </c>
      <c r="P23" s="332">
        <v>1</v>
      </c>
      <c r="Q23" s="334">
        <v>0</v>
      </c>
      <c r="R23" s="334">
        <v>0</v>
      </c>
      <c r="S23" s="332">
        <v>1</v>
      </c>
      <c r="T23" s="332">
        <v>1</v>
      </c>
      <c r="U23" s="332">
        <v>1</v>
      </c>
      <c r="V23" s="334">
        <v>0</v>
      </c>
      <c r="W23" s="332">
        <v>1</v>
      </c>
      <c r="X23" s="334">
        <v>0</v>
      </c>
      <c r="Y23" s="333">
        <v>1</v>
      </c>
      <c r="Z23" s="335">
        <v>1</v>
      </c>
      <c r="AA23" s="336">
        <v>1</v>
      </c>
      <c r="AB23" s="334">
        <v>0</v>
      </c>
      <c r="AC23" s="334">
        <v>0</v>
      </c>
      <c r="AD23" s="338">
        <v>1</v>
      </c>
      <c r="AE23" s="334">
        <v>0</v>
      </c>
      <c r="AF23" s="340">
        <v>0.5</v>
      </c>
      <c r="AG23" s="334">
        <v>0</v>
      </c>
      <c r="AH23" s="334">
        <v>0</v>
      </c>
      <c r="AI23" s="332">
        <f t="shared" si="6"/>
        <v>17.5</v>
      </c>
      <c r="AJ23" s="332">
        <v>0</v>
      </c>
      <c r="AK23" s="332">
        <v>0</v>
      </c>
      <c r="AL23" s="332">
        <f t="shared" si="2"/>
        <v>17.5</v>
      </c>
      <c r="AM23" s="332">
        <f t="shared" si="3"/>
        <v>8400</v>
      </c>
      <c r="AN23" s="711">
        <f t="shared" ref="AN23" si="28">AM23+AM24</f>
        <v>10380</v>
      </c>
      <c r="AO23" s="713">
        <v>0</v>
      </c>
      <c r="AP23" s="711">
        <f t="shared" ref="AP23" si="29">AN23-AO23</f>
        <v>10380</v>
      </c>
      <c r="AQ23" s="711">
        <v>10500</v>
      </c>
      <c r="AR23" s="711"/>
    </row>
    <row r="24" spans="1:44" ht="12" customHeight="1">
      <c r="A24" s="331"/>
      <c r="B24" s="331"/>
      <c r="C24" s="331">
        <v>60</v>
      </c>
      <c r="D24" s="326"/>
      <c r="E24" s="332">
        <v>2</v>
      </c>
      <c r="F24" s="332">
        <v>2</v>
      </c>
      <c r="G24" s="334">
        <v>0</v>
      </c>
      <c r="H24" s="332">
        <v>2</v>
      </c>
      <c r="I24" s="332">
        <v>2</v>
      </c>
      <c r="J24" s="332">
        <v>2</v>
      </c>
      <c r="K24" s="334">
        <v>0</v>
      </c>
      <c r="L24" s="332">
        <v>2</v>
      </c>
      <c r="M24" s="332">
        <v>2</v>
      </c>
      <c r="N24" s="332">
        <v>2</v>
      </c>
      <c r="O24" s="334">
        <v>0</v>
      </c>
      <c r="P24" s="332">
        <v>2</v>
      </c>
      <c r="Q24" s="334">
        <v>0</v>
      </c>
      <c r="R24" s="334">
        <v>0</v>
      </c>
      <c r="S24" s="332">
        <v>2</v>
      </c>
      <c r="T24" s="332">
        <v>2</v>
      </c>
      <c r="U24" s="332">
        <v>2</v>
      </c>
      <c r="V24" s="334">
        <v>0</v>
      </c>
      <c r="W24" s="332">
        <v>2</v>
      </c>
      <c r="X24" s="334">
        <v>0</v>
      </c>
      <c r="Y24" s="334">
        <v>1</v>
      </c>
      <c r="Z24" s="335">
        <v>2</v>
      </c>
      <c r="AA24" s="336">
        <v>2</v>
      </c>
      <c r="AB24" s="334">
        <v>0</v>
      </c>
      <c r="AC24" s="334">
        <v>0</v>
      </c>
      <c r="AD24" s="338">
        <v>2</v>
      </c>
      <c r="AE24" s="334">
        <v>0</v>
      </c>
      <c r="AF24" s="340">
        <v>0</v>
      </c>
      <c r="AG24" s="334">
        <v>0</v>
      </c>
      <c r="AH24" s="334">
        <v>0</v>
      </c>
      <c r="AI24" s="332">
        <f t="shared" si="6"/>
        <v>33</v>
      </c>
      <c r="AJ24" s="332">
        <v>0</v>
      </c>
      <c r="AK24" s="332">
        <v>0</v>
      </c>
      <c r="AL24" s="332">
        <f t="shared" si="2"/>
        <v>33</v>
      </c>
      <c r="AM24" s="332">
        <f t="shared" si="3"/>
        <v>1980</v>
      </c>
      <c r="AN24" s="712"/>
      <c r="AO24" s="714"/>
      <c r="AP24" s="712"/>
      <c r="AQ24" s="712"/>
      <c r="AR24" s="712"/>
    </row>
    <row r="25" spans="1:44" ht="13.5" customHeight="1">
      <c r="A25" s="923" t="s">
        <v>103</v>
      </c>
      <c r="B25" s="924"/>
      <c r="C25" s="327"/>
      <c r="D25" s="327">
        <f>D3+D5+D7+D9+D11+D13+D15+D17+D19+D21+D23</f>
        <v>0</v>
      </c>
      <c r="E25" s="327">
        <f>E3+E5+E7+E9+E11+E13+E15+E17+E19+E21+E23</f>
        <v>8</v>
      </c>
      <c r="F25" s="327">
        <f t="shared" ref="F25:AG25" si="30">F3+F5+F7+F9+F11+F13+F15+F17+F19+F21+F23</f>
        <v>9</v>
      </c>
      <c r="G25" s="327">
        <f t="shared" si="30"/>
        <v>7</v>
      </c>
      <c r="H25" s="327">
        <f t="shared" si="30"/>
        <v>4</v>
      </c>
      <c r="I25" s="327">
        <f t="shared" si="30"/>
        <v>9</v>
      </c>
      <c r="J25" s="327">
        <f t="shared" si="30"/>
        <v>10</v>
      </c>
      <c r="K25" s="327">
        <f t="shared" si="30"/>
        <v>8</v>
      </c>
      <c r="L25" s="327">
        <f t="shared" si="30"/>
        <v>9</v>
      </c>
      <c r="M25" s="327">
        <f t="shared" si="30"/>
        <v>10</v>
      </c>
      <c r="N25" s="327">
        <f t="shared" si="30"/>
        <v>7</v>
      </c>
      <c r="O25" s="327">
        <f t="shared" si="30"/>
        <v>7</v>
      </c>
      <c r="P25" s="327">
        <f t="shared" si="30"/>
        <v>9</v>
      </c>
      <c r="Q25" s="327">
        <f t="shared" si="30"/>
        <v>0</v>
      </c>
      <c r="R25" s="327">
        <f t="shared" si="30"/>
        <v>0</v>
      </c>
      <c r="S25" s="327">
        <f t="shared" si="30"/>
        <v>6</v>
      </c>
      <c r="T25" s="327">
        <f t="shared" si="30"/>
        <v>7</v>
      </c>
      <c r="U25" s="327">
        <f t="shared" si="30"/>
        <v>7</v>
      </c>
      <c r="V25" s="327">
        <f t="shared" si="30"/>
        <v>6</v>
      </c>
      <c r="W25" s="327">
        <f t="shared" si="30"/>
        <v>5</v>
      </c>
      <c r="X25" s="327">
        <f t="shared" ref="X25" si="31">X3+X5+X7+X9+X11+X13+X15+X17+X19+X21+X23</f>
        <v>6</v>
      </c>
      <c r="Y25" s="327">
        <f t="shared" si="30"/>
        <v>7</v>
      </c>
      <c r="Z25" s="327">
        <f t="shared" si="30"/>
        <v>9</v>
      </c>
      <c r="AA25" s="327">
        <f t="shared" si="30"/>
        <v>7</v>
      </c>
      <c r="AB25" s="327">
        <f t="shared" si="30"/>
        <v>0</v>
      </c>
      <c r="AC25" s="327">
        <f t="shared" si="30"/>
        <v>0</v>
      </c>
      <c r="AD25" s="327">
        <f t="shared" si="30"/>
        <v>7</v>
      </c>
      <c r="AE25" s="327">
        <f t="shared" si="30"/>
        <v>6</v>
      </c>
      <c r="AF25" s="327">
        <f t="shared" si="30"/>
        <v>6.5</v>
      </c>
      <c r="AG25" s="327">
        <f t="shared" si="30"/>
        <v>5</v>
      </c>
      <c r="AH25" s="327">
        <f t="shared" ref="AH25:AI25" si="32">AH3+AH5+AH7+AH9+AH11+AH13+AH15+AH17+AH19+AH21+AH23</f>
        <v>5.5</v>
      </c>
      <c r="AI25" s="327">
        <f t="shared" si="32"/>
        <v>187</v>
      </c>
      <c r="AJ25" s="327">
        <f t="shared" ref="AJ25:AL25" si="33">AJ3+AJ5+AJ7+AJ9+AJ11+AJ13+AJ15+AJ17+AJ19+AJ21+AJ23</f>
        <v>0</v>
      </c>
      <c r="AK25" s="327">
        <f t="shared" si="33"/>
        <v>0</v>
      </c>
      <c r="AL25" s="327">
        <f t="shared" si="33"/>
        <v>187</v>
      </c>
      <c r="AM25" s="327">
        <f t="shared" ref="AM25" si="34">AM3+AM5+AM7+AM9+AM11+AM13+AM15+AM17+AM19+AM21+AM23</f>
        <v>91760</v>
      </c>
      <c r="AN25" s="897">
        <f>AN3+AN5+AN7+AN9+AN11+AN13+AN15+AN23+AN17+AN19+AN21</f>
        <v>113840</v>
      </c>
      <c r="AO25" s="897">
        <f>AO3+AO5+AO7+AO9+AO11+AO13+AO15+AO23+AO17+AO19+AO21</f>
        <v>0</v>
      </c>
      <c r="AP25" s="897">
        <f>AP3+AP5+AP7+AP9+AP11+AP13+AP15+AP23+AP17+AP19+AP21</f>
        <v>113840</v>
      </c>
      <c r="AQ25" s="897">
        <f t="shared" ref="AQ25:AR25" si="35">AQ3+AQ5+AQ7+AQ9+AQ11+AQ13+AQ15+AQ23+AQ17+AQ19+AQ21</f>
        <v>93100</v>
      </c>
      <c r="AR25" s="897">
        <f t="shared" si="35"/>
        <v>0</v>
      </c>
    </row>
    <row r="26" spans="1:44" ht="13.5" customHeight="1">
      <c r="A26" s="925" t="s">
        <v>106</v>
      </c>
      <c r="B26" s="926"/>
      <c r="C26" s="328"/>
      <c r="D26" s="328">
        <f>D4+D6+D8+D10+D12+D14+D16+D18+D20+D22+D24</f>
        <v>0</v>
      </c>
      <c r="E26" s="328">
        <f>E4+E6+E8+E10+E12+E14+E16+E18+E20+E22+E24</f>
        <v>16</v>
      </c>
      <c r="F26" s="328">
        <f t="shared" ref="F26:AG26" si="36">F4+F6+F8+F10+F12+F14+F16+F18+F20+F22+F24</f>
        <v>18</v>
      </c>
      <c r="G26" s="328">
        <f t="shared" si="36"/>
        <v>14</v>
      </c>
      <c r="H26" s="328">
        <f t="shared" si="36"/>
        <v>8</v>
      </c>
      <c r="I26" s="328">
        <f t="shared" si="36"/>
        <v>18</v>
      </c>
      <c r="J26" s="328">
        <f t="shared" si="36"/>
        <v>20</v>
      </c>
      <c r="K26" s="328">
        <f t="shared" si="36"/>
        <v>16</v>
      </c>
      <c r="L26" s="328">
        <f t="shared" si="36"/>
        <v>18</v>
      </c>
      <c r="M26" s="328">
        <f t="shared" si="36"/>
        <v>20</v>
      </c>
      <c r="N26" s="328">
        <f t="shared" si="36"/>
        <v>14</v>
      </c>
      <c r="O26" s="328">
        <f t="shared" si="36"/>
        <v>14</v>
      </c>
      <c r="P26" s="328">
        <f t="shared" si="36"/>
        <v>18</v>
      </c>
      <c r="Q26" s="328">
        <f t="shared" si="36"/>
        <v>0</v>
      </c>
      <c r="R26" s="328">
        <f t="shared" si="36"/>
        <v>0</v>
      </c>
      <c r="S26" s="328">
        <f t="shared" si="36"/>
        <v>12</v>
      </c>
      <c r="T26" s="328">
        <f t="shared" si="36"/>
        <v>14</v>
      </c>
      <c r="U26" s="328">
        <f t="shared" si="36"/>
        <v>14</v>
      </c>
      <c r="V26" s="328">
        <f t="shared" si="36"/>
        <v>10</v>
      </c>
      <c r="W26" s="328">
        <f t="shared" si="36"/>
        <v>7</v>
      </c>
      <c r="X26" s="328">
        <f t="shared" ref="X26" si="37">X4+X6+X8+X10+X12+X14+X16+X18+X20+X22+X24</f>
        <v>10</v>
      </c>
      <c r="Y26" s="328">
        <f>Y4+Y6+Y8+Y10+Y12+Y14+Y16+Y18+Y20+Y22+Y24</f>
        <v>13</v>
      </c>
      <c r="Z26" s="328">
        <f t="shared" si="36"/>
        <v>14</v>
      </c>
      <c r="AA26" s="328">
        <f t="shared" si="36"/>
        <v>14</v>
      </c>
      <c r="AB26" s="328">
        <f t="shared" si="36"/>
        <v>0</v>
      </c>
      <c r="AC26" s="328">
        <f t="shared" si="36"/>
        <v>0</v>
      </c>
      <c r="AD26" s="328">
        <f t="shared" si="36"/>
        <v>14</v>
      </c>
      <c r="AE26" s="328">
        <f t="shared" si="36"/>
        <v>12</v>
      </c>
      <c r="AF26" s="328">
        <f t="shared" si="36"/>
        <v>12</v>
      </c>
      <c r="AG26" s="328">
        <f t="shared" si="36"/>
        <v>10</v>
      </c>
      <c r="AH26" s="328">
        <f t="shared" ref="AH26:AI26" si="38">AH4+AH6+AH8+AH10+AH12+AH14+AH16+AH18+AH20+AH22+AH24</f>
        <v>10</v>
      </c>
      <c r="AI26" s="328">
        <f t="shared" si="38"/>
        <v>360</v>
      </c>
      <c r="AJ26" s="328">
        <f t="shared" ref="AJ26:AL26" si="39">AJ4+AJ6+AJ8+AJ10+AJ12+AJ14+AJ16+AJ18+AJ20+AJ22+AJ24</f>
        <v>0</v>
      </c>
      <c r="AK26" s="328">
        <f t="shared" si="39"/>
        <v>0</v>
      </c>
      <c r="AL26" s="328">
        <f t="shared" si="39"/>
        <v>360</v>
      </c>
      <c r="AM26" s="328">
        <f t="shared" ref="AM26" si="40">AM4+AM6+AM8+AM10+AM12+AM14+AM16+AM18+AM20+AM22+AM24</f>
        <v>22080</v>
      </c>
      <c r="AN26" s="898"/>
      <c r="AO26" s="898"/>
      <c r="AP26" s="898"/>
      <c r="AQ26" s="898"/>
      <c r="AR26" s="898"/>
    </row>
    <row r="28" spans="1:44" ht="17.25" customHeight="1">
      <c r="A28" s="929" t="s">
        <v>113</v>
      </c>
      <c r="B28" s="931" t="s">
        <v>1</v>
      </c>
      <c r="C28" s="932"/>
      <c r="D28" s="935" t="s">
        <v>181</v>
      </c>
      <c r="E28" s="936"/>
      <c r="F28" s="936"/>
      <c r="G28" s="936"/>
      <c r="H28" s="936"/>
      <c r="I28" s="936"/>
      <c r="J28" s="936"/>
      <c r="K28" s="936"/>
      <c r="L28" s="936"/>
      <c r="M28" s="936"/>
      <c r="N28" s="936"/>
      <c r="O28" s="936"/>
      <c r="P28" s="936"/>
      <c r="Q28" s="936"/>
      <c r="R28" s="936"/>
      <c r="S28" s="936"/>
      <c r="T28" s="936"/>
      <c r="U28" s="936"/>
      <c r="V28" s="936"/>
      <c r="W28" s="936"/>
      <c r="X28" s="936"/>
      <c r="Y28" s="936"/>
      <c r="Z28" s="936"/>
      <c r="AA28" s="936"/>
      <c r="AB28" s="936"/>
      <c r="AC28" s="936"/>
      <c r="AD28" s="936"/>
      <c r="AE28" s="936"/>
      <c r="AF28" s="937"/>
      <c r="AG28" s="826">
        <v>28</v>
      </c>
      <c r="AH28" s="827"/>
      <c r="AI28" s="927" t="s">
        <v>107</v>
      </c>
      <c r="AJ28" s="927" t="s">
        <v>45</v>
      </c>
      <c r="AK28" s="927" t="s">
        <v>108</v>
      </c>
      <c r="AL28" s="927" t="s">
        <v>112</v>
      </c>
      <c r="AM28" s="938" t="s">
        <v>7</v>
      </c>
      <c r="AN28" s="939"/>
      <c r="AO28" s="927" t="s">
        <v>93</v>
      </c>
      <c r="AP28" s="927" t="s">
        <v>109</v>
      </c>
      <c r="AQ28" s="927" t="s">
        <v>33</v>
      </c>
      <c r="AR28" s="927" t="s">
        <v>111</v>
      </c>
    </row>
    <row r="29" spans="1:44">
      <c r="A29" s="930"/>
      <c r="B29" s="933"/>
      <c r="C29" s="934"/>
      <c r="D29" s="330">
        <v>1</v>
      </c>
      <c r="E29" s="330">
        <v>2</v>
      </c>
      <c r="F29" s="330">
        <v>3</v>
      </c>
      <c r="G29" s="330">
        <v>4</v>
      </c>
      <c r="H29" s="330">
        <v>5</v>
      </c>
      <c r="I29" s="330">
        <v>6</v>
      </c>
      <c r="J29" s="330">
        <v>7</v>
      </c>
      <c r="K29" s="330">
        <v>8</v>
      </c>
      <c r="L29" s="330">
        <v>9</v>
      </c>
      <c r="M29" s="330">
        <v>10</v>
      </c>
      <c r="N29" s="330">
        <v>11</v>
      </c>
      <c r="O29" s="330">
        <v>12</v>
      </c>
      <c r="P29" s="330">
        <v>13</v>
      </c>
      <c r="Q29" s="330">
        <v>14</v>
      </c>
      <c r="R29" s="330">
        <v>15</v>
      </c>
      <c r="S29" s="330">
        <v>16</v>
      </c>
      <c r="T29" s="330">
        <v>17</v>
      </c>
      <c r="U29" s="330">
        <v>18</v>
      </c>
      <c r="V29" s="330">
        <v>19</v>
      </c>
      <c r="W29" s="330">
        <v>20</v>
      </c>
      <c r="X29" s="330">
        <v>21</v>
      </c>
      <c r="Y29" s="330">
        <v>22</v>
      </c>
      <c r="Z29" s="330">
        <v>23</v>
      </c>
      <c r="AA29" s="330">
        <v>24</v>
      </c>
      <c r="AB29" s="330">
        <v>25</v>
      </c>
      <c r="AC29" s="330">
        <v>26</v>
      </c>
      <c r="AD29" s="330">
        <v>27</v>
      </c>
      <c r="AE29" s="330">
        <v>28</v>
      </c>
      <c r="AF29" s="330">
        <v>29</v>
      </c>
      <c r="AG29" s="330">
        <v>30</v>
      </c>
      <c r="AH29" s="330">
        <v>31</v>
      </c>
      <c r="AI29" s="928"/>
      <c r="AJ29" s="928"/>
      <c r="AK29" s="928"/>
      <c r="AL29" s="928"/>
      <c r="AM29" s="940"/>
      <c r="AN29" s="941"/>
      <c r="AO29" s="928"/>
      <c r="AP29" s="928"/>
      <c r="AQ29" s="928"/>
      <c r="AR29" s="928"/>
    </row>
    <row r="30" spans="1:44" ht="11.45" customHeight="1">
      <c r="A30" s="331">
        <v>1</v>
      </c>
      <c r="B30" s="329" t="s">
        <v>164</v>
      </c>
      <c r="C30" s="331">
        <f t="shared" ref="C30:C50" si="41">C31*8</f>
        <v>480</v>
      </c>
      <c r="D30" s="344">
        <v>0</v>
      </c>
      <c r="E30" s="344">
        <v>0</v>
      </c>
      <c r="F30" s="344">
        <v>0</v>
      </c>
      <c r="G30" s="344">
        <v>0</v>
      </c>
      <c r="H30" s="344">
        <v>0</v>
      </c>
      <c r="I30" s="344">
        <v>0</v>
      </c>
      <c r="J30" s="344">
        <v>0</v>
      </c>
      <c r="K30" s="344">
        <v>0</v>
      </c>
      <c r="L30" s="337"/>
      <c r="M30" s="344">
        <v>0</v>
      </c>
      <c r="N30" s="344">
        <v>0</v>
      </c>
      <c r="O30" s="344">
        <v>0</v>
      </c>
      <c r="P30" s="344">
        <v>0</v>
      </c>
      <c r="Q30" s="344">
        <v>0</v>
      </c>
      <c r="R30" s="337"/>
      <c r="S30" s="344">
        <v>0</v>
      </c>
      <c r="T30" s="344">
        <v>0</v>
      </c>
      <c r="U30" s="344">
        <v>0</v>
      </c>
      <c r="V30" s="344">
        <v>0</v>
      </c>
      <c r="W30" s="344">
        <v>0</v>
      </c>
      <c r="X30" s="344">
        <v>0</v>
      </c>
      <c r="Y30" s="344">
        <v>0</v>
      </c>
      <c r="Z30" s="344">
        <v>0</v>
      </c>
      <c r="AA30" s="344">
        <v>0</v>
      </c>
      <c r="AB30" s="344">
        <v>0</v>
      </c>
      <c r="AC30" s="344">
        <v>0</v>
      </c>
      <c r="AD30" s="344">
        <v>0</v>
      </c>
      <c r="AE30" s="344">
        <v>0</v>
      </c>
      <c r="AF30" s="337"/>
      <c r="AG30" s="337"/>
      <c r="AH30" s="337"/>
      <c r="AI30" s="342">
        <f t="shared" ref="AI30:AI31" si="42">SUM(D30:AH30)</f>
        <v>0</v>
      </c>
      <c r="AJ30" s="342">
        <v>0</v>
      </c>
      <c r="AK30" s="342">
        <v>0</v>
      </c>
      <c r="AL30" s="342">
        <f t="shared" ref="AL30:AL51" si="43">AI30+AJ30-AK30</f>
        <v>0</v>
      </c>
      <c r="AM30" s="342">
        <f t="shared" ref="AM30:AM51" si="44">AL30*C30</f>
        <v>0</v>
      </c>
      <c r="AN30" s="711">
        <f t="shared" ref="AN30" si="45">AM30+AM31</f>
        <v>0</v>
      </c>
      <c r="AO30" s="713">
        <v>0</v>
      </c>
      <c r="AP30" s="711">
        <f t="shared" ref="AP30" si="46">AN30-AO30</f>
        <v>0</v>
      </c>
      <c r="AQ30" s="711"/>
      <c r="AR30" s="711"/>
    </row>
    <row r="31" spans="1:44" ht="11.45" customHeight="1">
      <c r="A31" s="331"/>
      <c r="B31" s="329"/>
      <c r="C31" s="331">
        <v>60</v>
      </c>
      <c r="D31" s="344">
        <v>0</v>
      </c>
      <c r="E31" s="344">
        <v>0</v>
      </c>
      <c r="F31" s="344">
        <v>0</v>
      </c>
      <c r="G31" s="344">
        <v>0</v>
      </c>
      <c r="H31" s="344">
        <v>0</v>
      </c>
      <c r="I31" s="344">
        <v>0</v>
      </c>
      <c r="J31" s="344">
        <v>0</v>
      </c>
      <c r="K31" s="344">
        <v>0</v>
      </c>
      <c r="L31" s="337"/>
      <c r="M31" s="344">
        <v>0</v>
      </c>
      <c r="N31" s="344">
        <v>0</v>
      </c>
      <c r="O31" s="344">
        <v>0</v>
      </c>
      <c r="P31" s="344">
        <v>0</v>
      </c>
      <c r="Q31" s="344">
        <v>0</v>
      </c>
      <c r="R31" s="337"/>
      <c r="S31" s="344">
        <v>0</v>
      </c>
      <c r="T31" s="344">
        <v>0</v>
      </c>
      <c r="U31" s="344">
        <v>0</v>
      </c>
      <c r="V31" s="344">
        <v>0</v>
      </c>
      <c r="W31" s="344">
        <v>0</v>
      </c>
      <c r="X31" s="344">
        <v>0</v>
      </c>
      <c r="Y31" s="344">
        <v>0</v>
      </c>
      <c r="Z31" s="344">
        <v>0</v>
      </c>
      <c r="AA31" s="344">
        <v>0</v>
      </c>
      <c r="AB31" s="344">
        <v>0</v>
      </c>
      <c r="AC31" s="344">
        <v>0</v>
      </c>
      <c r="AD31" s="344">
        <v>0</v>
      </c>
      <c r="AE31" s="344">
        <v>0</v>
      </c>
      <c r="AF31" s="337"/>
      <c r="AG31" s="337"/>
      <c r="AH31" s="337"/>
      <c r="AI31" s="342">
        <f t="shared" si="42"/>
        <v>0</v>
      </c>
      <c r="AJ31" s="342">
        <v>0</v>
      </c>
      <c r="AK31" s="342">
        <v>0</v>
      </c>
      <c r="AL31" s="342">
        <f t="shared" si="43"/>
        <v>0</v>
      </c>
      <c r="AM31" s="342">
        <f t="shared" si="44"/>
        <v>0</v>
      </c>
      <c r="AN31" s="712"/>
      <c r="AO31" s="714"/>
      <c r="AP31" s="712"/>
      <c r="AQ31" s="712"/>
      <c r="AR31" s="712"/>
    </row>
    <row r="32" spans="1:44" ht="11.45" customHeight="1">
      <c r="A32" s="331">
        <v>2</v>
      </c>
      <c r="B32" s="329" t="s">
        <v>189</v>
      </c>
      <c r="C32" s="331">
        <f t="shared" si="41"/>
        <v>520</v>
      </c>
      <c r="D32" s="342">
        <v>1</v>
      </c>
      <c r="E32" s="342">
        <v>1</v>
      </c>
      <c r="F32" s="342">
        <v>1</v>
      </c>
      <c r="G32" s="342">
        <v>1</v>
      </c>
      <c r="H32" s="342">
        <v>1</v>
      </c>
      <c r="I32" s="343">
        <v>1</v>
      </c>
      <c r="J32" s="343">
        <v>1</v>
      </c>
      <c r="K32" s="347">
        <v>1</v>
      </c>
      <c r="L32" s="337"/>
      <c r="M32" s="347">
        <v>1</v>
      </c>
      <c r="N32" s="347">
        <v>1</v>
      </c>
      <c r="O32" s="348">
        <v>1</v>
      </c>
      <c r="P32" s="349">
        <v>1</v>
      </c>
      <c r="Q32" s="350">
        <v>1</v>
      </c>
      <c r="R32" s="337"/>
      <c r="S32" s="351">
        <v>1</v>
      </c>
      <c r="T32" s="352">
        <v>1</v>
      </c>
      <c r="U32" s="352">
        <v>1</v>
      </c>
      <c r="V32" s="353">
        <v>1</v>
      </c>
      <c r="W32" s="354">
        <v>1</v>
      </c>
      <c r="X32" s="355">
        <v>1</v>
      </c>
      <c r="Y32" s="355">
        <v>1</v>
      </c>
      <c r="Z32" s="356">
        <v>1</v>
      </c>
      <c r="AA32" s="357">
        <v>1</v>
      </c>
      <c r="AB32" s="358">
        <v>1</v>
      </c>
      <c r="AC32" s="359">
        <v>1</v>
      </c>
      <c r="AD32" s="360">
        <v>1</v>
      </c>
      <c r="AE32" s="360">
        <v>1</v>
      </c>
      <c r="AF32" s="337"/>
      <c r="AG32" s="337"/>
      <c r="AH32" s="337"/>
      <c r="AI32" s="342">
        <f t="shared" ref="AI32:AI43" si="47">SUM(D32:AH32)</f>
        <v>26</v>
      </c>
      <c r="AJ32" s="342">
        <v>0</v>
      </c>
      <c r="AK32" s="342">
        <v>0</v>
      </c>
      <c r="AL32" s="342">
        <f t="shared" si="43"/>
        <v>26</v>
      </c>
      <c r="AM32" s="342">
        <f t="shared" si="44"/>
        <v>13520</v>
      </c>
      <c r="AN32" s="711">
        <f t="shared" ref="AN32" si="48">AM32+AM33</f>
        <v>16900</v>
      </c>
      <c r="AO32" s="713">
        <v>0</v>
      </c>
      <c r="AP32" s="711">
        <f t="shared" ref="AP32" si="49">AN32-AO32</f>
        <v>16900</v>
      </c>
      <c r="AQ32" s="711"/>
      <c r="AR32" s="711"/>
    </row>
    <row r="33" spans="1:44" ht="11.45" customHeight="1">
      <c r="A33" s="331"/>
      <c r="B33" s="329"/>
      <c r="C33" s="331">
        <v>65</v>
      </c>
      <c r="D33" s="342">
        <v>2</v>
      </c>
      <c r="E33" s="342">
        <v>2</v>
      </c>
      <c r="F33" s="342">
        <v>2</v>
      </c>
      <c r="G33" s="342">
        <v>2</v>
      </c>
      <c r="H33" s="342">
        <v>2</v>
      </c>
      <c r="I33" s="343">
        <v>2</v>
      </c>
      <c r="J33" s="343">
        <v>2</v>
      </c>
      <c r="K33" s="347">
        <v>2</v>
      </c>
      <c r="L33" s="337"/>
      <c r="M33" s="347">
        <v>2</v>
      </c>
      <c r="N33" s="347">
        <v>2</v>
      </c>
      <c r="O33" s="348">
        <v>2</v>
      </c>
      <c r="P33" s="349">
        <v>2</v>
      </c>
      <c r="Q33" s="350">
        <v>2</v>
      </c>
      <c r="R33" s="337"/>
      <c r="S33" s="351">
        <v>2</v>
      </c>
      <c r="T33" s="352">
        <v>2</v>
      </c>
      <c r="U33" s="352">
        <v>2</v>
      </c>
      <c r="V33" s="353">
        <v>2</v>
      </c>
      <c r="W33" s="354">
        <v>2</v>
      </c>
      <c r="X33" s="355">
        <v>2</v>
      </c>
      <c r="Y33" s="355">
        <v>2</v>
      </c>
      <c r="Z33" s="356">
        <v>2</v>
      </c>
      <c r="AA33" s="357">
        <v>2</v>
      </c>
      <c r="AB33" s="358">
        <v>2</v>
      </c>
      <c r="AC33" s="359">
        <v>2</v>
      </c>
      <c r="AD33" s="360">
        <v>2</v>
      </c>
      <c r="AE33" s="360">
        <v>2</v>
      </c>
      <c r="AF33" s="337"/>
      <c r="AG33" s="337"/>
      <c r="AH33" s="337"/>
      <c r="AI33" s="342">
        <f t="shared" si="47"/>
        <v>52</v>
      </c>
      <c r="AJ33" s="342">
        <v>0</v>
      </c>
      <c r="AK33" s="342">
        <v>0</v>
      </c>
      <c r="AL33" s="342">
        <f t="shared" si="43"/>
        <v>52</v>
      </c>
      <c r="AM33" s="342">
        <f t="shared" si="44"/>
        <v>3380</v>
      </c>
      <c r="AN33" s="712"/>
      <c r="AO33" s="714"/>
      <c r="AP33" s="712"/>
      <c r="AQ33" s="712"/>
      <c r="AR33" s="712"/>
    </row>
    <row r="34" spans="1:44" ht="11.45" customHeight="1">
      <c r="A34" s="331">
        <v>3</v>
      </c>
      <c r="B34" s="329" t="s">
        <v>167</v>
      </c>
      <c r="C34" s="331">
        <f t="shared" si="41"/>
        <v>520</v>
      </c>
      <c r="D34" s="342">
        <v>1</v>
      </c>
      <c r="E34" s="342">
        <v>1</v>
      </c>
      <c r="F34" s="344">
        <v>0</v>
      </c>
      <c r="G34" s="342">
        <v>1</v>
      </c>
      <c r="H34" s="342">
        <v>1</v>
      </c>
      <c r="I34" s="343">
        <v>1</v>
      </c>
      <c r="J34" s="343">
        <v>1</v>
      </c>
      <c r="K34" s="347">
        <v>1</v>
      </c>
      <c r="L34" s="337"/>
      <c r="M34" s="347">
        <v>1</v>
      </c>
      <c r="N34" s="347">
        <v>1</v>
      </c>
      <c r="O34" s="348">
        <v>1</v>
      </c>
      <c r="P34" s="349">
        <v>1</v>
      </c>
      <c r="Q34" s="350">
        <v>1</v>
      </c>
      <c r="R34" s="337"/>
      <c r="S34" s="351">
        <v>1</v>
      </c>
      <c r="T34" s="352">
        <v>1</v>
      </c>
      <c r="U34" s="352">
        <v>1</v>
      </c>
      <c r="V34" s="353">
        <v>1</v>
      </c>
      <c r="W34" s="354">
        <v>1</v>
      </c>
      <c r="X34" s="344">
        <v>0</v>
      </c>
      <c r="Y34" s="355">
        <v>1</v>
      </c>
      <c r="Z34" s="356">
        <v>1</v>
      </c>
      <c r="AA34" s="357">
        <v>1</v>
      </c>
      <c r="AB34" s="358">
        <v>1</v>
      </c>
      <c r="AC34" s="359">
        <v>1</v>
      </c>
      <c r="AD34" s="360">
        <v>1</v>
      </c>
      <c r="AE34" s="360">
        <v>1</v>
      </c>
      <c r="AF34" s="337"/>
      <c r="AG34" s="337"/>
      <c r="AH34" s="337"/>
      <c r="AI34" s="342">
        <f t="shared" si="47"/>
        <v>24</v>
      </c>
      <c r="AJ34" s="342">
        <v>0</v>
      </c>
      <c r="AK34" s="342">
        <v>0</v>
      </c>
      <c r="AL34" s="342">
        <f t="shared" si="43"/>
        <v>24</v>
      </c>
      <c r="AM34" s="342">
        <f t="shared" si="44"/>
        <v>12480</v>
      </c>
      <c r="AN34" s="711">
        <f t="shared" ref="AN34" si="50">AM34+AM35</f>
        <v>15600</v>
      </c>
      <c r="AO34" s="713">
        <v>0</v>
      </c>
      <c r="AP34" s="711">
        <f t="shared" ref="AP34" si="51">AN34-AO34</f>
        <v>15600</v>
      </c>
      <c r="AQ34" s="711"/>
      <c r="AR34" s="711"/>
    </row>
    <row r="35" spans="1:44" ht="11.45" customHeight="1">
      <c r="A35" s="331"/>
      <c r="B35" s="329"/>
      <c r="C35" s="331">
        <v>65</v>
      </c>
      <c r="D35" s="342">
        <v>2</v>
      </c>
      <c r="E35" s="342">
        <v>2</v>
      </c>
      <c r="F35" s="344">
        <v>0</v>
      </c>
      <c r="G35" s="342">
        <v>2</v>
      </c>
      <c r="H35" s="342">
        <v>2</v>
      </c>
      <c r="I35" s="343">
        <v>2</v>
      </c>
      <c r="J35" s="343">
        <v>2</v>
      </c>
      <c r="K35" s="347">
        <v>2</v>
      </c>
      <c r="L35" s="337"/>
      <c r="M35" s="347">
        <v>2</v>
      </c>
      <c r="N35" s="347">
        <v>2</v>
      </c>
      <c r="O35" s="348">
        <v>2</v>
      </c>
      <c r="P35" s="349">
        <v>2</v>
      </c>
      <c r="Q35" s="350">
        <v>2</v>
      </c>
      <c r="R35" s="337"/>
      <c r="S35" s="351">
        <v>2</v>
      </c>
      <c r="T35" s="352">
        <v>2</v>
      </c>
      <c r="U35" s="352">
        <v>2</v>
      </c>
      <c r="V35" s="353">
        <v>2</v>
      </c>
      <c r="W35" s="354">
        <v>2</v>
      </c>
      <c r="X35" s="344">
        <v>0</v>
      </c>
      <c r="Y35" s="355">
        <v>2</v>
      </c>
      <c r="Z35" s="356">
        <v>2</v>
      </c>
      <c r="AA35" s="357">
        <v>2</v>
      </c>
      <c r="AB35" s="358">
        <v>2</v>
      </c>
      <c r="AC35" s="359">
        <v>2</v>
      </c>
      <c r="AD35" s="360">
        <v>2</v>
      </c>
      <c r="AE35" s="360">
        <v>2</v>
      </c>
      <c r="AF35" s="337"/>
      <c r="AG35" s="337"/>
      <c r="AH35" s="337"/>
      <c r="AI35" s="342">
        <f t="shared" si="47"/>
        <v>48</v>
      </c>
      <c r="AJ35" s="342">
        <v>0</v>
      </c>
      <c r="AK35" s="342">
        <v>0</v>
      </c>
      <c r="AL35" s="342">
        <f t="shared" si="43"/>
        <v>48</v>
      </c>
      <c r="AM35" s="342">
        <f t="shared" si="44"/>
        <v>3120</v>
      </c>
      <c r="AN35" s="712"/>
      <c r="AO35" s="714"/>
      <c r="AP35" s="712"/>
      <c r="AQ35" s="712"/>
      <c r="AR35" s="712"/>
    </row>
    <row r="36" spans="1:44" ht="11.45" customHeight="1">
      <c r="A36" s="331">
        <v>4</v>
      </c>
      <c r="B36" s="329" t="s">
        <v>185</v>
      </c>
      <c r="C36" s="331">
        <f t="shared" si="41"/>
        <v>480</v>
      </c>
      <c r="D36" s="344">
        <v>0</v>
      </c>
      <c r="E36" s="344">
        <v>0</v>
      </c>
      <c r="F36" s="345">
        <v>1</v>
      </c>
      <c r="G36" s="344">
        <v>0</v>
      </c>
      <c r="H36" s="345">
        <v>1</v>
      </c>
      <c r="I36" s="345">
        <v>1</v>
      </c>
      <c r="J36" s="344">
        <v>0</v>
      </c>
      <c r="K36" s="344">
        <v>0</v>
      </c>
      <c r="L36" s="337"/>
      <c r="M36" s="344">
        <v>0</v>
      </c>
      <c r="N36" s="344">
        <v>0</v>
      </c>
      <c r="O36" s="344">
        <v>0</v>
      </c>
      <c r="P36" s="349">
        <v>1</v>
      </c>
      <c r="Q36" s="350">
        <v>1</v>
      </c>
      <c r="R36" s="337"/>
      <c r="S36" s="344">
        <v>0</v>
      </c>
      <c r="T36" s="344">
        <v>0</v>
      </c>
      <c r="U36" s="344">
        <v>0</v>
      </c>
      <c r="V36" s="344">
        <v>0</v>
      </c>
      <c r="W36" s="344">
        <v>0</v>
      </c>
      <c r="X36" s="344">
        <v>0</v>
      </c>
      <c r="Y36" s="355">
        <v>1</v>
      </c>
      <c r="Z36" s="356">
        <v>1</v>
      </c>
      <c r="AA36" s="357">
        <v>1</v>
      </c>
      <c r="AB36" s="358">
        <v>1</v>
      </c>
      <c r="AC36" s="344">
        <v>0</v>
      </c>
      <c r="AD36" s="360">
        <v>1</v>
      </c>
      <c r="AE36" s="360">
        <v>1</v>
      </c>
      <c r="AF36" s="337"/>
      <c r="AG36" s="337"/>
      <c r="AH36" s="337"/>
      <c r="AI36" s="342">
        <f t="shared" si="47"/>
        <v>11</v>
      </c>
      <c r="AJ36" s="342">
        <v>7.0834000000000001</v>
      </c>
      <c r="AK36" s="342">
        <v>0</v>
      </c>
      <c r="AL36" s="342">
        <f t="shared" si="43"/>
        <v>18.083400000000001</v>
      </c>
      <c r="AM36" s="342">
        <f t="shared" si="44"/>
        <v>8680.0320000000011</v>
      </c>
      <c r="AN36" s="711">
        <f t="shared" ref="AN36" si="52">AM36+AM37</f>
        <v>10000.032000000001</v>
      </c>
      <c r="AO36" s="713">
        <v>0</v>
      </c>
      <c r="AP36" s="711">
        <f t="shared" ref="AP36" si="53">AN36-AO36</f>
        <v>10000.032000000001</v>
      </c>
      <c r="AQ36" s="711"/>
      <c r="AR36" s="711"/>
    </row>
    <row r="37" spans="1:44" ht="11.45" customHeight="1">
      <c r="A37" s="331"/>
      <c r="B37" s="329"/>
      <c r="C37" s="331">
        <v>60</v>
      </c>
      <c r="D37" s="344">
        <v>0</v>
      </c>
      <c r="E37" s="344">
        <v>0</v>
      </c>
      <c r="F37" s="345">
        <v>2</v>
      </c>
      <c r="G37" s="344">
        <v>0</v>
      </c>
      <c r="H37" s="345">
        <v>2</v>
      </c>
      <c r="I37" s="345">
        <v>2</v>
      </c>
      <c r="J37" s="344">
        <v>0</v>
      </c>
      <c r="K37" s="344">
        <v>0</v>
      </c>
      <c r="L37" s="337"/>
      <c r="M37" s="344">
        <v>0</v>
      </c>
      <c r="N37" s="344">
        <v>0</v>
      </c>
      <c r="O37" s="344">
        <v>0</v>
      </c>
      <c r="P37" s="349">
        <v>2</v>
      </c>
      <c r="Q37" s="350">
        <v>2</v>
      </c>
      <c r="R37" s="337"/>
      <c r="S37" s="344">
        <v>0</v>
      </c>
      <c r="T37" s="344">
        <v>0</v>
      </c>
      <c r="U37" s="344">
        <v>0</v>
      </c>
      <c r="V37" s="344">
        <v>0</v>
      </c>
      <c r="W37" s="344">
        <v>0</v>
      </c>
      <c r="X37" s="344">
        <v>0</v>
      </c>
      <c r="Y37" s="355">
        <v>2</v>
      </c>
      <c r="Z37" s="356">
        <v>2</v>
      </c>
      <c r="AA37" s="357">
        <v>2</v>
      </c>
      <c r="AB37" s="358">
        <v>2</v>
      </c>
      <c r="AC37" s="344">
        <v>0</v>
      </c>
      <c r="AD37" s="360">
        <v>2</v>
      </c>
      <c r="AE37" s="360">
        <v>2</v>
      </c>
      <c r="AF37" s="337"/>
      <c r="AG37" s="337"/>
      <c r="AH37" s="337"/>
      <c r="AI37" s="342">
        <f t="shared" si="47"/>
        <v>22</v>
      </c>
      <c r="AJ37" s="342">
        <v>0</v>
      </c>
      <c r="AK37" s="342">
        <v>0</v>
      </c>
      <c r="AL37" s="342">
        <f t="shared" si="43"/>
        <v>22</v>
      </c>
      <c r="AM37" s="342">
        <f t="shared" si="44"/>
        <v>1320</v>
      </c>
      <c r="AN37" s="712"/>
      <c r="AO37" s="714"/>
      <c r="AP37" s="712"/>
      <c r="AQ37" s="712"/>
      <c r="AR37" s="712"/>
    </row>
    <row r="38" spans="1:44" ht="11.45" customHeight="1">
      <c r="A38" s="331">
        <v>5</v>
      </c>
      <c r="B38" s="329" t="s">
        <v>182</v>
      </c>
      <c r="C38" s="331">
        <f t="shared" si="41"/>
        <v>480</v>
      </c>
      <c r="D38" s="342">
        <v>1</v>
      </c>
      <c r="E38" s="342">
        <v>1</v>
      </c>
      <c r="F38" s="342">
        <v>1</v>
      </c>
      <c r="G38" s="342">
        <v>1</v>
      </c>
      <c r="H38" s="342">
        <v>1</v>
      </c>
      <c r="I38" s="343">
        <v>1</v>
      </c>
      <c r="J38" s="343">
        <v>1</v>
      </c>
      <c r="K38" s="347">
        <v>1</v>
      </c>
      <c r="L38" s="337"/>
      <c r="M38" s="347">
        <v>1</v>
      </c>
      <c r="N38" s="347">
        <v>1</v>
      </c>
      <c r="O38" s="348">
        <v>1</v>
      </c>
      <c r="P38" s="349">
        <v>1</v>
      </c>
      <c r="Q38" s="350">
        <v>1</v>
      </c>
      <c r="R38" s="337"/>
      <c r="S38" s="351">
        <v>1</v>
      </c>
      <c r="T38" s="352">
        <v>1</v>
      </c>
      <c r="U38" s="352">
        <v>1</v>
      </c>
      <c r="V38" s="353">
        <v>1</v>
      </c>
      <c r="W38" s="354">
        <v>1</v>
      </c>
      <c r="X38" s="355">
        <v>1</v>
      </c>
      <c r="Y38" s="355">
        <v>1</v>
      </c>
      <c r="Z38" s="356">
        <v>1</v>
      </c>
      <c r="AA38" s="357">
        <v>1</v>
      </c>
      <c r="AB38" s="358">
        <v>1</v>
      </c>
      <c r="AC38" s="359">
        <v>1</v>
      </c>
      <c r="AD38" s="360">
        <v>1</v>
      </c>
      <c r="AE38" s="360">
        <v>1</v>
      </c>
      <c r="AF38" s="337"/>
      <c r="AG38" s="337"/>
      <c r="AH38" s="337"/>
      <c r="AI38" s="342">
        <f t="shared" si="47"/>
        <v>26</v>
      </c>
      <c r="AJ38" s="342">
        <v>0</v>
      </c>
      <c r="AK38" s="342">
        <v>0</v>
      </c>
      <c r="AL38" s="342">
        <f t="shared" si="43"/>
        <v>26</v>
      </c>
      <c r="AM38" s="342">
        <f t="shared" si="44"/>
        <v>12480</v>
      </c>
      <c r="AN38" s="711">
        <f t="shared" ref="AN38" si="54">AM38+AM39</f>
        <v>15600</v>
      </c>
      <c r="AO38" s="713">
        <v>0</v>
      </c>
      <c r="AP38" s="711">
        <f t="shared" ref="AP38" si="55">AN38-AO38</f>
        <v>15600</v>
      </c>
      <c r="AQ38" s="711"/>
      <c r="AR38" s="711"/>
    </row>
    <row r="39" spans="1:44" ht="11.45" customHeight="1">
      <c r="A39" s="331"/>
      <c r="B39" s="329"/>
      <c r="C39" s="331">
        <v>60</v>
      </c>
      <c r="D39" s="342">
        <v>2</v>
      </c>
      <c r="E39" s="342">
        <v>2</v>
      </c>
      <c r="F39" s="342">
        <v>2</v>
      </c>
      <c r="G39" s="342">
        <v>2</v>
      </c>
      <c r="H39" s="342">
        <v>2</v>
      </c>
      <c r="I39" s="343">
        <v>2</v>
      </c>
      <c r="J39" s="343">
        <v>2</v>
      </c>
      <c r="K39" s="347">
        <v>2</v>
      </c>
      <c r="L39" s="337"/>
      <c r="M39" s="347">
        <v>2</v>
      </c>
      <c r="N39" s="347">
        <v>2</v>
      </c>
      <c r="O39" s="348">
        <v>2</v>
      </c>
      <c r="P39" s="349">
        <v>2</v>
      </c>
      <c r="Q39" s="350">
        <v>2</v>
      </c>
      <c r="R39" s="337"/>
      <c r="S39" s="351">
        <v>2</v>
      </c>
      <c r="T39" s="352">
        <v>2</v>
      </c>
      <c r="U39" s="352">
        <v>2</v>
      </c>
      <c r="V39" s="353">
        <v>2</v>
      </c>
      <c r="W39" s="354">
        <v>2</v>
      </c>
      <c r="X39" s="355">
        <v>2</v>
      </c>
      <c r="Y39" s="355">
        <v>2</v>
      </c>
      <c r="Z39" s="356">
        <v>2</v>
      </c>
      <c r="AA39" s="357">
        <v>2</v>
      </c>
      <c r="AB39" s="358">
        <v>2</v>
      </c>
      <c r="AC39" s="371">
        <v>2</v>
      </c>
      <c r="AD39" s="371">
        <v>2</v>
      </c>
      <c r="AE39" s="360">
        <v>2</v>
      </c>
      <c r="AF39" s="337"/>
      <c r="AG39" s="337"/>
      <c r="AH39" s="337"/>
      <c r="AI39" s="342">
        <f t="shared" si="47"/>
        <v>52</v>
      </c>
      <c r="AJ39" s="342">
        <v>0</v>
      </c>
      <c r="AK39" s="342">
        <v>0</v>
      </c>
      <c r="AL39" s="342">
        <f t="shared" si="43"/>
        <v>52</v>
      </c>
      <c r="AM39" s="342">
        <f t="shared" si="44"/>
        <v>3120</v>
      </c>
      <c r="AN39" s="712"/>
      <c r="AO39" s="714"/>
      <c r="AP39" s="712"/>
      <c r="AQ39" s="712"/>
      <c r="AR39" s="712"/>
    </row>
    <row r="40" spans="1:44" ht="11.45" customHeight="1">
      <c r="A40" s="331">
        <v>6</v>
      </c>
      <c r="B40" s="329" t="s">
        <v>183</v>
      </c>
      <c r="C40" s="331">
        <f t="shared" si="41"/>
        <v>480</v>
      </c>
      <c r="D40" s="342">
        <v>1</v>
      </c>
      <c r="E40" s="342">
        <v>1</v>
      </c>
      <c r="F40" s="342">
        <v>1</v>
      </c>
      <c r="G40" s="342">
        <v>1</v>
      </c>
      <c r="H40" s="342">
        <v>1</v>
      </c>
      <c r="I40" s="344">
        <v>0</v>
      </c>
      <c r="J40" s="343">
        <v>1</v>
      </c>
      <c r="K40" s="347">
        <v>1</v>
      </c>
      <c r="L40" s="337"/>
      <c r="M40" s="347">
        <v>1</v>
      </c>
      <c r="N40" s="344">
        <v>0</v>
      </c>
      <c r="O40" s="348">
        <v>1</v>
      </c>
      <c r="P40" s="349">
        <v>1</v>
      </c>
      <c r="Q40" s="350">
        <v>1</v>
      </c>
      <c r="R40" s="337"/>
      <c r="S40" s="351">
        <v>1</v>
      </c>
      <c r="T40" s="352">
        <v>1</v>
      </c>
      <c r="U40" s="344">
        <v>0</v>
      </c>
      <c r="V40" s="344">
        <v>0</v>
      </c>
      <c r="W40" s="344">
        <v>0</v>
      </c>
      <c r="X40" s="355">
        <v>1</v>
      </c>
      <c r="Y40" s="355">
        <v>1</v>
      </c>
      <c r="Z40" s="356">
        <v>1</v>
      </c>
      <c r="AA40" s="357">
        <v>1</v>
      </c>
      <c r="AB40" s="358">
        <v>1</v>
      </c>
      <c r="AC40" s="359">
        <v>1</v>
      </c>
      <c r="AD40" s="344">
        <v>0</v>
      </c>
      <c r="AE40" s="360">
        <v>1</v>
      </c>
      <c r="AF40" s="337"/>
      <c r="AG40" s="337"/>
      <c r="AH40" s="337"/>
      <c r="AI40" s="342">
        <f t="shared" si="47"/>
        <v>20</v>
      </c>
      <c r="AJ40" s="342">
        <v>0</v>
      </c>
      <c r="AK40" s="342">
        <v>0</v>
      </c>
      <c r="AL40" s="342">
        <f t="shared" si="43"/>
        <v>20</v>
      </c>
      <c r="AM40" s="342">
        <f t="shared" si="44"/>
        <v>9600</v>
      </c>
      <c r="AN40" s="711">
        <f t="shared" ref="AN40" si="56">AM40+AM41</f>
        <v>12000</v>
      </c>
      <c r="AO40" s="713">
        <v>0</v>
      </c>
      <c r="AP40" s="711">
        <f t="shared" ref="AP40" si="57">AN40-AO40</f>
        <v>12000</v>
      </c>
      <c r="AQ40" s="711"/>
      <c r="AR40" s="711"/>
    </row>
    <row r="41" spans="1:44" ht="11.45" customHeight="1">
      <c r="A41" s="331"/>
      <c r="B41" s="329"/>
      <c r="C41" s="331">
        <v>60</v>
      </c>
      <c r="D41" s="342">
        <v>2</v>
      </c>
      <c r="E41" s="342">
        <v>2</v>
      </c>
      <c r="F41" s="342">
        <v>2</v>
      </c>
      <c r="G41" s="342">
        <v>2</v>
      </c>
      <c r="H41" s="342">
        <v>2</v>
      </c>
      <c r="I41" s="344">
        <v>0</v>
      </c>
      <c r="J41" s="343">
        <v>2</v>
      </c>
      <c r="K41" s="347">
        <v>2</v>
      </c>
      <c r="L41" s="337"/>
      <c r="M41" s="347">
        <v>2</v>
      </c>
      <c r="N41" s="344">
        <v>0</v>
      </c>
      <c r="O41" s="348">
        <v>2</v>
      </c>
      <c r="P41" s="349">
        <v>2</v>
      </c>
      <c r="Q41" s="350">
        <v>2</v>
      </c>
      <c r="R41" s="337"/>
      <c r="S41" s="351">
        <v>2</v>
      </c>
      <c r="T41" s="352">
        <v>2</v>
      </c>
      <c r="U41" s="344">
        <v>0</v>
      </c>
      <c r="V41" s="344">
        <v>0</v>
      </c>
      <c r="W41" s="344">
        <v>0</v>
      </c>
      <c r="X41" s="355">
        <v>2</v>
      </c>
      <c r="Y41" s="355">
        <v>2</v>
      </c>
      <c r="Z41" s="356">
        <v>2</v>
      </c>
      <c r="AA41" s="357">
        <v>2</v>
      </c>
      <c r="AB41" s="358">
        <v>2</v>
      </c>
      <c r="AC41" s="371">
        <v>2</v>
      </c>
      <c r="AD41" s="344">
        <v>0</v>
      </c>
      <c r="AE41" s="360">
        <v>2</v>
      </c>
      <c r="AF41" s="337"/>
      <c r="AG41" s="337"/>
      <c r="AH41" s="337"/>
      <c r="AI41" s="342">
        <f t="shared" si="47"/>
        <v>40</v>
      </c>
      <c r="AJ41" s="342">
        <v>0</v>
      </c>
      <c r="AK41" s="342">
        <v>0</v>
      </c>
      <c r="AL41" s="342">
        <f t="shared" si="43"/>
        <v>40</v>
      </c>
      <c r="AM41" s="342">
        <f t="shared" si="44"/>
        <v>2400</v>
      </c>
      <c r="AN41" s="712"/>
      <c r="AO41" s="714"/>
      <c r="AP41" s="712"/>
      <c r="AQ41" s="712"/>
      <c r="AR41" s="712"/>
    </row>
    <row r="42" spans="1:44" ht="11.45" customHeight="1">
      <c r="A42" s="331">
        <v>7</v>
      </c>
      <c r="B42" s="329" t="s">
        <v>184</v>
      </c>
      <c r="C42" s="331">
        <f t="shared" si="41"/>
        <v>480</v>
      </c>
      <c r="D42" s="342">
        <v>1</v>
      </c>
      <c r="E42" s="342">
        <v>1</v>
      </c>
      <c r="F42" s="342">
        <v>1</v>
      </c>
      <c r="G42" s="344">
        <v>0</v>
      </c>
      <c r="H42" s="342">
        <v>1</v>
      </c>
      <c r="I42" s="343">
        <v>1</v>
      </c>
      <c r="J42" s="344">
        <v>0</v>
      </c>
      <c r="K42" s="347">
        <v>1</v>
      </c>
      <c r="L42" s="337"/>
      <c r="M42" s="347">
        <v>1</v>
      </c>
      <c r="N42" s="347">
        <v>1</v>
      </c>
      <c r="O42" s="348">
        <v>1</v>
      </c>
      <c r="P42" s="344">
        <v>0</v>
      </c>
      <c r="Q42" s="350">
        <v>1</v>
      </c>
      <c r="R42" s="337"/>
      <c r="S42" s="351">
        <v>1</v>
      </c>
      <c r="T42" s="344">
        <v>0</v>
      </c>
      <c r="U42" s="352">
        <v>1</v>
      </c>
      <c r="V42" s="353">
        <v>1</v>
      </c>
      <c r="W42" s="344">
        <v>0</v>
      </c>
      <c r="X42" s="344">
        <v>0</v>
      </c>
      <c r="Y42" s="355">
        <v>1</v>
      </c>
      <c r="Z42" s="356">
        <v>1</v>
      </c>
      <c r="AA42" s="357">
        <v>1</v>
      </c>
      <c r="AB42" s="358">
        <v>1</v>
      </c>
      <c r="AC42" s="344">
        <v>0</v>
      </c>
      <c r="AD42" s="361">
        <v>1</v>
      </c>
      <c r="AE42" s="344">
        <v>0</v>
      </c>
      <c r="AF42" s="337"/>
      <c r="AG42" s="337"/>
      <c r="AH42" s="337"/>
      <c r="AI42" s="342">
        <f t="shared" si="47"/>
        <v>18</v>
      </c>
      <c r="AJ42" s="342">
        <v>0</v>
      </c>
      <c r="AK42" s="342">
        <v>0</v>
      </c>
      <c r="AL42" s="342">
        <f t="shared" si="43"/>
        <v>18</v>
      </c>
      <c r="AM42" s="342">
        <f t="shared" si="44"/>
        <v>8640</v>
      </c>
      <c r="AN42" s="711">
        <f t="shared" ref="AN42" si="58">AM42+AM43</f>
        <v>10800</v>
      </c>
      <c r="AO42" s="713">
        <v>0</v>
      </c>
      <c r="AP42" s="711">
        <f t="shared" ref="AP42" si="59">AN42-AO42</f>
        <v>10800</v>
      </c>
      <c r="AQ42" s="711"/>
      <c r="AR42" s="711"/>
    </row>
    <row r="43" spans="1:44" ht="11.45" customHeight="1">
      <c r="A43" s="331"/>
      <c r="B43" s="329"/>
      <c r="C43" s="331">
        <v>60</v>
      </c>
      <c r="D43" s="342">
        <v>2</v>
      </c>
      <c r="E43" s="342">
        <v>2</v>
      </c>
      <c r="F43" s="342">
        <v>2</v>
      </c>
      <c r="G43" s="344">
        <v>0</v>
      </c>
      <c r="H43" s="342">
        <v>2</v>
      </c>
      <c r="I43" s="343">
        <v>2</v>
      </c>
      <c r="J43" s="344">
        <v>0</v>
      </c>
      <c r="K43" s="347">
        <v>2</v>
      </c>
      <c r="L43" s="337"/>
      <c r="M43" s="347">
        <v>2</v>
      </c>
      <c r="N43" s="347">
        <v>2</v>
      </c>
      <c r="O43" s="348">
        <v>2</v>
      </c>
      <c r="P43" s="344">
        <v>0</v>
      </c>
      <c r="Q43" s="350">
        <v>2</v>
      </c>
      <c r="R43" s="337"/>
      <c r="S43" s="351">
        <v>2</v>
      </c>
      <c r="T43" s="344">
        <v>0</v>
      </c>
      <c r="U43" s="352">
        <v>2</v>
      </c>
      <c r="V43" s="353">
        <v>2</v>
      </c>
      <c r="W43" s="344">
        <v>0</v>
      </c>
      <c r="X43" s="344">
        <v>0</v>
      </c>
      <c r="Y43" s="355">
        <v>2</v>
      </c>
      <c r="Z43" s="356">
        <v>2</v>
      </c>
      <c r="AA43" s="357">
        <v>2</v>
      </c>
      <c r="AB43" s="358">
        <v>2</v>
      </c>
      <c r="AC43" s="344">
        <v>0</v>
      </c>
      <c r="AD43" s="361">
        <v>2</v>
      </c>
      <c r="AE43" s="344">
        <v>0</v>
      </c>
      <c r="AF43" s="337"/>
      <c r="AG43" s="337"/>
      <c r="AH43" s="337"/>
      <c r="AI43" s="342">
        <f t="shared" si="47"/>
        <v>36</v>
      </c>
      <c r="AJ43" s="342">
        <v>0</v>
      </c>
      <c r="AK43" s="342">
        <v>0</v>
      </c>
      <c r="AL43" s="342">
        <f t="shared" si="43"/>
        <v>36</v>
      </c>
      <c r="AM43" s="342">
        <f t="shared" si="44"/>
        <v>2160</v>
      </c>
      <c r="AN43" s="712"/>
      <c r="AO43" s="714"/>
      <c r="AP43" s="712"/>
      <c r="AQ43" s="712"/>
      <c r="AR43" s="712"/>
    </row>
    <row r="44" spans="1:44" ht="11.45" customHeight="1">
      <c r="A44" s="331">
        <v>8</v>
      </c>
      <c r="B44" s="329" t="s">
        <v>140</v>
      </c>
      <c r="C44" s="331">
        <f t="shared" si="41"/>
        <v>320</v>
      </c>
      <c r="D44" s="344">
        <v>0</v>
      </c>
      <c r="E44" s="344">
        <v>0</v>
      </c>
      <c r="F44" s="342">
        <v>1</v>
      </c>
      <c r="G44" s="342">
        <v>1</v>
      </c>
      <c r="H44" s="342">
        <v>1</v>
      </c>
      <c r="I44" s="343">
        <v>1</v>
      </c>
      <c r="J44" s="343">
        <v>1</v>
      </c>
      <c r="K44" s="344">
        <v>0</v>
      </c>
      <c r="L44" s="337"/>
      <c r="M44" s="347">
        <v>1</v>
      </c>
      <c r="N44" s="347">
        <v>1</v>
      </c>
      <c r="O44" s="348">
        <v>1</v>
      </c>
      <c r="P44" s="349">
        <v>1</v>
      </c>
      <c r="Q44" s="350">
        <v>1</v>
      </c>
      <c r="R44" s="337"/>
      <c r="S44" s="351">
        <v>1</v>
      </c>
      <c r="T44" s="344">
        <v>0</v>
      </c>
      <c r="U44" s="352">
        <v>1</v>
      </c>
      <c r="V44" s="353">
        <v>1</v>
      </c>
      <c r="W44" s="354">
        <v>1</v>
      </c>
      <c r="X44" s="355">
        <v>1</v>
      </c>
      <c r="Y44" s="355">
        <v>1</v>
      </c>
      <c r="Z44" s="344">
        <v>0</v>
      </c>
      <c r="AA44" s="344">
        <v>0</v>
      </c>
      <c r="AB44" s="344">
        <v>0</v>
      </c>
      <c r="AC44" s="344">
        <v>0</v>
      </c>
      <c r="AD44" s="344">
        <v>0</v>
      </c>
      <c r="AE44" s="344">
        <v>0</v>
      </c>
      <c r="AF44" s="337"/>
      <c r="AG44" s="337"/>
      <c r="AH44" s="337"/>
      <c r="AI44" s="342">
        <f t="shared" ref="AI44:AI49" si="60">SUM(D44:AH44)</f>
        <v>16</v>
      </c>
      <c r="AJ44" s="342">
        <v>2</v>
      </c>
      <c r="AK44" s="342">
        <v>0</v>
      </c>
      <c r="AL44" s="342">
        <f t="shared" si="43"/>
        <v>18</v>
      </c>
      <c r="AM44" s="342">
        <f t="shared" si="44"/>
        <v>5760</v>
      </c>
      <c r="AN44" s="711">
        <f t="shared" ref="AN44" si="61">AM44+AM45</f>
        <v>7040</v>
      </c>
      <c r="AO44" s="713">
        <v>2000</v>
      </c>
      <c r="AP44" s="711">
        <f t="shared" ref="AP44" si="62">AN44-AO44</f>
        <v>5040</v>
      </c>
      <c r="AQ44" s="711"/>
      <c r="AR44" s="711"/>
    </row>
    <row r="45" spans="1:44" ht="11.25" customHeight="1">
      <c r="A45" s="331"/>
      <c r="B45" s="331"/>
      <c r="C45" s="331">
        <v>40</v>
      </c>
      <c r="D45" s="344">
        <v>0</v>
      </c>
      <c r="E45" s="344">
        <v>0</v>
      </c>
      <c r="F45" s="342">
        <v>2</v>
      </c>
      <c r="G45" s="342">
        <v>2</v>
      </c>
      <c r="H45" s="342">
        <v>2</v>
      </c>
      <c r="I45" s="343">
        <v>2</v>
      </c>
      <c r="J45" s="343">
        <v>2</v>
      </c>
      <c r="K45" s="344">
        <v>0</v>
      </c>
      <c r="L45" s="337"/>
      <c r="M45" s="347">
        <v>2</v>
      </c>
      <c r="N45" s="347">
        <v>2</v>
      </c>
      <c r="O45" s="370">
        <v>2</v>
      </c>
      <c r="P45" s="349">
        <v>2</v>
      </c>
      <c r="Q45" s="350">
        <v>2</v>
      </c>
      <c r="R45" s="337"/>
      <c r="S45" s="351">
        <v>2</v>
      </c>
      <c r="T45" s="344">
        <v>0</v>
      </c>
      <c r="U45" s="352">
        <v>2</v>
      </c>
      <c r="V45" s="353">
        <v>2</v>
      </c>
      <c r="W45" s="354">
        <v>2</v>
      </c>
      <c r="X45" s="355">
        <v>2</v>
      </c>
      <c r="Y45" s="355">
        <v>2</v>
      </c>
      <c r="Z45" s="344">
        <v>0</v>
      </c>
      <c r="AA45" s="344">
        <v>0</v>
      </c>
      <c r="AB45" s="344">
        <v>0</v>
      </c>
      <c r="AC45" s="344">
        <v>0</v>
      </c>
      <c r="AD45" s="344">
        <v>0</v>
      </c>
      <c r="AE45" s="344">
        <v>0</v>
      </c>
      <c r="AF45" s="337"/>
      <c r="AG45" s="337"/>
      <c r="AH45" s="337"/>
      <c r="AI45" s="342">
        <f t="shared" si="60"/>
        <v>32</v>
      </c>
      <c r="AJ45" s="342">
        <v>0</v>
      </c>
      <c r="AK45" s="342">
        <v>0</v>
      </c>
      <c r="AL45" s="342">
        <f t="shared" si="43"/>
        <v>32</v>
      </c>
      <c r="AM45" s="342">
        <f t="shared" si="44"/>
        <v>1280</v>
      </c>
      <c r="AN45" s="712"/>
      <c r="AO45" s="714"/>
      <c r="AP45" s="712"/>
      <c r="AQ45" s="712"/>
      <c r="AR45" s="712"/>
    </row>
    <row r="46" spans="1:44" ht="11.45" customHeight="1">
      <c r="A46" s="331"/>
      <c r="B46" s="329"/>
      <c r="C46" s="331">
        <f t="shared" si="41"/>
        <v>480</v>
      </c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50">
        <v>1</v>
      </c>
      <c r="R46" s="337"/>
      <c r="S46" s="371">
        <v>1</v>
      </c>
      <c r="T46" s="352">
        <v>1</v>
      </c>
      <c r="U46" s="352">
        <v>1</v>
      </c>
      <c r="V46" s="353">
        <v>1</v>
      </c>
      <c r="W46" s="344">
        <v>0</v>
      </c>
      <c r="X46" s="355">
        <v>1</v>
      </c>
      <c r="Y46" s="355">
        <v>1</v>
      </c>
      <c r="Z46" s="356">
        <v>1</v>
      </c>
      <c r="AA46" s="357">
        <v>1</v>
      </c>
      <c r="AB46" s="358">
        <v>1</v>
      </c>
      <c r="AC46" s="359">
        <v>1</v>
      </c>
      <c r="AD46" s="360">
        <v>1</v>
      </c>
      <c r="AE46" s="360">
        <v>1</v>
      </c>
      <c r="AF46" s="337"/>
      <c r="AG46" s="337"/>
      <c r="AH46" s="337"/>
      <c r="AI46" s="342">
        <f t="shared" si="60"/>
        <v>13</v>
      </c>
      <c r="AJ46" s="342">
        <v>0</v>
      </c>
      <c r="AK46" s="342">
        <v>0</v>
      </c>
      <c r="AL46" s="342">
        <f t="shared" si="43"/>
        <v>13</v>
      </c>
      <c r="AM46" s="342">
        <f t="shared" si="44"/>
        <v>6240</v>
      </c>
      <c r="AN46" s="711">
        <f t="shared" ref="AN46" si="63">AM46+AM47</f>
        <v>7800</v>
      </c>
      <c r="AO46" s="713">
        <v>0</v>
      </c>
      <c r="AP46" s="711">
        <f t="shared" ref="AP46" si="64">AN46-AO46</f>
        <v>7800</v>
      </c>
      <c r="AQ46" s="711"/>
      <c r="AR46" s="711"/>
    </row>
    <row r="47" spans="1:44" ht="11.45" customHeight="1">
      <c r="A47" s="331"/>
      <c r="B47" s="329"/>
      <c r="C47" s="331">
        <v>60</v>
      </c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50">
        <v>2</v>
      </c>
      <c r="R47" s="337"/>
      <c r="S47" s="371">
        <v>2</v>
      </c>
      <c r="T47" s="354">
        <v>2</v>
      </c>
      <c r="U47" s="354">
        <v>2</v>
      </c>
      <c r="V47" s="354">
        <v>2</v>
      </c>
      <c r="W47" s="344">
        <v>0</v>
      </c>
      <c r="X47" s="355">
        <v>2</v>
      </c>
      <c r="Y47" s="355">
        <v>2</v>
      </c>
      <c r="Z47" s="371">
        <v>2</v>
      </c>
      <c r="AA47" s="357">
        <v>2</v>
      </c>
      <c r="AB47" s="358">
        <v>2</v>
      </c>
      <c r="AC47" s="359">
        <v>2</v>
      </c>
      <c r="AD47" s="360">
        <v>2</v>
      </c>
      <c r="AE47" s="360">
        <v>2</v>
      </c>
      <c r="AF47" s="337"/>
      <c r="AG47" s="337"/>
      <c r="AH47" s="337"/>
      <c r="AI47" s="342">
        <f t="shared" si="60"/>
        <v>26</v>
      </c>
      <c r="AJ47" s="342">
        <v>0</v>
      </c>
      <c r="AK47" s="342">
        <v>0</v>
      </c>
      <c r="AL47" s="342">
        <f t="shared" si="43"/>
        <v>26</v>
      </c>
      <c r="AM47" s="342">
        <f t="shared" si="44"/>
        <v>1560</v>
      </c>
      <c r="AN47" s="712"/>
      <c r="AO47" s="714"/>
      <c r="AP47" s="712"/>
      <c r="AQ47" s="712"/>
      <c r="AR47" s="712"/>
    </row>
    <row r="48" spans="1:44" ht="11.45" customHeight="1">
      <c r="A48" s="331"/>
      <c r="B48" s="329"/>
      <c r="C48" s="331">
        <f t="shared" si="41"/>
        <v>480</v>
      </c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50">
        <v>1</v>
      </c>
      <c r="R48" s="337"/>
      <c r="S48" s="371">
        <v>1</v>
      </c>
      <c r="T48" s="352">
        <v>1</v>
      </c>
      <c r="U48" s="352">
        <v>1</v>
      </c>
      <c r="V48" s="353">
        <v>1</v>
      </c>
      <c r="W48" s="354">
        <v>1</v>
      </c>
      <c r="X48" s="355">
        <v>1</v>
      </c>
      <c r="Y48" s="344">
        <v>0</v>
      </c>
      <c r="Z48" s="356">
        <v>1</v>
      </c>
      <c r="AA48" s="357">
        <v>1</v>
      </c>
      <c r="AB48" s="358">
        <v>1</v>
      </c>
      <c r="AC48" s="359">
        <v>1</v>
      </c>
      <c r="AD48" s="360">
        <v>1</v>
      </c>
      <c r="AE48" s="344">
        <v>0</v>
      </c>
      <c r="AF48" s="337"/>
      <c r="AG48" s="337"/>
      <c r="AH48" s="337"/>
      <c r="AI48" s="342">
        <f t="shared" si="60"/>
        <v>12</v>
      </c>
      <c r="AJ48" s="342">
        <v>0</v>
      </c>
      <c r="AK48" s="342">
        <v>0</v>
      </c>
      <c r="AL48" s="342">
        <f t="shared" si="43"/>
        <v>12</v>
      </c>
      <c r="AM48" s="342">
        <f t="shared" si="44"/>
        <v>5760</v>
      </c>
      <c r="AN48" s="711">
        <f t="shared" ref="AN48" si="65">AM48+AM49</f>
        <v>7200</v>
      </c>
      <c r="AO48" s="713">
        <v>0</v>
      </c>
      <c r="AP48" s="711">
        <f t="shared" ref="AP48" si="66">AN48-AO48</f>
        <v>7200</v>
      </c>
      <c r="AQ48" s="711"/>
      <c r="AR48" s="711"/>
    </row>
    <row r="49" spans="1:44" ht="11.45" customHeight="1">
      <c r="A49" s="331"/>
      <c r="B49" s="329"/>
      <c r="C49" s="331">
        <v>60</v>
      </c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50">
        <v>2</v>
      </c>
      <c r="R49" s="337"/>
      <c r="S49" s="371">
        <v>2</v>
      </c>
      <c r="T49" s="354">
        <v>2</v>
      </c>
      <c r="U49" s="354">
        <v>2</v>
      </c>
      <c r="V49" s="354">
        <v>2</v>
      </c>
      <c r="W49" s="354">
        <v>2</v>
      </c>
      <c r="X49" s="355">
        <v>2</v>
      </c>
      <c r="Y49" s="344">
        <v>0</v>
      </c>
      <c r="Z49" s="371">
        <v>2</v>
      </c>
      <c r="AA49" s="357">
        <v>2</v>
      </c>
      <c r="AB49" s="358">
        <v>2</v>
      </c>
      <c r="AC49" s="359">
        <v>2</v>
      </c>
      <c r="AD49" s="360">
        <v>2</v>
      </c>
      <c r="AE49" s="344">
        <v>0</v>
      </c>
      <c r="AF49" s="337"/>
      <c r="AG49" s="337"/>
      <c r="AH49" s="337"/>
      <c r="AI49" s="342">
        <f t="shared" si="60"/>
        <v>24</v>
      </c>
      <c r="AJ49" s="342">
        <v>0</v>
      </c>
      <c r="AK49" s="342">
        <v>0</v>
      </c>
      <c r="AL49" s="342">
        <f t="shared" si="43"/>
        <v>24</v>
      </c>
      <c r="AM49" s="342">
        <f t="shared" si="44"/>
        <v>1440</v>
      </c>
      <c r="AN49" s="712"/>
      <c r="AO49" s="714"/>
      <c r="AP49" s="712"/>
      <c r="AQ49" s="712"/>
      <c r="AR49" s="712"/>
    </row>
    <row r="50" spans="1:44" ht="11.45" customHeight="1">
      <c r="A50" s="331"/>
      <c r="B50" s="329"/>
      <c r="C50" s="331">
        <f t="shared" si="41"/>
        <v>480</v>
      </c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50">
        <v>1</v>
      </c>
      <c r="R50" s="337"/>
      <c r="S50" s="371">
        <v>1</v>
      </c>
      <c r="T50" s="352">
        <v>1</v>
      </c>
      <c r="U50" s="352">
        <v>1</v>
      </c>
      <c r="V50" s="353">
        <v>1</v>
      </c>
      <c r="W50" s="354">
        <v>1</v>
      </c>
      <c r="X50" s="355">
        <v>1</v>
      </c>
      <c r="Y50" s="344">
        <v>0</v>
      </c>
      <c r="Z50" s="356">
        <v>1</v>
      </c>
      <c r="AA50" s="357">
        <v>1</v>
      </c>
      <c r="AB50" s="358">
        <v>1</v>
      </c>
      <c r="AC50" s="359">
        <v>1</v>
      </c>
      <c r="AD50" s="360">
        <v>1</v>
      </c>
      <c r="AE50" s="344">
        <v>0</v>
      </c>
      <c r="AF50" s="337"/>
      <c r="AG50" s="337"/>
      <c r="AH50" s="337"/>
      <c r="AI50" s="342">
        <f t="shared" ref="AI50:AI51" si="67">SUM(D50:AH50)</f>
        <v>12</v>
      </c>
      <c r="AJ50" s="342">
        <v>0</v>
      </c>
      <c r="AK50" s="342">
        <v>0</v>
      </c>
      <c r="AL50" s="342">
        <f t="shared" si="43"/>
        <v>12</v>
      </c>
      <c r="AM50" s="342">
        <f t="shared" si="44"/>
        <v>5760</v>
      </c>
      <c r="AN50" s="711">
        <f t="shared" ref="AN50" si="68">AM50+AM51</f>
        <v>7200</v>
      </c>
      <c r="AO50" s="713">
        <v>0</v>
      </c>
      <c r="AP50" s="711">
        <f t="shared" ref="AP50" si="69">AN50-AO50</f>
        <v>7200</v>
      </c>
      <c r="AQ50" s="711"/>
      <c r="AR50" s="711"/>
    </row>
    <row r="51" spans="1:44" ht="11.45" customHeight="1">
      <c r="A51" s="331"/>
      <c r="B51" s="329"/>
      <c r="C51" s="331">
        <v>60</v>
      </c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50">
        <v>2</v>
      </c>
      <c r="R51" s="337"/>
      <c r="S51" s="371">
        <v>2</v>
      </c>
      <c r="T51" s="354">
        <v>2</v>
      </c>
      <c r="U51" s="354">
        <v>2</v>
      </c>
      <c r="V51" s="354">
        <v>2</v>
      </c>
      <c r="W51" s="354">
        <v>2</v>
      </c>
      <c r="X51" s="355">
        <v>2</v>
      </c>
      <c r="Y51" s="344">
        <v>0</v>
      </c>
      <c r="Z51" s="371">
        <v>2</v>
      </c>
      <c r="AA51" s="357">
        <v>2</v>
      </c>
      <c r="AB51" s="358">
        <v>2</v>
      </c>
      <c r="AC51" s="359">
        <v>2</v>
      </c>
      <c r="AD51" s="360">
        <v>2</v>
      </c>
      <c r="AE51" s="344">
        <v>0</v>
      </c>
      <c r="AF51" s="337"/>
      <c r="AG51" s="337"/>
      <c r="AH51" s="337"/>
      <c r="AI51" s="342">
        <f t="shared" si="67"/>
        <v>24</v>
      </c>
      <c r="AJ51" s="342">
        <v>0</v>
      </c>
      <c r="AK51" s="342">
        <v>0</v>
      </c>
      <c r="AL51" s="342">
        <f t="shared" si="43"/>
        <v>24</v>
      </c>
      <c r="AM51" s="342">
        <f t="shared" si="44"/>
        <v>1440</v>
      </c>
      <c r="AN51" s="712"/>
      <c r="AO51" s="714"/>
      <c r="AP51" s="712"/>
      <c r="AQ51" s="712"/>
      <c r="AR51" s="712"/>
    </row>
    <row r="52" spans="1:44" ht="14.25" customHeight="1">
      <c r="A52" s="923" t="s">
        <v>103</v>
      </c>
      <c r="B52" s="924"/>
      <c r="C52" s="327"/>
      <c r="D52" s="327">
        <f>D30+D32+D34+D36+D38+D40+D42+D44+D46+D48+D50</f>
        <v>5</v>
      </c>
      <c r="E52" s="327">
        <f t="shared" ref="E52:AM52" si="70">E30+E32+E34+E36+E38+E40+E42+E44+E46+E48+E50</f>
        <v>5</v>
      </c>
      <c r="F52" s="327">
        <f t="shared" si="70"/>
        <v>6</v>
      </c>
      <c r="G52" s="327">
        <f t="shared" si="70"/>
        <v>5</v>
      </c>
      <c r="H52" s="327">
        <f t="shared" si="70"/>
        <v>7</v>
      </c>
      <c r="I52" s="327">
        <f t="shared" si="70"/>
        <v>6</v>
      </c>
      <c r="J52" s="327">
        <f t="shared" si="70"/>
        <v>5</v>
      </c>
      <c r="K52" s="327">
        <f t="shared" si="70"/>
        <v>5</v>
      </c>
      <c r="L52" s="327">
        <f t="shared" si="70"/>
        <v>0</v>
      </c>
      <c r="M52" s="327">
        <f t="shared" si="70"/>
        <v>6</v>
      </c>
      <c r="N52" s="327">
        <f t="shared" si="70"/>
        <v>5</v>
      </c>
      <c r="O52" s="327">
        <f t="shared" si="70"/>
        <v>6</v>
      </c>
      <c r="P52" s="327">
        <f t="shared" si="70"/>
        <v>6</v>
      </c>
      <c r="Q52" s="327">
        <f t="shared" si="70"/>
        <v>10</v>
      </c>
      <c r="R52" s="327">
        <f t="shared" si="70"/>
        <v>0</v>
      </c>
      <c r="S52" s="327">
        <f t="shared" si="70"/>
        <v>9</v>
      </c>
      <c r="T52" s="327">
        <f t="shared" si="70"/>
        <v>7</v>
      </c>
      <c r="U52" s="327">
        <f t="shared" si="70"/>
        <v>8</v>
      </c>
      <c r="V52" s="327">
        <f t="shared" si="70"/>
        <v>8</v>
      </c>
      <c r="W52" s="327">
        <f t="shared" si="70"/>
        <v>6</v>
      </c>
      <c r="X52" s="327">
        <f t="shared" si="70"/>
        <v>7</v>
      </c>
      <c r="Y52" s="327">
        <f t="shared" si="70"/>
        <v>8</v>
      </c>
      <c r="Z52" s="327">
        <f t="shared" si="70"/>
        <v>9</v>
      </c>
      <c r="AA52" s="327">
        <f t="shared" si="70"/>
        <v>9</v>
      </c>
      <c r="AB52" s="327">
        <f t="shared" si="70"/>
        <v>9</v>
      </c>
      <c r="AC52" s="327">
        <f t="shared" si="70"/>
        <v>7</v>
      </c>
      <c r="AD52" s="327">
        <f t="shared" si="70"/>
        <v>8</v>
      </c>
      <c r="AE52" s="327">
        <f t="shared" si="70"/>
        <v>6</v>
      </c>
      <c r="AF52" s="327">
        <f t="shared" si="70"/>
        <v>0</v>
      </c>
      <c r="AG52" s="327">
        <f t="shared" si="70"/>
        <v>0</v>
      </c>
      <c r="AH52" s="327">
        <f t="shared" si="70"/>
        <v>0</v>
      </c>
      <c r="AI52" s="327">
        <f t="shared" si="70"/>
        <v>178</v>
      </c>
      <c r="AJ52" s="327">
        <f t="shared" si="70"/>
        <v>9.083400000000001</v>
      </c>
      <c r="AK52" s="327">
        <f t="shared" si="70"/>
        <v>0</v>
      </c>
      <c r="AL52" s="327">
        <f t="shared" si="70"/>
        <v>187.08339999999998</v>
      </c>
      <c r="AM52" s="327">
        <f t="shared" si="70"/>
        <v>88920.032000000007</v>
      </c>
      <c r="AN52" s="897">
        <f>AN30+AN32+AN34+AN36+AN38+AN40+AN42+AN50+AN44+AN46+AN48</f>
        <v>110140.03200000001</v>
      </c>
      <c r="AO52" s="897">
        <f>AO30+AO32+AO34+AO36+AO38+AO40+AO42+AO50+AO44+AO46+AO48</f>
        <v>2000</v>
      </c>
      <c r="AP52" s="897">
        <f>AP30+AP32+AP34+AP36+AP38+AP40+AP42+AP50+AP44+AP46+AP48</f>
        <v>108140.03200000001</v>
      </c>
      <c r="AQ52" s="897">
        <f t="shared" ref="AQ52:AR52" si="71">AQ30+AQ32+AQ34+AQ36+AQ38+AQ40+AQ42+AQ50+AQ44+AQ46+AQ48</f>
        <v>0</v>
      </c>
      <c r="AR52" s="897">
        <f t="shared" si="71"/>
        <v>0</v>
      </c>
    </row>
    <row r="53" spans="1:44" ht="14.25" customHeight="1">
      <c r="A53" s="925" t="s">
        <v>106</v>
      </c>
      <c r="B53" s="926"/>
      <c r="C53" s="328"/>
      <c r="D53" s="328">
        <f>D31+D33+D35+D37+D39+D41+D43+D45+D47+D49+D51</f>
        <v>10</v>
      </c>
      <c r="E53" s="328">
        <f t="shared" ref="E53:AM53" si="72">E31+E33+E35+E37+E39+E41+E43+E45+E47+E49+E51</f>
        <v>10</v>
      </c>
      <c r="F53" s="328">
        <f t="shared" si="72"/>
        <v>12</v>
      </c>
      <c r="G53" s="328">
        <f t="shared" si="72"/>
        <v>10</v>
      </c>
      <c r="H53" s="328">
        <f t="shared" si="72"/>
        <v>14</v>
      </c>
      <c r="I53" s="328">
        <f t="shared" si="72"/>
        <v>12</v>
      </c>
      <c r="J53" s="328">
        <f t="shared" si="72"/>
        <v>10</v>
      </c>
      <c r="K53" s="328">
        <f t="shared" si="72"/>
        <v>10</v>
      </c>
      <c r="L53" s="328">
        <f t="shared" si="72"/>
        <v>0</v>
      </c>
      <c r="M53" s="328">
        <f t="shared" si="72"/>
        <v>12</v>
      </c>
      <c r="N53" s="328">
        <f t="shared" si="72"/>
        <v>10</v>
      </c>
      <c r="O53" s="328">
        <f t="shared" si="72"/>
        <v>12</v>
      </c>
      <c r="P53" s="328">
        <f t="shared" si="72"/>
        <v>12</v>
      </c>
      <c r="Q53" s="328">
        <f t="shared" si="72"/>
        <v>20</v>
      </c>
      <c r="R53" s="328">
        <f t="shared" si="72"/>
        <v>0</v>
      </c>
      <c r="S53" s="328">
        <f t="shared" si="72"/>
        <v>18</v>
      </c>
      <c r="T53" s="328">
        <f t="shared" si="72"/>
        <v>14</v>
      </c>
      <c r="U53" s="328">
        <f t="shared" si="72"/>
        <v>16</v>
      </c>
      <c r="V53" s="328">
        <f t="shared" si="72"/>
        <v>16</v>
      </c>
      <c r="W53" s="328">
        <f t="shared" si="72"/>
        <v>12</v>
      </c>
      <c r="X53" s="328">
        <f t="shared" si="72"/>
        <v>14</v>
      </c>
      <c r="Y53" s="328">
        <f t="shared" si="72"/>
        <v>16</v>
      </c>
      <c r="Z53" s="328">
        <f t="shared" si="72"/>
        <v>18</v>
      </c>
      <c r="AA53" s="328">
        <f t="shared" si="72"/>
        <v>18</v>
      </c>
      <c r="AB53" s="328">
        <f t="shared" si="72"/>
        <v>18</v>
      </c>
      <c r="AC53" s="328">
        <f t="shared" si="72"/>
        <v>14</v>
      </c>
      <c r="AD53" s="328">
        <f t="shared" si="72"/>
        <v>16</v>
      </c>
      <c r="AE53" s="328">
        <f t="shared" si="72"/>
        <v>12</v>
      </c>
      <c r="AF53" s="328">
        <f t="shared" si="72"/>
        <v>0</v>
      </c>
      <c r="AG53" s="328">
        <f t="shared" si="72"/>
        <v>0</v>
      </c>
      <c r="AH53" s="328">
        <f t="shared" si="72"/>
        <v>0</v>
      </c>
      <c r="AI53" s="328">
        <f t="shared" si="72"/>
        <v>356</v>
      </c>
      <c r="AJ53" s="328">
        <f t="shared" si="72"/>
        <v>0</v>
      </c>
      <c r="AK53" s="328">
        <f t="shared" si="72"/>
        <v>0</v>
      </c>
      <c r="AL53" s="328">
        <f t="shared" si="72"/>
        <v>356</v>
      </c>
      <c r="AM53" s="328">
        <f t="shared" si="72"/>
        <v>21220</v>
      </c>
      <c r="AN53" s="898"/>
      <c r="AO53" s="898"/>
      <c r="AP53" s="898"/>
      <c r="AQ53" s="898"/>
      <c r="AR53" s="898"/>
    </row>
    <row r="55" spans="1:44" ht="15.75" customHeight="1">
      <c r="A55" s="929" t="s">
        <v>113</v>
      </c>
      <c r="B55" s="931" t="s">
        <v>1</v>
      </c>
      <c r="C55" s="932"/>
      <c r="D55" s="935" t="s">
        <v>190</v>
      </c>
      <c r="E55" s="936"/>
      <c r="F55" s="936"/>
      <c r="G55" s="936"/>
      <c r="H55" s="936"/>
      <c r="I55" s="936"/>
      <c r="J55" s="936"/>
      <c r="K55" s="936"/>
      <c r="L55" s="936"/>
      <c r="M55" s="936"/>
      <c r="N55" s="936"/>
      <c r="O55" s="936"/>
      <c r="P55" s="936"/>
      <c r="Q55" s="936"/>
      <c r="R55" s="936"/>
      <c r="S55" s="936"/>
      <c r="T55" s="936"/>
      <c r="U55" s="936"/>
      <c r="V55" s="936"/>
      <c r="W55" s="936"/>
      <c r="X55" s="936"/>
      <c r="Y55" s="936"/>
      <c r="Z55" s="936"/>
      <c r="AA55" s="936"/>
      <c r="AB55" s="936"/>
      <c r="AC55" s="936"/>
      <c r="AD55" s="936"/>
      <c r="AE55" s="936"/>
      <c r="AF55" s="937"/>
      <c r="AG55" s="826">
        <v>31</v>
      </c>
      <c r="AH55" s="827"/>
      <c r="AI55" s="927" t="s">
        <v>107</v>
      </c>
      <c r="AJ55" s="927" t="s">
        <v>45</v>
      </c>
      <c r="AK55" s="927" t="s">
        <v>108</v>
      </c>
      <c r="AL55" s="927" t="s">
        <v>112</v>
      </c>
      <c r="AM55" s="938" t="s">
        <v>7</v>
      </c>
      <c r="AN55" s="939"/>
      <c r="AO55" s="927" t="s">
        <v>93</v>
      </c>
      <c r="AP55" s="927" t="s">
        <v>109</v>
      </c>
      <c r="AQ55" s="927" t="s">
        <v>33</v>
      </c>
      <c r="AR55" s="927" t="s">
        <v>111</v>
      </c>
    </row>
    <row r="56" spans="1:44">
      <c r="A56" s="930"/>
      <c r="B56" s="933"/>
      <c r="C56" s="934"/>
      <c r="D56" s="330">
        <v>1</v>
      </c>
      <c r="E56" s="330">
        <v>2</v>
      </c>
      <c r="F56" s="330">
        <v>3</v>
      </c>
      <c r="G56" s="330">
        <v>4</v>
      </c>
      <c r="H56" s="330">
        <v>5</v>
      </c>
      <c r="I56" s="330">
        <v>6</v>
      </c>
      <c r="J56" s="330">
        <v>7</v>
      </c>
      <c r="K56" s="330">
        <v>8</v>
      </c>
      <c r="L56" s="330">
        <v>9</v>
      </c>
      <c r="M56" s="330">
        <v>10</v>
      </c>
      <c r="N56" s="330">
        <v>11</v>
      </c>
      <c r="O56" s="330">
        <v>12</v>
      </c>
      <c r="P56" s="330">
        <v>13</v>
      </c>
      <c r="Q56" s="330">
        <v>14</v>
      </c>
      <c r="R56" s="330">
        <v>15</v>
      </c>
      <c r="S56" s="330">
        <v>16</v>
      </c>
      <c r="T56" s="330">
        <v>17</v>
      </c>
      <c r="U56" s="330">
        <v>18</v>
      </c>
      <c r="V56" s="330">
        <v>19</v>
      </c>
      <c r="W56" s="330">
        <v>20</v>
      </c>
      <c r="X56" s="330">
        <v>21</v>
      </c>
      <c r="Y56" s="330">
        <v>22</v>
      </c>
      <c r="Z56" s="330">
        <v>23</v>
      </c>
      <c r="AA56" s="330">
        <v>24</v>
      </c>
      <c r="AB56" s="330">
        <v>25</v>
      </c>
      <c r="AC56" s="330">
        <v>26</v>
      </c>
      <c r="AD56" s="330">
        <v>27</v>
      </c>
      <c r="AE56" s="330">
        <v>28</v>
      </c>
      <c r="AF56" s="330">
        <v>29</v>
      </c>
      <c r="AG56" s="330">
        <v>30</v>
      </c>
      <c r="AH56" s="330">
        <v>31</v>
      </c>
      <c r="AI56" s="928"/>
      <c r="AJ56" s="928"/>
      <c r="AK56" s="928"/>
      <c r="AL56" s="928"/>
      <c r="AM56" s="940"/>
      <c r="AN56" s="941"/>
      <c r="AO56" s="928"/>
      <c r="AP56" s="928"/>
      <c r="AQ56" s="928"/>
      <c r="AR56" s="928"/>
    </row>
    <row r="57" spans="1:44" ht="11.45" customHeight="1">
      <c r="A57" s="331">
        <v>6</v>
      </c>
      <c r="B57" s="329"/>
      <c r="C57" s="331">
        <f t="shared" ref="C57:C77" si="73">C58*8</f>
        <v>320</v>
      </c>
      <c r="D57" s="364">
        <v>0</v>
      </c>
      <c r="E57" s="372"/>
      <c r="F57" s="364">
        <v>0</v>
      </c>
      <c r="G57" s="364">
        <v>0</v>
      </c>
      <c r="H57" s="364">
        <v>0</v>
      </c>
      <c r="I57" s="364">
        <v>0</v>
      </c>
      <c r="J57" s="364">
        <v>0</v>
      </c>
      <c r="K57" s="374">
        <v>1</v>
      </c>
      <c r="L57" s="372"/>
      <c r="M57" s="374">
        <v>1</v>
      </c>
      <c r="N57" s="374">
        <v>1</v>
      </c>
      <c r="O57" s="377">
        <v>1</v>
      </c>
      <c r="P57" s="377">
        <v>1</v>
      </c>
      <c r="Q57" s="377">
        <v>1</v>
      </c>
      <c r="R57" s="379">
        <v>1</v>
      </c>
      <c r="S57" s="372"/>
      <c r="T57" s="364">
        <v>0</v>
      </c>
      <c r="U57" s="364">
        <v>0</v>
      </c>
      <c r="V57" s="364">
        <v>0</v>
      </c>
      <c r="W57" s="382">
        <v>1</v>
      </c>
      <c r="X57" s="382">
        <v>1</v>
      </c>
      <c r="Y57" s="382">
        <v>1</v>
      </c>
      <c r="Z57" s="364">
        <v>0</v>
      </c>
      <c r="AA57" s="383">
        <v>1</v>
      </c>
      <c r="AB57" s="384">
        <v>1</v>
      </c>
      <c r="AC57" s="385">
        <v>1</v>
      </c>
      <c r="AD57" s="386">
        <v>1</v>
      </c>
      <c r="AE57" s="387">
        <v>1</v>
      </c>
      <c r="AF57" s="388">
        <v>1</v>
      </c>
      <c r="AG57" s="372"/>
      <c r="AH57" s="364">
        <v>0</v>
      </c>
      <c r="AI57" s="374">
        <f t="shared" ref="AI57:AI58" si="74">SUM(D57:AH57)</f>
        <v>16</v>
      </c>
      <c r="AJ57" s="374">
        <v>0</v>
      </c>
      <c r="AK57" s="374">
        <v>0</v>
      </c>
      <c r="AL57" s="374">
        <f t="shared" ref="AL57:AL58" si="75">AI57+AJ57-AK57</f>
        <v>16</v>
      </c>
      <c r="AM57" s="374">
        <f t="shared" ref="AM57:AM58" si="76">AL57*C57</f>
        <v>5120</v>
      </c>
      <c r="AN57" s="711">
        <f t="shared" ref="AN57" si="77">AM57+AM58</f>
        <v>6400</v>
      </c>
      <c r="AO57" s="713">
        <v>0</v>
      </c>
      <c r="AP57" s="711">
        <f t="shared" ref="AP57" si="78">AN57-AO57</f>
        <v>6400</v>
      </c>
      <c r="AQ57" s="711"/>
      <c r="AR57" s="711"/>
    </row>
    <row r="58" spans="1:44" ht="11.45" customHeight="1">
      <c r="A58" s="331"/>
      <c r="B58" s="331"/>
      <c r="C58" s="331">
        <v>40</v>
      </c>
      <c r="D58" s="364">
        <v>0</v>
      </c>
      <c r="E58" s="372"/>
      <c r="F58" s="364">
        <v>0</v>
      </c>
      <c r="G58" s="364">
        <v>0</v>
      </c>
      <c r="H58" s="364">
        <v>0</v>
      </c>
      <c r="I58" s="364">
        <v>0</v>
      </c>
      <c r="J58" s="364">
        <v>0</v>
      </c>
      <c r="K58" s="374">
        <v>2</v>
      </c>
      <c r="L58" s="372"/>
      <c r="M58" s="374">
        <v>2</v>
      </c>
      <c r="N58" s="374">
        <v>2</v>
      </c>
      <c r="O58" s="377">
        <v>2</v>
      </c>
      <c r="P58" s="377">
        <v>2</v>
      </c>
      <c r="Q58" s="377">
        <v>2</v>
      </c>
      <c r="R58" s="379">
        <v>2</v>
      </c>
      <c r="S58" s="372"/>
      <c r="T58" s="364">
        <v>0</v>
      </c>
      <c r="U58" s="364">
        <v>0</v>
      </c>
      <c r="V58" s="364">
        <v>0</v>
      </c>
      <c r="W58" s="382">
        <v>2</v>
      </c>
      <c r="X58" s="382">
        <v>2</v>
      </c>
      <c r="Y58" s="382">
        <v>2</v>
      </c>
      <c r="Z58" s="364">
        <v>0</v>
      </c>
      <c r="AA58" s="383">
        <v>2</v>
      </c>
      <c r="AB58" s="384">
        <v>2</v>
      </c>
      <c r="AC58" s="385">
        <v>2</v>
      </c>
      <c r="AD58" s="386">
        <v>2</v>
      </c>
      <c r="AE58" s="387">
        <v>2</v>
      </c>
      <c r="AF58" s="388">
        <v>2</v>
      </c>
      <c r="AG58" s="372"/>
      <c r="AH58" s="364">
        <v>0</v>
      </c>
      <c r="AI58" s="374">
        <f t="shared" si="74"/>
        <v>32</v>
      </c>
      <c r="AJ58" s="374">
        <v>0</v>
      </c>
      <c r="AK58" s="374">
        <v>0</v>
      </c>
      <c r="AL58" s="374">
        <f t="shared" si="75"/>
        <v>32</v>
      </c>
      <c r="AM58" s="374">
        <f t="shared" si="76"/>
        <v>1280</v>
      </c>
      <c r="AN58" s="712"/>
      <c r="AO58" s="714"/>
      <c r="AP58" s="712"/>
      <c r="AQ58" s="712"/>
      <c r="AR58" s="712"/>
    </row>
    <row r="59" spans="1:44" ht="11.45" customHeight="1">
      <c r="A59" s="331">
        <v>1</v>
      </c>
      <c r="B59" s="329" t="s">
        <v>189</v>
      </c>
      <c r="C59" s="331">
        <f t="shared" si="73"/>
        <v>520</v>
      </c>
      <c r="D59" s="362">
        <v>1</v>
      </c>
      <c r="E59" s="372"/>
      <c r="F59" s="363">
        <v>1</v>
      </c>
      <c r="G59" s="365">
        <v>1</v>
      </c>
      <c r="H59" s="368">
        <v>1</v>
      </c>
      <c r="I59" s="369">
        <v>1</v>
      </c>
      <c r="J59" s="370">
        <v>1</v>
      </c>
      <c r="K59" s="370">
        <v>1</v>
      </c>
      <c r="L59" s="372"/>
      <c r="M59" s="370">
        <v>1</v>
      </c>
      <c r="N59" s="373">
        <v>1</v>
      </c>
      <c r="O59" s="377">
        <v>1</v>
      </c>
      <c r="P59" s="377">
        <v>1</v>
      </c>
      <c r="Q59" s="377">
        <v>1</v>
      </c>
      <c r="R59" s="379">
        <v>1</v>
      </c>
      <c r="S59" s="372"/>
      <c r="T59" s="379">
        <v>1</v>
      </c>
      <c r="U59" s="380">
        <v>1</v>
      </c>
      <c r="V59" s="381">
        <v>1</v>
      </c>
      <c r="W59" s="382">
        <v>1</v>
      </c>
      <c r="X59" s="382">
        <v>1</v>
      </c>
      <c r="Y59" s="382">
        <v>1</v>
      </c>
      <c r="Z59" s="383">
        <v>1</v>
      </c>
      <c r="AA59" s="364">
        <v>0</v>
      </c>
      <c r="AB59" s="384">
        <v>1</v>
      </c>
      <c r="AC59" s="385">
        <v>1</v>
      </c>
      <c r="AD59" s="386">
        <v>1</v>
      </c>
      <c r="AE59" s="387">
        <v>1</v>
      </c>
      <c r="AF59" s="388">
        <v>1</v>
      </c>
      <c r="AG59" s="372"/>
      <c r="AH59" s="388">
        <v>1</v>
      </c>
      <c r="AI59" s="362">
        <f t="shared" ref="AI59:AI78" si="79">SUM(D59:AH59)</f>
        <v>26</v>
      </c>
      <c r="AJ59" s="362">
        <v>0</v>
      </c>
      <c r="AK59" s="362">
        <v>0</v>
      </c>
      <c r="AL59" s="362">
        <f t="shared" ref="AL59:AL78" si="80">AI59+AJ59-AK59</f>
        <v>26</v>
      </c>
      <c r="AM59" s="362">
        <f t="shared" ref="AM59:AM78" si="81">AL59*C59</f>
        <v>13520</v>
      </c>
      <c r="AN59" s="711">
        <f t="shared" ref="AN59" si="82">AM59+AM60</f>
        <v>16770</v>
      </c>
      <c r="AO59" s="713">
        <v>0</v>
      </c>
      <c r="AP59" s="711">
        <f t="shared" ref="AP59" si="83">AN59-AO59</f>
        <v>16770</v>
      </c>
      <c r="AQ59" s="711"/>
      <c r="AR59" s="711"/>
    </row>
    <row r="60" spans="1:44" ht="11.45" customHeight="1">
      <c r="A60" s="331"/>
      <c r="B60" s="329"/>
      <c r="C60" s="331">
        <v>65</v>
      </c>
      <c r="D60" s="362">
        <v>2</v>
      </c>
      <c r="E60" s="372"/>
      <c r="F60" s="363">
        <v>2</v>
      </c>
      <c r="G60" s="365">
        <v>2</v>
      </c>
      <c r="H60" s="368">
        <v>2</v>
      </c>
      <c r="I60" s="369">
        <v>2</v>
      </c>
      <c r="J60" s="370">
        <v>2</v>
      </c>
      <c r="K60" s="370">
        <v>2</v>
      </c>
      <c r="L60" s="372"/>
      <c r="M60" s="370">
        <v>2</v>
      </c>
      <c r="N60" s="373">
        <v>2</v>
      </c>
      <c r="O60" s="377">
        <v>2</v>
      </c>
      <c r="P60" s="377">
        <v>2</v>
      </c>
      <c r="Q60" s="378">
        <v>0</v>
      </c>
      <c r="R60" s="379">
        <v>2</v>
      </c>
      <c r="S60" s="372"/>
      <c r="T60" s="379">
        <v>2</v>
      </c>
      <c r="U60" s="380">
        <v>2</v>
      </c>
      <c r="V60" s="381">
        <v>2</v>
      </c>
      <c r="W60" s="382">
        <v>2</v>
      </c>
      <c r="X60" s="382">
        <v>2</v>
      </c>
      <c r="Y60" s="382">
        <v>2</v>
      </c>
      <c r="Z60" s="383">
        <v>2</v>
      </c>
      <c r="AA60" s="364">
        <v>0</v>
      </c>
      <c r="AB60" s="384">
        <v>2</v>
      </c>
      <c r="AC60" s="385">
        <v>2</v>
      </c>
      <c r="AD60" s="386">
        <v>2</v>
      </c>
      <c r="AE60" s="387">
        <v>2</v>
      </c>
      <c r="AF60" s="388">
        <v>2</v>
      </c>
      <c r="AG60" s="372"/>
      <c r="AH60" s="388">
        <v>2</v>
      </c>
      <c r="AI60" s="362">
        <f t="shared" si="79"/>
        <v>50</v>
      </c>
      <c r="AJ60" s="362">
        <v>0</v>
      </c>
      <c r="AK60" s="362">
        <v>0</v>
      </c>
      <c r="AL60" s="362">
        <f t="shared" si="80"/>
        <v>50</v>
      </c>
      <c r="AM60" s="362">
        <f t="shared" si="81"/>
        <v>3250</v>
      </c>
      <c r="AN60" s="712"/>
      <c r="AO60" s="714"/>
      <c r="AP60" s="712"/>
      <c r="AQ60" s="712"/>
      <c r="AR60" s="712"/>
    </row>
    <row r="61" spans="1:44" ht="11.45" customHeight="1">
      <c r="A61" s="331">
        <v>2</v>
      </c>
      <c r="B61" s="329" t="s">
        <v>167</v>
      </c>
      <c r="C61" s="331">
        <f t="shared" si="73"/>
        <v>520</v>
      </c>
      <c r="D61" s="362">
        <v>1</v>
      </c>
      <c r="E61" s="372"/>
      <c r="F61" s="363">
        <v>1</v>
      </c>
      <c r="G61" s="365">
        <v>1</v>
      </c>
      <c r="H61" s="368">
        <v>1</v>
      </c>
      <c r="I61" s="369">
        <v>1</v>
      </c>
      <c r="J61" s="370">
        <v>1</v>
      </c>
      <c r="K61" s="370">
        <v>1</v>
      </c>
      <c r="L61" s="372"/>
      <c r="M61" s="370">
        <v>1</v>
      </c>
      <c r="N61" s="373">
        <v>1</v>
      </c>
      <c r="O61" s="377">
        <v>1</v>
      </c>
      <c r="P61" s="377">
        <v>1</v>
      </c>
      <c r="Q61" s="377">
        <v>1</v>
      </c>
      <c r="R61" s="379">
        <v>1</v>
      </c>
      <c r="S61" s="372"/>
      <c r="T61" s="379">
        <v>1</v>
      </c>
      <c r="U61" s="364" t="s">
        <v>198</v>
      </c>
      <c r="V61" s="381">
        <v>1</v>
      </c>
      <c r="W61" s="382">
        <v>1</v>
      </c>
      <c r="X61" s="382">
        <v>1</v>
      </c>
      <c r="Y61" s="382">
        <v>1</v>
      </c>
      <c r="Z61" s="383">
        <v>1</v>
      </c>
      <c r="AA61" s="383">
        <v>1</v>
      </c>
      <c r="AB61" s="384">
        <v>1</v>
      </c>
      <c r="AC61" s="385">
        <v>1</v>
      </c>
      <c r="AD61" s="386">
        <v>1</v>
      </c>
      <c r="AE61" s="375">
        <v>0.4</v>
      </c>
      <c r="AF61" s="388">
        <v>1</v>
      </c>
      <c r="AG61" s="372"/>
      <c r="AH61" s="388">
        <v>1</v>
      </c>
      <c r="AI61" s="362">
        <f t="shared" si="79"/>
        <v>25.4</v>
      </c>
      <c r="AJ61" s="362">
        <v>0</v>
      </c>
      <c r="AK61" s="362">
        <v>0</v>
      </c>
      <c r="AL61" s="362">
        <f t="shared" si="80"/>
        <v>25.4</v>
      </c>
      <c r="AM61" s="362">
        <f t="shared" si="81"/>
        <v>13208</v>
      </c>
      <c r="AN61" s="711">
        <f t="shared" ref="AN61" si="84">AM61+AM62</f>
        <v>16393</v>
      </c>
      <c r="AO61" s="713">
        <v>0</v>
      </c>
      <c r="AP61" s="711">
        <f t="shared" ref="AP61" si="85">AN61-AO61</f>
        <v>16393</v>
      </c>
      <c r="AQ61" s="711"/>
      <c r="AR61" s="711"/>
    </row>
    <row r="62" spans="1:44" ht="11.45" customHeight="1">
      <c r="A62" s="331"/>
      <c r="B62" s="329"/>
      <c r="C62" s="331">
        <v>65</v>
      </c>
      <c r="D62" s="362">
        <v>2</v>
      </c>
      <c r="E62" s="372"/>
      <c r="F62" s="363">
        <v>2</v>
      </c>
      <c r="G62" s="365">
        <v>2</v>
      </c>
      <c r="H62" s="368">
        <v>2</v>
      </c>
      <c r="I62" s="369">
        <v>2</v>
      </c>
      <c r="J62" s="370">
        <v>2</v>
      </c>
      <c r="K62" s="376">
        <v>2</v>
      </c>
      <c r="L62" s="372"/>
      <c r="M62" s="370">
        <v>2</v>
      </c>
      <c r="N62" s="373">
        <v>2</v>
      </c>
      <c r="O62" s="377">
        <v>2</v>
      </c>
      <c r="P62" s="377">
        <v>2</v>
      </c>
      <c r="Q62" s="378">
        <v>0</v>
      </c>
      <c r="R62" s="379">
        <v>2</v>
      </c>
      <c r="S62" s="372"/>
      <c r="T62" s="379">
        <v>2</v>
      </c>
      <c r="U62" s="364">
        <v>0</v>
      </c>
      <c r="V62" s="381">
        <v>2</v>
      </c>
      <c r="W62" s="382">
        <v>2</v>
      </c>
      <c r="X62" s="382">
        <v>2</v>
      </c>
      <c r="Y62" s="382">
        <v>2</v>
      </c>
      <c r="Z62" s="383">
        <v>2</v>
      </c>
      <c r="AA62" s="383">
        <v>2</v>
      </c>
      <c r="AB62" s="384">
        <v>2</v>
      </c>
      <c r="AC62" s="385">
        <v>2</v>
      </c>
      <c r="AD62" s="386">
        <v>2</v>
      </c>
      <c r="AE62" s="389">
        <v>1</v>
      </c>
      <c r="AF62" s="388">
        <v>2</v>
      </c>
      <c r="AG62" s="372"/>
      <c r="AH62" s="388">
        <v>2</v>
      </c>
      <c r="AI62" s="362">
        <f t="shared" si="79"/>
        <v>49</v>
      </c>
      <c r="AJ62" s="362">
        <v>0</v>
      </c>
      <c r="AK62" s="362">
        <v>0</v>
      </c>
      <c r="AL62" s="362">
        <f t="shared" si="80"/>
        <v>49</v>
      </c>
      <c r="AM62" s="362">
        <f t="shared" si="81"/>
        <v>3185</v>
      </c>
      <c r="AN62" s="712"/>
      <c r="AO62" s="714"/>
      <c r="AP62" s="712"/>
      <c r="AQ62" s="712"/>
      <c r="AR62" s="712"/>
    </row>
    <row r="63" spans="1:44" ht="11.45" customHeight="1">
      <c r="A63" s="331">
        <v>3</v>
      </c>
      <c r="B63" s="329" t="s">
        <v>185</v>
      </c>
      <c r="C63" s="331">
        <f t="shared" si="73"/>
        <v>480</v>
      </c>
      <c r="D63" s="362">
        <v>1</v>
      </c>
      <c r="E63" s="372"/>
      <c r="F63" s="363">
        <v>1</v>
      </c>
      <c r="G63" s="365">
        <v>1</v>
      </c>
      <c r="H63" s="368">
        <v>1</v>
      </c>
      <c r="I63" s="369">
        <v>1</v>
      </c>
      <c r="J63" s="370">
        <v>1</v>
      </c>
      <c r="K63" s="364">
        <v>0</v>
      </c>
      <c r="L63" s="372"/>
      <c r="M63" s="370">
        <v>1</v>
      </c>
      <c r="N63" s="373">
        <v>1</v>
      </c>
      <c r="O63" s="377">
        <v>1</v>
      </c>
      <c r="P63" s="377">
        <v>1</v>
      </c>
      <c r="Q63" s="377">
        <v>1</v>
      </c>
      <c r="R63" s="379">
        <v>1</v>
      </c>
      <c r="S63" s="372"/>
      <c r="T63" s="379">
        <v>1</v>
      </c>
      <c r="U63" s="364">
        <v>0</v>
      </c>
      <c r="V63" s="381">
        <v>1</v>
      </c>
      <c r="W63" s="382">
        <v>1</v>
      </c>
      <c r="X63" s="382">
        <v>1</v>
      </c>
      <c r="Y63" s="382">
        <v>1</v>
      </c>
      <c r="Z63" s="383">
        <v>1</v>
      </c>
      <c r="AA63" s="383">
        <v>1</v>
      </c>
      <c r="AB63" s="384">
        <v>1</v>
      </c>
      <c r="AC63" s="385">
        <v>1</v>
      </c>
      <c r="AD63" s="364">
        <v>0</v>
      </c>
      <c r="AE63" s="364">
        <v>0</v>
      </c>
      <c r="AF63" s="388">
        <v>1</v>
      </c>
      <c r="AG63" s="372"/>
      <c r="AH63" s="388">
        <v>1</v>
      </c>
      <c r="AI63" s="362">
        <f t="shared" si="79"/>
        <v>23</v>
      </c>
      <c r="AJ63" s="362">
        <v>0</v>
      </c>
      <c r="AK63" s="362">
        <v>0</v>
      </c>
      <c r="AL63" s="362">
        <f t="shared" si="80"/>
        <v>23</v>
      </c>
      <c r="AM63" s="362">
        <f t="shared" si="81"/>
        <v>11040</v>
      </c>
      <c r="AN63" s="711">
        <f t="shared" ref="AN63" si="86">AM63+AM64</f>
        <v>13800</v>
      </c>
      <c r="AO63" s="713">
        <v>0</v>
      </c>
      <c r="AP63" s="711">
        <f t="shared" ref="AP63" si="87">AN63-AO63</f>
        <v>13800</v>
      </c>
      <c r="AQ63" s="711"/>
      <c r="AR63" s="711"/>
    </row>
    <row r="64" spans="1:44" ht="11.45" customHeight="1">
      <c r="A64" s="331"/>
      <c r="B64" s="329"/>
      <c r="C64" s="331">
        <v>60</v>
      </c>
      <c r="D64" s="362">
        <v>2</v>
      </c>
      <c r="E64" s="372"/>
      <c r="F64" s="363">
        <v>2</v>
      </c>
      <c r="G64" s="365">
        <v>2</v>
      </c>
      <c r="H64" s="368">
        <v>2</v>
      </c>
      <c r="I64" s="369">
        <v>2</v>
      </c>
      <c r="J64" s="370">
        <v>2</v>
      </c>
      <c r="K64" s="364">
        <v>0</v>
      </c>
      <c r="L64" s="372"/>
      <c r="M64" s="370">
        <v>2</v>
      </c>
      <c r="N64" s="373">
        <v>2</v>
      </c>
      <c r="O64" s="377">
        <v>2</v>
      </c>
      <c r="P64" s="377">
        <v>2</v>
      </c>
      <c r="Q64" s="377">
        <v>2</v>
      </c>
      <c r="R64" s="379">
        <v>2</v>
      </c>
      <c r="S64" s="372"/>
      <c r="T64" s="379">
        <v>2</v>
      </c>
      <c r="U64" s="364">
        <v>0</v>
      </c>
      <c r="V64" s="381">
        <v>2</v>
      </c>
      <c r="W64" s="382">
        <v>2</v>
      </c>
      <c r="X64" s="382">
        <v>2</v>
      </c>
      <c r="Y64" s="382">
        <v>2</v>
      </c>
      <c r="Z64" s="383">
        <v>2</v>
      </c>
      <c r="AA64" s="383">
        <v>2</v>
      </c>
      <c r="AB64" s="384">
        <v>2</v>
      </c>
      <c r="AC64" s="385">
        <v>2</v>
      </c>
      <c r="AD64" s="364">
        <v>0</v>
      </c>
      <c r="AE64" s="364">
        <v>0</v>
      </c>
      <c r="AF64" s="388">
        <v>2</v>
      </c>
      <c r="AG64" s="372"/>
      <c r="AH64" s="388">
        <v>2</v>
      </c>
      <c r="AI64" s="362">
        <f t="shared" si="79"/>
        <v>46</v>
      </c>
      <c r="AJ64" s="362">
        <v>0</v>
      </c>
      <c r="AK64" s="362">
        <v>0</v>
      </c>
      <c r="AL64" s="362">
        <f t="shared" si="80"/>
        <v>46</v>
      </c>
      <c r="AM64" s="362">
        <f t="shared" si="81"/>
        <v>2760</v>
      </c>
      <c r="AN64" s="712"/>
      <c r="AO64" s="714"/>
      <c r="AP64" s="712"/>
      <c r="AQ64" s="712"/>
      <c r="AR64" s="712"/>
    </row>
    <row r="65" spans="1:44" ht="11.45" customHeight="1">
      <c r="A65" s="331">
        <v>4</v>
      </c>
      <c r="B65" s="329" t="s">
        <v>182</v>
      </c>
      <c r="C65" s="331">
        <f t="shared" si="73"/>
        <v>480</v>
      </c>
      <c r="D65" s="362">
        <v>1</v>
      </c>
      <c r="E65" s="363">
        <v>1</v>
      </c>
      <c r="F65" s="363">
        <v>1</v>
      </c>
      <c r="G65" s="365">
        <v>1</v>
      </c>
      <c r="H65" s="368">
        <v>1</v>
      </c>
      <c r="I65" s="375">
        <v>0.4</v>
      </c>
      <c r="J65" s="364">
        <v>0</v>
      </c>
      <c r="K65" s="370">
        <v>1</v>
      </c>
      <c r="L65" s="372"/>
      <c r="M65" s="370">
        <v>1</v>
      </c>
      <c r="N65" s="373">
        <v>1</v>
      </c>
      <c r="O65" s="377">
        <v>1</v>
      </c>
      <c r="P65" s="377">
        <v>1</v>
      </c>
      <c r="Q65" s="377">
        <v>1</v>
      </c>
      <c r="R65" s="379">
        <v>1</v>
      </c>
      <c r="S65" s="372"/>
      <c r="T65" s="379">
        <v>1</v>
      </c>
      <c r="U65" s="380">
        <v>1</v>
      </c>
      <c r="V65" s="381">
        <v>1</v>
      </c>
      <c r="W65" s="382">
        <v>1</v>
      </c>
      <c r="X65" s="382">
        <v>1</v>
      </c>
      <c r="Y65" s="382">
        <v>1</v>
      </c>
      <c r="Z65" s="383">
        <v>1</v>
      </c>
      <c r="AA65" s="383">
        <v>1</v>
      </c>
      <c r="AB65" s="384">
        <v>1</v>
      </c>
      <c r="AC65" s="385">
        <v>1</v>
      </c>
      <c r="AD65" s="386">
        <v>1</v>
      </c>
      <c r="AE65" s="387">
        <v>1</v>
      </c>
      <c r="AF65" s="388">
        <v>1</v>
      </c>
      <c r="AG65" s="372"/>
      <c r="AH65" s="388">
        <v>1</v>
      </c>
      <c r="AI65" s="362">
        <f t="shared" si="79"/>
        <v>26.4</v>
      </c>
      <c r="AJ65" s="362">
        <v>0</v>
      </c>
      <c r="AK65" s="362">
        <v>0</v>
      </c>
      <c r="AL65" s="362">
        <f t="shared" si="80"/>
        <v>26.4</v>
      </c>
      <c r="AM65" s="362">
        <f t="shared" si="81"/>
        <v>12672</v>
      </c>
      <c r="AN65" s="711">
        <f t="shared" ref="AN65" si="88">AM65+AM66</f>
        <v>15612</v>
      </c>
      <c r="AO65" s="713">
        <v>0</v>
      </c>
      <c r="AP65" s="711">
        <f t="shared" ref="AP65" si="89">AN65-AO65</f>
        <v>15612</v>
      </c>
      <c r="AQ65" s="711"/>
      <c r="AR65" s="711"/>
    </row>
    <row r="66" spans="1:44" ht="11.45" customHeight="1">
      <c r="A66" s="331"/>
      <c r="B66" s="329"/>
      <c r="C66" s="331">
        <v>60</v>
      </c>
      <c r="D66" s="362">
        <v>2</v>
      </c>
      <c r="E66" s="363">
        <v>0</v>
      </c>
      <c r="F66" s="363">
        <v>2</v>
      </c>
      <c r="G66" s="365">
        <v>2</v>
      </c>
      <c r="H66" s="368">
        <v>2</v>
      </c>
      <c r="I66" s="389">
        <v>1</v>
      </c>
      <c r="J66" s="364">
        <v>0</v>
      </c>
      <c r="K66" s="370">
        <v>2</v>
      </c>
      <c r="L66" s="372"/>
      <c r="M66" s="370">
        <v>2</v>
      </c>
      <c r="N66" s="373">
        <v>2</v>
      </c>
      <c r="O66" s="377">
        <v>2</v>
      </c>
      <c r="P66" s="377">
        <v>2</v>
      </c>
      <c r="Q66" s="377">
        <v>2</v>
      </c>
      <c r="R66" s="379">
        <v>2</v>
      </c>
      <c r="S66" s="372"/>
      <c r="T66" s="379">
        <v>2</v>
      </c>
      <c r="U66" s="380">
        <v>2</v>
      </c>
      <c r="V66" s="381">
        <v>2</v>
      </c>
      <c r="W66" s="382">
        <v>2</v>
      </c>
      <c r="X66" s="382">
        <v>2</v>
      </c>
      <c r="Y66" s="382">
        <v>2</v>
      </c>
      <c r="Z66" s="383">
        <v>2</v>
      </c>
      <c r="AA66" s="383">
        <v>2</v>
      </c>
      <c r="AB66" s="384">
        <v>2</v>
      </c>
      <c r="AC66" s="385">
        <v>2</v>
      </c>
      <c r="AD66" s="386">
        <v>2</v>
      </c>
      <c r="AE66" s="387">
        <v>2</v>
      </c>
      <c r="AF66" s="378">
        <v>0</v>
      </c>
      <c r="AG66" s="372"/>
      <c r="AH66" s="388">
        <v>2</v>
      </c>
      <c r="AI66" s="362">
        <f t="shared" si="79"/>
        <v>49</v>
      </c>
      <c r="AJ66" s="362">
        <v>0</v>
      </c>
      <c r="AK66" s="362">
        <v>0</v>
      </c>
      <c r="AL66" s="362">
        <f t="shared" si="80"/>
        <v>49</v>
      </c>
      <c r="AM66" s="362">
        <f t="shared" si="81"/>
        <v>2940</v>
      </c>
      <c r="AN66" s="712"/>
      <c r="AO66" s="714"/>
      <c r="AP66" s="712"/>
      <c r="AQ66" s="712"/>
      <c r="AR66" s="712"/>
    </row>
    <row r="67" spans="1:44" ht="11.45" customHeight="1">
      <c r="A67" s="331">
        <v>5</v>
      </c>
      <c r="B67" s="329" t="s">
        <v>183</v>
      </c>
      <c r="C67" s="331">
        <f t="shared" si="73"/>
        <v>480</v>
      </c>
      <c r="D67" s="362">
        <v>1</v>
      </c>
      <c r="E67" s="363">
        <v>1</v>
      </c>
      <c r="F67" s="364">
        <v>0</v>
      </c>
      <c r="G67" s="365">
        <v>1</v>
      </c>
      <c r="H67" s="364">
        <v>0</v>
      </c>
      <c r="I67" s="369">
        <v>1</v>
      </c>
      <c r="J67" s="370">
        <v>1</v>
      </c>
      <c r="K67" s="370">
        <v>1</v>
      </c>
      <c r="L67" s="372"/>
      <c r="M67" s="370">
        <v>1</v>
      </c>
      <c r="N67" s="373">
        <v>1</v>
      </c>
      <c r="O67" s="377">
        <v>1</v>
      </c>
      <c r="P67" s="364">
        <v>0</v>
      </c>
      <c r="Q67" s="377">
        <v>1</v>
      </c>
      <c r="R67" s="379">
        <v>1</v>
      </c>
      <c r="S67" s="372"/>
      <c r="T67" s="364">
        <v>0</v>
      </c>
      <c r="U67" s="380">
        <v>1</v>
      </c>
      <c r="V67" s="381">
        <v>1</v>
      </c>
      <c r="W67" s="382">
        <v>1</v>
      </c>
      <c r="X67" s="382">
        <v>1</v>
      </c>
      <c r="Y67" s="382">
        <v>1</v>
      </c>
      <c r="Z67" s="364">
        <v>0</v>
      </c>
      <c r="AA67" s="383">
        <v>1</v>
      </c>
      <c r="AB67" s="384">
        <v>1</v>
      </c>
      <c r="AC67" s="364">
        <v>0</v>
      </c>
      <c r="AD67" s="387">
        <v>1</v>
      </c>
      <c r="AE67" s="387">
        <v>1</v>
      </c>
      <c r="AF67" s="388">
        <v>1</v>
      </c>
      <c r="AG67" s="372"/>
      <c r="AH67" s="388">
        <v>1</v>
      </c>
      <c r="AI67" s="362">
        <f t="shared" si="79"/>
        <v>22</v>
      </c>
      <c r="AJ67" s="362">
        <v>0</v>
      </c>
      <c r="AK67" s="362">
        <v>0</v>
      </c>
      <c r="AL67" s="362">
        <f t="shared" si="80"/>
        <v>22</v>
      </c>
      <c r="AM67" s="362">
        <f t="shared" si="81"/>
        <v>10560</v>
      </c>
      <c r="AN67" s="711">
        <f t="shared" ref="AN67" si="90">AM67+AM68</f>
        <v>13080</v>
      </c>
      <c r="AO67" s="713">
        <v>0</v>
      </c>
      <c r="AP67" s="711">
        <f t="shared" ref="AP67" si="91">AN67-AO67</f>
        <v>13080</v>
      </c>
      <c r="AQ67" s="711"/>
      <c r="AR67" s="711"/>
    </row>
    <row r="68" spans="1:44" ht="11.45" customHeight="1">
      <c r="A68" s="331"/>
      <c r="B68" s="329"/>
      <c r="C68" s="331">
        <v>60</v>
      </c>
      <c r="D68" s="362">
        <v>2</v>
      </c>
      <c r="E68" s="363">
        <v>0</v>
      </c>
      <c r="F68" s="364">
        <v>0</v>
      </c>
      <c r="G68" s="365">
        <v>2</v>
      </c>
      <c r="H68" s="364">
        <v>0</v>
      </c>
      <c r="I68" s="369">
        <v>2</v>
      </c>
      <c r="J68" s="370">
        <v>2</v>
      </c>
      <c r="K68" s="370">
        <v>2</v>
      </c>
      <c r="L68" s="372"/>
      <c r="M68" s="370">
        <v>2</v>
      </c>
      <c r="N68" s="373">
        <v>2</v>
      </c>
      <c r="O68" s="377">
        <v>2</v>
      </c>
      <c r="P68" s="364">
        <v>0</v>
      </c>
      <c r="Q68" s="377">
        <v>2</v>
      </c>
      <c r="R68" s="379">
        <v>2</v>
      </c>
      <c r="S68" s="372"/>
      <c r="T68" s="364">
        <v>0</v>
      </c>
      <c r="U68" s="380">
        <v>2</v>
      </c>
      <c r="V68" s="381">
        <v>2</v>
      </c>
      <c r="W68" s="382">
        <v>2</v>
      </c>
      <c r="X68" s="382">
        <v>2</v>
      </c>
      <c r="Y68" s="382">
        <v>2</v>
      </c>
      <c r="Z68" s="364">
        <v>0</v>
      </c>
      <c r="AA68" s="383">
        <v>2</v>
      </c>
      <c r="AB68" s="384">
        <v>2</v>
      </c>
      <c r="AC68" s="364">
        <v>0</v>
      </c>
      <c r="AD68" s="387">
        <v>2</v>
      </c>
      <c r="AE68" s="387">
        <v>2</v>
      </c>
      <c r="AF68" s="388">
        <v>2</v>
      </c>
      <c r="AG68" s="372"/>
      <c r="AH68" s="388">
        <v>2</v>
      </c>
      <c r="AI68" s="362">
        <f t="shared" si="79"/>
        <v>42</v>
      </c>
      <c r="AJ68" s="362">
        <v>0</v>
      </c>
      <c r="AK68" s="362">
        <v>0</v>
      </c>
      <c r="AL68" s="362">
        <f t="shared" si="80"/>
        <v>42</v>
      </c>
      <c r="AM68" s="362">
        <f t="shared" si="81"/>
        <v>2520</v>
      </c>
      <c r="AN68" s="712"/>
      <c r="AO68" s="714"/>
      <c r="AP68" s="712"/>
      <c r="AQ68" s="712"/>
      <c r="AR68" s="712"/>
    </row>
    <row r="69" spans="1:44" ht="11.45" customHeight="1">
      <c r="A69" s="331">
        <v>6</v>
      </c>
      <c r="B69" s="329" t="s">
        <v>140</v>
      </c>
      <c r="C69" s="331">
        <f t="shared" si="73"/>
        <v>320</v>
      </c>
      <c r="D69" s="364">
        <v>0</v>
      </c>
      <c r="E69" s="372"/>
      <c r="F69" s="370">
        <v>1</v>
      </c>
      <c r="G69" s="370">
        <v>1</v>
      </c>
      <c r="H69" s="364">
        <v>0</v>
      </c>
      <c r="I69" s="370">
        <v>1</v>
      </c>
      <c r="J69" s="370">
        <v>1</v>
      </c>
      <c r="K69" s="370">
        <v>1</v>
      </c>
      <c r="L69" s="372"/>
      <c r="M69" s="370">
        <v>1</v>
      </c>
      <c r="N69" s="373">
        <v>1</v>
      </c>
      <c r="O69" s="377">
        <v>1</v>
      </c>
      <c r="P69" s="364">
        <v>0</v>
      </c>
      <c r="Q69" s="364">
        <v>0</v>
      </c>
      <c r="R69" s="364">
        <v>0</v>
      </c>
      <c r="S69" s="372"/>
      <c r="T69" s="364">
        <v>0</v>
      </c>
      <c r="U69" s="364">
        <v>0</v>
      </c>
      <c r="V69" s="364">
        <v>0</v>
      </c>
      <c r="W69" s="364">
        <v>0</v>
      </c>
      <c r="X69" s="364">
        <v>0</v>
      </c>
      <c r="Y69" s="364">
        <v>0</v>
      </c>
      <c r="Z69" s="364">
        <v>0</v>
      </c>
      <c r="AA69" s="364">
        <v>0</v>
      </c>
      <c r="AB69" s="364">
        <v>0</v>
      </c>
      <c r="AC69" s="364">
        <v>0</v>
      </c>
      <c r="AD69" s="364">
        <v>0</v>
      </c>
      <c r="AE69" s="364">
        <v>0</v>
      </c>
      <c r="AF69" s="364">
        <v>0</v>
      </c>
      <c r="AG69" s="372"/>
      <c r="AH69" s="364">
        <v>0</v>
      </c>
      <c r="AI69" s="362">
        <f t="shared" si="79"/>
        <v>8</v>
      </c>
      <c r="AJ69" s="362">
        <v>0</v>
      </c>
      <c r="AK69" s="362">
        <v>0</v>
      </c>
      <c r="AL69" s="362">
        <f t="shared" si="80"/>
        <v>8</v>
      </c>
      <c r="AM69" s="362">
        <f t="shared" si="81"/>
        <v>2560</v>
      </c>
      <c r="AN69" s="711">
        <f t="shared" ref="AN69" si="92">AM69+AM70</f>
        <v>3200</v>
      </c>
      <c r="AO69" s="713">
        <v>0</v>
      </c>
      <c r="AP69" s="711">
        <f t="shared" ref="AP69" si="93">AN69-AO69</f>
        <v>3200</v>
      </c>
      <c r="AQ69" s="711"/>
      <c r="AR69" s="711"/>
    </row>
    <row r="70" spans="1:44" ht="11.45" customHeight="1">
      <c r="A70" s="331"/>
      <c r="B70" s="331"/>
      <c r="C70" s="331">
        <v>40</v>
      </c>
      <c r="D70" s="364">
        <v>0</v>
      </c>
      <c r="E70" s="372"/>
      <c r="F70" s="370">
        <v>2</v>
      </c>
      <c r="G70" s="370">
        <v>2</v>
      </c>
      <c r="H70" s="364">
        <v>0</v>
      </c>
      <c r="I70" s="370">
        <v>2</v>
      </c>
      <c r="J70" s="370">
        <v>2</v>
      </c>
      <c r="K70" s="370">
        <v>2</v>
      </c>
      <c r="L70" s="372"/>
      <c r="M70" s="370">
        <v>2</v>
      </c>
      <c r="N70" s="373">
        <v>2</v>
      </c>
      <c r="O70" s="377">
        <v>2</v>
      </c>
      <c r="P70" s="378">
        <v>0</v>
      </c>
      <c r="Q70" s="364">
        <v>0</v>
      </c>
      <c r="R70" s="364">
        <v>0</v>
      </c>
      <c r="S70" s="372"/>
      <c r="T70" s="364">
        <v>0</v>
      </c>
      <c r="U70" s="364">
        <v>0</v>
      </c>
      <c r="V70" s="364">
        <v>0</v>
      </c>
      <c r="W70" s="364">
        <v>0</v>
      </c>
      <c r="X70" s="364">
        <v>0</v>
      </c>
      <c r="Y70" s="364">
        <v>0</v>
      </c>
      <c r="Z70" s="364">
        <v>0</v>
      </c>
      <c r="AA70" s="364">
        <v>0</v>
      </c>
      <c r="AB70" s="364">
        <v>0</v>
      </c>
      <c r="AC70" s="364">
        <v>0</v>
      </c>
      <c r="AD70" s="364">
        <v>0</v>
      </c>
      <c r="AE70" s="364">
        <v>0</v>
      </c>
      <c r="AF70" s="364">
        <v>0</v>
      </c>
      <c r="AG70" s="372"/>
      <c r="AH70" s="364">
        <v>0</v>
      </c>
      <c r="AI70" s="362">
        <f t="shared" si="79"/>
        <v>16</v>
      </c>
      <c r="AJ70" s="362">
        <v>0</v>
      </c>
      <c r="AK70" s="362">
        <v>0</v>
      </c>
      <c r="AL70" s="362">
        <f t="shared" si="80"/>
        <v>16</v>
      </c>
      <c r="AM70" s="362">
        <f t="shared" si="81"/>
        <v>640</v>
      </c>
      <c r="AN70" s="712"/>
      <c r="AO70" s="714"/>
      <c r="AP70" s="712"/>
      <c r="AQ70" s="712"/>
      <c r="AR70" s="712"/>
    </row>
    <row r="71" spans="1:44" ht="11.45" customHeight="1">
      <c r="A71" s="331">
        <v>7</v>
      </c>
      <c r="B71" s="329" t="s">
        <v>192</v>
      </c>
      <c r="C71" s="331">
        <f t="shared" si="73"/>
        <v>320</v>
      </c>
      <c r="D71" s="364">
        <v>0</v>
      </c>
      <c r="E71" s="372"/>
      <c r="F71" s="364">
        <v>0</v>
      </c>
      <c r="G71" s="364">
        <v>0</v>
      </c>
      <c r="H71" s="364">
        <v>0</v>
      </c>
      <c r="I71" s="364">
        <v>0</v>
      </c>
      <c r="J71" s="364">
        <v>0</v>
      </c>
      <c r="K71" s="364">
        <v>0</v>
      </c>
      <c r="L71" s="372"/>
      <c r="M71" s="370">
        <v>1</v>
      </c>
      <c r="N71" s="373">
        <v>1</v>
      </c>
      <c r="O71" s="377">
        <v>1</v>
      </c>
      <c r="P71" s="377">
        <v>1</v>
      </c>
      <c r="Q71" s="377">
        <v>1</v>
      </c>
      <c r="R71" s="379">
        <v>1</v>
      </c>
      <c r="S71" s="372"/>
      <c r="T71" s="379">
        <v>1</v>
      </c>
      <c r="U71" s="364">
        <v>0</v>
      </c>
      <c r="V71" s="364">
        <v>0</v>
      </c>
      <c r="W71" s="364">
        <v>0</v>
      </c>
      <c r="X71" s="364">
        <v>0</v>
      </c>
      <c r="Y71" s="364">
        <v>0</v>
      </c>
      <c r="Z71" s="364">
        <v>0</v>
      </c>
      <c r="AA71" s="364">
        <v>0</v>
      </c>
      <c r="AB71" s="364">
        <v>0</v>
      </c>
      <c r="AC71" s="385">
        <v>1</v>
      </c>
      <c r="AD71" s="386">
        <v>1</v>
      </c>
      <c r="AE71" s="387">
        <v>1</v>
      </c>
      <c r="AF71" s="388">
        <v>1</v>
      </c>
      <c r="AG71" s="372"/>
      <c r="AH71" s="390">
        <v>1</v>
      </c>
      <c r="AI71" s="362">
        <f t="shared" si="79"/>
        <v>12</v>
      </c>
      <c r="AJ71" s="362">
        <v>1</v>
      </c>
      <c r="AK71" s="362">
        <v>0</v>
      </c>
      <c r="AL71" s="362">
        <f t="shared" si="80"/>
        <v>13</v>
      </c>
      <c r="AM71" s="362">
        <f t="shared" si="81"/>
        <v>4160</v>
      </c>
      <c r="AN71" s="711">
        <f t="shared" ref="AN71" si="94">AM71+AM72</f>
        <v>5120</v>
      </c>
      <c r="AO71" s="713">
        <v>0</v>
      </c>
      <c r="AP71" s="711">
        <f t="shared" ref="AP71" si="95">AN71-AO71</f>
        <v>5120</v>
      </c>
      <c r="AQ71" s="711"/>
      <c r="AR71" s="711"/>
    </row>
    <row r="72" spans="1:44" ht="11.45" customHeight="1">
      <c r="A72" s="331"/>
      <c r="B72" s="331"/>
      <c r="C72" s="331">
        <v>40</v>
      </c>
      <c r="D72" s="364">
        <v>0</v>
      </c>
      <c r="E72" s="372"/>
      <c r="F72" s="364">
        <v>0</v>
      </c>
      <c r="G72" s="364">
        <v>0</v>
      </c>
      <c r="H72" s="364">
        <v>0</v>
      </c>
      <c r="I72" s="364">
        <v>0</v>
      </c>
      <c r="J72" s="364">
        <v>0</v>
      </c>
      <c r="K72" s="364">
        <v>0</v>
      </c>
      <c r="L72" s="372"/>
      <c r="M72" s="370">
        <v>2</v>
      </c>
      <c r="N72" s="373">
        <v>2</v>
      </c>
      <c r="O72" s="377">
        <v>2</v>
      </c>
      <c r="P72" s="377">
        <v>2</v>
      </c>
      <c r="Q72" s="377">
        <v>2</v>
      </c>
      <c r="R72" s="379">
        <v>2</v>
      </c>
      <c r="S72" s="372"/>
      <c r="T72" s="379">
        <v>2</v>
      </c>
      <c r="U72" s="364">
        <v>0</v>
      </c>
      <c r="V72" s="364">
        <v>0</v>
      </c>
      <c r="W72" s="364">
        <v>0</v>
      </c>
      <c r="X72" s="364">
        <v>0</v>
      </c>
      <c r="Y72" s="364">
        <v>0</v>
      </c>
      <c r="Z72" s="364">
        <v>0</v>
      </c>
      <c r="AA72" s="364">
        <v>0</v>
      </c>
      <c r="AB72" s="364">
        <v>0</v>
      </c>
      <c r="AC72" s="385">
        <v>2</v>
      </c>
      <c r="AD72" s="386">
        <v>2</v>
      </c>
      <c r="AE72" s="387">
        <v>2</v>
      </c>
      <c r="AF72" s="388">
        <v>2</v>
      </c>
      <c r="AG72" s="372"/>
      <c r="AH72" s="390">
        <v>2</v>
      </c>
      <c r="AI72" s="362">
        <f t="shared" si="79"/>
        <v>24</v>
      </c>
      <c r="AJ72" s="362">
        <v>0</v>
      </c>
      <c r="AK72" s="362">
        <v>0</v>
      </c>
      <c r="AL72" s="362">
        <f t="shared" si="80"/>
        <v>24</v>
      </c>
      <c r="AM72" s="362">
        <f t="shared" si="81"/>
        <v>960</v>
      </c>
      <c r="AN72" s="712"/>
      <c r="AO72" s="714"/>
      <c r="AP72" s="712"/>
      <c r="AQ72" s="712"/>
      <c r="AR72" s="712"/>
    </row>
    <row r="73" spans="1:44" ht="11.45" customHeight="1">
      <c r="A73" s="331">
        <v>8</v>
      </c>
      <c r="B73" s="329"/>
      <c r="C73" s="331">
        <f t="shared" si="73"/>
        <v>480</v>
      </c>
      <c r="D73" s="362">
        <v>1</v>
      </c>
      <c r="E73" s="363">
        <v>1</v>
      </c>
      <c r="F73" s="375">
        <v>0.4</v>
      </c>
      <c r="G73" s="364">
        <v>0</v>
      </c>
      <c r="H73" s="364">
        <v>0</v>
      </c>
      <c r="I73" s="369">
        <v>1</v>
      </c>
      <c r="J73" s="370">
        <v>1</v>
      </c>
      <c r="K73" s="370">
        <v>1</v>
      </c>
      <c r="L73" s="372"/>
      <c r="M73" s="370">
        <v>1</v>
      </c>
      <c r="N73" s="373">
        <v>1</v>
      </c>
      <c r="O73" s="377">
        <v>1</v>
      </c>
      <c r="P73" s="377">
        <v>1</v>
      </c>
      <c r="Q73" s="364">
        <v>0</v>
      </c>
      <c r="R73" s="379">
        <v>1</v>
      </c>
      <c r="S73" s="372"/>
      <c r="T73" s="379">
        <v>1</v>
      </c>
      <c r="U73" s="380">
        <v>1</v>
      </c>
      <c r="V73" s="381">
        <v>1</v>
      </c>
      <c r="W73" s="382">
        <v>1</v>
      </c>
      <c r="X73" s="382">
        <v>1</v>
      </c>
      <c r="Y73" s="382">
        <v>1</v>
      </c>
      <c r="Z73" s="383">
        <v>1</v>
      </c>
      <c r="AA73" s="383">
        <v>1</v>
      </c>
      <c r="AB73" s="384">
        <v>1</v>
      </c>
      <c r="AC73" s="385">
        <v>1</v>
      </c>
      <c r="AD73" s="364">
        <v>0</v>
      </c>
      <c r="AE73" s="387">
        <v>1</v>
      </c>
      <c r="AF73" s="388">
        <v>1</v>
      </c>
      <c r="AG73" s="372"/>
      <c r="AH73" s="364">
        <v>0</v>
      </c>
      <c r="AI73" s="362">
        <f t="shared" si="79"/>
        <v>22.4</v>
      </c>
      <c r="AJ73" s="362">
        <v>0</v>
      </c>
      <c r="AK73" s="362">
        <v>0</v>
      </c>
      <c r="AL73" s="362">
        <f t="shared" si="80"/>
        <v>22.4</v>
      </c>
      <c r="AM73" s="362">
        <f t="shared" si="81"/>
        <v>10752</v>
      </c>
      <c r="AN73" s="711">
        <f t="shared" ref="AN73" si="96">AM73+AM74</f>
        <v>13152</v>
      </c>
      <c r="AO73" s="713">
        <v>0</v>
      </c>
      <c r="AP73" s="711">
        <f t="shared" ref="AP73" si="97">AN73-AO73</f>
        <v>13152</v>
      </c>
      <c r="AQ73" s="711"/>
      <c r="AR73" s="711"/>
    </row>
    <row r="74" spans="1:44" ht="11.45" customHeight="1">
      <c r="A74" s="331"/>
      <c r="B74" s="329"/>
      <c r="C74" s="331">
        <v>60</v>
      </c>
      <c r="D74" s="362">
        <v>2</v>
      </c>
      <c r="E74" s="363">
        <v>0</v>
      </c>
      <c r="F74" s="363">
        <v>0</v>
      </c>
      <c r="G74" s="364">
        <v>0</v>
      </c>
      <c r="H74" s="364">
        <v>0</v>
      </c>
      <c r="I74" s="369">
        <v>2</v>
      </c>
      <c r="J74" s="370">
        <v>2</v>
      </c>
      <c r="K74" s="370">
        <v>2</v>
      </c>
      <c r="L74" s="372"/>
      <c r="M74" s="370">
        <v>2</v>
      </c>
      <c r="N74" s="373">
        <v>2</v>
      </c>
      <c r="O74" s="377">
        <v>2</v>
      </c>
      <c r="P74" s="378">
        <v>0</v>
      </c>
      <c r="Q74" s="364">
        <v>0</v>
      </c>
      <c r="R74" s="379">
        <v>2</v>
      </c>
      <c r="S74" s="372"/>
      <c r="T74" s="379">
        <v>2</v>
      </c>
      <c r="U74" s="380">
        <v>2</v>
      </c>
      <c r="V74" s="381">
        <v>2</v>
      </c>
      <c r="W74" s="382">
        <v>2</v>
      </c>
      <c r="X74" s="382">
        <v>2</v>
      </c>
      <c r="Y74" s="382">
        <v>2</v>
      </c>
      <c r="Z74" s="383">
        <v>2</v>
      </c>
      <c r="AA74" s="383">
        <v>2</v>
      </c>
      <c r="AB74" s="384">
        <v>2</v>
      </c>
      <c r="AC74" s="385">
        <v>2</v>
      </c>
      <c r="AD74" s="364">
        <v>0</v>
      </c>
      <c r="AE74" s="387">
        <v>2</v>
      </c>
      <c r="AF74" s="388">
        <v>2</v>
      </c>
      <c r="AG74" s="372"/>
      <c r="AH74" s="364">
        <v>0</v>
      </c>
      <c r="AI74" s="362">
        <f t="shared" si="79"/>
        <v>40</v>
      </c>
      <c r="AJ74" s="362">
        <v>0</v>
      </c>
      <c r="AK74" s="362">
        <v>0</v>
      </c>
      <c r="AL74" s="362">
        <f t="shared" si="80"/>
        <v>40</v>
      </c>
      <c r="AM74" s="362">
        <f t="shared" si="81"/>
        <v>2400</v>
      </c>
      <c r="AN74" s="712"/>
      <c r="AO74" s="714"/>
      <c r="AP74" s="712"/>
      <c r="AQ74" s="712"/>
      <c r="AR74" s="712"/>
    </row>
    <row r="75" spans="1:44" ht="11.45" customHeight="1">
      <c r="A75" s="331">
        <v>9</v>
      </c>
      <c r="B75" s="329"/>
      <c r="C75" s="331">
        <f t="shared" si="73"/>
        <v>480</v>
      </c>
      <c r="D75" s="362">
        <v>1</v>
      </c>
      <c r="E75" s="363">
        <v>1</v>
      </c>
      <c r="F75" s="363">
        <v>1</v>
      </c>
      <c r="G75" s="365">
        <v>1</v>
      </c>
      <c r="H75" s="368">
        <v>1</v>
      </c>
      <c r="I75" s="369">
        <v>1</v>
      </c>
      <c r="J75" s="370">
        <v>1</v>
      </c>
      <c r="K75" s="370">
        <v>1</v>
      </c>
      <c r="L75" s="372"/>
      <c r="M75" s="370">
        <v>1</v>
      </c>
      <c r="N75" s="373">
        <v>1</v>
      </c>
      <c r="O75" s="377">
        <v>1</v>
      </c>
      <c r="P75" s="377">
        <v>1</v>
      </c>
      <c r="Q75" s="377">
        <v>1</v>
      </c>
      <c r="R75" s="379">
        <v>1</v>
      </c>
      <c r="S75" s="372"/>
      <c r="T75" s="379">
        <v>1</v>
      </c>
      <c r="U75" s="364">
        <v>0</v>
      </c>
      <c r="V75" s="364">
        <v>0</v>
      </c>
      <c r="W75" s="382">
        <v>1</v>
      </c>
      <c r="X75" s="382">
        <v>1</v>
      </c>
      <c r="Y75" s="382">
        <v>1</v>
      </c>
      <c r="Z75" s="383">
        <v>1</v>
      </c>
      <c r="AA75" s="383">
        <v>1</v>
      </c>
      <c r="AB75" s="384">
        <v>1</v>
      </c>
      <c r="AC75" s="385">
        <v>1</v>
      </c>
      <c r="AD75" s="386">
        <v>1</v>
      </c>
      <c r="AE75" s="387">
        <v>1</v>
      </c>
      <c r="AF75" s="388">
        <v>1</v>
      </c>
      <c r="AG75" s="372"/>
      <c r="AH75" s="364">
        <v>0</v>
      </c>
      <c r="AI75" s="362">
        <f t="shared" si="79"/>
        <v>25</v>
      </c>
      <c r="AJ75" s="362">
        <v>0</v>
      </c>
      <c r="AK75" s="362">
        <v>0</v>
      </c>
      <c r="AL75" s="362">
        <f t="shared" si="80"/>
        <v>25</v>
      </c>
      <c r="AM75" s="362">
        <f t="shared" si="81"/>
        <v>12000</v>
      </c>
      <c r="AN75" s="711">
        <f t="shared" ref="AN75" si="98">AM75+AM76</f>
        <v>14760</v>
      </c>
      <c r="AO75" s="713">
        <v>0</v>
      </c>
      <c r="AP75" s="711">
        <f t="shared" ref="AP75" si="99">AN75-AO75</f>
        <v>14760</v>
      </c>
      <c r="AQ75" s="711"/>
      <c r="AR75" s="711"/>
    </row>
    <row r="76" spans="1:44" ht="11.45" customHeight="1">
      <c r="A76" s="331"/>
      <c r="B76" s="329"/>
      <c r="C76" s="331">
        <v>60</v>
      </c>
      <c r="D76" s="362">
        <v>2</v>
      </c>
      <c r="E76" s="363">
        <v>0</v>
      </c>
      <c r="F76" s="363">
        <v>2</v>
      </c>
      <c r="G76" s="365">
        <v>2</v>
      </c>
      <c r="H76" s="368">
        <v>2</v>
      </c>
      <c r="I76" s="369">
        <v>2</v>
      </c>
      <c r="J76" s="370">
        <v>2</v>
      </c>
      <c r="K76" s="370">
        <v>2</v>
      </c>
      <c r="L76" s="372"/>
      <c r="M76" s="370">
        <v>2</v>
      </c>
      <c r="N76" s="373">
        <v>2</v>
      </c>
      <c r="O76" s="377">
        <v>2</v>
      </c>
      <c r="P76" s="377">
        <v>2</v>
      </c>
      <c r="Q76" s="377">
        <v>2</v>
      </c>
      <c r="R76" s="379">
        <v>2</v>
      </c>
      <c r="S76" s="372"/>
      <c r="T76" s="379">
        <v>2</v>
      </c>
      <c r="U76" s="364">
        <v>0</v>
      </c>
      <c r="V76" s="364">
        <v>0</v>
      </c>
      <c r="W76" s="382">
        <v>2</v>
      </c>
      <c r="X76" s="382">
        <v>2</v>
      </c>
      <c r="Y76" s="382">
        <v>2</v>
      </c>
      <c r="Z76" s="383">
        <v>2</v>
      </c>
      <c r="AA76" s="383">
        <v>2</v>
      </c>
      <c r="AB76" s="384">
        <v>2</v>
      </c>
      <c r="AC76" s="385">
        <v>2</v>
      </c>
      <c r="AD76" s="386">
        <v>2</v>
      </c>
      <c r="AE76" s="378">
        <v>0</v>
      </c>
      <c r="AF76" s="388">
        <v>2</v>
      </c>
      <c r="AG76" s="372"/>
      <c r="AH76" s="364">
        <v>0</v>
      </c>
      <c r="AI76" s="362">
        <f t="shared" si="79"/>
        <v>46</v>
      </c>
      <c r="AJ76" s="362">
        <v>0</v>
      </c>
      <c r="AK76" s="362">
        <v>0</v>
      </c>
      <c r="AL76" s="362">
        <f t="shared" si="80"/>
        <v>46</v>
      </c>
      <c r="AM76" s="362">
        <f t="shared" si="81"/>
        <v>2760</v>
      </c>
      <c r="AN76" s="712"/>
      <c r="AO76" s="714"/>
      <c r="AP76" s="712"/>
      <c r="AQ76" s="712"/>
      <c r="AR76" s="712"/>
    </row>
    <row r="77" spans="1:44" ht="11.45" customHeight="1">
      <c r="A77" s="331">
        <v>10</v>
      </c>
      <c r="B77" s="329"/>
      <c r="C77" s="331">
        <f t="shared" si="73"/>
        <v>480</v>
      </c>
      <c r="D77" s="362">
        <v>1</v>
      </c>
      <c r="E77" s="363">
        <v>1</v>
      </c>
      <c r="F77" s="363">
        <v>1</v>
      </c>
      <c r="G77" s="365">
        <v>1</v>
      </c>
      <c r="H77" s="368">
        <v>1</v>
      </c>
      <c r="I77" s="369">
        <v>1</v>
      </c>
      <c r="J77" s="370">
        <v>1</v>
      </c>
      <c r="K77" s="370">
        <v>1</v>
      </c>
      <c r="L77" s="372"/>
      <c r="M77" s="370">
        <v>1</v>
      </c>
      <c r="N77" s="373">
        <v>1</v>
      </c>
      <c r="O77" s="377">
        <v>1</v>
      </c>
      <c r="P77" s="377">
        <v>1</v>
      </c>
      <c r="Q77" s="377">
        <v>1</v>
      </c>
      <c r="R77" s="379">
        <v>1</v>
      </c>
      <c r="S77" s="372"/>
      <c r="T77" s="379">
        <v>1</v>
      </c>
      <c r="U77" s="380">
        <v>1</v>
      </c>
      <c r="V77" s="364">
        <v>0</v>
      </c>
      <c r="W77" s="382">
        <v>1</v>
      </c>
      <c r="X77" s="382">
        <v>1</v>
      </c>
      <c r="Y77" s="382">
        <v>1</v>
      </c>
      <c r="Z77" s="364">
        <v>0</v>
      </c>
      <c r="AA77" s="383">
        <v>1</v>
      </c>
      <c r="AB77" s="384">
        <v>1</v>
      </c>
      <c r="AC77" s="385">
        <v>1</v>
      </c>
      <c r="AD77" s="386">
        <v>1</v>
      </c>
      <c r="AE77" s="387">
        <v>1</v>
      </c>
      <c r="AF77" s="388">
        <v>1</v>
      </c>
      <c r="AG77" s="372"/>
      <c r="AH77" s="364">
        <v>0</v>
      </c>
      <c r="AI77" s="362">
        <f t="shared" si="79"/>
        <v>25</v>
      </c>
      <c r="AJ77" s="362">
        <v>0</v>
      </c>
      <c r="AK77" s="362">
        <v>0</v>
      </c>
      <c r="AL77" s="362">
        <f t="shared" si="80"/>
        <v>25</v>
      </c>
      <c r="AM77" s="362">
        <f t="shared" si="81"/>
        <v>12000</v>
      </c>
      <c r="AN77" s="711">
        <f t="shared" ref="AN77" si="100">AM77+AM78</f>
        <v>14880</v>
      </c>
      <c r="AO77" s="713">
        <v>0</v>
      </c>
      <c r="AP77" s="711">
        <f t="shared" ref="AP77" si="101">AN77-AO77</f>
        <v>14880</v>
      </c>
      <c r="AQ77" s="711"/>
      <c r="AR77" s="711"/>
    </row>
    <row r="78" spans="1:44" ht="11.45" customHeight="1">
      <c r="A78" s="331"/>
      <c r="B78" s="329"/>
      <c r="C78" s="331">
        <v>60</v>
      </c>
      <c r="D78" s="362">
        <v>2</v>
      </c>
      <c r="E78" s="363">
        <v>0</v>
      </c>
      <c r="F78" s="363">
        <v>2</v>
      </c>
      <c r="G78" s="365">
        <v>2</v>
      </c>
      <c r="H78" s="368">
        <v>2</v>
      </c>
      <c r="I78" s="369">
        <v>2</v>
      </c>
      <c r="J78" s="370">
        <v>2</v>
      </c>
      <c r="K78" s="370">
        <v>2</v>
      </c>
      <c r="L78" s="372"/>
      <c r="M78" s="370">
        <v>2</v>
      </c>
      <c r="N78" s="373">
        <v>2</v>
      </c>
      <c r="O78" s="377">
        <v>2</v>
      </c>
      <c r="P78" s="377">
        <v>2</v>
      </c>
      <c r="Q78" s="377">
        <v>2</v>
      </c>
      <c r="R78" s="379">
        <v>2</v>
      </c>
      <c r="S78" s="372"/>
      <c r="T78" s="379">
        <v>2</v>
      </c>
      <c r="U78" s="380">
        <v>2</v>
      </c>
      <c r="V78" s="364">
        <v>0</v>
      </c>
      <c r="W78" s="382">
        <v>2</v>
      </c>
      <c r="X78" s="382">
        <v>2</v>
      </c>
      <c r="Y78" s="382">
        <v>2</v>
      </c>
      <c r="Z78" s="364">
        <v>0</v>
      </c>
      <c r="AA78" s="383">
        <v>2</v>
      </c>
      <c r="AB78" s="384">
        <v>2</v>
      </c>
      <c r="AC78" s="385">
        <v>2</v>
      </c>
      <c r="AD78" s="386">
        <v>2</v>
      </c>
      <c r="AE78" s="387">
        <v>2</v>
      </c>
      <c r="AF78" s="388">
        <v>2</v>
      </c>
      <c r="AG78" s="372"/>
      <c r="AH78" s="364">
        <v>0</v>
      </c>
      <c r="AI78" s="362">
        <f t="shared" si="79"/>
        <v>48</v>
      </c>
      <c r="AJ78" s="362">
        <v>0</v>
      </c>
      <c r="AK78" s="362">
        <v>0</v>
      </c>
      <c r="AL78" s="362">
        <f t="shared" si="80"/>
        <v>48</v>
      </c>
      <c r="AM78" s="362">
        <f t="shared" si="81"/>
        <v>2880</v>
      </c>
      <c r="AN78" s="712"/>
      <c r="AO78" s="714"/>
      <c r="AP78" s="712"/>
      <c r="AQ78" s="712"/>
      <c r="AR78" s="712"/>
    </row>
    <row r="79" spans="1:44" ht="11.45" customHeight="1">
      <c r="A79" s="895" t="s">
        <v>103</v>
      </c>
      <c r="B79" s="896"/>
      <c r="C79" s="366"/>
      <c r="D79" s="366">
        <f>D57+D59+D61+D63+D65+D67+D69+D71+D73+D75+D77</f>
        <v>8</v>
      </c>
      <c r="E79" s="366">
        <f t="shared" ref="E79:AM79" si="102">E57+E59+E61+E63+E65+E67+E69+E71+E73+E75+E77</f>
        <v>5</v>
      </c>
      <c r="F79" s="366">
        <f t="shared" si="102"/>
        <v>7.4</v>
      </c>
      <c r="G79" s="366">
        <f t="shared" si="102"/>
        <v>8</v>
      </c>
      <c r="H79" s="366">
        <f t="shared" si="102"/>
        <v>6</v>
      </c>
      <c r="I79" s="366">
        <f t="shared" si="102"/>
        <v>8.4</v>
      </c>
      <c r="J79" s="366">
        <f t="shared" si="102"/>
        <v>8</v>
      </c>
      <c r="K79" s="366">
        <f>K57+K59+K61+K64+K65+K67+K69+K71+K73+K75+K77</f>
        <v>9</v>
      </c>
      <c r="L79" s="366">
        <f t="shared" si="102"/>
        <v>0</v>
      </c>
      <c r="M79" s="366">
        <f t="shared" si="102"/>
        <v>11</v>
      </c>
      <c r="N79" s="366">
        <f t="shared" si="102"/>
        <v>11</v>
      </c>
      <c r="O79" s="366">
        <f t="shared" si="102"/>
        <v>11</v>
      </c>
      <c r="P79" s="366">
        <f t="shared" si="102"/>
        <v>9</v>
      </c>
      <c r="Q79" s="366">
        <f t="shared" si="102"/>
        <v>9</v>
      </c>
      <c r="R79" s="366">
        <f t="shared" si="102"/>
        <v>10</v>
      </c>
      <c r="S79" s="366">
        <f t="shared" si="102"/>
        <v>0</v>
      </c>
      <c r="T79" s="366">
        <f t="shared" si="102"/>
        <v>8</v>
      </c>
      <c r="U79" s="366" t="e">
        <f t="shared" si="102"/>
        <v>#VALUE!</v>
      </c>
      <c r="V79" s="366">
        <f t="shared" si="102"/>
        <v>6</v>
      </c>
      <c r="W79" s="366">
        <f t="shared" si="102"/>
        <v>9</v>
      </c>
      <c r="X79" s="366">
        <f t="shared" si="102"/>
        <v>9</v>
      </c>
      <c r="Y79" s="366">
        <f t="shared" si="102"/>
        <v>9</v>
      </c>
      <c r="Z79" s="366">
        <f t="shared" si="102"/>
        <v>6</v>
      </c>
      <c r="AA79" s="366">
        <f t="shared" si="102"/>
        <v>8</v>
      </c>
      <c r="AB79" s="366">
        <f t="shared" si="102"/>
        <v>9</v>
      </c>
      <c r="AC79" s="366">
        <f t="shared" si="102"/>
        <v>9</v>
      </c>
      <c r="AD79" s="366">
        <f t="shared" ref="AD79" si="103">AD57+AD59+AD61+AD63+AD65+AD67+AD69+AD71+AD73+AD75+AD77</f>
        <v>8</v>
      </c>
      <c r="AE79" s="366">
        <f t="shared" si="102"/>
        <v>8.4</v>
      </c>
      <c r="AF79" s="366">
        <f t="shared" si="102"/>
        <v>10</v>
      </c>
      <c r="AG79" s="366">
        <f t="shared" si="102"/>
        <v>0</v>
      </c>
      <c r="AH79" s="366">
        <f t="shared" si="102"/>
        <v>6</v>
      </c>
      <c r="AI79" s="366">
        <f t="shared" si="102"/>
        <v>231.20000000000002</v>
      </c>
      <c r="AJ79" s="366">
        <f t="shared" si="102"/>
        <v>1</v>
      </c>
      <c r="AK79" s="366">
        <f t="shared" si="102"/>
        <v>0</v>
      </c>
      <c r="AL79" s="366">
        <f t="shared" si="102"/>
        <v>232.20000000000002</v>
      </c>
      <c r="AM79" s="366">
        <f t="shared" si="102"/>
        <v>107592</v>
      </c>
      <c r="AN79" s="897">
        <f>AN57+AN59+AN61+AN63+AN65+AN67+AN69+AN77+AN71+AN73+AN75</f>
        <v>133167</v>
      </c>
      <c r="AO79" s="897">
        <f>AO57+AO59+AO61+AO63+AO65+AO67+AO69+AO77+AO71+AO73+AO75</f>
        <v>0</v>
      </c>
      <c r="AP79" s="897">
        <f>AP57+AP59+AP61+AP63+AP65+AP67+AP69+AP77+AP71+AP73+AP75</f>
        <v>133167</v>
      </c>
      <c r="AQ79" s="897">
        <f t="shared" ref="AQ79:AR79" si="104">AQ57+AQ59+AQ61+AQ63+AQ65+AQ67+AQ69+AQ77+AQ71+AQ73+AQ75</f>
        <v>0</v>
      </c>
      <c r="AR79" s="897">
        <f t="shared" si="104"/>
        <v>0</v>
      </c>
    </row>
    <row r="80" spans="1:44" ht="11.45" customHeight="1">
      <c r="A80" s="899" t="s">
        <v>106</v>
      </c>
      <c r="B80" s="900"/>
      <c r="C80" s="367"/>
      <c r="D80" s="367">
        <f>D58+D60+D62+D64+D66+D68+D70+D72+D74+D76+D78</f>
        <v>16</v>
      </c>
      <c r="E80" s="367">
        <f t="shared" ref="E80:AM80" si="105">E58+E60+E62+E64+E66+E68+E70+E72+E74+E76+E78</f>
        <v>0</v>
      </c>
      <c r="F80" s="367">
        <f t="shared" si="105"/>
        <v>14</v>
      </c>
      <c r="G80" s="367">
        <f t="shared" si="105"/>
        <v>16</v>
      </c>
      <c r="H80" s="367">
        <f t="shared" si="105"/>
        <v>12</v>
      </c>
      <c r="I80" s="367">
        <f t="shared" si="105"/>
        <v>17</v>
      </c>
      <c r="J80" s="367">
        <f t="shared" si="105"/>
        <v>16</v>
      </c>
      <c r="K80" s="367" t="e">
        <f>K58+K60+K63+#REF!+K66+K68+K70+K72+K74+K76+K78</f>
        <v>#REF!</v>
      </c>
      <c r="L80" s="367">
        <f t="shared" si="105"/>
        <v>0</v>
      </c>
      <c r="M80" s="367">
        <f t="shared" si="105"/>
        <v>22</v>
      </c>
      <c r="N80" s="367">
        <f t="shared" si="105"/>
        <v>22</v>
      </c>
      <c r="O80" s="367">
        <f t="shared" si="105"/>
        <v>22</v>
      </c>
      <c r="P80" s="367">
        <f t="shared" si="105"/>
        <v>16</v>
      </c>
      <c r="Q80" s="367">
        <f t="shared" si="105"/>
        <v>14</v>
      </c>
      <c r="R80" s="367">
        <f t="shared" si="105"/>
        <v>20</v>
      </c>
      <c r="S80" s="367">
        <f t="shared" si="105"/>
        <v>0</v>
      </c>
      <c r="T80" s="367">
        <f t="shared" si="105"/>
        <v>16</v>
      </c>
      <c r="U80" s="367">
        <f t="shared" si="105"/>
        <v>10</v>
      </c>
      <c r="V80" s="367">
        <f t="shared" si="105"/>
        <v>12</v>
      </c>
      <c r="W80" s="367">
        <f t="shared" si="105"/>
        <v>18</v>
      </c>
      <c r="X80" s="367">
        <f t="shared" si="105"/>
        <v>18</v>
      </c>
      <c r="Y80" s="367">
        <f t="shared" si="105"/>
        <v>18</v>
      </c>
      <c r="Z80" s="367">
        <f t="shared" si="105"/>
        <v>12</v>
      </c>
      <c r="AA80" s="367">
        <f t="shared" si="105"/>
        <v>16</v>
      </c>
      <c r="AB80" s="367">
        <f t="shared" si="105"/>
        <v>18</v>
      </c>
      <c r="AC80" s="367">
        <f t="shared" si="105"/>
        <v>18</v>
      </c>
      <c r="AD80" s="367">
        <f t="shared" ref="AD80" si="106">AD58+AD60+AD62+AD64+AD66+AD68+AD70+AD72+AD74+AD76+AD78</f>
        <v>16</v>
      </c>
      <c r="AE80" s="367">
        <f t="shared" si="105"/>
        <v>15</v>
      </c>
      <c r="AF80" s="367">
        <f t="shared" si="105"/>
        <v>18</v>
      </c>
      <c r="AG80" s="367">
        <f t="shared" si="105"/>
        <v>0</v>
      </c>
      <c r="AH80" s="367">
        <f t="shared" si="105"/>
        <v>12</v>
      </c>
      <c r="AI80" s="367">
        <f t="shared" si="105"/>
        <v>442</v>
      </c>
      <c r="AJ80" s="367">
        <f t="shared" si="105"/>
        <v>0</v>
      </c>
      <c r="AK80" s="367">
        <f t="shared" si="105"/>
        <v>0</v>
      </c>
      <c r="AL80" s="367">
        <f t="shared" si="105"/>
        <v>442</v>
      </c>
      <c r="AM80" s="367">
        <f t="shared" si="105"/>
        <v>25575</v>
      </c>
      <c r="AN80" s="898"/>
      <c r="AO80" s="898"/>
      <c r="AP80" s="898"/>
      <c r="AQ80" s="898"/>
      <c r="AR80" s="898"/>
    </row>
    <row r="82" spans="1:44" ht="15" customHeight="1">
      <c r="A82" s="903" t="s">
        <v>113</v>
      </c>
      <c r="B82" s="905" t="s">
        <v>1</v>
      </c>
      <c r="C82" s="906"/>
      <c r="D82" s="918" t="s">
        <v>191</v>
      </c>
      <c r="E82" s="919"/>
      <c r="F82" s="919"/>
      <c r="G82" s="919"/>
      <c r="H82" s="919"/>
      <c r="I82" s="919"/>
      <c r="J82" s="919"/>
      <c r="K82" s="919"/>
      <c r="L82" s="919"/>
      <c r="M82" s="919"/>
      <c r="N82" s="919"/>
      <c r="O82" s="919"/>
      <c r="P82" s="919"/>
      <c r="Q82" s="919"/>
      <c r="R82" s="919"/>
      <c r="S82" s="919"/>
      <c r="T82" s="919"/>
      <c r="U82" s="919"/>
      <c r="V82" s="919"/>
      <c r="W82" s="919"/>
      <c r="X82" s="919"/>
      <c r="Y82" s="919"/>
      <c r="Z82" s="919"/>
      <c r="AA82" s="919"/>
      <c r="AB82" s="919"/>
      <c r="AC82" s="919"/>
      <c r="AD82" s="919"/>
      <c r="AE82" s="919"/>
      <c r="AF82" s="920"/>
      <c r="AG82" s="921">
        <v>30</v>
      </c>
      <c r="AH82" s="922"/>
      <c r="AI82" s="901" t="s">
        <v>107</v>
      </c>
      <c r="AJ82" s="901" t="s">
        <v>45</v>
      </c>
      <c r="AK82" s="901" t="s">
        <v>108</v>
      </c>
      <c r="AL82" s="901" t="s">
        <v>112</v>
      </c>
      <c r="AM82" s="914" t="s">
        <v>7</v>
      </c>
      <c r="AN82" s="915"/>
      <c r="AO82" s="901" t="s">
        <v>93</v>
      </c>
      <c r="AP82" s="901" t="s">
        <v>109</v>
      </c>
      <c r="AQ82" s="901" t="s">
        <v>33</v>
      </c>
      <c r="AR82" s="901" t="s">
        <v>111</v>
      </c>
    </row>
    <row r="83" spans="1:44">
      <c r="A83" s="904"/>
      <c r="B83" s="907"/>
      <c r="C83" s="908"/>
      <c r="D83" s="394">
        <v>1</v>
      </c>
      <c r="E83" s="394">
        <v>2</v>
      </c>
      <c r="F83" s="394">
        <v>3</v>
      </c>
      <c r="G83" s="394">
        <v>4</v>
      </c>
      <c r="H83" s="394">
        <v>5</v>
      </c>
      <c r="I83" s="394">
        <v>6</v>
      </c>
      <c r="J83" s="394">
        <v>7</v>
      </c>
      <c r="K83" s="394">
        <v>8</v>
      </c>
      <c r="L83" s="394">
        <v>9</v>
      </c>
      <c r="M83" s="394">
        <v>10</v>
      </c>
      <c r="N83" s="394">
        <v>11</v>
      </c>
      <c r="O83" s="394">
        <v>12</v>
      </c>
      <c r="P83" s="394">
        <v>13</v>
      </c>
      <c r="Q83" s="394">
        <v>14</v>
      </c>
      <c r="R83" s="394">
        <v>15</v>
      </c>
      <c r="S83" s="394">
        <v>16</v>
      </c>
      <c r="T83" s="394">
        <v>17</v>
      </c>
      <c r="U83" s="394">
        <v>18</v>
      </c>
      <c r="V83" s="394">
        <v>19</v>
      </c>
      <c r="W83" s="394">
        <v>20</v>
      </c>
      <c r="X83" s="394">
        <v>21</v>
      </c>
      <c r="Y83" s="394">
        <v>22</v>
      </c>
      <c r="Z83" s="394">
        <v>23</v>
      </c>
      <c r="AA83" s="394">
        <v>24</v>
      </c>
      <c r="AB83" s="394">
        <v>25</v>
      </c>
      <c r="AC83" s="394">
        <v>26</v>
      </c>
      <c r="AD83" s="394">
        <v>27</v>
      </c>
      <c r="AE83" s="394">
        <v>28</v>
      </c>
      <c r="AF83" s="394">
        <v>29</v>
      </c>
      <c r="AG83" s="394">
        <v>30</v>
      </c>
      <c r="AH83" s="394">
        <v>31</v>
      </c>
      <c r="AI83" s="902"/>
      <c r="AJ83" s="902"/>
      <c r="AK83" s="902"/>
      <c r="AL83" s="902"/>
      <c r="AM83" s="916"/>
      <c r="AN83" s="917"/>
      <c r="AO83" s="902"/>
      <c r="AP83" s="902"/>
      <c r="AQ83" s="902"/>
      <c r="AR83" s="902"/>
    </row>
    <row r="84" spans="1:44" ht="12" customHeight="1">
      <c r="A84" s="331"/>
      <c r="B84" s="329"/>
      <c r="C84" s="331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403"/>
      <c r="R84" s="392"/>
      <c r="S84" s="392"/>
      <c r="T84" s="392"/>
      <c r="U84" s="392"/>
      <c r="V84" s="392"/>
      <c r="W84" s="392"/>
      <c r="X84" s="392"/>
      <c r="Y84" s="392"/>
      <c r="Z84" s="408"/>
      <c r="AA84" s="408"/>
      <c r="AB84" s="409"/>
      <c r="AC84" s="410"/>
      <c r="AD84" s="411"/>
      <c r="AE84" s="411"/>
      <c r="AF84" s="411"/>
      <c r="AG84" s="392"/>
      <c r="AH84" s="337"/>
      <c r="AI84" s="392">
        <f t="shared" ref="AI84:AI85" si="107">SUM(D84:AH84)</f>
        <v>0</v>
      </c>
      <c r="AJ84" s="392">
        <v>0</v>
      </c>
      <c r="AK84" s="392">
        <v>0</v>
      </c>
      <c r="AL84" s="392">
        <f t="shared" ref="AL84:AL105" si="108">AI84+AJ84-AK84</f>
        <v>0</v>
      </c>
      <c r="AM84" s="392">
        <f t="shared" ref="AM84:AM99" si="109">AL84*C84</f>
        <v>0</v>
      </c>
      <c r="AN84" s="711">
        <f t="shared" ref="AN84" si="110">AM84+AM85</f>
        <v>0</v>
      </c>
      <c r="AO84" s="713">
        <v>0</v>
      </c>
      <c r="AP84" s="711">
        <f t="shared" ref="AP84" si="111">AN84-AO84</f>
        <v>0</v>
      </c>
      <c r="AQ84" s="711"/>
      <c r="AR84" s="711"/>
    </row>
    <row r="85" spans="1:44" ht="12" customHeight="1">
      <c r="A85" s="331"/>
      <c r="B85" s="331"/>
      <c r="C85" s="331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403"/>
      <c r="R85" s="392"/>
      <c r="S85" s="392"/>
      <c r="T85" s="392"/>
      <c r="U85" s="392"/>
      <c r="V85" s="392"/>
      <c r="W85" s="392"/>
      <c r="X85" s="392"/>
      <c r="Y85" s="392"/>
      <c r="Z85" s="408"/>
      <c r="AA85" s="408"/>
      <c r="AB85" s="409"/>
      <c r="AC85" s="410"/>
      <c r="AD85" s="411"/>
      <c r="AE85" s="411"/>
      <c r="AF85" s="411"/>
      <c r="AG85" s="392"/>
      <c r="AH85" s="337"/>
      <c r="AI85" s="392">
        <f t="shared" si="107"/>
        <v>0</v>
      </c>
      <c r="AJ85" s="392">
        <v>0</v>
      </c>
      <c r="AK85" s="392">
        <v>0</v>
      </c>
      <c r="AL85" s="392">
        <f t="shared" si="108"/>
        <v>0</v>
      </c>
      <c r="AM85" s="392">
        <f t="shared" si="109"/>
        <v>0</v>
      </c>
      <c r="AN85" s="712"/>
      <c r="AO85" s="714"/>
      <c r="AP85" s="712"/>
      <c r="AQ85" s="712"/>
      <c r="AR85" s="712"/>
    </row>
    <row r="86" spans="1:44" ht="12" customHeight="1">
      <c r="A86" s="331">
        <v>1</v>
      </c>
      <c r="B86" s="329" t="s">
        <v>189</v>
      </c>
      <c r="C86" s="331">
        <v>520</v>
      </c>
      <c r="D86" s="392">
        <v>1</v>
      </c>
      <c r="E86" s="392">
        <v>1</v>
      </c>
      <c r="F86" s="392">
        <v>1</v>
      </c>
      <c r="G86" s="392">
        <v>1</v>
      </c>
      <c r="H86" s="392">
        <v>1</v>
      </c>
      <c r="I86" s="392">
        <v>1</v>
      </c>
      <c r="J86" s="392">
        <v>1</v>
      </c>
      <c r="K86" s="392">
        <v>1</v>
      </c>
      <c r="L86" s="395">
        <v>0</v>
      </c>
      <c r="M86" s="406">
        <v>0.5</v>
      </c>
      <c r="N86" s="400">
        <v>1</v>
      </c>
      <c r="O86" s="395">
        <v>0</v>
      </c>
      <c r="P86" s="395">
        <v>0</v>
      </c>
      <c r="Q86" s="404">
        <v>0</v>
      </c>
      <c r="R86" s="395">
        <v>0</v>
      </c>
      <c r="S86" s="395">
        <v>0</v>
      </c>
      <c r="T86" s="395">
        <v>0</v>
      </c>
      <c r="U86" s="395">
        <v>0</v>
      </c>
      <c r="V86" s="395">
        <v>0</v>
      </c>
      <c r="W86" s="395">
        <v>0</v>
      </c>
      <c r="X86" s="395">
        <v>0</v>
      </c>
      <c r="Y86" s="395">
        <v>0</v>
      </c>
      <c r="Z86" s="395">
        <v>0</v>
      </c>
      <c r="AA86" s="395">
        <v>0</v>
      </c>
      <c r="AB86" s="395">
        <v>0</v>
      </c>
      <c r="AC86" s="395">
        <v>0</v>
      </c>
      <c r="AD86" s="395">
        <v>0</v>
      </c>
      <c r="AE86" s="395">
        <v>0</v>
      </c>
      <c r="AF86" s="395">
        <v>0</v>
      </c>
      <c r="AG86" s="395">
        <v>0</v>
      </c>
      <c r="AH86" s="395"/>
      <c r="AI86" s="392">
        <f t="shared" ref="AI86:AI105" si="112">SUM(D86:AH86)</f>
        <v>9.5</v>
      </c>
      <c r="AJ86" s="392">
        <v>0</v>
      </c>
      <c r="AK86" s="392">
        <v>0</v>
      </c>
      <c r="AL86" s="392">
        <f t="shared" si="108"/>
        <v>9.5</v>
      </c>
      <c r="AM86" s="392">
        <f t="shared" si="109"/>
        <v>4940</v>
      </c>
      <c r="AN86" s="711">
        <f t="shared" ref="AN86" si="113">AM86+AM87</f>
        <v>6110</v>
      </c>
      <c r="AO86" s="713">
        <v>0</v>
      </c>
      <c r="AP86" s="711">
        <f t="shared" ref="AP86" si="114">AN86-AO86</f>
        <v>6110</v>
      </c>
      <c r="AQ86" s="711"/>
      <c r="AR86" s="711"/>
    </row>
    <row r="87" spans="1:44" ht="12" customHeight="1">
      <c r="A87" s="331"/>
      <c r="B87" s="329"/>
      <c r="C87" s="331">
        <f>C86/8</f>
        <v>65</v>
      </c>
      <c r="D87" s="392">
        <v>2</v>
      </c>
      <c r="E87" s="392">
        <v>2</v>
      </c>
      <c r="F87" s="392">
        <v>2</v>
      </c>
      <c r="G87" s="392">
        <v>2</v>
      </c>
      <c r="H87" s="392">
        <v>2</v>
      </c>
      <c r="I87" s="392">
        <v>2</v>
      </c>
      <c r="J87" s="392">
        <v>2</v>
      </c>
      <c r="K87" s="392">
        <v>2</v>
      </c>
      <c r="L87" s="395">
        <v>0</v>
      </c>
      <c r="M87" s="395">
        <v>0</v>
      </c>
      <c r="N87" s="402">
        <v>2</v>
      </c>
      <c r="O87" s="395">
        <v>0</v>
      </c>
      <c r="P87" s="395">
        <v>0</v>
      </c>
      <c r="Q87" s="404">
        <v>0</v>
      </c>
      <c r="R87" s="395">
        <v>0</v>
      </c>
      <c r="S87" s="395">
        <v>0</v>
      </c>
      <c r="T87" s="395">
        <v>0</v>
      </c>
      <c r="U87" s="395">
        <v>0</v>
      </c>
      <c r="V87" s="395">
        <v>0</v>
      </c>
      <c r="W87" s="395">
        <v>0</v>
      </c>
      <c r="X87" s="395">
        <v>0</v>
      </c>
      <c r="Y87" s="395">
        <v>0</v>
      </c>
      <c r="Z87" s="395">
        <v>0</v>
      </c>
      <c r="AA87" s="395">
        <v>0</v>
      </c>
      <c r="AB87" s="395">
        <v>0</v>
      </c>
      <c r="AC87" s="395">
        <v>0</v>
      </c>
      <c r="AD87" s="395">
        <v>0</v>
      </c>
      <c r="AE87" s="395">
        <v>0</v>
      </c>
      <c r="AF87" s="395">
        <v>0</v>
      </c>
      <c r="AG87" s="395">
        <v>0</v>
      </c>
      <c r="AH87" s="395"/>
      <c r="AI87" s="392">
        <f t="shared" si="112"/>
        <v>18</v>
      </c>
      <c r="AJ87" s="392">
        <v>0</v>
      </c>
      <c r="AK87" s="392">
        <v>0</v>
      </c>
      <c r="AL87" s="392">
        <f t="shared" si="108"/>
        <v>18</v>
      </c>
      <c r="AM87" s="392">
        <f t="shared" si="109"/>
        <v>1170</v>
      </c>
      <c r="AN87" s="712"/>
      <c r="AO87" s="714"/>
      <c r="AP87" s="712"/>
      <c r="AQ87" s="712"/>
      <c r="AR87" s="712"/>
    </row>
    <row r="88" spans="1:44" ht="12" customHeight="1">
      <c r="A88" s="331">
        <v>2</v>
      </c>
      <c r="B88" s="329" t="s">
        <v>167</v>
      </c>
      <c r="C88" s="331">
        <v>520</v>
      </c>
      <c r="D88" s="392">
        <v>1</v>
      </c>
      <c r="E88" s="392">
        <v>1</v>
      </c>
      <c r="F88" s="392">
        <v>1</v>
      </c>
      <c r="G88" s="392">
        <v>1</v>
      </c>
      <c r="H88" s="392">
        <v>1</v>
      </c>
      <c r="I88" s="392">
        <v>1</v>
      </c>
      <c r="J88" s="395">
        <v>0</v>
      </c>
      <c r="K88" s="392">
        <v>1</v>
      </c>
      <c r="L88" s="393">
        <v>1</v>
      </c>
      <c r="M88" s="393">
        <v>1</v>
      </c>
      <c r="N88" s="400">
        <v>1</v>
      </c>
      <c r="O88" s="400">
        <v>1</v>
      </c>
      <c r="P88" s="400">
        <v>1</v>
      </c>
      <c r="Q88" s="404">
        <v>0</v>
      </c>
      <c r="R88" s="400">
        <v>1</v>
      </c>
      <c r="S88" s="400">
        <v>1</v>
      </c>
      <c r="T88" s="402">
        <v>1</v>
      </c>
      <c r="U88" s="402">
        <v>1</v>
      </c>
      <c r="V88" s="402">
        <v>1</v>
      </c>
      <c r="W88" s="402">
        <v>1</v>
      </c>
      <c r="X88" s="402">
        <v>1</v>
      </c>
      <c r="Y88" s="405">
        <v>1</v>
      </c>
      <c r="Z88" s="408">
        <v>1</v>
      </c>
      <c r="AA88" s="408">
        <v>1</v>
      </c>
      <c r="AB88" s="409">
        <v>1</v>
      </c>
      <c r="AC88" s="410">
        <v>1</v>
      </c>
      <c r="AD88" s="411">
        <v>1</v>
      </c>
      <c r="AE88" s="411">
        <v>1</v>
      </c>
      <c r="AF88" s="411">
        <v>1</v>
      </c>
      <c r="AG88" s="412">
        <v>1</v>
      </c>
      <c r="AH88" s="337"/>
      <c r="AI88" s="392">
        <f t="shared" si="112"/>
        <v>28</v>
      </c>
      <c r="AJ88" s="392">
        <v>0</v>
      </c>
      <c r="AK88" s="392">
        <v>0</v>
      </c>
      <c r="AL88" s="392">
        <f t="shared" si="108"/>
        <v>28</v>
      </c>
      <c r="AM88" s="392">
        <f t="shared" si="109"/>
        <v>14560</v>
      </c>
      <c r="AN88" s="711">
        <f t="shared" ref="AN88" si="115">AM88+AM89</f>
        <v>18070</v>
      </c>
      <c r="AO88" s="713">
        <v>0</v>
      </c>
      <c r="AP88" s="711">
        <f t="shared" ref="AP88" si="116">AN88-AO88</f>
        <v>18070</v>
      </c>
      <c r="AQ88" s="711"/>
      <c r="AR88" s="711"/>
    </row>
    <row r="89" spans="1:44" ht="12" customHeight="1">
      <c r="A89" s="331"/>
      <c r="B89" s="329"/>
      <c r="C89" s="331">
        <f>C88/8</f>
        <v>65</v>
      </c>
      <c r="D89" s="392">
        <v>2</v>
      </c>
      <c r="E89" s="392">
        <v>2</v>
      </c>
      <c r="F89" s="392">
        <v>2</v>
      </c>
      <c r="G89" s="392">
        <v>2</v>
      </c>
      <c r="H89" s="392">
        <v>2</v>
      </c>
      <c r="I89" s="392">
        <v>2</v>
      </c>
      <c r="J89" s="395">
        <v>0</v>
      </c>
      <c r="K89" s="392">
        <v>2</v>
      </c>
      <c r="L89" s="393">
        <v>2</v>
      </c>
      <c r="M89" s="393">
        <v>2</v>
      </c>
      <c r="N89" s="400">
        <v>2</v>
      </c>
      <c r="O89" s="400">
        <v>2</v>
      </c>
      <c r="P89" s="400">
        <v>2</v>
      </c>
      <c r="Q89" s="404">
        <v>0</v>
      </c>
      <c r="R89" s="400">
        <v>2</v>
      </c>
      <c r="S89" s="400">
        <v>2</v>
      </c>
      <c r="T89" s="402">
        <v>2</v>
      </c>
      <c r="U89" s="402">
        <v>2</v>
      </c>
      <c r="V89" s="402">
        <v>2</v>
      </c>
      <c r="W89" s="402">
        <v>2</v>
      </c>
      <c r="X89" s="395">
        <v>0</v>
      </c>
      <c r="Y89" s="405">
        <v>2</v>
      </c>
      <c r="Z89" s="408">
        <v>2</v>
      </c>
      <c r="AA89" s="408">
        <v>2</v>
      </c>
      <c r="AB89" s="409">
        <v>2</v>
      </c>
      <c r="AC89" s="410">
        <v>2</v>
      </c>
      <c r="AD89" s="411">
        <v>2</v>
      </c>
      <c r="AE89" s="411">
        <v>2</v>
      </c>
      <c r="AF89" s="411">
        <v>2</v>
      </c>
      <c r="AG89" s="412">
        <v>2</v>
      </c>
      <c r="AH89" s="337"/>
      <c r="AI89" s="392">
        <f t="shared" si="112"/>
        <v>54</v>
      </c>
      <c r="AJ89" s="392">
        <v>0</v>
      </c>
      <c r="AK89" s="392">
        <v>0</v>
      </c>
      <c r="AL89" s="392">
        <f t="shared" si="108"/>
        <v>54</v>
      </c>
      <c r="AM89" s="392">
        <f t="shared" si="109"/>
        <v>3510</v>
      </c>
      <c r="AN89" s="712"/>
      <c r="AO89" s="714"/>
      <c r="AP89" s="712"/>
      <c r="AQ89" s="712"/>
      <c r="AR89" s="712"/>
    </row>
    <row r="90" spans="1:44" ht="12" customHeight="1">
      <c r="A90" s="331">
        <v>3</v>
      </c>
      <c r="B90" s="329" t="s">
        <v>185</v>
      </c>
      <c r="C90" s="331">
        <v>480</v>
      </c>
      <c r="D90" s="392">
        <v>1</v>
      </c>
      <c r="E90" s="392">
        <v>1</v>
      </c>
      <c r="F90" s="392">
        <v>1</v>
      </c>
      <c r="G90" s="392">
        <v>1</v>
      </c>
      <c r="H90" s="395">
        <v>0</v>
      </c>
      <c r="I90" s="395">
        <v>0</v>
      </c>
      <c r="J90" s="392">
        <v>1</v>
      </c>
      <c r="K90" s="392">
        <v>1</v>
      </c>
      <c r="L90" s="393">
        <v>1</v>
      </c>
      <c r="M90" s="393">
        <v>1</v>
      </c>
      <c r="N90" s="400">
        <v>1</v>
      </c>
      <c r="O90" s="395">
        <v>0</v>
      </c>
      <c r="P90" s="402">
        <v>1</v>
      </c>
      <c r="Q90" s="404">
        <v>0</v>
      </c>
      <c r="R90" s="402">
        <v>1</v>
      </c>
      <c r="S90" s="400">
        <v>1</v>
      </c>
      <c r="T90" s="402">
        <v>1</v>
      </c>
      <c r="U90" s="395">
        <v>0</v>
      </c>
      <c r="V90" s="395">
        <v>0</v>
      </c>
      <c r="W90" s="395">
        <v>0</v>
      </c>
      <c r="X90" s="402">
        <v>1</v>
      </c>
      <c r="Y90" s="405">
        <v>1</v>
      </c>
      <c r="Z90" s="408">
        <v>1</v>
      </c>
      <c r="AA90" s="408">
        <v>1</v>
      </c>
      <c r="AB90" s="409">
        <v>1</v>
      </c>
      <c r="AC90" s="410">
        <v>1</v>
      </c>
      <c r="AD90" s="411">
        <v>1</v>
      </c>
      <c r="AE90" s="395">
        <v>0</v>
      </c>
      <c r="AF90" s="411">
        <v>1</v>
      </c>
      <c r="AG90" s="412">
        <v>1</v>
      </c>
      <c r="AH90" s="337"/>
      <c r="AI90" s="392">
        <f t="shared" si="112"/>
        <v>22</v>
      </c>
      <c r="AJ90" s="392">
        <v>0</v>
      </c>
      <c r="AK90" s="392">
        <v>0</v>
      </c>
      <c r="AL90" s="392">
        <f t="shared" si="108"/>
        <v>22</v>
      </c>
      <c r="AM90" s="392">
        <f t="shared" si="109"/>
        <v>10560</v>
      </c>
      <c r="AN90" s="711">
        <f t="shared" ref="AN90" si="117">AM90+AM91</f>
        <v>13200</v>
      </c>
      <c r="AO90" s="713">
        <v>0</v>
      </c>
      <c r="AP90" s="711">
        <f t="shared" ref="AP90" si="118">AN90-AO90</f>
        <v>13200</v>
      </c>
      <c r="AQ90" s="711"/>
      <c r="AR90" s="711"/>
    </row>
    <row r="91" spans="1:44" ht="12" customHeight="1">
      <c r="A91" s="331"/>
      <c r="B91" s="329"/>
      <c r="C91" s="331">
        <f>C90/8</f>
        <v>60</v>
      </c>
      <c r="D91" s="392">
        <v>2</v>
      </c>
      <c r="E91" s="392">
        <v>2</v>
      </c>
      <c r="F91" s="392">
        <v>2</v>
      </c>
      <c r="G91" s="392">
        <v>2</v>
      </c>
      <c r="H91" s="395">
        <v>0</v>
      </c>
      <c r="I91" s="395">
        <v>0</v>
      </c>
      <c r="J91" s="392">
        <v>2</v>
      </c>
      <c r="K91" s="392">
        <v>2</v>
      </c>
      <c r="L91" s="393">
        <v>2</v>
      </c>
      <c r="M91" s="393">
        <v>2</v>
      </c>
      <c r="N91" s="400">
        <v>2</v>
      </c>
      <c r="O91" s="395">
        <v>0</v>
      </c>
      <c r="P91" s="402">
        <v>2</v>
      </c>
      <c r="Q91" s="404">
        <v>0</v>
      </c>
      <c r="R91" s="402">
        <v>2</v>
      </c>
      <c r="S91" s="400">
        <v>2</v>
      </c>
      <c r="T91" s="402">
        <v>2</v>
      </c>
      <c r="U91" s="395">
        <v>0</v>
      </c>
      <c r="V91" s="395">
        <v>0</v>
      </c>
      <c r="W91" s="395">
        <v>0</v>
      </c>
      <c r="X91" s="402">
        <v>2</v>
      </c>
      <c r="Y91" s="405">
        <v>2</v>
      </c>
      <c r="Z91" s="408">
        <v>2</v>
      </c>
      <c r="AA91" s="408">
        <v>2</v>
      </c>
      <c r="AB91" s="409">
        <v>2</v>
      </c>
      <c r="AC91" s="410">
        <v>2</v>
      </c>
      <c r="AD91" s="411">
        <v>2</v>
      </c>
      <c r="AE91" s="395">
        <v>0</v>
      </c>
      <c r="AF91" s="411">
        <v>2</v>
      </c>
      <c r="AG91" s="412">
        <v>2</v>
      </c>
      <c r="AH91" s="337"/>
      <c r="AI91" s="392">
        <f t="shared" si="112"/>
        <v>44</v>
      </c>
      <c r="AJ91" s="392">
        <v>0</v>
      </c>
      <c r="AK91" s="392">
        <v>0</v>
      </c>
      <c r="AL91" s="392">
        <f t="shared" si="108"/>
        <v>44</v>
      </c>
      <c r="AM91" s="392">
        <f t="shared" si="109"/>
        <v>2640</v>
      </c>
      <c r="AN91" s="712"/>
      <c r="AO91" s="714"/>
      <c r="AP91" s="712"/>
      <c r="AQ91" s="712"/>
      <c r="AR91" s="712"/>
    </row>
    <row r="92" spans="1:44" ht="12" customHeight="1">
      <c r="A92" s="331">
        <v>4</v>
      </c>
      <c r="B92" s="329" t="s">
        <v>182</v>
      </c>
      <c r="C92" s="331">
        <v>480</v>
      </c>
      <c r="D92" s="392">
        <v>1</v>
      </c>
      <c r="E92" s="392">
        <v>1</v>
      </c>
      <c r="F92" s="392">
        <v>1</v>
      </c>
      <c r="G92" s="392">
        <v>1</v>
      </c>
      <c r="H92" s="392">
        <v>1</v>
      </c>
      <c r="I92" s="392">
        <v>1</v>
      </c>
      <c r="J92" s="392">
        <v>1</v>
      </c>
      <c r="K92" s="392">
        <v>1</v>
      </c>
      <c r="L92" s="393">
        <v>1</v>
      </c>
      <c r="M92" s="393">
        <v>1</v>
      </c>
      <c r="N92" s="400">
        <v>1</v>
      </c>
      <c r="O92" s="400">
        <v>1</v>
      </c>
      <c r="P92" s="400">
        <v>1</v>
      </c>
      <c r="Q92" s="404">
        <v>0</v>
      </c>
      <c r="R92" s="400">
        <v>1</v>
      </c>
      <c r="S92" s="400">
        <v>1</v>
      </c>
      <c r="T92" s="402">
        <v>1</v>
      </c>
      <c r="U92" s="402">
        <v>1</v>
      </c>
      <c r="V92" s="402">
        <v>1</v>
      </c>
      <c r="W92" s="402">
        <v>1</v>
      </c>
      <c r="X92" s="402">
        <v>1</v>
      </c>
      <c r="Y92" s="405">
        <v>1</v>
      </c>
      <c r="Z92" s="408">
        <v>1</v>
      </c>
      <c r="AA92" s="408">
        <v>1</v>
      </c>
      <c r="AB92" s="409">
        <v>1</v>
      </c>
      <c r="AC92" s="410">
        <v>1</v>
      </c>
      <c r="AD92" s="395">
        <v>0</v>
      </c>
      <c r="AE92" s="411">
        <v>1</v>
      </c>
      <c r="AF92" s="411">
        <v>1</v>
      </c>
      <c r="AG92" s="412">
        <v>1</v>
      </c>
      <c r="AH92" s="337"/>
      <c r="AI92" s="392">
        <f t="shared" si="112"/>
        <v>28</v>
      </c>
      <c r="AJ92" s="392">
        <v>0</v>
      </c>
      <c r="AK92" s="392">
        <v>0</v>
      </c>
      <c r="AL92" s="392">
        <f t="shared" si="108"/>
        <v>28</v>
      </c>
      <c r="AM92" s="392">
        <f t="shared" si="109"/>
        <v>13440</v>
      </c>
      <c r="AN92" s="711">
        <f t="shared" ref="AN92" si="119">AM92+AM93</f>
        <v>16800</v>
      </c>
      <c r="AO92" s="713">
        <v>0</v>
      </c>
      <c r="AP92" s="711">
        <f t="shared" ref="AP92" si="120">AN92-AO92</f>
        <v>16800</v>
      </c>
      <c r="AQ92" s="711"/>
      <c r="AR92" s="711"/>
    </row>
    <row r="93" spans="1:44" ht="12" customHeight="1">
      <c r="A93" s="331"/>
      <c r="B93" s="329"/>
      <c r="C93" s="331">
        <f t="shared" ref="C93" si="121">C92/8</f>
        <v>60</v>
      </c>
      <c r="D93" s="392">
        <v>2</v>
      </c>
      <c r="E93" s="392">
        <v>2</v>
      </c>
      <c r="F93" s="392">
        <v>2</v>
      </c>
      <c r="G93" s="392">
        <v>2</v>
      </c>
      <c r="H93" s="392">
        <v>2</v>
      </c>
      <c r="I93" s="392">
        <v>2</v>
      </c>
      <c r="J93" s="392">
        <v>2</v>
      </c>
      <c r="K93" s="392">
        <v>2</v>
      </c>
      <c r="L93" s="393">
        <v>2</v>
      </c>
      <c r="M93" s="393">
        <v>2</v>
      </c>
      <c r="N93" s="400">
        <v>2</v>
      </c>
      <c r="O93" s="400">
        <v>2</v>
      </c>
      <c r="P93" s="400">
        <v>2</v>
      </c>
      <c r="Q93" s="404">
        <v>0</v>
      </c>
      <c r="R93" s="400">
        <v>2</v>
      </c>
      <c r="S93" s="400">
        <v>2</v>
      </c>
      <c r="T93" s="402">
        <v>2</v>
      </c>
      <c r="U93" s="402">
        <v>2</v>
      </c>
      <c r="V93" s="402">
        <v>2</v>
      </c>
      <c r="W93" s="402">
        <v>2</v>
      </c>
      <c r="X93" s="402">
        <v>2</v>
      </c>
      <c r="Y93" s="405">
        <v>2</v>
      </c>
      <c r="Z93" s="408">
        <v>2</v>
      </c>
      <c r="AA93" s="408">
        <v>2</v>
      </c>
      <c r="AB93" s="409">
        <v>2</v>
      </c>
      <c r="AC93" s="410">
        <v>2</v>
      </c>
      <c r="AD93" s="395">
        <v>0</v>
      </c>
      <c r="AE93" s="411">
        <v>2</v>
      </c>
      <c r="AF93" s="411">
        <v>2</v>
      </c>
      <c r="AG93" s="412">
        <v>2</v>
      </c>
      <c r="AH93" s="337"/>
      <c r="AI93" s="392">
        <f t="shared" si="112"/>
        <v>56</v>
      </c>
      <c r="AJ93" s="392">
        <v>0</v>
      </c>
      <c r="AK93" s="392">
        <v>0</v>
      </c>
      <c r="AL93" s="392">
        <f t="shared" si="108"/>
        <v>56</v>
      </c>
      <c r="AM93" s="392">
        <f t="shared" si="109"/>
        <v>3360</v>
      </c>
      <c r="AN93" s="712"/>
      <c r="AO93" s="714"/>
      <c r="AP93" s="712"/>
      <c r="AQ93" s="712"/>
      <c r="AR93" s="712"/>
    </row>
    <row r="94" spans="1:44" ht="12" customHeight="1">
      <c r="A94" s="331">
        <v>5</v>
      </c>
      <c r="B94" s="329" t="s">
        <v>183</v>
      </c>
      <c r="C94" s="331">
        <v>480</v>
      </c>
      <c r="D94" s="392">
        <v>1</v>
      </c>
      <c r="E94" s="392">
        <v>1</v>
      </c>
      <c r="F94" s="392">
        <v>1</v>
      </c>
      <c r="G94" s="392">
        <v>1</v>
      </c>
      <c r="H94" s="392">
        <v>1</v>
      </c>
      <c r="I94" s="392">
        <v>1</v>
      </c>
      <c r="J94" s="392">
        <v>1</v>
      </c>
      <c r="K94" s="392">
        <v>1</v>
      </c>
      <c r="L94" s="393">
        <v>1</v>
      </c>
      <c r="M94" s="395">
        <v>0</v>
      </c>
      <c r="N94" s="402">
        <v>1</v>
      </c>
      <c r="O94" s="402">
        <v>1</v>
      </c>
      <c r="P94" s="402">
        <v>1</v>
      </c>
      <c r="Q94" s="404">
        <v>0</v>
      </c>
      <c r="R94" s="402">
        <v>1</v>
      </c>
      <c r="S94" s="402">
        <v>1</v>
      </c>
      <c r="T94" s="402">
        <v>1</v>
      </c>
      <c r="U94" s="402">
        <v>1</v>
      </c>
      <c r="V94" s="402">
        <v>1</v>
      </c>
      <c r="W94" s="395">
        <v>0</v>
      </c>
      <c r="X94" s="402">
        <v>1</v>
      </c>
      <c r="Y94" s="405">
        <v>1</v>
      </c>
      <c r="Z94" s="408">
        <v>1</v>
      </c>
      <c r="AA94" s="408">
        <v>1</v>
      </c>
      <c r="AB94" s="409">
        <v>1</v>
      </c>
      <c r="AC94" s="410">
        <v>1</v>
      </c>
      <c r="AD94" s="395">
        <v>0</v>
      </c>
      <c r="AE94" s="411">
        <v>1</v>
      </c>
      <c r="AF94" s="411">
        <v>1</v>
      </c>
      <c r="AG94" s="412">
        <v>1</v>
      </c>
      <c r="AH94" s="337"/>
      <c r="AI94" s="392">
        <f t="shared" si="112"/>
        <v>26</v>
      </c>
      <c r="AJ94" s="392">
        <v>0</v>
      </c>
      <c r="AK94" s="392">
        <v>0</v>
      </c>
      <c r="AL94" s="392">
        <f t="shared" si="108"/>
        <v>26</v>
      </c>
      <c r="AM94" s="392">
        <f t="shared" si="109"/>
        <v>12480</v>
      </c>
      <c r="AN94" s="711">
        <f t="shared" ref="AN94" si="122">AM94+AM95</f>
        <v>15600</v>
      </c>
      <c r="AO94" s="713">
        <v>0</v>
      </c>
      <c r="AP94" s="711">
        <f t="shared" ref="AP94" si="123">AN94-AO94</f>
        <v>15600</v>
      </c>
      <c r="AQ94" s="711"/>
      <c r="AR94" s="711"/>
    </row>
    <row r="95" spans="1:44" ht="12" customHeight="1">
      <c r="A95" s="331"/>
      <c r="B95" s="329"/>
      <c r="C95" s="331">
        <f t="shared" ref="C95" si="124">C94/8</f>
        <v>60</v>
      </c>
      <c r="D95" s="392">
        <v>2</v>
      </c>
      <c r="E95" s="392">
        <v>2</v>
      </c>
      <c r="F95" s="392">
        <v>2</v>
      </c>
      <c r="G95" s="392">
        <v>2</v>
      </c>
      <c r="H95" s="392">
        <v>2</v>
      </c>
      <c r="I95" s="392">
        <v>2</v>
      </c>
      <c r="J95" s="392">
        <v>2</v>
      </c>
      <c r="K95" s="392">
        <v>2</v>
      </c>
      <c r="L95" s="393">
        <v>2</v>
      </c>
      <c r="M95" s="395">
        <v>0</v>
      </c>
      <c r="N95" s="402">
        <v>2</v>
      </c>
      <c r="O95" s="402">
        <v>2</v>
      </c>
      <c r="P95" s="402">
        <v>2</v>
      </c>
      <c r="Q95" s="404">
        <v>0</v>
      </c>
      <c r="R95" s="402">
        <v>2</v>
      </c>
      <c r="S95" s="402">
        <v>2</v>
      </c>
      <c r="T95" s="402">
        <v>2</v>
      </c>
      <c r="U95" s="402">
        <v>2</v>
      </c>
      <c r="V95" s="402">
        <v>2</v>
      </c>
      <c r="W95" s="395">
        <v>0</v>
      </c>
      <c r="X95" s="402">
        <v>2</v>
      </c>
      <c r="Y95" s="405">
        <v>2</v>
      </c>
      <c r="Z95" s="408">
        <v>2</v>
      </c>
      <c r="AA95" s="408">
        <v>2</v>
      </c>
      <c r="AB95" s="409">
        <v>2</v>
      </c>
      <c r="AC95" s="410">
        <v>2</v>
      </c>
      <c r="AD95" s="395">
        <v>0</v>
      </c>
      <c r="AE95" s="411">
        <v>2</v>
      </c>
      <c r="AF95" s="411">
        <v>2</v>
      </c>
      <c r="AG95" s="412">
        <v>2</v>
      </c>
      <c r="AH95" s="337"/>
      <c r="AI95" s="392">
        <f t="shared" si="112"/>
        <v>52</v>
      </c>
      <c r="AJ95" s="392">
        <v>0</v>
      </c>
      <c r="AK95" s="392">
        <v>0</v>
      </c>
      <c r="AL95" s="392">
        <f t="shared" si="108"/>
        <v>52</v>
      </c>
      <c r="AM95" s="392">
        <f t="shared" si="109"/>
        <v>3120</v>
      </c>
      <c r="AN95" s="712"/>
      <c r="AO95" s="714"/>
      <c r="AP95" s="712"/>
      <c r="AQ95" s="712"/>
      <c r="AR95" s="712"/>
    </row>
    <row r="96" spans="1:44" ht="12" customHeight="1">
      <c r="A96" s="331">
        <v>6</v>
      </c>
      <c r="B96" s="329" t="s">
        <v>193</v>
      </c>
      <c r="C96" s="331">
        <v>320</v>
      </c>
      <c r="D96" s="392"/>
      <c r="E96" s="392"/>
      <c r="F96" s="395"/>
      <c r="G96" s="395"/>
      <c r="H96" s="392"/>
      <c r="I96" s="392"/>
      <c r="J96" s="392"/>
      <c r="K96" s="392"/>
      <c r="L96" s="395">
        <v>0</v>
      </c>
      <c r="M96" s="395">
        <v>0</v>
      </c>
      <c r="N96" s="395">
        <v>0</v>
      </c>
      <c r="O96" s="395">
        <v>0</v>
      </c>
      <c r="P96" s="395">
        <v>0</v>
      </c>
      <c r="Q96" s="395">
        <v>0</v>
      </c>
      <c r="R96" s="395">
        <v>0</v>
      </c>
      <c r="S96" s="395">
        <v>0</v>
      </c>
      <c r="T96" s="395">
        <v>0</v>
      </c>
      <c r="U96" s="395">
        <v>0</v>
      </c>
      <c r="V96" s="395">
        <v>0</v>
      </c>
      <c r="W96" s="395">
        <v>0</v>
      </c>
      <c r="X96" s="395">
        <v>0</v>
      </c>
      <c r="Y96" s="407">
        <v>1</v>
      </c>
      <c r="Z96" s="407">
        <v>1</v>
      </c>
      <c r="AA96" s="407">
        <v>1</v>
      </c>
      <c r="AB96" s="407">
        <v>1</v>
      </c>
      <c r="AC96" s="407">
        <v>1</v>
      </c>
      <c r="AD96" s="407">
        <v>1</v>
      </c>
      <c r="AE96" s="407">
        <v>1</v>
      </c>
      <c r="AF96" s="395">
        <v>0</v>
      </c>
      <c r="AG96" s="395">
        <v>0</v>
      </c>
      <c r="AH96" s="337"/>
      <c r="AI96" s="392">
        <f t="shared" si="112"/>
        <v>7</v>
      </c>
      <c r="AJ96" s="392">
        <v>0</v>
      </c>
      <c r="AK96" s="392">
        <v>0</v>
      </c>
      <c r="AL96" s="392">
        <f t="shared" si="108"/>
        <v>7</v>
      </c>
      <c r="AM96" s="392">
        <f t="shared" si="109"/>
        <v>2240</v>
      </c>
      <c r="AN96" s="711">
        <f t="shared" ref="AN96" si="125">AM96+AM97</f>
        <v>2800</v>
      </c>
      <c r="AO96" s="713">
        <v>0</v>
      </c>
      <c r="AP96" s="711">
        <f t="shared" ref="AP96" si="126">AN96-AO96</f>
        <v>2800</v>
      </c>
      <c r="AQ96" s="711"/>
      <c r="AR96" s="711"/>
    </row>
    <row r="97" spans="1:44" ht="12" customHeight="1">
      <c r="A97" s="331"/>
      <c r="B97" s="329"/>
      <c r="C97" s="331">
        <f t="shared" ref="C97" si="127">C96/8</f>
        <v>40</v>
      </c>
      <c r="D97" s="392"/>
      <c r="E97" s="392"/>
      <c r="F97" s="395"/>
      <c r="G97" s="395"/>
      <c r="H97" s="392"/>
      <c r="I97" s="392"/>
      <c r="J97" s="392"/>
      <c r="K97" s="392"/>
      <c r="L97" s="395">
        <v>0</v>
      </c>
      <c r="M97" s="395">
        <v>0</v>
      </c>
      <c r="N97" s="395">
        <v>0</v>
      </c>
      <c r="O97" s="395">
        <v>0</v>
      </c>
      <c r="P97" s="395">
        <v>0</v>
      </c>
      <c r="Q97" s="395">
        <v>0</v>
      </c>
      <c r="R97" s="395">
        <v>0</v>
      </c>
      <c r="S97" s="395">
        <v>0</v>
      </c>
      <c r="T97" s="395">
        <v>0</v>
      </c>
      <c r="U97" s="395">
        <v>0</v>
      </c>
      <c r="V97" s="395">
        <v>0</v>
      </c>
      <c r="W97" s="395">
        <v>0</v>
      </c>
      <c r="X97" s="395">
        <v>0</v>
      </c>
      <c r="Y97" s="407">
        <v>2</v>
      </c>
      <c r="Z97" s="407">
        <v>2</v>
      </c>
      <c r="AA97" s="407">
        <v>2</v>
      </c>
      <c r="AB97" s="407">
        <v>2</v>
      </c>
      <c r="AC97" s="407">
        <v>2</v>
      </c>
      <c r="AD97" s="407">
        <v>2</v>
      </c>
      <c r="AE97" s="407">
        <v>2</v>
      </c>
      <c r="AF97" s="395">
        <v>0</v>
      </c>
      <c r="AG97" s="395">
        <v>0</v>
      </c>
      <c r="AH97" s="337"/>
      <c r="AI97" s="392">
        <f t="shared" si="112"/>
        <v>14</v>
      </c>
      <c r="AJ97" s="392">
        <v>0</v>
      </c>
      <c r="AK97" s="392">
        <v>0</v>
      </c>
      <c r="AL97" s="392">
        <f t="shared" si="108"/>
        <v>14</v>
      </c>
      <c r="AM97" s="392">
        <f t="shared" si="109"/>
        <v>560</v>
      </c>
      <c r="AN97" s="712"/>
      <c r="AO97" s="714"/>
      <c r="AP97" s="712"/>
      <c r="AQ97" s="712"/>
      <c r="AR97" s="712"/>
    </row>
    <row r="98" spans="1:44" ht="12" customHeight="1">
      <c r="A98" s="331">
        <v>7</v>
      </c>
      <c r="B98" s="329" t="s">
        <v>196</v>
      </c>
      <c r="C98" s="331">
        <v>296</v>
      </c>
      <c r="D98" s="392"/>
      <c r="E98" s="392"/>
      <c r="F98" s="395"/>
      <c r="G98" s="392"/>
      <c r="H98" s="395"/>
      <c r="I98" s="392"/>
      <c r="J98" s="392"/>
      <c r="K98" s="392"/>
      <c r="L98" s="399">
        <v>1</v>
      </c>
      <c r="M98" s="399">
        <v>1</v>
      </c>
      <c r="N98" s="399">
        <v>1</v>
      </c>
      <c r="O98" s="399">
        <v>1</v>
      </c>
      <c r="P98" s="399">
        <v>1</v>
      </c>
      <c r="Q98" s="404">
        <v>1</v>
      </c>
      <c r="R98" s="399">
        <v>1</v>
      </c>
      <c r="S98" s="399">
        <v>1</v>
      </c>
      <c r="T98" s="399">
        <v>1</v>
      </c>
      <c r="U98" s="399">
        <v>1</v>
      </c>
      <c r="V98" s="399">
        <v>1</v>
      </c>
      <c r="W98" s="395">
        <v>1</v>
      </c>
      <c r="X98" s="399">
        <v>1</v>
      </c>
      <c r="Y98" s="399">
        <v>1</v>
      </c>
      <c r="Z98" s="399">
        <v>1</v>
      </c>
      <c r="AA98" s="399">
        <v>1</v>
      </c>
      <c r="AB98" s="399">
        <v>1</v>
      </c>
      <c r="AC98" s="399">
        <v>1</v>
      </c>
      <c r="AD98" s="395">
        <v>1</v>
      </c>
      <c r="AE98" s="399">
        <v>1</v>
      </c>
      <c r="AF98" s="399">
        <v>1</v>
      </c>
      <c r="AG98" s="399">
        <v>1</v>
      </c>
      <c r="AH98" s="337"/>
      <c r="AI98" s="392">
        <f t="shared" si="112"/>
        <v>22</v>
      </c>
      <c r="AJ98" s="392">
        <v>0</v>
      </c>
      <c r="AK98" s="392">
        <v>0</v>
      </c>
      <c r="AL98" s="392">
        <f t="shared" si="108"/>
        <v>22</v>
      </c>
      <c r="AM98" s="392">
        <f t="shared" si="109"/>
        <v>6512</v>
      </c>
      <c r="AN98" s="711">
        <f t="shared" ref="AN98" si="128">AM98+AM99</f>
        <v>7918</v>
      </c>
      <c r="AO98" s="713">
        <v>0</v>
      </c>
      <c r="AP98" s="711">
        <f t="shared" ref="AP98" si="129">AN98-AO98</f>
        <v>7918</v>
      </c>
      <c r="AQ98" s="711"/>
      <c r="AR98" s="711"/>
    </row>
    <row r="99" spans="1:44" ht="12" customHeight="1">
      <c r="A99" s="331"/>
      <c r="B99" s="329"/>
      <c r="C99" s="331">
        <v>37</v>
      </c>
      <c r="D99" s="392"/>
      <c r="E99" s="392"/>
      <c r="F99" s="395"/>
      <c r="G99" s="392"/>
      <c r="H99" s="395"/>
      <c r="I99" s="392"/>
      <c r="J99" s="392"/>
      <c r="K99" s="392"/>
      <c r="L99" s="399">
        <v>2</v>
      </c>
      <c r="M99" s="399">
        <v>2</v>
      </c>
      <c r="N99" s="399">
        <v>2</v>
      </c>
      <c r="O99" s="399">
        <v>2</v>
      </c>
      <c r="P99" s="399">
        <v>2</v>
      </c>
      <c r="Q99" s="404">
        <v>0</v>
      </c>
      <c r="R99" s="399">
        <v>2</v>
      </c>
      <c r="S99" s="399">
        <v>2</v>
      </c>
      <c r="T99" s="399">
        <v>2</v>
      </c>
      <c r="U99" s="399">
        <v>2</v>
      </c>
      <c r="V99" s="399">
        <v>2</v>
      </c>
      <c r="W99" s="395">
        <v>0</v>
      </c>
      <c r="X99" s="399">
        <v>2</v>
      </c>
      <c r="Y99" s="399">
        <v>2</v>
      </c>
      <c r="Z99" s="399">
        <v>2</v>
      </c>
      <c r="AA99" s="399">
        <v>2</v>
      </c>
      <c r="AB99" s="399">
        <v>2</v>
      </c>
      <c r="AC99" s="399">
        <v>2</v>
      </c>
      <c r="AD99" s="395">
        <v>0</v>
      </c>
      <c r="AE99" s="399">
        <v>2</v>
      </c>
      <c r="AF99" s="399">
        <v>2</v>
      </c>
      <c r="AG99" s="399">
        <v>2</v>
      </c>
      <c r="AH99" s="337"/>
      <c r="AI99" s="392">
        <f t="shared" si="112"/>
        <v>38</v>
      </c>
      <c r="AJ99" s="392">
        <v>0</v>
      </c>
      <c r="AK99" s="392">
        <v>0</v>
      </c>
      <c r="AL99" s="392">
        <f t="shared" si="108"/>
        <v>38</v>
      </c>
      <c r="AM99" s="392">
        <f t="shared" si="109"/>
        <v>1406</v>
      </c>
      <c r="AN99" s="712"/>
      <c r="AO99" s="714"/>
      <c r="AP99" s="712"/>
      <c r="AQ99" s="712"/>
      <c r="AR99" s="712"/>
    </row>
    <row r="100" spans="1:44" ht="12" customHeight="1">
      <c r="A100" s="331">
        <v>8</v>
      </c>
      <c r="B100" s="329" t="s">
        <v>194</v>
      </c>
      <c r="C100" s="331">
        <v>480</v>
      </c>
      <c r="D100" s="395">
        <v>0</v>
      </c>
      <c r="E100" s="395">
        <v>0</v>
      </c>
      <c r="F100" s="395">
        <v>0</v>
      </c>
      <c r="G100" s="395">
        <v>0</v>
      </c>
      <c r="H100" s="392">
        <v>1</v>
      </c>
      <c r="I100" s="392">
        <v>1</v>
      </c>
      <c r="J100" s="392">
        <v>1</v>
      </c>
      <c r="K100" s="392">
        <v>1</v>
      </c>
      <c r="L100" s="393">
        <v>1</v>
      </c>
      <c r="M100" s="393">
        <v>1</v>
      </c>
      <c r="N100" s="400">
        <v>1</v>
      </c>
      <c r="O100" s="400">
        <v>1</v>
      </c>
      <c r="P100" s="400">
        <v>1</v>
      </c>
      <c r="Q100" s="404">
        <v>0</v>
      </c>
      <c r="R100" s="400">
        <v>1</v>
      </c>
      <c r="S100" s="400">
        <v>1</v>
      </c>
      <c r="T100" s="402">
        <v>1</v>
      </c>
      <c r="U100" s="402">
        <v>1</v>
      </c>
      <c r="V100" s="402">
        <v>1</v>
      </c>
      <c r="W100" s="402">
        <v>1</v>
      </c>
      <c r="X100" s="402">
        <v>1</v>
      </c>
      <c r="Y100" s="405">
        <v>1</v>
      </c>
      <c r="Z100" s="408">
        <v>1</v>
      </c>
      <c r="AA100" s="408">
        <v>1</v>
      </c>
      <c r="AB100" s="409">
        <v>1</v>
      </c>
      <c r="AC100" s="410">
        <v>1</v>
      </c>
      <c r="AD100" s="411">
        <v>1</v>
      </c>
      <c r="AE100" s="411">
        <v>1</v>
      </c>
      <c r="AF100" s="411">
        <v>1</v>
      </c>
      <c r="AG100" s="412">
        <v>1</v>
      </c>
      <c r="AH100" s="337"/>
      <c r="AI100" s="392">
        <f t="shared" si="112"/>
        <v>25</v>
      </c>
      <c r="AJ100" s="392">
        <v>0</v>
      </c>
      <c r="AK100" s="392">
        <v>0</v>
      </c>
      <c r="AL100" s="392">
        <f t="shared" si="108"/>
        <v>25</v>
      </c>
      <c r="AM100" s="392">
        <f t="shared" ref="AM100:AM105" si="130">AL100*C100</f>
        <v>12000</v>
      </c>
      <c r="AN100" s="711">
        <f t="shared" ref="AN100" si="131">AM100+AM101</f>
        <v>15000</v>
      </c>
      <c r="AO100" s="713">
        <v>0</v>
      </c>
      <c r="AP100" s="711">
        <f t="shared" ref="AP100" si="132">AN100-AO100</f>
        <v>15000</v>
      </c>
      <c r="AQ100" s="711"/>
      <c r="AR100" s="711"/>
    </row>
    <row r="101" spans="1:44" ht="12" customHeight="1">
      <c r="A101" s="331"/>
      <c r="B101" s="329"/>
      <c r="C101" s="331">
        <f t="shared" ref="C101:C103" si="133">C100/8</f>
        <v>60</v>
      </c>
      <c r="D101" s="395">
        <v>0</v>
      </c>
      <c r="E101" s="395">
        <v>0</v>
      </c>
      <c r="F101" s="395">
        <v>0</v>
      </c>
      <c r="G101" s="395">
        <v>0</v>
      </c>
      <c r="H101" s="392">
        <v>2</v>
      </c>
      <c r="I101" s="392">
        <v>2</v>
      </c>
      <c r="J101" s="392">
        <v>2</v>
      </c>
      <c r="K101" s="392">
        <v>2</v>
      </c>
      <c r="L101" s="393">
        <v>2</v>
      </c>
      <c r="M101" s="393">
        <v>2</v>
      </c>
      <c r="N101" s="400">
        <v>2</v>
      </c>
      <c r="O101" s="400">
        <v>2</v>
      </c>
      <c r="P101" s="400">
        <v>2</v>
      </c>
      <c r="Q101" s="404">
        <v>0</v>
      </c>
      <c r="R101" s="400">
        <v>2</v>
      </c>
      <c r="S101" s="400">
        <v>2</v>
      </c>
      <c r="T101" s="402">
        <v>2</v>
      </c>
      <c r="U101" s="402">
        <v>2</v>
      </c>
      <c r="V101" s="402">
        <v>2</v>
      </c>
      <c r="W101" s="402">
        <v>2</v>
      </c>
      <c r="X101" s="402">
        <v>2</v>
      </c>
      <c r="Y101" s="405">
        <v>2</v>
      </c>
      <c r="Z101" s="408">
        <v>2</v>
      </c>
      <c r="AA101" s="408">
        <v>2</v>
      </c>
      <c r="AB101" s="409">
        <v>2</v>
      </c>
      <c r="AC101" s="410">
        <v>2</v>
      </c>
      <c r="AD101" s="411">
        <v>2</v>
      </c>
      <c r="AE101" s="411">
        <v>2</v>
      </c>
      <c r="AF101" s="411">
        <v>2</v>
      </c>
      <c r="AG101" s="412">
        <v>2</v>
      </c>
      <c r="AH101" s="337"/>
      <c r="AI101" s="392">
        <f t="shared" si="112"/>
        <v>50</v>
      </c>
      <c r="AJ101" s="392">
        <v>0</v>
      </c>
      <c r="AK101" s="392">
        <v>0</v>
      </c>
      <c r="AL101" s="392">
        <f t="shared" si="108"/>
        <v>50</v>
      </c>
      <c r="AM101" s="392">
        <f t="shared" si="130"/>
        <v>3000</v>
      </c>
      <c r="AN101" s="712"/>
      <c r="AO101" s="714"/>
      <c r="AP101" s="712"/>
      <c r="AQ101" s="712"/>
      <c r="AR101" s="712"/>
    </row>
    <row r="102" spans="1:44" ht="12" customHeight="1">
      <c r="A102" s="331">
        <v>9</v>
      </c>
      <c r="B102" s="329" t="s">
        <v>195</v>
      </c>
      <c r="C102" s="331">
        <v>320</v>
      </c>
      <c r="D102" s="395">
        <v>0</v>
      </c>
      <c r="E102" s="392">
        <v>1</v>
      </c>
      <c r="F102" s="392">
        <v>1</v>
      </c>
      <c r="G102" s="392">
        <v>1</v>
      </c>
      <c r="H102" s="392">
        <v>1</v>
      </c>
      <c r="I102" s="392">
        <v>1</v>
      </c>
      <c r="J102" s="392">
        <v>1</v>
      </c>
      <c r="K102" s="392">
        <v>1</v>
      </c>
      <c r="L102" s="393">
        <v>1</v>
      </c>
      <c r="M102" s="393">
        <v>1</v>
      </c>
      <c r="N102" s="400">
        <v>1</v>
      </c>
      <c r="O102" s="400">
        <v>1</v>
      </c>
      <c r="P102" s="400">
        <v>1</v>
      </c>
      <c r="Q102" s="404">
        <v>0</v>
      </c>
      <c r="R102" s="400">
        <v>1</v>
      </c>
      <c r="S102" s="400">
        <v>1</v>
      </c>
      <c r="T102" s="402">
        <v>1</v>
      </c>
      <c r="U102" s="402">
        <v>1</v>
      </c>
      <c r="V102" s="402">
        <v>1</v>
      </c>
      <c r="W102" s="402">
        <v>1</v>
      </c>
      <c r="X102" s="402">
        <v>1</v>
      </c>
      <c r="Y102" s="405">
        <v>1</v>
      </c>
      <c r="Z102" s="408">
        <v>1</v>
      </c>
      <c r="AA102" s="408">
        <v>1</v>
      </c>
      <c r="AB102" s="409">
        <v>1</v>
      </c>
      <c r="AC102" s="410">
        <v>1</v>
      </c>
      <c r="AD102" s="411">
        <v>1</v>
      </c>
      <c r="AE102" s="411">
        <v>1</v>
      </c>
      <c r="AF102" s="395">
        <v>0</v>
      </c>
      <c r="AG102" s="412">
        <v>1</v>
      </c>
      <c r="AH102" s="337"/>
      <c r="AI102" s="392">
        <f t="shared" si="112"/>
        <v>27</v>
      </c>
      <c r="AJ102" s="392">
        <v>0</v>
      </c>
      <c r="AK102" s="392">
        <v>0</v>
      </c>
      <c r="AL102" s="392">
        <f t="shared" si="108"/>
        <v>27</v>
      </c>
      <c r="AM102" s="392">
        <f t="shared" si="130"/>
        <v>8640</v>
      </c>
      <c r="AN102" s="711">
        <f t="shared" ref="AN102" si="134">AM102+AM103</f>
        <v>10720</v>
      </c>
      <c r="AO102" s="713">
        <v>0</v>
      </c>
      <c r="AP102" s="711">
        <f t="shared" ref="AP102" si="135">AN102-AO102</f>
        <v>10720</v>
      </c>
      <c r="AQ102" s="711"/>
      <c r="AR102" s="711"/>
    </row>
    <row r="103" spans="1:44" ht="12" customHeight="1">
      <c r="A103" s="331"/>
      <c r="B103" s="329"/>
      <c r="C103" s="331">
        <f t="shared" si="133"/>
        <v>40</v>
      </c>
      <c r="D103" s="395">
        <v>0</v>
      </c>
      <c r="E103" s="392">
        <v>2</v>
      </c>
      <c r="F103" s="392">
        <v>2</v>
      </c>
      <c r="G103" s="392">
        <v>2</v>
      </c>
      <c r="H103" s="392">
        <v>2</v>
      </c>
      <c r="I103" s="392">
        <v>2</v>
      </c>
      <c r="J103" s="392">
        <v>2</v>
      </c>
      <c r="K103" s="392">
        <v>2</v>
      </c>
      <c r="L103" s="393">
        <v>2</v>
      </c>
      <c r="M103" s="393">
        <v>2</v>
      </c>
      <c r="N103" s="400">
        <v>2</v>
      </c>
      <c r="O103" s="400">
        <v>2</v>
      </c>
      <c r="P103" s="400">
        <v>2</v>
      </c>
      <c r="Q103" s="404">
        <v>0</v>
      </c>
      <c r="R103" s="400">
        <v>2</v>
      </c>
      <c r="S103" s="400">
        <v>2</v>
      </c>
      <c r="T103" s="402">
        <v>2</v>
      </c>
      <c r="U103" s="402">
        <v>2</v>
      </c>
      <c r="V103" s="402">
        <v>2</v>
      </c>
      <c r="W103" s="402">
        <v>2</v>
      </c>
      <c r="X103" s="402">
        <v>2</v>
      </c>
      <c r="Y103" s="395">
        <v>0</v>
      </c>
      <c r="Z103" s="408">
        <v>2</v>
      </c>
      <c r="AA103" s="408">
        <v>2</v>
      </c>
      <c r="AB103" s="409">
        <v>2</v>
      </c>
      <c r="AC103" s="410">
        <v>2</v>
      </c>
      <c r="AD103" s="411">
        <v>2</v>
      </c>
      <c r="AE103" s="411">
        <v>2</v>
      </c>
      <c r="AF103" s="395">
        <v>0</v>
      </c>
      <c r="AG103" s="412">
        <v>2</v>
      </c>
      <c r="AH103" s="337"/>
      <c r="AI103" s="392">
        <f t="shared" si="112"/>
        <v>52</v>
      </c>
      <c r="AJ103" s="392">
        <v>0</v>
      </c>
      <c r="AK103" s="392">
        <v>0</v>
      </c>
      <c r="AL103" s="392">
        <f t="shared" si="108"/>
        <v>52</v>
      </c>
      <c r="AM103" s="392">
        <f t="shared" si="130"/>
        <v>2080</v>
      </c>
      <c r="AN103" s="712"/>
      <c r="AO103" s="714"/>
      <c r="AP103" s="712"/>
      <c r="AQ103" s="712"/>
      <c r="AR103" s="712"/>
    </row>
    <row r="104" spans="1:44" ht="12" customHeight="1">
      <c r="A104" s="331">
        <v>10</v>
      </c>
      <c r="B104" s="329" t="s">
        <v>192</v>
      </c>
      <c r="C104" s="331">
        <v>320</v>
      </c>
      <c r="D104" s="392">
        <v>1</v>
      </c>
      <c r="E104" s="395">
        <v>0</v>
      </c>
      <c r="F104" s="396">
        <v>0.5</v>
      </c>
      <c r="G104" s="395">
        <v>0</v>
      </c>
      <c r="H104" s="395">
        <v>0</v>
      </c>
      <c r="I104" s="395">
        <v>0</v>
      </c>
      <c r="J104" s="392">
        <v>1</v>
      </c>
      <c r="K104" s="395">
        <v>0</v>
      </c>
      <c r="L104" s="402">
        <v>1</v>
      </c>
      <c r="M104" s="402">
        <v>1</v>
      </c>
      <c r="N104" s="402">
        <v>1</v>
      </c>
      <c r="O104" s="402">
        <v>1</v>
      </c>
      <c r="P104" s="402">
        <v>1</v>
      </c>
      <c r="Q104" s="404">
        <v>0</v>
      </c>
      <c r="R104" s="402">
        <v>1</v>
      </c>
      <c r="S104" s="402">
        <v>1</v>
      </c>
      <c r="T104" s="402">
        <v>1</v>
      </c>
      <c r="U104" s="402">
        <v>1</v>
      </c>
      <c r="V104" s="402">
        <v>1</v>
      </c>
      <c r="W104" s="395">
        <v>0</v>
      </c>
      <c r="X104" s="396">
        <v>0.5</v>
      </c>
      <c r="Y104" s="395">
        <v>0</v>
      </c>
      <c r="Z104" s="395">
        <v>0</v>
      </c>
      <c r="AA104" s="395">
        <v>0</v>
      </c>
      <c r="AB104" s="395">
        <v>0</v>
      </c>
      <c r="AC104" s="395">
        <v>0</v>
      </c>
      <c r="AD104" s="395">
        <v>0</v>
      </c>
      <c r="AE104" s="395">
        <v>0</v>
      </c>
      <c r="AF104" s="395">
        <v>0</v>
      </c>
      <c r="AG104" s="395">
        <v>0</v>
      </c>
      <c r="AH104" s="395"/>
      <c r="AI104" s="392">
        <f t="shared" si="112"/>
        <v>13</v>
      </c>
      <c r="AJ104" s="392">
        <v>0</v>
      </c>
      <c r="AK104" s="392">
        <v>0</v>
      </c>
      <c r="AL104" s="392">
        <f t="shared" si="108"/>
        <v>13</v>
      </c>
      <c r="AM104" s="392">
        <f t="shared" si="130"/>
        <v>4160</v>
      </c>
      <c r="AN104" s="711">
        <f t="shared" ref="AN104" si="136">AM104+AM105</f>
        <v>5200</v>
      </c>
      <c r="AO104" s="713">
        <v>0</v>
      </c>
      <c r="AP104" s="711">
        <f t="shared" ref="AP104" si="137">AN104-AO104</f>
        <v>5200</v>
      </c>
      <c r="AQ104" s="711"/>
      <c r="AR104" s="711"/>
    </row>
    <row r="105" spans="1:44" ht="12" customHeight="1">
      <c r="A105" s="331"/>
      <c r="B105" s="329"/>
      <c r="C105" s="331">
        <f t="shared" ref="C105" si="138">C104/8</f>
        <v>40</v>
      </c>
      <c r="D105" s="392">
        <v>2</v>
      </c>
      <c r="E105" s="395">
        <v>2</v>
      </c>
      <c r="F105" s="395">
        <v>1</v>
      </c>
      <c r="G105" s="395">
        <v>0</v>
      </c>
      <c r="H105" s="395">
        <v>0</v>
      </c>
      <c r="I105" s="395">
        <v>0</v>
      </c>
      <c r="J105" s="392">
        <v>2</v>
      </c>
      <c r="K105" s="395">
        <v>0</v>
      </c>
      <c r="L105" s="402">
        <v>2</v>
      </c>
      <c r="M105" s="402">
        <v>2</v>
      </c>
      <c r="N105" s="402">
        <v>2</v>
      </c>
      <c r="O105" s="402">
        <v>2</v>
      </c>
      <c r="P105" s="402">
        <v>2</v>
      </c>
      <c r="Q105" s="404">
        <v>0</v>
      </c>
      <c r="R105" s="402">
        <v>2</v>
      </c>
      <c r="S105" s="402">
        <v>2</v>
      </c>
      <c r="T105" s="402">
        <v>2</v>
      </c>
      <c r="U105" s="402">
        <v>2</v>
      </c>
      <c r="V105" s="395">
        <v>0</v>
      </c>
      <c r="W105" s="395">
        <v>0</v>
      </c>
      <c r="X105" s="395">
        <v>1</v>
      </c>
      <c r="Y105" s="395">
        <v>0</v>
      </c>
      <c r="Z105" s="395">
        <v>0</v>
      </c>
      <c r="AA105" s="395">
        <v>0</v>
      </c>
      <c r="AB105" s="395">
        <v>0</v>
      </c>
      <c r="AC105" s="395">
        <v>0</v>
      </c>
      <c r="AD105" s="395">
        <v>0</v>
      </c>
      <c r="AE105" s="395">
        <v>0</v>
      </c>
      <c r="AF105" s="395">
        <v>0</v>
      </c>
      <c r="AG105" s="395">
        <v>0</v>
      </c>
      <c r="AH105" s="395"/>
      <c r="AI105" s="392">
        <f t="shared" si="112"/>
        <v>26</v>
      </c>
      <c r="AJ105" s="392">
        <v>0</v>
      </c>
      <c r="AK105" s="392">
        <v>0</v>
      </c>
      <c r="AL105" s="392">
        <f t="shared" si="108"/>
        <v>26</v>
      </c>
      <c r="AM105" s="392">
        <f t="shared" si="130"/>
        <v>1040</v>
      </c>
      <c r="AN105" s="712"/>
      <c r="AO105" s="714"/>
      <c r="AP105" s="712"/>
      <c r="AQ105" s="712"/>
      <c r="AR105" s="712"/>
    </row>
    <row r="106" spans="1:44" ht="12" customHeight="1">
      <c r="A106" s="895" t="s">
        <v>103</v>
      </c>
      <c r="B106" s="896"/>
      <c r="C106" s="366"/>
      <c r="D106" s="366">
        <f>D84+D86+D88+D90+D92+D94+D96+D98+D100+D102+D104</f>
        <v>6</v>
      </c>
      <c r="E106" s="366">
        <f t="shared" ref="E106:AM106" si="139">E84+E86+E88+E90+E92+E94+E96+E98+E100+E102+E104</f>
        <v>6</v>
      </c>
      <c r="F106" s="366">
        <f t="shared" si="139"/>
        <v>6.5</v>
      </c>
      <c r="G106" s="366">
        <f t="shared" si="139"/>
        <v>6</v>
      </c>
      <c r="H106" s="366">
        <f t="shared" si="139"/>
        <v>6</v>
      </c>
      <c r="I106" s="366">
        <f t="shared" si="139"/>
        <v>6</v>
      </c>
      <c r="J106" s="366">
        <f t="shared" si="139"/>
        <v>7</v>
      </c>
      <c r="K106" s="366">
        <f t="shared" si="139"/>
        <v>7</v>
      </c>
      <c r="L106" s="366">
        <f t="shared" ref="L106:X106" si="140">L84+L86+L88+L90+L92+L94+L96+L98+L100+L102+L104</f>
        <v>8</v>
      </c>
      <c r="M106" s="366">
        <f t="shared" si="140"/>
        <v>7.5</v>
      </c>
      <c r="N106" s="366">
        <f t="shared" si="140"/>
        <v>9</v>
      </c>
      <c r="O106" s="366">
        <f t="shared" si="140"/>
        <v>7</v>
      </c>
      <c r="P106" s="366">
        <f t="shared" si="140"/>
        <v>8</v>
      </c>
      <c r="Q106" s="366">
        <f t="shared" si="140"/>
        <v>1</v>
      </c>
      <c r="R106" s="366">
        <f t="shared" si="140"/>
        <v>8</v>
      </c>
      <c r="S106" s="366">
        <f t="shared" si="140"/>
        <v>8</v>
      </c>
      <c r="T106" s="366">
        <f t="shared" si="140"/>
        <v>8</v>
      </c>
      <c r="U106" s="366">
        <f t="shared" si="140"/>
        <v>7</v>
      </c>
      <c r="V106" s="366">
        <f t="shared" si="140"/>
        <v>7</v>
      </c>
      <c r="W106" s="366">
        <f t="shared" si="140"/>
        <v>5</v>
      </c>
      <c r="X106" s="366">
        <f t="shared" si="140"/>
        <v>7.5</v>
      </c>
      <c r="Y106" s="366">
        <f t="shared" si="139"/>
        <v>8</v>
      </c>
      <c r="Z106" s="366">
        <f t="shared" si="139"/>
        <v>8</v>
      </c>
      <c r="AA106" s="366">
        <f t="shared" si="139"/>
        <v>8</v>
      </c>
      <c r="AB106" s="366">
        <f t="shared" si="139"/>
        <v>8</v>
      </c>
      <c r="AC106" s="366">
        <f t="shared" si="139"/>
        <v>8</v>
      </c>
      <c r="AD106" s="366">
        <f t="shared" si="139"/>
        <v>6</v>
      </c>
      <c r="AE106" s="366">
        <f t="shared" si="139"/>
        <v>7</v>
      </c>
      <c r="AF106" s="366">
        <f t="shared" si="139"/>
        <v>6</v>
      </c>
      <c r="AG106" s="366">
        <f t="shared" si="139"/>
        <v>7</v>
      </c>
      <c r="AH106" s="366">
        <f t="shared" si="139"/>
        <v>0</v>
      </c>
      <c r="AI106" s="366">
        <f t="shared" si="139"/>
        <v>207.5</v>
      </c>
      <c r="AJ106" s="366">
        <f t="shared" si="139"/>
        <v>0</v>
      </c>
      <c r="AK106" s="366">
        <f t="shared" si="139"/>
        <v>0</v>
      </c>
      <c r="AL106" s="366">
        <f t="shared" si="139"/>
        <v>207.5</v>
      </c>
      <c r="AM106" s="366">
        <f t="shared" si="139"/>
        <v>89532</v>
      </c>
      <c r="AN106" s="897">
        <f>AN84+AN86+AN88+AN90+AN92+AN94+AN96+AN104+AN98+AN100+AN102</f>
        <v>111418</v>
      </c>
      <c r="AO106" s="897">
        <f>AO84+AO86+AO88+AO90+AO92+AO94+AO96+AO104+AO98+AO100+AO102</f>
        <v>0</v>
      </c>
      <c r="AP106" s="897">
        <f>AP84+AP86+AP88+AP90+AP92+AP94+AP96+AP104+AP98+AP100+AP102</f>
        <v>111418</v>
      </c>
      <c r="AQ106" s="897">
        <f t="shared" ref="AQ106:AR106" si="141">AQ84+AQ86+AQ88+AQ90+AQ92+AQ94+AQ96+AQ104+AQ98+AQ100+AQ102</f>
        <v>0</v>
      </c>
      <c r="AR106" s="897">
        <f t="shared" si="141"/>
        <v>0</v>
      </c>
    </row>
    <row r="107" spans="1:44" ht="12" customHeight="1">
      <c r="A107" s="899" t="s">
        <v>106</v>
      </c>
      <c r="B107" s="900"/>
      <c r="C107" s="367"/>
      <c r="D107" s="367">
        <f>D85+D87+D89+D91+D93+D95+D97+D99+D101+D103+D105</f>
        <v>12</v>
      </c>
      <c r="E107" s="367">
        <f t="shared" ref="E107:AM107" si="142">E85+E87+E89+E91+E93+E95+E97+E99+E101+E103+E105</f>
        <v>14</v>
      </c>
      <c r="F107" s="367">
        <f t="shared" si="142"/>
        <v>13</v>
      </c>
      <c r="G107" s="367">
        <f t="shared" si="142"/>
        <v>12</v>
      </c>
      <c r="H107" s="367">
        <f t="shared" si="142"/>
        <v>12</v>
      </c>
      <c r="I107" s="367">
        <f t="shared" si="142"/>
        <v>12</v>
      </c>
      <c r="J107" s="367">
        <f t="shared" si="142"/>
        <v>14</v>
      </c>
      <c r="K107" s="367">
        <f t="shared" si="142"/>
        <v>14</v>
      </c>
      <c r="L107" s="367">
        <f t="shared" ref="L107:X107" si="143">L85+L87+L89+L91+L93+L95+L97+L99+L101+L103+L105</f>
        <v>16</v>
      </c>
      <c r="M107" s="367">
        <f t="shared" si="143"/>
        <v>14</v>
      </c>
      <c r="N107" s="367">
        <f t="shared" si="143"/>
        <v>18</v>
      </c>
      <c r="O107" s="367">
        <f t="shared" si="143"/>
        <v>14</v>
      </c>
      <c r="P107" s="367">
        <f t="shared" si="143"/>
        <v>16</v>
      </c>
      <c r="Q107" s="367">
        <f t="shared" si="143"/>
        <v>0</v>
      </c>
      <c r="R107" s="367">
        <f t="shared" si="143"/>
        <v>16</v>
      </c>
      <c r="S107" s="367">
        <f t="shared" si="143"/>
        <v>16</v>
      </c>
      <c r="T107" s="367">
        <f t="shared" si="143"/>
        <v>16</v>
      </c>
      <c r="U107" s="367">
        <f t="shared" si="143"/>
        <v>14</v>
      </c>
      <c r="V107" s="367">
        <f t="shared" si="143"/>
        <v>12</v>
      </c>
      <c r="W107" s="367">
        <f t="shared" si="143"/>
        <v>8</v>
      </c>
      <c r="X107" s="367">
        <f t="shared" si="143"/>
        <v>13</v>
      </c>
      <c r="Y107" s="367">
        <f t="shared" si="142"/>
        <v>14</v>
      </c>
      <c r="Z107" s="367">
        <f t="shared" si="142"/>
        <v>16</v>
      </c>
      <c r="AA107" s="367">
        <f t="shared" si="142"/>
        <v>16</v>
      </c>
      <c r="AB107" s="367">
        <f t="shared" si="142"/>
        <v>16</v>
      </c>
      <c r="AC107" s="367">
        <f t="shared" si="142"/>
        <v>16</v>
      </c>
      <c r="AD107" s="367">
        <f t="shared" si="142"/>
        <v>10</v>
      </c>
      <c r="AE107" s="367">
        <f t="shared" si="142"/>
        <v>14</v>
      </c>
      <c r="AF107" s="367">
        <f t="shared" si="142"/>
        <v>12</v>
      </c>
      <c r="AG107" s="367">
        <f t="shared" si="142"/>
        <v>14</v>
      </c>
      <c r="AH107" s="367">
        <f t="shared" si="142"/>
        <v>0</v>
      </c>
      <c r="AI107" s="367">
        <f t="shared" si="142"/>
        <v>404</v>
      </c>
      <c r="AJ107" s="367">
        <f t="shared" si="142"/>
        <v>0</v>
      </c>
      <c r="AK107" s="367">
        <f t="shared" si="142"/>
        <v>0</v>
      </c>
      <c r="AL107" s="367">
        <f t="shared" si="142"/>
        <v>404</v>
      </c>
      <c r="AM107" s="367">
        <f t="shared" si="142"/>
        <v>21886</v>
      </c>
      <c r="AN107" s="898"/>
      <c r="AO107" s="898"/>
      <c r="AP107" s="898"/>
      <c r="AQ107" s="898"/>
      <c r="AR107" s="898"/>
    </row>
    <row r="109" spans="1:44" ht="16.5" customHeight="1">
      <c r="A109" s="903" t="s">
        <v>113</v>
      </c>
      <c r="B109" s="905" t="s">
        <v>1</v>
      </c>
      <c r="C109" s="906"/>
      <c r="D109" s="918" t="s">
        <v>197</v>
      </c>
      <c r="E109" s="919"/>
      <c r="F109" s="919"/>
      <c r="G109" s="919"/>
      <c r="H109" s="919"/>
      <c r="I109" s="919"/>
      <c r="J109" s="919"/>
      <c r="K109" s="919"/>
      <c r="L109" s="919"/>
      <c r="M109" s="919"/>
      <c r="N109" s="919"/>
      <c r="O109" s="919"/>
      <c r="P109" s="919"/>
      <c r="Q109" s="919"/>
      <c r="R109" s="919"/>
      <c r="S109" s="919"/>
      <c r="T109" s="919"/>
      <c r="U109" s="919"/>
      <c r="V109" s="919"/>
      <c r="W109" s="919"/>
      <c r="X109" s="919"/>
      <c r="Y109" s="919"/>
      <c r="Z109" s="919"/>
      <c r="AA109" s="919"/>
      <c r="AB109" s="919"/>
      <c r="AC109" s="919"/>
      <c r="AD109" s="919"/>
      <c r="AE109" s="919"/>
      <c r="AF109" s="920"/>
      <c r="AG109" s="921">
        <v>31</v>
      </c>
      <c r="AH109" s="922"/>
      <c r="AI109" s="901" t="s">
        <v>107</v>
      </c>
      <c r="AJ109" s="901" t="s">
        <v>45</v>
      </c>
      <c r="AK109" s="901" t="s">
        <v>108</v>
      </c>
      <c r="AL109" s="901" t="s">
        <v>112</v>
      </c>
      <c r="AM109" s="914" t="s">
        <v>7</v>
      </c>
      <c r="AN109" s="915"/>
      <c r="AO109" s="901" t="s">
        <v>93</v>
      </c>
      <c r="AP109" s="901" t="s">
        <v>109</v>
      </c>
      <c r="AQ109" s="901" t="s">
        <v>33</v>
      </c>
      <c r="AR109" s="901" t="s">
        <v>111</v>
      </c>
    </row>
    <row r="110" spans="1:44">
      <c r="A110" s="904"/>
      <c r="B110" s="907"/>
      <c r="C110" s="908"/>
      <c r="D110" s="394">
        <v>1</v>
      </c>
      <c r="E110" s="394">
        <v>2</v>
      </c>
      <c r="F110" s="394">
        <v>3</v>
      </c>
      <c r="G110" s="394">
        <v>4</v>
      </c>
      <c r="H110" s="394">
        <v>5</v>
      </c>
      <c r="I110" s="394">
        <v>6</v>
      </c>
      <c r="J110" s="394">
        <v>7</v>
      </c>
      <c r="K110" s="394">
        <v>8</v>
      </c>
      <c r="L110" s="394">
        <v>9</v>
      </c>
      <c r="M110" s="394">
        <v>10</v>
      </c>
      <c r="N110" s="394">
        <v>11</v>
      </c>
      <c r="O110" s="394">
        <v>12</v>
      </c>
      <c r="P110" s="394">
        <v>13</v>
      </c>
      <c r="Q110" s="394">
        <v>14</v>
      </c>
      <c r="R110" s="394">
        <v>15</v>
      </c>
      <c r="S110" s="394">
        <v>16</v>
      </c>
      <c r="T110" s="394">
        <v>17</v>
      </c>
      <c r="U110" s="394">
        <v>18</v>
      </c>
      <c r="V110" s="394">
        <v>19</v>
      </c>
      <c r="W110" s="394">
        <v>20</v>
      </c>
      <c r="X110" s="394">
        <v>21</v>
      </c>
      <c r="Y110" s="394">
        <v>22</v>
      </c>
      <c r="Z110" s="394">
        <v>23</v>
      </c>
      <c r="AA110" s="394">
        <v>24</v>
      </c>
      <c r="AB110" s="394">
        <v>25</v>
      </c>
      <c r="AC110" s="394">
        <v>26</v>
      </c>
      <c r="AD110" s="394">
        <v>27</v>
      </c>
      <c r="AE110" s="394">
        <v>28</v>
      </c>
      <c r="AF110" s="394">
        <v>29</v>
      </c>
      <c r="AG110" s="394">
        <v>30</v>
      </c>
      <c r="AH110" s="394">
        <v>31</v>
      </c>
      <c r="AI110" s="902"/>
      <c r="AJ110" s="902"/>
      <c r="AK110" s="902"/>
      <c r="AL110" s="902"/>
      <c r="AM110" s="916"/>
      <c r="AN110" s="917"/>
      <c r="AO110" s="902"/>
      <c r="AP110" s="902"/>
      <c r="AQ110" s="902"/>
      <c r="AR110" s="902"/>
    </row>
    <row r="111" spans="1:44" ht="12" customHeight="1">
      <c r="A111" s="331"/>
      <c r="B111" s="329"/>
      <c r="C111" s="331"/>
      <c r="D111" s="337"/>
      <c r="E111" s="413"/>
      <c r="F111" s="413"/>
      <c r="G111" s="414"/>
      <c r="H111" s="413"/>
      <c r="I111" s="414"/>
      <c r="J111" s="413"/>
      <c r="K111" s="415"/>
      <c r="L111" s="416"/>
      <c r="M111" s="416"/>
      <c r="N111" s="337"/>
      <c r="O111" s="413"/>
      <c r="P111" s="413"/>
      <c r="Q111" s="413"/>
      <c r="R111" s="413"/>
      <c r="S111" s="413"/>
      <c r="T111" s="337"/>
      <c r="U111" s="413"/>
      <c r="V111" s="413"/>
      <c r="W111" s="419"/>
      <c r="X111" s="420"/>
      <c r="Y111" s="421"/>
      <c r="Z111" s="422"/>
      <c r="AA111" s="423"/>
      <c r="AB111" s="337"/>
      <c r="AC111" s="423"/>
      <c r="AD111" s="423"/>
      <c r="AE111" s="425"/>
      <c r="AF111" s="426"/>
      <c r="AG111" s="426"/>
      <c r="AH111" s="337"/>
      <c r="AI111" s="413">
        <f t="shared" ref="AI111:AI132" si="144">SUM(E111:AH111)</f>
        <v>0</v>
      </c>
      <c r="AJ111" s="413">
        <v>0</v>
      </c>
      <c r="AK111" s="413">
        <v>0</v>
      </c>
      <c r="AL111" s="413">
        <f t="shared" ref="AL111:AL132" si="145">AI111+AJ111-AK111</f>
        <v>0</v>
      </c>
      <c r="AM111" s="413">
        <f t="shared" ref="AM111:AM132" si="146">AL111*C111</f>
        <v>0</v>
      </c>
      <c r="AN111" s="711">
        <f t="shared" ref="AN111" si="147">AM111+AM112</f>
        <v>0</v>
      </c>
      <c r="AO111" s="713">
        <v>0</v>
      </c>
      <c r="AP111" s="711">
        <f t="shared" ref="AP111" si="148">AN111-AO111</f>
        <v>0</v>
      </c>
      <c r="AQ111" s="711"/>
      <c r="AR111" s="711"/>
    </row>
    <row r="112" spans="1:44" ht="12" customHeight="1">
      <c r="A112" s="331"/>
      <c r="B112" s="331"/>
      <c r="C112" s="331"/>
      <c r="D112" s="337"/>
      <c r="E112" s="413"/>
      <c r="F112" s="413"/>
      <c r="G112" s="414"/>
      <c r="H112" s="413"/>
      <c r="I112" s="414"/>
      <c r="J112" s="413"/>
      <c r="K112" s="415"/>
      <c r="L112" s="416"/>
      <c r="M112" s="416"/>
      <c r="N112" s="337"/>
      <c r="O112" s="413"/>
      <c r="P112" s="413"/>
      <c r="Q112" s="413"/>
      <c r="R112" s="413"/>
      <c r="S112" s="413"/>
      <c r="T112" s="337"/>
      <c r="U112" s="413"/>
      <c r="V112" s="413"/>
      <c r="W112" s="419"/>
      <c r="X112" s="420"/>
      <c r="Y112" s="421"/>
      <c r="Z112" s="422"/>
      <c r="AA112" s="423"/>
      <c r="AB112" s="337"/>
      <c r="AC112" s="423"/>
      <c r="AD112" s="423"/>
      <c r="AE112" s="425"/>
      <c r="AF112" s="426"/>
      <c r="AG112" s="426"/>
      <c r="AH112" s="337"/>
      <c r="AI112" s="413">
        <f t="shared" si="144"/>
        <v>0</v>
      </c>
      <c r="AJ112" s="413">
        <v>0</v>
      </c>
      <c r="AK112" s="413">
        <v>0</v>
      </c>
      <c r="AL112" s="413">
        <f t="shared" si="145"/>
        <v>0</v>
      </c>
      <c r="AM112" s="413">
        <f t="shared" si="146"/>
        <v>0</v>
      </c>
      <c r="AN112" s="712"/>
      <c r="AO112" s="714"/>
      <c r="AP112" s="712"/>
      <c r="AQ112" s="712"/>
      <c r="AR112" s="712"/>
    </row>
    <row r="113" spans="1:44" ht="12" customHeight="1">
      <c r="A113" s="331">
        <v>1</v>
      </c>
      <c r="B113" s="329" t="s">
        <v>189</v>
      </c>
      <c r="C113" s="331">
        <v>520</v>
      </c>
      <c r="D113" s="337"/>
      <c r="E113" s="395">
        <v>0</v>
      </c>
      <c r="F113" s="395">
        <v>0</v>
      </c>
      <c r="G113" s="395">
        <v>0</v>
      </c>
      <c r="H113" s="395">
        <v>0</v>
      </c>
      <c r="I113" s="395">
        <v>0</v>
      </c>
      <c r="J113" s="395">
        <v>0</v>
      </c>
      <c r="K113" s="395">
        <v>0</v>
      </c>
      <c r="L113" s="395">
        <v>0</v>
      </c>
      <c r="M113" s="395">
        <v>0</v>
      </c>
      <c r="N113" s="337"/>
      <c r="O113" s="395">
        <v>0</v>
      </c>
      <c r="P113" s="395">
        <v>0</v>
      </c>
      <c r="Q113" s="395">
        <v>0</v>
      </c>
      <c r="R113" s="395">
        <v>0</v>
      </c>
      <c r="S113" s="395">
        <v>0</v>
      </c>
      <c r="T113" s="337"/>
      <c r="U113" s="395">
        <v>0</v>
      </c>
      <c r="V113" s="395">
        <v>0</v>
      </c>
      <c r="W113" s="395">
        <v>0</v>
      </c>
      <c r="X113" s="395">
        <v>0</v>
      </c>
      <c r="Y113" s="395">
        <v>0</v>
      </c>
      <c r="Z113" s="395">
        <v>0</v>
      </c>
      <c r="AA113" s="395">
        <v>0</v>
      </c>
      <c r="AB113" s="337"/>
      <c r="AC113" s="395">
        <v>0</v>
      </c>
      <c r="AD113" s="395">
        <v>0</v>
      </c>
      <c r="AE113" s="395">
        <v>0</v>
      </c>
      <c r="AF113" s="426">
        <v>1</v>
      </c>
      <c r="AG113" s="426">
        <v>1</v>
      </c>
      <c r="AH113" s="426">
        <v>1</v>
      </c>
      <c r="AI113" s="413">
        <f t="shared" si="144"/>
        <v>3</v>
      </c>
      <c r="AJ113" s="413">
        <v>0</v>
      </c>
      <c r="AK113" s="413">
        <v>0</v>
      </c>
      <c r="AL113" s="413">
        <f t="shared" ref="AL113:AL114" si="149">AI113+AJ113-AK113</f>
        <v>3</v>
      </c>
      <c r="AM113" s="413">
        <f t="shared" ref="AM113:AM114" si="150">AL113*C113</f>
        <v>1560</v>
      </c>
      <c r="AN113" s="711">
        <f t="shared" ref="AN113" si="151">AM113+AM114</f>
        <v>1950</v>
      </c>
      <c r="AO113" s="713">
        <v>0</v>
      </c>
      <c r="AP113" s="711">
        <f t="shared" ref="AP113" si="152">AN113-AO113</f>
        <v>1950</v>
      </c>
      <c r="AQ113" s="711"/>
      <c r="AR113" s="711"/>
    </row>
    <row r="114" spans="1:44" ht="12" customHeight="1">
      <c r="A114" s="331"/>
      <c r="B114" s="329"/>
      <c r="C114" s="331">
        <f>C113/8</f>
        <v>65</v>
      </c>
      <c r="D114" s="337"/>
      <c r="E114" s="395">
        <v>0</v>
      </c>
      <c r="F114" s="395">
        <v>0</v>
      </c>
      <c r="G114" s="395">
        <v>0</v>
      </c>
      <c r="H114" s="395">
        <v>0</v>
      </c>
      <c r="I114" s="395">
        <v>0</v>
      </c>
      <c r="J114" s="395">
        <v>0</v>
      </c>
      <c r="K114" s="395">
        <v>0</v>
      </c>
      <c r="L114" s="395">
        <v>0</v>
      </c>
      <c r="M114" s="395">
        <v>0</v>
      </c>
      <c r="N114" s="337"/>
      <c r="O114" s="395">
        <v>0</v>
      </c>
      <c r="P114" s="395">
        <v>0</v>
      </c>
      <c r="Q114" s="395">
        <v>0</v>
      </c>
      <c r="R114" s="395">
        <v>0</v>
      </c>
      <c r="S114" s="395">
        <v>0</v>
      </c>
      <c r="T114" s="337"/>
      <c r="U114" s="395">
        <v>0</v>
      </c>
      <c r="V114" s="395">
        <v>0</v>
      </c>
      <c r="W114" s="395">
        <v>0</v>
      </c>
      <c r="X114" s="395">
        <v>0</v>
      </c>
      <c r="Y114" s="395">
        <v>0</v>
      </c>
      <c r="Z114" s="395">
        <v>0</v>
      </c>
      <c r="AA114" s="395">
        <v>0</v>
      </c>
      <c r="AB114" s="337"/>
      <c r="AC114" s="395">
        <v>0</v>
      </c>
      <c r="AD114" s="395">
        <v>0</v>
      </c>
      <c r="AE114" s="395">
        <v>0</v>
      </c>
      <c r="AF114" s="426">
        <v>2</v>
      </c>
      <c r="AG114" s="426">
        <v>2</v>
      </c>
      <c r="AH114" s="426">
        <v>2</v>
      </c>
      <c r="AI114" s="413">
        <f t="shared" si="144"/>
        <v>6</v>
      </c>
      <c r="AJ114" s="413">
        <v>0</v>
      </c>
      <c r="AK114" s="413">
        <v>0</v>
      </c>
      <c r="AL114" s="413">
        <f t="shared" si="149"/>
        <v>6</v>
      </c>
      <c r="AM114" s="413">
        <f t="shared" si="150"/>
        <v>390</v>
      </c>
      <c r="AN114" s="712"/>
      <c r="AO114" s="714"/>
      <c r="AP114" s="712"/>
      <c r="AQ114" s="712"/>
      <c r="AR114" s="712"/>
    </row>
    <row r="115" spans="1:44" ht="12" customHeight="1">
      <c r="A115" s="331">
        <v>2</v>
      </c>
      <c r="B115" s="329" t="s">
        <v>167</v>
      </c>
      <c r="C115" s="331">
        <v>520</v>
      </c>
      <c r="D115" s="337"/>
      <c r="E115" s="413">
        <v>1</v>
      </c>
      <c r="F115" s="413">
        <v>1</v>
      </c>
      <c r="G115" s="414">
        <v>1</v>
      </c>
      <c r="H115" s="414">
        <v>1</v>
      </c>
      <c r="I115" s="414">
        <v>1</v>
      </c>
      <c r="J115" s="414">
        <v>1</v>
      </c>
      <c r="K115" s="415">
        <v>1</v>
      </c>
      <c r="L115" s="416">
        <v>1</v>
      </c>
      <c r="M115" s="416">
        <v>1</v>
      </c>
      <c r="N115" s="337"/>
      <c r="O115" s="416">
        <v>1</v>
      </c>
      <c r="P115" s="417">
        <v>1</v>
      </c>
      <c r="Q115" s="417">
        <v>1</v>
      </c>
      <c r="R115" s="417">
        <v>1</v>
      </c>
      <c r="S115" s="417">
        <v>1</v>
      </c>
      <c r="T115" s="337"/>
      <c r="U115" s="417">
        <v>1</v>
      </c>
      <c r="V115" s="418">
        <v>1</v>
      </c>
      <c r="W115" s="419">
        <v>1</v>
      </c>
      <c r="X115" s="420">
        <v>1</v>
      </c>
      <c r="Y115" s="421">
        <v>1</v>
      </c>
      <c r="Z115" s="422">
        <v>1</v>
      </c>
      <c r="AA115" s="423">
        <v>1</v>
      </c>
      <c r="AB115" s="337"/>
      <c r="AC115" s="423">
        <v>1</v>
      </c>
      <c r="AD115" s="423">
        <v>1</v>
      </c>
      <c r="AE115" s="425">
        <v>1</v>
      </c>
      <c r="AF115" s="426">
        <v>1</v>
      </c>
      <c r="AG115" s="426">
        <v>1</v>
      </c>
      <c r="AH115" s="426">
        <v>1</v>
      </c>
      <c r="AI115" s="413">
        <f t="shared" si="144"/>
        <v>27</v>
      </c>
      <c r="AJ115" s="413">
        <v>0</v>
      </c>
      <c r="AK115" s="413">
        <v>0</v>
      </c>
      <c r="AL115" s="413">
        <f t="shared" si="145"/>
        <v>27</v>
      </c>
      <c r="AM115" s="413">
        <f t="shared" si="146"/>
        <v>14040</v>
      </c>
      <c r="AN115" s="711">
        <f t="shared" ref="AN115" si="153">AM115+AM116</f>
        <v>17680</v>
      </c>
      <c r="AO115" s="713">
        <v>0</v>
      </c>
      <c r="AP115" s="711">
        <f t="shared" ref="AP115" si="154">AN115-AO115</f>
        <v>17680</v>
      </c>
      <c r="AQ115" s="711"/>
      <c r="AR115" s="711"/>
    </row>
    <row r="116" spans="1:44" ht="12" customHeight="1">
      <c r="A116" s="331"/>
      <c r="B116" s="329"/>
      <c r="C116" s="331">
        <f>C115/8</f>
        <v>65</v>
      </c>
      <c r="D116" s="337"/>
      <c r="E116" s="413">
        <v>2</v>
      </c>
      <c r="F116" s="413">
        <v>2</v>
      </c>
      <c r="G116" s="414">
        <v>2</v>
      </c>
      <c r="H116" s="337">
        <v>4</v>
      </c>
      <c r="I116" s="337">
        <v>4</v>
      </c>
      <c r="J116" s="414">
        <v>2</v>
      </c>
      <c r="K116" s="415">
        <v>2</v>
      </c>
      <c r="L116" s="416">
        <v>2</v>
      </c>
      <c r="M116" s="416">
        <v>2</v>
      </c>
      <c r="N116" s="337"/>
      <c r="O116" s="416">
        <v>2</v>
      </c>
      <c r="P116" s="417">
        <v>2</v>
      </c>
      <c r="Q116" s="417">
        <v>2</v>
      </c>
      <c r="R116" s="417">
        <v>2</v>
      </c>
      <c r="S116" s="417">
        <v>2</v>
      </c>
      <c r="T116" s="337"/>
      <c r="U116" s="417">
        <v>2</v>
      </c>
      <c r="V116" s="418">
        <v>2</v>
      </c>
      <c r="W116" s="419">
        <v>2</v>
      </c>
      <c r="X116" s="420">
        <v>2</v>
      </c>
      <c r="Y116" s="421">
        <v>2</v>
      </c>
      <c r="Z116" s="422">
        <v>2</v>
      </c>
      <c r="AA116" s="423">
        <v>2</v>
      </c>
      <c r="AB116" s="337"/>
      <c r="AC116" s="423">
        <v>2</v>
      </c>
      <c r="AD116" s="423">
        <v>2</v>
      </c>
      <c r="AE116" s="395">
        <v>0</v>
      </c>
      <c r="AF116" s="426">
        <v>2</v>
      </c>
      <c r="AG116" s="426">
        <v>2</v>
      </c>
      <c r="AH116" s="426">
        <v>2</v>
      </c>
      <c r="AI116" s="413">
        <f t="shared" si="144"/>
        <v>56</v>
      </c>
      <c r="AJ116" s="413">
        <v>0</v>
      </c>
      <c r="AK116" s="413">
        <v>0</v>
      </c>
      <c r="AL116" s="413">
        <f t="shared" si="145"/>
        <v>56</v>
      </c>
      <c r="AM116" s="413">
        <f t="shared" si="146"/>
        <v>3640</v>
      </c>
      <c r="AN116" s="712"/>
      <c r="AO116" s="714"/>
      <c r="AP116" s="712"/>
      <c r="AQ116" s="712"/>
      <c r="AR116" s="712"/>
    </row>
    <row r="117" spans="1:44" ht="12" customHeight="1">
      <c r="A117" s="331">
        <v>3</v>
      </c>
      <c r="B117" s="329" t="s">
        <v>185</v>
      </c>
      <c r="C117" s="331">
        <v>480</v>
      </c>
      <c r="D117" s="337"/>
      <c r="E117" s="413">
        <v>1</v>
      </c>
      <c r="F117" s="413">
        <v>1</v>
      </c>
      <c r="G117" s="395">
        <v>0</v>
      </c>
      <c r="H117" s="414">
        <v>1</v>
      </c>
      <c r="I117" s="414">
        <v>1</v>
      </c>
      <c r="J117" s="414">
        <v>1</v>
      </c>
      <c r="K117" s="415">
        <v>1</v>
      </c>
      <c r="L117" s="416">
        <v>1</v>
      </c>
      <c r="M117" s="416">
        <v>1</v>
      </c>
      <c r="N117" s="337"/>
      <c r="O117" s="416">
        <v>1</v>
      </c>
      <c r="P117" s="395">
        <v>0</v>
      </c>
      <c r="Q117" s="417">
        <v>1</v>
      </c>
      <c r="R117" s="417">
        <v>1</v>
      </c>
      <c r="S117" s="417">
        <v>1</v>
      </c>
      <c r="T117" s="337"/>
      <c r="U117" s="395">
        <v>0</v>
      </c>
      <c r="V117" s="418">
        <v>1</v>
      </c>
      <c r="W117" s="419">
        <v>1</v>
      </c>
      <c r="X117" s="420">
        <v>1</v>
      </c>
      <c r="Y117" s="421">
        <v>1</v>
      </c>
      <c r="Z117" s="422">
        <v>1</v>
      </c>
      <c r="AA117" s="423">
        <v>1</v>
      </c>
      <c r="AB117" s="337"/>
      <c r="AC117" s="423">
        <v>1</v>
      </c>
      <c r="AD117" s="423">
        <v>1</v>
      </c>
      <c r="AE117" s="425">
        <v>1</v>
      </c>
      <c r="AF117" s="426">
        <v>1</v>
      </c>
      <c r="AG117" s="426">
        <v>1</v>
      </c>
      <c r="AH117" s="426">
        <v>1</v>
      </c>
      <c r="AI117" s="413">
        <f t="shared" si="144"/>
        <v>24</v>
      </c>
      <c r="AJ117" s="413">
        <v>0</v>
      </c>
      <c r="AK117" s="413">
        <v>0</v>
      </c>
      <c r="AL117" s="413">
        <f t="shared" si="145"/>
        <v>24</v>
      </c>
      <c r="AM117" s="413">
        <f t="shared" si="146"/>
        <v>11520</v>
      </c>
      <c r="AN117" s="711">
        <f t="shared" ref="AN117" si="155">AM117+AM118</f>
        <v>14400</v>
      </c>
      <c r="AO117" s="713">
        <v>0</v>
      </c>
      <c r="AP117" s="711">
        <f t="shared" ref="AP117" si="156">AN117-AO117</f>
        <v>14400</v>
      </c>
      <c r="AQ117" s="711"/>
      <c r="AR117" s="711"/>
    </row>
    <row r="118" spans="1:44" ht="12" customHeight="1">
      <c r="A118" s="331"/>
      <c r="B118" s="329"/>
      <c r="C118" s="331">
        <f>C117/8</f>
        <v>60</v>
      </c>
      <c r="D118" s="337"/>
      <c r="E118" s="413">
        <v>2</v>
      </c>
      <c r="F118" s="413">
        <v>2</v>
      </c>
      <c r="G118" s="395">
        <v>0</v>
      </c>
      <c r="H118" s="414">
        <v>2</v>
      </c>
      <c r="I118" s="337">
        <v>4</v>
      </c>
      <c r="J118" s="414">
        <v>2</v>
      </c>
      <c r="K118" s="415">
        <v>2</v>
      </c>
      <c r="L118" s="416">
        <v>2</v>
      </c>
      <c r="M118" s="416">
        <v>2</v>
      </c>
      <c r="N118" s="337"/>
      <c r="O118" s="416">
        <v>2</v>
      </c>
      <c r="P118" s="395">
        <v>0</v>
      </c>
      <c r="Q118" s="417">
        <v>2</v>
      </c>
      <c r="R118" s="417">
        <v>2</v>
      </c>
      <c r="S118" s="417">
        <v>2</v>
      </c>
      <c r="T118" s="337"/>
      <c r="U118" s="395">
        <v>0</v>
      </c>
      <c r="V118" s="418">
        <v>2</v>
      </c>
      <c r="W118" s="419">
        <v>2</v>
      </c>
      <c r="X118" s="420">
        <v>2</v>
      </c>
      <c r="Y118" s="421">
        <v>2</v>
      </c>
      <c r="Z118" s="422">
        <v>2</v>
      </c>
      <c r="AA118" s="423">
        <v>2</v>
      </c>
      <c r="AB118" s="337"/>
      <c r="AC118" s="423">
        <v>2</v>
      </c>
      <c r="AD118" s="423">
        <v>2</v>
      </c>
      <c r="AE118" s="425">
        <v>2</v>
      </c>
      <c r="AF118" s="395">
        <v>0</v>
      </c>
      <c r="AG118" s="426">
        <v>2</v>
      </c>
      <c r="AH118" s="426">
        <v>2</v>
      </c>
      <c r="AI118" s="413">
        <f t="shared" si="144"/>
        <v>48</v>
      </c>
      <c r="AJ118" s="413">
        <v>0</v>
      </c>
      <c r="AK118" s="413">
        <v>0</v>
      </c>
      <c r="AL118" s="413">
        <f t="shared" si="145"/>
        <v>48</v>
      </c>
      <c r="AM118" s="413">
        <f t="shared" si="146"/>
        <v>2880</v>
      </c>
      <c r="AN118" s="712"/>
      <c r="AO118" s="714"/>
      <c r="AP118" s="712"/>
      <c r="AQ118" s="712"/>
      <c r="AR118" s="712"/>
    </row>
    <row r="119" spans="1:44" ht="12" customHeight="1">
      <c r="A119" s="331">
        <v>4</v>
      </c>
      <c r="B119" s="329" t="s">
        <v>182</v>
      </c>
      <c r="C119" s="331">
        <v>480</v>
      </c>
      <c r="D119" s="337"/>
      <c r="E119" s="413">
        <v>1</v>
      </c>
      <c r="F119" s="413">
        <v>1</v>
      </c>
      <c r="G119" s="414">
        <v>1</v>
      </c>
      <c r="H119" s="414">
        <v>1</v>
      </c>
      <c r="I119" s="414">
        <v>1</v>
      </c>
      <c r="J119" s="414">
        <v>1</v>
      </c>
      <c r="K119" s="415">
        <v>1</v>
      </c>
      <c r="L119" s="416">
        <v>1</v>
      </c>
      <c r="M119" s="416">
        <v>1</v>
      </c>
      <c r="N119" s="337"/>
      <c r="O119" s="416">
        <v>1</v>
      </c>
      <c r="P119" s="417">
        <v>1</v>
      </c>
      <c r="Q119" s="417">
        <v>1</v>
      </c>
      <c r="R119" s="417">
        <v>1</v>
      </c>
      <c r="S119" s="417">
        <v>1</v>
      </c>
      <c r="T119" s="337"/>
      <c r="U119" s="417">
        <v>1</v>
      </c>
      <c r="V119" s="418">
        <v>1</v>
      </c>
      <c r="W119" s="419">
        <v>1</v>
      </c>
      <c r="X119" s="420">
        <v>1</v>
      </c>
      <c r="Y119" s="421">
        <v>1</v>
      </c>
      <c r="Z119" s="422">
        <v>1</v>
      </c>
      <c r="AA119" s="423">
        <v>1</v>
      </c>
      <c r="AB119" s="337"/>
      <c r="AC119" s="423">
        <v>1</v>
      </c>
      <c r="AD119" s="423">
        <v>1</v>
      </c>
      <c r="AE119" s="425">
        <v>1</v>
      </c>
      <c r="AF119" s="426">
        <v>1</v>
      </c>
      <c r="AG119" s="426">
        <v>1</v>
      </c>
      <c r="AH119" s="426">
        <v>1</v>
      </c>
      <c r="AI119" s="413">
        <f t="shared" si="144"/>
        <v>27</v>
      </c>
      <c r="AJ119" s="413">
        <v>0</v>
      </c>
      <c r="AK119" s="413">
        <v>0</v>
      </c>
      <c r="AL119" s="413">
        <f t="shared" si="145"/>
        <v>27</v>
      </c>
      <c r="AM119" s="413">
        <f t="shared" si="146"/>
        <v>12960</v>
      </c>
      <c r="AN119" s="711">
        <f t="shared" ref="AN119" si="157">AM119+AM120</f>
        <v>16440</v>
      </c>
      <c r="AO119" s="713">
        <v>0</v>
      </c>
      <c r="AP119" s="711">
        <f t="shared" ref="AP119" si="158">AN119-AO119</f>
        <v>16440</v>
      </c>
      <c r="AQ119" s="711"/>
      <c r="AR119" s="711"/>
    </row>
    <row r="120" spans="1:44" ht="12" customHeight="1">
      <c r="A120" s="331"/>
      <c r="B120" s="329"/>
      <c r="C120" s="331">
        <f t="shared" ref="C120" si="159">C119/8</f>
        <v>60</v>
      </c>
      <c r="D120" s="337"/>
      <c r="E120" s="413">
        <v>2</v>
      </c>
      <c r="F120" s="413">
        <v>2</v>
      </c>
      <c r="G120" s="414">
        <v>2</v>
      </c>
      <c r="H120" s="337">
        <v>4</v>
      </c>
      <c r="I120" s="337">
        <v>4</v>
      </c>
      <c r="J120" s="414">
        <v>2</v>
      </c>
      <c r="K120" s="415">
        <v>2</v>
      </c>
      <c r="L120" s="416">
        <v>2</v>
      </c>
      <c r="M120" s="416">
        <v>2</v>
      </c>
      <c r="N120" s="337"/>
      <c r="O120" s="416">
        <v>2</v>
      </c>
      <c r="P120" s="417">
        <v>2</v>
      </c>
      <c r="Q120" s="417">
        <v>2</v>
      </c>
      <c r="R120" s="417">
        <v>2</v>
      </c>
      <c r="S120" s="417">
        <v>2</v>
      </c>
      <c r="T120" s="337"/>
      <c r="U120" s="417">
        <v>2</v>
      </c>
      <c r="V120" s="418">
        <v>2</v>
      </c>
      <c r="W120" s="419">
        <v>2</v>
      </c>
      <c r="X120" s="420">
        <v>2</v>
      </c>
      <c r="Y120" s="421">
        <v>2</v>
      </c>
      <c r="Z120" s="422">
        <v>2</v>
      </c>
      <c r="AA120" s="423">
        <v>2</v>
      </c>
      <c r="AB120" s="337"/>
      <c r="AC120" s="423">
        <v>2</v>
      </c>
      <c r="AD120" s="423">
        <v>2</v>
      </c>
      <c r="AE120" s="425">
        <v>2</v>
      </c>
      <c r="AF120" s="426">
        <v>2</v>
      </c>
      <c r="AG120" s="426">
        <v>2</v>
      </c>
      <c r="AH120" s="426">
        <v>2</v>
      </c>
      <c r="AI120" s="413">
        <f t="shared" si="144"/>
        <v>58</v>
      </c>
      <c r="AJ120" s="413">
        <v>0</v>
      </c>
      <c r="AK120" s="413">
        <v>0</v>
      </c>
      <c r="AL120" s="413">
        <f t="shared" si="145"/>
        <v>58</v>
      </c>
      <c r="AM120" s="413">
        <f t="shared" si="146"/>
        <v>3480</v>
      </c>
      <c r="AN120" s="712"/>
      <c r="AO120" s="714"/>
      <c r="AP120" s="712"/>
      <c r="AQ120" s="712"/>
      <c r="AR120" s="712"/>
    </row>
    <row r="121" spans="1:44" ht="12" customHeight="1">
      <c r="A121" s="331">
        <v>5</v>
      </c>
      <c r="B121" s="329" t="s">
        <v>183</v>
      </c>
      <c r="C121" s="331">
        <v>480</v>
      </c>
      <c r="D121" s="337"/>
      <c r="E121" s="413">
        <v>1</v>
      </c>
      <c r="F121" s="413">
        <v>1</v>
      </c>
      <c r="G121" s="395">
        <v>0</v>
      </c>
      <c r="H121" s="414">
        <v>1</v>
      </c>
      <c r="I121" s="414">
        <v>1</v>
      </c>
      <c r="J121" s="414">
        <v>1</v>
      </c>
      <c r="K121" s="415">
        <v>1</v>
      </c>
      <c r="L121" s="416">
        <v>1</v>
      </c>
      <c r="M121" s="416">
        <v>1</v>
      </c>
      <c r="N121" s="337"/>
      <c r="O121" s="416">
        <v>1</v>
      </c>
      <c r="P121" s="417">
        <v>1</v>
      </c>
      <c r="Q121" s="417">
        <v>1</v>
      </c>
      <c r="R121" s="417">
        <v>1</v>
      </c>
      <c r="S121" s="417">
        <v>1</v>
      </c>
      <c r="T121" s="337"/>
      <c r="U121" s="395">
        <v>0</v>
      </c>
      <c r="V121" s="418">
        <v>1</v>
      </c>
      <c r="W121" s="419">
        <v>1</v>
      </c>
      <c r="X121" s="420">
        <v>1</v>
      </c>
      <c r="Y121" s="421">
        <v>1</v>
      </c>
      <c r="Z121" s="422">
        <v>1</v>
      </c>
      <c r="AA121" s="423">
        <v>1</v>
      </c>
      <c r="AB121" s="337"/>
      <c r="AC121" s="423">
        <v>1</v>
      </c>
      <c r="AD121" s="423">
        <v>1</v>
      </c>
      <c r="AE121" s="425">
        <v>1</v>
      </c>
      <c r="AF121" s="426">
        <v>1</v>
      </c>
      <c r="AG121" s="426">
        <v>1</v>
      </c>
      <c r="AH121" s="426">
        <v>1</v>
      </c>
      <c r="AI121" s="413">
        <f t="shared" si="144"/>
        <v>25</v>
      </c>
      <c r="AJ121" s="413">
        <v>0</v>
      </c>
      <c r="AK121" s="413">
        <v>0</v>
      </c>
      <c r="AL121" s="413">
        <f t="shared" si="145"/>
        <v>25</v>
      </c>
      <c r="AM121" s="413">
        <f t="shared" si="146"/>
        <v>12000</v>
      </c>
      <c r="AN121" s="711">
        <f t="shared" ref="AN121" si="160">AM121+AM122</f>
        <v>15000</v>
      </c>
      <c r="AO121" s="713">
        <v>0</v>
      </c>
      <c r="AP121" s="711">
        <f t="shared" ref="AP121" si="161">AN121-AO121</f>
        <v>15000</v>
      </c>
      <c r="AQ121" s="711"/>
      <c r="AR121" s="711"/>
    </row>
    <row r="122" spans="1:44" ht="12" customHeight="1">
      <c r="A122" s="331"/>
      <c r="B122" s="329"/>
      <c r="C122" s="331">
        <f t="shared" ref="C122" si="162">C121/8</f>
        <v>60</v>
      </c>
      <c r="D122" s="337"/>
      <c r="E122" s="413">
        <v>2</v>
      </c>
      <c r="F122" s="413">
        <v>2</v>
      </c>
      <c r="G122" s="395">
        <v>0</v>
      </c>
      <c r="H122" s="414">
        <v>2</v>
      </c>
      <c r="I122" s="414">
        <v>2</v>
      </c>
      <c r="J122" s="414">
        <v>2</v>
      </c>
      <c r="K122" s="415">
        <v>2</v>
      </c>
      <c r="L122" s="416">
        <v>2</v>
      </c>
      <c r="M122" s="416">
        <v>2</v>
      </c>
      <c r="N122" s="337"/>
      <c r="O122" s="416">
        <v>2</v>
      </c>
      <c r="P122" s="417">
        <v>2</v>
      </c>
      <c r="Q122" s="417">
        <v>2</v>
      </c>
      <c r="R122" s="417">
        <v>2</v>
      </c>
      <c r="S122" s="417">
        <v>2</v>
      </c>
      <c r="T122" s="337"/>
      <c r="U122" s="395">
        <v>0</v>
      </c>
      <c r="V122" s="418">
        <v>2</v>
      </c>
      <c r="W122" s="419">
        <v>2</v>
      </c>
      <c r="X122" s="420">
        <v>2</v>
      </c>
      <c r="Y122" s="421">
        <v>2</v>
      </c>
      <c r="Z122" s="422">
        <v>2</v>
      </c>
      <c r="AA122" s="423">
        <v>2</v>
      </c>
      <c r="AB122" s="337"/>
      <c r="AC122" s="423">
        <v>2</v>
      </c>
      <c r="AD122" s="423">
        <v>2</v>
      </c>
      <c r="AE122" s="425">
        <v>2</v>
      </c>
      <c r="AF122" s="426">
        <v>2</v>
      </c>
      <c r="AG122" s="426">
        <v>2</v>
      </c>
      <c r="AH122" s="426">
        <v>2</v>
      </c>
      <c r="AI122" s="413">
        <f t="shared" si="144"/>
        <v>50</v>
      </c>
      <c r="AJ122" s="413">
        <v>0</v>
      </c>
      <c r="AK122" s="413">
        <v>0</v>
      </c>
      <c r="AL122" s="413">
        <f t="shared" si="145"/>
        <v>50</v>
      </c>
      <c r="AM122" s="413">
        <f t="shared" si="146"/>
        <v>3000</v>
      </c>
      <c r="AN122" s="712"/>
      <c r="AO122" s="714"/>
      <c r="AP122" s="712"/>
      <c r="AQ122" s="712"/>
      <c r="AR122" s="712"/>
    </row>
    <row r="123" spans="1:44" ht="12" customHeight="1">
      <c r="A123" s="331">
        <v>6</v>
      </c>
      <c r="B123" s="329" t="s">
        <v>199</v>
      </c>
      <c r="C123" s="331">
        <v>480</v>
      </c>
      <c r="D123" s="337"/>
      <c r="E123" s="413">
        <v>1</v>
      </c>
      <c r="F123" s="413">
        <v>1</v>
      </c>
      <c r="G123" s="414">
        <v>1</v>
      </c>
      <c r="H123" s="414">
        <v>1</v>
      </c>
      <c r="I123" s="414">
        <v>1</v>
      </c>
      <c r="J123" s="414">
        <v>1</v>
      </c>
      <c r="K123" s="415">
        <v>1</v>
      </c>
      <c r="L123" s="416">
        <v>1</v>
      </c>
      <c r="M123" s="416">
        <v>1</v>
      </c>
      <c r="N123" s="337"/>
      <c r="O123" s="416">
        <v>1</v>
      </c>
      <c r="P123" s="417">
        <v>1</v>
      </c>
      <c r="Q123" s="417">
        <v>1</v>
      </c>
      <c r="R123" s="395">
        <v>0</v>
      </c>
      <c r="S123" s="395">
        <v>0</v>
      </c>
      <c r="T123" s="337"/>
      <c r="U123" s="417">
        <v>1</v>
      </c>
      <c r="V123" s="418">
        <v>1</v>
      </c>
      <c r="W123" s="419">
        <v>1</v>
      </c>
      <c r="X123" s="420">
        <v>1</v>
      </c>
      <c r="Y123" s="421">
        <v>1</v>
      </c>
      <c r="Z123" s="422">
        <v>1</v>
      </c>
      <c r="AA123" s="423">
        <v>1</v>
      </c>
      <c r="AB123" s="337"/>
      <c r="AC123" s="423">
        <v>1</v>
      </c>
      <c r="AD123" s="423">
        <v>1</v>
      </c>
      <c r="AE123" s="425">
        <v>1</v>
      </c>
      <c r="AF123" s="426">
        <v>1</v>
      </c>
      <c r="AG123" s="426">
        <v>1</v>
      </c>
      <c r="AH123" s="426">
        <v>1</v>
      </c>
      <c r="AI123" s="413">
        <f t="shared" si="144"/>
        <v>25</v>
      </c>
      <c r="AJ123" s="413">
        <v>0</v>
      </c>
      <c r="AK123" s="413">
        <v>0</v>
      </c>
      <c r="AL123" s="413">
        <f t="shared" ref="AL123:AL126" si="163">AI123+AJ123-AK123</f>
        <v>25</v>
      </c>
      <c r="AM123" s="413">
        <f t="shared" ref="AM123:AM126" si="164">AL123*C123</f>
        <v>12000</v>
      </c>
      <c r="AN123" s="711">
        <f t="shared" ref="AN123" si="165">AM123+AM124</f>
        <v>15120</v>
      </c>
      <c r="AO123" s="713">
        <v>0</v>
      </c>
      <c r="AP123" s="711">
        <f t="shared" ref="AP123" si="166">AN123-AO123</f>
        <v>15120</v>
      </c>
      <c r="AQ123" s="711"/>
      <c r="AR123" s="711"/>
    </row>
    <row r="124" spans="1:44" ht="12" customHeight="1">
      <c r="A124" s="331"/>
      <c r="B124" s="329"/>
      <c r="C124" s="331">
        <f t="shared" ref="C124:C126" si="167">C123/8</f>
        <v>60</v>
      </c>
      <c r="D124" s="337"/>
      <c r="E124" s="413">
        <v>2</v>
      </c>
      <c r="F124" s="413">
        <v>2</v>
      </c>
      <c r="G124" s="414">
        <v>2</v>
      </c>
      <c r="H124" s="337">
        <v>4</v>
      </c>
      <c r="I124" s="337">
        <v>4</v>
      </c>
      <c r="J124" s="414">
        <v>2</v>
      </c>
      <c r="K124" s="415">
        <v>2</v>
      </c>
      <c r="L124" s="416">
        <v>2</v>
      </c>
      <c r="M124" s="416">
        <v>2</v>
      </c>
      <c r="N124" s="337"/>
      <c r="O124" s="416">
        <v>2</v>
      </c>
      <c r="P124" s="417">
        <v>2</v>
      </c>
      <c r="Q124" s="395">
        <v>0</v>
      </c>
      <c r="R124" s="395">
        <v>0</v>
      </c>
      <c r="S124" s="395">
        <v>0</v>
      </c>
      <c r="T124" s="337"/>
      <c r="U124" s="417">
        <v>2</v>
      </c>
      <c r="V124" s="418">
        <v>2</v>
      </c>
      <c r="W124" s="419">
        <v>2</v>
      </c>
      <c r="X124" s="420">
        <v>2</v>
      </c>
      <c r="Y124" s="421">
        <v>2</v>
      </c>
      <c r="Z124" s="422">
        <v>2</v>
      </c>
      <c r="AA124" s="423">
        <v>2</v>
      </c>
      <c r="AB124" s="337"/>
      <c r="AC124" s="423">
        <v>2</v>
      </c>
      <c r="AD124" s="423">
        <v>2</v>
      </c>
      <c r="AE124" s="425">
        <v>2</v>
      </c>
      <c r="AF124" s="426">
        <v>2</v>
      </c>
      <c r="AG124" s="426">
        <v>2</v>
      </c>
      <c r="AH124" s="426">
        <v>2</v>
      </c>
      <c r="AI124" s="413">
        <f t="shared" si="144"/>
        <v>52</v>
      </c>
      <c r="AJ124" s="413">
        <v>0</v>
      </c>
      <c r="AK124" s="413">
        <v>0</v>
      </c>
      <c r="AL124" s="413">
        <f t="shared" si="163"/>
        <v>52</v>
      </c>
      <c r="AM124" s="413">
        <f t="shared" si="164"/>
        <v>3120</v>
      </c>
      <c r="AN124" s="712"/>
      <c r="AO124" s="714"/>
      <c r="AP124" s="712"/>
      <c r="AQ124" s="712"/>
      <c r="AR124" s="712"/>
    </row>
    <row r="125" spans="1:44" ht="12" customHeight="1">
      <c r="A125" s="331">
        <v>7</v>
      </c>
      <c r="B125" s="329" t="s">
        <v>195</v>
      </c>
      <c r="C125" s="331">
        <v>320</v>
      </c>
      <c r="D125" s="337"/>
      <c r="E125" s="413">
        <v>1</v>
      </c>
      <c r="F125" s="413">
        <v>1</v>
      </c>
      <c r="G125" s="414">
        <v>1</v>
      </c>
      <c r="H125" s="395">
        <v>0</v>
      </c>
      <c r="I125" s="414">
        <v>1</v>
      </c>
      <c r="J125" s="414">
        <v>1</v>
      </c>
      <c r="K125" s="415">
        <v>1</v>
      </c>
      <c r="L125" s="416">
        <v>1</v>
      </c>
      <c r="M125" s="416">
        <v>1</v>
      </c>
      <c r="N125" s="337"/>
      <c r="O125" s="416">
        <v>1</v>
      </c>
      <c r="P125" s="417">
        <v>1</v>
      </c>
      <c r="Q125" s="417">
        <v>1</v>
      </c>
      <c r="R125" s="395">
        <v>0</v>
      </c>
      <c r="S125" s="395">
        <v>0</v>
      </c>
      <c r="T125" s="337"/>
      <c r="U125" s="417">
        <v>1</v>
      </c>
      <c r="V125" s="418">
        <v>1</v>
      </c>
      <c r="W125" s="395">
        <v>0</v>
      </c>
      <c r="X125" s="395">
        <v>0</v>
      </c>
      <c r="Y125" s="395">
        <v>0</v>
      </c>
      <c r="Z125" s="395">
        <v>0</v>
      </c>
      <c r="AA125" s="395">
        <v>0</v>
      </c>
      <c r="AB125" s="337"/>
      <c r="AC125" s="423">
        <v>1</v>
      </c>
      <c r="AD125" s="423">
        <v>1</v>
      </c>
      <c r="AE125" s="425">
        <v>1</v>
      </c>
      <c r="AF125" s="426">
        <v>1</v>
      </c>
      <c r="AG125" s="426">
        <v>1</v>
      </c>
      <c r="AH125" s="426">
        <v>1</v>
      </c>
      <c r="AI125" s="413">
        <f t="shared" si="144"/>
        <v>19</v>
      </c>
      <c r="AJ125" s="413">
        <v>0</v>
      </c>
      <c r="AK125" s="413">
        <v>0</v>
      </c>
      <c r="AL125" s="413">
        <f t="shared" si="163"/>
        <v>19</v>
      </c>
      <c r="AM125" s="413">
        <f t="shared" si="164"/>
        <v>6080</v>
      </c>
      <c r="AN125" s="711">
        <f t="shared" ref="AN125" si="168">AM125+AM126</f>
        <v>7520</v>
      </c>
      <c r="AO125" s="713">
        <v>0</v>
      </c>
      <c r="AP125" s="711">
        <f t="shared" ref="AP125" si="169">AN125-AO125</f>
        <v>7520</v>
      </c>
      <c r="AQ125" s="711"/>
      <c r="AR125" s="711"/>
    </row>
    <row r="126" spans="1:44" ht="12" customHeight="1">
      <c r="A126" s="331"/>
      <c r="B126" s="329"/>
      <c r="C126" s="331">
        <f t="shared" si="167"/>
        <v>40</v>
      </c>
      <c r="D126" s="337"/>
      <c r="E126" s="413">
        <v>2</v>
      </c>
      <c r="F126" s="413">
        <v>2</v>
      </c>
      <c r="G126" s="414">
        <v>2</v>
      </c>
      <c r="H126" s="395">
        <v>0</v>
      </c>
      <c r="I126" s="414">
        <v>2</v>
      </c>
      <c r="J126" s="414">
        <v>2</v>
      </c>
      <c r="K126" s="415">
        <v>2</v>
      </c>
      <c r="L126" s="416">
        <v>2</v>
      </c>
      <c r="M126" s="416">
        <v>2</v>
      </c>
      <c r="N126" s="337"/>
      <c r="O126" s="416">
        <v>2</v>
      </c>
      <c r="P126" s="417">
        <v>2</v>
      </c>
      <c r="Q126" s="395">
        <v>0</v>
      </c>
      <c r="R126" s="395">
        <v>0</v>
      </c>
      <c r="S126" s="395">
        <v>0</v>
      </c>
      <c r="T126" s="337"/>
      <c r="U126" s="417">
        <v>2</v>
      </c>
      <c r="V126" s="418">
        <v>2</v>
      </c>
      <c r="W126" s="395">
        <v>0</v>
      </c>
      <c r="X126" s="395">
        <v>0</v>
      </c>
      <c r="Y126" s="395">
        <v>0</v>
      </c>
      <c r="Z126" s="395">
        <v>0</v>
      </c>
      <c r="AA126" s="395">
        <v>0</v>
      </c>
      <c r="AB126" s="337"/>
      <c r="AC126" s="423">
        <v>2</v>
      </c>
      <c r="AD126" s="423">
        <v>2</v>
      </c>
      <c r="AE126" s="425">
        <v>2</v>
      </c>
      <c r="AF126" s="426">
        <v>2</v>
      </c>
      <c r="AG126" s="426">
        <v>2</v>
      </c>
      <c r="AH126" s="426">
        <v>2</v>
      </c>
      <c r="AI126" s="413">
        <f t="shared" si="144"/>
        <v>36</v>
      </c>
      <c r="AJ126" s="413">
        <v>0</v>
      </c>
      <c r="AK126" s="413">
        <v>0</v>
      </c>
      <c r="AL126" s="413">
        <f t="shared" si="163"/>
        <v>36</v>
      </c>
      <c r="AM126" s="413">
        <f t="shared" si="164"/>
        <v>1440</v>
      </c>
      <c r="AN126" s="712"/>
      <c r="AO126" s="714"/>
      <c r="AP126" s="712"/>
      <c r="AQ126" s="712"/>
      <c r="AR126" s="712"/>
    </row>
    <row r="127" spans="1:44" ht="12" customHeight="1">
      <c r="A127" s="331">
        <v>8</v>
      </c>
      <c r="B127" s="329" t="s">
        <v>196</v>
      </c>
      <c r="C127" s="331">
        <v>296</v>
      </c>
      <c r="D127" s="337"/>
      <c r="E127" s="413">
        <v>1</v>
      </c>
      <c r="F127" s="413">
        <v>1</v>
      </c>
      <c r="G127" s="414">
        <v>1</v>
      </c>
      <c r="H127" s="414">
        <v>1</v>
      </c>
      <c r="I127" s="414">
        <v>1</v>
      </c>
      <c r="J127" s="414">
        <v>1</v>
      </c>
      <c r="K127" s="415">
        <v>1</v>
      </c>
      <c r="L127" s="416">
        <v>1</v>
      </c>
      <c r="M127" s="416">
        <v>1</v>
      </c>
      <c r="N127" s="337"/>
      <c r="O127" s="416">
        <v>1</v>
      </c>
      <c r="P127" s="417">
        <v>1</v>
      </c>
      <c r="Q127" s="417">
        <v>1</v>
      </c>
      <c r="R127" s="417">
        <v>1</v>
      </c>
      <c r="S127" s="417">
        <v>1</v>
      </c>
      <c r="T127" s="337"/>
      <c r="U127" s="417">
        <v>1</v>
      </c>
      <c r="V127" s="418">
        <v>1</v>
      </c>
      <c r="W127" s="419">
        <v>1</v>
      </c>
      <c r="X127" s="420">
        <v>1</v>
      </c>
      <c r="Y127" s="421">
        <v>1</v>
      </c>
      <c r="Z127" s="422">
        <v>1</v>
      </c>
      <c r="AA127" s="423">
        <v>1</v>
      </c>
      <c r="AB127" s="337"/>
      <c r="AC127" s="423">
        <v>1</v>
      </c>
      <c r="AD127" s="423">
        <v>1</v>
      </c>
      <c r="AE127" s="425">
        <v>1</v>
      </c>
      <c r="AF127" s="426">
        <v>1</v>
      </c>
      <c r="AG127" s="395">
        <v>0</v>
      </c>
      <c r="AH127" s="426">
        <v>1</v>
      </c>
      <c r="AI127" s="413">
        <f t="shared" si="144"/>
        <v>26</v>
      </c>
      <c r="AJ127" s="424">
        <v>4.6619999999999999</v>
      </c>
      <c r="AK127" s="413">
        <v>0</v>
      </c>
      <c r="AL127" s="424">
        <f t="shared" si="145"/>
        <v>30.661999999999999</v>
      </c>
      <c r="AM127" s="424">
        <f t="shared" ref="AM127:AM128" si="170">AL127*C127</f>
        <v>9075.9519999999993</v>
      </c>
      <c r="AN127" s="711">
        <f t="shared" ref="AN127" si="171">AM127+AM128</f>
        <v>10999.951999999999</v>
      </c>
      <c r="AO127" s="713">
        <v>0</v>
      </c>
      <c r="AP127" s="711">
        <f t="shared" ref="AP127" si="172">AN127-AO127</f>
        <v>10999.951999999999</v>
      </c>
      <c r="AQ127" s="711"/>
      <c r="AR127" s="711"/>
    </row>
    <row r="128" spans="1:44" ht="12" customHeight="1">
      <c r="A128" s="331"/>
      <c r="B128" s="329"/>
      <c r="C128" s="331">
        <v>37</v>
      </c>
      <c r="D128" s="337"/>
      <c r="E128" s="413">
        <v>2</v>
      </c>
      <c r="F128" s="413">
        <v>2</v>
      </c>
      <c r="G128" s="414">
        <v>2</v>
      </c>
      <c r="H128" s="414">
        <v>2</v>
      </c>
      <c r="I128" s="414">
        <v>2</v>
      </c>
      <c r="J128" s="414">
        <v>2</v>
      </c>
      <c r="K128" s="415">
        <v>2</v>
      </c>
      <c r="L128" s="416">
        <v>2</v>
      </c>
      <c r="M128" s="416">
        <v>2</v>
      </c>
      <c r="N128" s="337"/>
      <c r="O128" s="416">
        <v>2</v>
      </c>
      <c r="P128" s="417">
        <v>2</v>
      </c>
      <c r="Q128" s="417">
        <v>2</v>
      </c>
      <c r="R128" s="417">
        <v>2</v>
      </c>
      <c r="S128" s="417">
        <v>2</v>
      </c>
      <c r="T128" s="337"/>
      <c r="U128" s="417">
        <v>2</v>
      </c>
      <c r="V128" s="418">
        <v>2</v>
      </c>
      <c r="W128" s="419">
        <v>2</v>
      </c>
      <c r="X128" s="420">
        <v>2</v>
      </c>
      <c r="Y128" s="421">
        <v>2</v>
      </c>
      <c r="Z128" s="422">
        <v>2</v>
      </c>
      <c r="AA128" s="423">
        <v>2</v>
      </c>
      <c r="AB128" s="337"/>
      <c r="AC128" s="423">
        <v>2</v>
      </c>
      <c r="AD128" s="423">
        <v>2</v>
      </c>
      <c r="AE128" s="425">
        <v>2</v>
      </c>
      <c r="AF128" s="426">
        <v>2</v>
      </c>
      <c r="AG128" s="395">
        <v>0</v>
      </c>
      <c r="AH128" s="426">
        <v>2</v>
      </c>
      <c r="AI128" s="413">
        <f t="shared" si="144"/>
        <v>52</v>
      </c>
      <c r="AJ128" s="413">
        <v>0</v>
      </c>
      <c r="AK128" s="413">
        <v>0</v>
      </c>
      <c r="AL128" s="413">
        <f t="shared" si="145"/>
        <v>52</v>
      </c>
      <c r="AM128" s="413">
        <f t="shared" si="170"/>
        <v>1924</v>
      </c>
      <c r="AN128" s="712"/>
      <c r="AO128" s="714"/>
      <c r="AP128" s="712"/>
      <c r="AQ128" s="712"/>
      <c r="AR128" s="712"/>
    </row>
    <row r="129" spans="1:44" ht="12" customHeight="1">
      <c r="A129" s="331">
        <v>9</v>
      </c>
      <c r="B129" s="329" t="s">
        <v>194</v>
      </c>
      <c r="C129" s="331">
        <v>480</v>
      </c>
      <c r="D129" s="337"/>
      <c r="E129" s="395">
        <v>0</v>
      </c>
      <c r="F129" s="395">
        <v>0</v>
      </c>
      <c r="G129" s="395">
        <v>0</v>
      </c>
      <c r="H129" s="395">
        <v>0</v>
      </c>
      <c r="I129" s="395">
        <v>0</v>
      </c>
      <c r="J129" s="395">
        <v>0</v>
      </c>
      <c r="K129" s="395">
        <v>0</v>
      </c>
      <c r="L129" s="395">
        <v>0</v>
      </c>
      <c r="M129" s="395">
        <v>0</v>
      </c>
      <c r="N129" s="337"/>
      <c r="O129" s="395">
        <v>0</v>
      </c>
      <c r="P129" s="395">
        <v>0</v>
      </c>
      <c r="Q129" s="395">
        <v>0</v>
      </c>
      <c r="R129" s="395">
        <v>0</v>
      </c>
      <c r="S129" s="395">
        <v>0</v>
      </c>
      <c r="T129" s="337"/>
      <c r="U129" s="395">
        <v>0</v>
      </c>
      <c r="V129" s="418">
        <v>1</v>
      </c>
      <c r="W129" s="419">
        <v>1</v>
      </c>
      <c r="X129" s="420">
        <v>1</v>
      </c>
      <c r="Y129" s="421">
        <v>1</v>
      </c>
      <c r="Z129" s="422">
        <v>1</v>
      </c>
      <c r="AA129" s="423">
        <v>1</v>
      </c>
      <c r="AB129" s="337"/>
      <c r="AC129" s="423">
        <v>1</v>
      </c>
      <c r="AD129" s="423">
        <v>1</v>
      </c>
      <c r="AE129" s="425">
        <v>1</v>
      </c>
      <c r="AF129" s="426">
        <v>1</v>
      </c>
      <c r="AG129" s="426">
        <v>1</v>
      </c>
      <c r="AH129" s="395">
        <v>0</v>
      </c>
      <c r="AI129" s="413">
        <f t="shared" si="144"/>
        <v>11</v>
      </c>
      <c r="AJ129" s="413">
        <v>0</v>
      </c>
      <c r="AK129" s="413">
        <v>0</v>
      </c>
      <c r="AL129" s="413">
        <f t="shared" si="145"/>
        <v>11</v>
      </c>
      <c r="AM129" s="413">
        <f>AL129*C129</f>
        <v>5280</v>
      </c>
      <c r="AN129" s="711">
        <f t="shared" ref="AN129" si="173">AM129+AM130</f>
        <v>6600</v>
      </c>
      <c r="AO129" s="713">
        <v>0</v>
      </c>
      <c r="AP129" s="711">
        <f t="shared" ref="AP129" si="174">AN129-AO129</f>
        <v>6600</v>
      </c>
      <c r="AQ129" s="711"/>
      <c r="AR129" s="711"/>
    </row>
    <row r="130" spans="1:44" ht="12" customHeight="1">
      <c r="A130" s="331"/>
      <c r="B130" s="329"/>
      <c r="C130" s="331">
        <f t="shared" ref="C130:C132" si="175">C129/8</f>
        <v>60</v>
      </c>
      <c r="D130" s="337"/>
      <c r="E130" s="395">
        <v>0</v>
      </c>
      <c r="F130" s="395">
        <v>0</v>
      </c>
      <c r="G130" s="395">
        <v>0</v>
      </c>
      <c r="H130" s="395">
        <v>0</v>
      </c>
      <c r="I130" s="395">
        <v>0</v>
      </c>
      <c r="J130" s="395">
        <v>0</v>
      </c>
      <c r="K130" s="395">
        <v>0</v>
      </c>
      <c r="L130" s="395">
        <v>0</v>
      </c>
      <c r="M130" s="395">
        <v>0</v>
      </c>
      <c r="N130" s="337"/>
      <c r="O130" s="395">
        <v>0</v>
      </c>
      <c r="P130" s="395">
        <v>0</v>
      </c>
      <c r="Q130" s="395">
        <v>0</v>
      </c>
      <c r="R130" s="395">
        <v>0</v>
      </c>
      <c r="S130" s="395">
        <v>0</v>
      </c>
      <c r="T130" s="337"/>
      <c r="U130" s="395">
        <v>0</v>
      </c>
      <c r="V130" s="418">
        <v>2</v>
      </c>
      <c r="W130" s="419">
        <v>2</v>
      </c>
      <c r="X130" s="420">
        <v>2</v>
      </c>
      <c r="Y130" s="421">
        <v>2</v>
      </c>
      <c r="Z130" s="422">
        <v>2</v>
      </c>
      <c r="AA130" s="423">
        <v>2</v>
      </c>
      <c r="AB130" s="337"/>
      <c r="AC130" s="423">
        <v>2</v>
      </c>
      <c r="AD130" s="423">
        <v>2</v>
      </c>
      <c r="AE130" s="425">
        <v>2</v>
      </c>
      <c r="AF130" s="426">
        <v>2</v>
      </c>
      <c r="AG130" s="426">
        <v>2</v>
      </c>
      <c r="AH130" s="395">
        <v>0</v>
      </c>
      <c r="AI130" s="413">
        <f t="shared" si="144"/>
        <v>22</v>
      </c>
      <c r="AJ130" s="413">
        <v>0</v>
      </c>
      <c r="AK130" s="413">
        <v>0</v>
      </c>
      <c r="AL130" s="413">
        <f t="shared" si="145"/>
        <v>22</v>
      </c>
      <c r="AM130" s="413">
        <f>AL130*C130</f>
        <v>1320</v>
      </c>
      <c r="AN130" s="712"/>
      <c r="AO130" s="714"/>
      <c r="AP130" s="712"/>
      <c r="AQ130" s="712"/>
      <c r="AR130" s="712"/>
    </row>
    <row r="131" spans="1:44" ht="12" customHeight="1">
      <c r="A131" s="331">
        <v>10</v>
      </c>
      <c r="B131" s="329" t="s">
        <v>195</v>
      </c>
      <c r="C131" s="331">
        <v>320</v>
      </c>
      <c r="D131" s="337"/>
      <c r="E131" s="395">
        <v>0</v>
      </c>
      <c r="F131" s="395">
        <v>0</v>
      </c>
      <c r="G131" s="395">
        <v>0</v>
      </c>
      <c r="H131" s="395">
        <v>0</v>
      </c>
      <c r="I131" s="395">
        <v>0</v>
      </c>
      <c r="J131" s="395">
        <v>0</v>
      </c>
      <c r="K131" s="395">
        <v>0</v>
      </c>
      <c r="L131" s="395">
        <v>0</v>
      </c>
      <c r="M131" s="395">
        <v>0</v>
      </c>
      <c r="N131" s="337"/>
      <c r="O131" s="395">
        <v>0</v>
      </c>
      <c r="P131" s="395">
        <v>0</v>
      </c>
      <c r="Q131" s="395">
        <v>0</v>
      </c>
      <c r="R131" s="395">
        <v>0</v>
      </c>
      <c r="S131" s="395">
        <v>0</v>
      </c>
      <c r="T131" s="337"/>
      <c r="U131" s="395">
        <v>0</v>
      </c>
      <c r="V131" s="418">
        <v>1</v>
      </c>
      <c r="W131" s="419">
        <v>1</v>
      </c>
      <c r="X131" s="420">
        <v>1</v>
      </c>
      <c r="Y131" s="421">
        <v>1</v>
      </c>
      <c r="Z131" s="422">
        <v>1</v>
      </c>
      <c r="AA131" s="423">
        <v>1</v>
      </c>
      <c r="AB131" s="337"/>
      <c r="AC131" s="423">
        <v>1</v>
      </c>
      <c r="AD131" s="423">
        <v>1</v>
      </c>
      <c r="AE131" s="395">
        <v>0</v>
      </c>
      <c r="AF131" s="426">
        <v>1</v>
      </c>
      <c r="AG131" s="426">
        <v>1</v>
      </c>
      <c r="AH131" s="426">
        <v>1</v>
      </c>
      <c r="AI131" s="413">
        <f t="shared" si="144"/>
        <v>11</v>
      </c>
      <c r="AJ131" s="413">
        <v>0</v>
      </c>
      <c r="AK131" s="413">
        <v>0</v>
      </c>
      <c r="AL131" s="413">
        <f t="shared" si="145"/>
        <v>11</v>
      </c>
      <c r="AM131" s="413">
        <f t="shared" si="146"/>
        <v>3520</v>
      </c>
      <c r="AN131" s="711">
        <f t="shared" ref="AN131" si="176">AM131+AM132</f>
        <v>4400</v>
      </c>
      <c r="AO131" s="713">
        <v>0</v>
      </c>
      <c r="AP131" s="711">
        <f t="shared" ref="AP131" si="177">AN131-AO131</f>
        <v>4400</v>
      </c>
      <c r="AQ131" s="711"/>
      <c r="AR131" s="711"/>
    </row>
    <row r="132" spans="1:44" ht="12" customHeight="1">
      <c r="A132" s="331"/>
      <c r="B132" s="329"/>
      <c r="C132" s="331">
        <f t="shared" si="175"/>
        <v>40</v>
      </c>
      <c r="D132" s="337"/>
      <c r="E132" s="395">
        <v>0</v>
      </c>
      <c r="F132" s="395">
        <v>0</v>
      </c>
      <c r="G132" s="395">
        <v>0</v>
      </c>
      <c r="H132" s="395">
        <v>0</v>
      </c>
      <c r="I132" s="395">
        <v>0</v>
      </c>
      <c r="J132" s="395">
        <v>0</v>
      </c>
      <c r="K132" s="395">
        <v>0</v>
      </c>
      <c r="L132" s="395">
        <v>0</v>
      </c>
      <c r="M132" s="395">
        <v>0</v>
      </c>
      <c r="N132" s="337"/>
      <c r="O132" s="395">
        <v>0</v>
      </c>
      <c r="P132" s="395">
        <v>0</v>
      </c>
      <c r="Q132" s="395">
        <v>0</v>
      </c>
      <c r="R132" s="395">
        <v>0</v>
      </c>
      <c r="S132" s="395">
        <v>0</v>
      </c>
      <c r="T132" s="337"/>
      <c r="U132" s="395">
        <v>0</v>
      </c>
      <c r="V132" s="418">
        <v>2</v>
      </c>
      <c r="W132" s="419">
        <v>2</v>
      </c>
      <c r="X132" s="420">
        <v>2</v>
      </c>
      <c r="Y132" s="421">
        <v>2</v>
      </c>
      <c r="Z132" s="422">
        <v>2</v>
      </c>
      <c r="AA132" s="423">
        <v>2</v>
      </c>
      <c r="AB132" s="337"/>
      <c r="AC132" s="423">
        <v>2</v>
      </c>
      <c r="AD132" s="423">
        <v>2</v>
      </c>
      <c r="AE132" s="395">
        <v>0</v>
      </c>
      <c r="AF132" s="426">
        <v>2</v>
      </c>
      <c r="AG132" s="426">
        <v>2</v>
      </c>
      <c r="AH132" s="426">
        <v>2</v>
      </c>
      <c r="AI132" s="413">
        <f t="shared" si="144"/>
        <v>22</v>
      </c>
      <c r="AJ132" s="413">
        <v>0</v>
      </c>
      <c r="AK132" s="413">
        <v>0</v>
      </c>
      <c r="AL132" s="413">
        <f t="shared" si="145"/>
        <v>22</v>
      </c>
      <c r="AM132" s="413">
        <f t="shared" si="146"/>
        <v>880</v>
      </c>
      <c r="AN132" s="712"/>
      <c r="AO132" s="714"/>
      <c r="AP132" s="712"/>
      <c r="AQ132" s="712"/>
      <c r="AR132" s="712"/>
    </row>
    <row r="133" spans="1:44" ht="15" customHeight="1">
      <c r="A133" s="895" t="s">
        <v>103</v>
      </c>
      <c r="B133" s="896"/>
      <c r="C133" s="366"/>
      <c r="D133" s="366">
        <f t="shared" ref="D133" si="178">D111+D113+D115+D117+D119+D121+D127+D129+D123+D125+D131</f>
        <v>0</v>
      </c>
      <c r="E133" s="366">
        <f>E111+E113+E115+E117+E119+E121+E127+E129+E123+E125+E131</f>
        <v>7</v>
      </c>
      <c r="F133" s="366">
        <f>F111+F113+F115+F117+F119+F121+F127+F129+F123+F125+F131</f>
        <v>7</v>
      </c>
      <c r="G133" s="366">
        <f t="shared" ref="G133:AM133" si="179">G111+G113+G115+G117+G119+G121+G127+G129+G123+G125+G131</f>
        <v>5</v>
      </c>
      <c r="H133" s="366">
        <f t="shared" ref="H133" si="180">H111+H113+H115+H117+H119+H121+H127+H129+H123+H125+H131</f>
        <v>6</v>
      </c>
      <c r="I133" s="366">
        <f t="shared" si="179"/>
        <v>7</v>
      </c>
      <c r="J133" s="366">
        <f t="shared" si="179"/>
        <v>7</v>
      </c>
      <c r="K133" s="366">
        <f t="shared" si="179"/>
        <v>7</v>
      </c>
      <c r="L133" s="366">
        <f t="shared" si="179"/>
        <v>7</v>
      </c>
      <c r="M133" s="366">
        <f t="shared" si="179"/>
        <v>7</v>
      </c>
      <c r="N133" s="366">
        <f t="shared" si="179"/>
        <v>0</v>
      </c>
      <c r="O133" s="366">
        <f t="shared" si="179"/>
        <v>7</v>
      </c>
      <c r="P133" s="366">
        <f t="shared" si="179"/>
        <v>6</v>
      </c>
      <c r="Q133" s="366">
        <f t="shared" si="179"/>
        <v>7</v>
      </c>
      <c r="R133" s="366">
        <f t="shared" si="179"/>
        <v>5</v>
      </c>
      <c r="S133" s="366">
        <f t="shared" si="179"/>
        <v>5</v>
      </c>
      <c r="T133" s="366">
        <f t="shared" si="179"/>
        <v>0</v>
      </c>
      <c r="U133" s="366">
        <f t="shared" si="179"/>
        <v>5</v>
      </c>
      <c r="V133" s="366">
        <f t="shared" si="179"/>
        <v>9</v>
      </c>
      <c r="W133" s="366">
        <f t="shared" si="179"/>
        <v>8</v>
      </c>
      <c r="X133" s="366">
        <f t="shared" si="179"/>
        <v>8</v>
      </c>
      <c r="Y133" s="366">
        <f t="shared" si="179"/>
        <v>8</v>
      </c>
      <c r="Z133" s="366">
        <f t="shared" si="179"/>
        <v>8</v>
      </c>
      <c r="AA133" s="366">
        <f t="shared" si="179"/>
        <v>8</v>
      </c>
      <c r="AB133" s="366">
        <f t="shared" si="179"/>
        <v>0</v>
      </c>
      <c r="AC133" s="366">
        <f t="shared" si="179"/>
        <v>9</v>
      </c>
      <c r="AD133" s="366">
        <f t="shared" si="179"/>
        <v>9</v>
      </c>
      <c r="AE133" s="366">
        <f t="shared" si="179"/>
        <v>8</v>
      </c>
      <c r="AF133" s="366">
        <f t="shared" si="179"/>
        <v>10</v>
      </c>
      <c r="AG133" s="366">
        <f t="shared" si="179"/>
        <v>9</v>
      </c>
      <c r="AH133" s="366">
        <f t="shared" si="179"/>
        <v>9</v>
      </c>
      <c r="AI133" s="366">
        <f t="shared" si="179"/>
        <v>198</v>
      </c>
      <c r="AJ133" s="366">
        <f t="shared" si="179"/>
        <v>4.6619999999999999</v>
      </c>
      <c r="AK133" s="366">
        <f t="shared" si="179"/>
        <v>0</v>
      </c>
      <c r="AL133" s="366">
        <f t="shared" si="179"/>
        <v>202.66200000000001</v>
      </c>
      <c r="AM133" s="366">
        <f t="shared" si="179"/>
        <v>88035.95199999999</v>
      </c>
      <c r="AN133" s="897">
        <f>AN111+AN113+AN115+AN117+AN119+AN121+AN127+AN131+AN129+AN123+AN125</f>
        <v>110109.952</v>
      </c>
      <c r="AO133" s="897">
        <f t="shared" ref="AO133:AR133" si="181">AO111+AO113+AO115+AO117+AO119+AO121+AO127+AO131+AO129+AO123+AO125</f>
        <v>0</v>
      </c>
      <c r="AP133" s="897">
        <f t="shared" si="181"/>
        <v>110109.952</v>
      </c>
      <c r="AQ133" s="897">
        <f t="shared" si="181"/>
        <v>0</v>
      </c>
      <c r="AR133" s="897">
        <f t="shared" si="181"/>
        <v>0</v>
      </c>
    </row>
    <row r="134" spans="1:44" ht="15" customHeight="1">
      <c r="A134" s="899" t="s">
        <v>106</v>
      </c>
      <c r="B134" s="900"/>
      <c r="C134" s="367"/>
      <c r="D134" s="367">
        <f t="shared" ref="D134" si="182">D112+D114+D116+D118+D120+D122+D128+D130+D124+D126+D132</f>
        <v>0</v>
      </c>
      <c r="E134" s="367">
        <f>E112+E114+E116+E118+E120+E122+E128+E130+E124+E126+E132</f>
        <v>14</v>
      </c>
      <c r="F134" s="367">
        <f>F112+F114+F116+F118+F120+F122+F128+F130+F124+F126+F132</f>
        <v>14</v>
      </c>
      <c r="G134" s="367">
        <f t="shared" ref="G134:AM134" si="183">G112+G114+G116+G118+G120+G122+G128+G130+G124+G126+G132</f>
        <v>10</v>
      </c>
      <c r="H134" s="367">
        <f t="shared" ref="H134" si="184">H112+H114+H116+H118+H120+H122+H128+H130+H124+H126+H132</f>
        <v>18</v>
      </c>
      <c r="I134" s="367">
        <f t="shared" si="183"/>
        <v>22</v>
      </c>
      <c r="J134" s="367">
        <f t="shared" si="183"/>
        <v>14</v>
      </c>
      <c r="K134" s="367">
        <f t="shared" si="183"/>
        <v>14</v>
      </c>
      <c r="L134" s="367">
        <f t="shared" si="183"/>
        <v>14</v>
      </c>
      <c r="M134" s="367">
        <f t="shared" si="183"/>
        <v>14</v>
      </c>
      <c r="N134" s="367">
        <f t="shared" si="183"/>
        <v>0</v>
      </c>
      <c r="O134" s="367">
        <f t="shared" si="183"/>
        <v>14</v>
      </c>
      <c r="P134" s="367">
        <f t="shared" si="183"/>
        <v>12</v>
      </c>
      <c r="Q134" s="367">
        <f t="shared" si="183"/>
        <v>10</v>
      </c>
      <c r="R134" s="367">
        <f t="shared" si="183"/>
        <v>10</v>
      </c>
      <c r="S134" s="367">
        <f t="shared" si="183"/>
        <v>10</v>
      </c>
      <c r="T134" s="367">
        <f t="shared" si="183"/>
        <v>0</v>
      </c>
      <c r="U134" s="367">
        <f t="shared" si="183"/>
        <v>10</v>
      </c>
      <c r="V134" s="367">
        <f t="shared" si="183"/>
        <v>18</v>
      </c>
      <c r="W134" s="367">
        <f t="shared" si="183"/>
        <v>16</v>
      </c>
      <c r="X134" s="367">
        <f t="shared" si="183"/>
        <v>16</v>
      </c>
      <c r="Y134" s="367">
        <f t="shared" si="183"/>
        <v>16</v>
      </c>
      <c r="Z134" s="367">
        <f t="shared" si="183"/>
        <v>16</v>
      </c>
      <c r="AA134" s="367">
        <f t="shared" si="183"/>
        <v>16</v>
      </c>
      <c r="AB134" s="367">
        <f t="shared" si="183"/>
        <v>0</v>
      </c>
      <c r="AC134" s="367">
        <f t="shared" si="183"/>
        <v>18</v>
      </c>
      <c r="AD134" s="367">
        <f t="shared" si="183"/>
        <v>18</v>
      </c>
      <c r="AE134" s="367">
        <f t="shared" si="183"/>
        <v>14</v>
      </c>
      <c r="AF134" s="367">
        <f t="shared" si="183"/>
        <v>18</v>
      </c>
      <c r="AG134" s="367">
        <f t="shared" si="183"/>
        <v>18</v>
      </c>
      <c r="AH134" s="367">
        <f t="shared" si="183"/>
        <v>18</v>
      </c>
      <c r="AI134" s="367">
        <f t="shared" si="183"/>
        <v>402</v>
      </c>
      <c r="AJ134" s="367">
        <f t="shared" si="183"/>
        <v>0</v>
      </c>
      <c r="AK134" s="367">
        <f t="shared" si="183"/>
        <v>0</v>
      </c>
      <c r="AL134" s="367">
        <f t="shared" si="183"/>
        <v>402</v>
      </c>
      <c r="AM134" s="367">
        <f t="shared" si="183"/>
        <v>22074</v>
      </c>
      <c r="AN134" s="898"/>
      <c r="AO134" s="898"/>
      <c r="AP134" s="898"/>
      <c r="AQ134" s="898"/>
      <c r="AR134" s="898"/>
    </row>
    <row r="136" spans="1:44" ht="15.75" customHeight="1">
      <c r="A136" s="903" t="s">
        <v>113</v>
      </c>
      <c r="B136" s="905" t="s">
        <v>1</v>
      </c>
      <c r="C136" s="906"/>
      <c r="D136" s="909" t="s">
        <v>201</v>
      </c>
      <c r="E136" s="910"/>
      <c r="F136" s="910"/>
      <c r="G136" s="910"/>
      <c r="H136" s="910"/>
      <c r="I136" s="910"/>
      <c r="J136" s="910"/>
      <c r="K136" s="910"/>
      <c r="L136" s="910"/>
      <c r="M136" s="910"/>
      <c r="N136" s="910"/>
      <c r="O136" s="910"/>
      <c r="P136" s="910"/>
      <c r="Q136" s="910"/>
      <c r="R136" s="910"/>
      <c r="S136" s="910"/>
      <c r="T136" s="910"/>
      <c r="U136" s="910"/>
      <c r="V136" s="910"/>
      <c r="W136" s="910"/>
      <c r="X136" s="910"/>
      <c r="Y136" s="910"/>
      <c r="Z136" s="910"/>
      <c r="AA136" s="910"/>
      <c r="AB136" s="910"/>
      <c r="AC136" s="910"/>
      <c r="AD136" s="910"/>
      <c r="AE136" s="910"/>
      <c r="AF136" s="911"/>
      <c r="AG136" s="912">
        <v>30</v>
      </c>
      <c r="AH136" s="913"/>
      <c r="AI136" s="901" t="s">
        <v>107</v>
      </c>
      <c r="AJ136" s="901" t="s">
        <v>45</v>
      </c>
      <c r="AK136" s="901" t="s">
        <v>108</v>
      </c>
      <c r="AL136" s="901" t="s">
        <v>112</v>
      </c>
      <c r="AM136" s="914" t="s">
        <v>7</v>
      </c>
      <c r="AN136" s="915"/>
      <c r="AO136" s="901" t="s">
        <v>93</v>
      </c>
      <c r="AP136" s="901" t="s">
        <v>109</v>
      </c>
      <c r="AQ136" s="901" t="s">
        <v>33</v>
      </c>
      <c r="AR136" s="901" t="s">
        <v>111</v>
      </c>
    </row>
    <row r="137" spans="1:44" ht="12" customHeight="1">
      <c r="A137" s="904"/>
      <c r="B137" s="907"/>
      <c r="C137" s="908"/>
      <c r="D137" s="394">
        <v>1</v>
      </c>
      <c r="E137" s="394">
        <v>2</v>
      </c>
      <c r="F137" s="394">
        <v>3</v>
      </c>
      <c r="G137" s="394">
        <v>4</v>
      </c>
      <c r="H137" s="394">
        <v>5</v>
      </c>
      <c r="I137" s="394">
        <v>6</v>
      </c>
      <c r="J137" s="394">
        <v>7</v>
      </c>
      <c r="K137" s="394">
        <v>8</v>
      </c>
      <c r="L137" s="394">
        <v>9</v>
      </c>
      <c r="M137" s="394">
        <v>10</v>
      </c>
      <c r="N137" s="394">
        <v>11</v>
      </c>
      <c r="O137" s="394">
        <v>12</v>
      </c>
      <c r="P137" s="394">
        <v>13</v>
      </c>
      <c r="Q137" s="394">
        <v>14</v>
      </c>
      <c r="R137" s="394">
        <v>15</v>
      </c>
      <c r="S137" s="394">
        <v>16</v>
      </c>
      <c r="T137" s="394">
        <v>17</v>
      </c>
      <c r="U137" s="394">
        <v>18</v>
      </c>
      <c r="V137" s="394">
        <v>19</v>
      </c>
      <c r="W137" s="394">
        <v>20</v>
      </c>
      <c r="X137" s="394">
        <v>21</v>
      </c>
      <c r="Y137" s="394">
        <v>22</v>
      </c>
      <c r="Z137" s="394">
        <v>23</v>
      </c>
      <c r="AA137" s="394">
        <v>24</v>
      </c>
      <c r="AB137" s="394">
        <v>25</v>
      </c>
      <c r="AC137" s="394">
        <v>26</v>
      </c>
      <c r="AD137" s="394">
        <v>27</v>
      </c>
      <c r="AE137" s="394">
        <v>28</v>
      </c>
      <c r="AF137" s="394">
        <v>29</v>
      </c>
      <c r="AG137" s="394">
        <v>30</v>
      </c>
      <c r="AH137" s="394">
        <v>31</v>
      </c>
      <c r="AI137" s="902"/>
      <c r="AJ137" s="902"/>
      <c r="AK137" s="902"/>
      <c r="AL137" s="902"/>
      <c r="AM137" s="916"/>
      <c r="AN137" s="917"/>
      <c r="AO137" s="902"/>
      <c r="AP137" s="902"/>
      <c r="AQ137" s="902"/>
      <c r="AR137" s="902"/>
    </row>
    <row r="138" spans="1:44" ht="12" customHeight="1">
      <c r="A138" s="331"/>
      <c r="B138" s="329"/>
      <c r="C138" s="331"/>
      <c r="D138" s="429">
        <v>0</v>
      </c>
      <c r="E138" s="429">
        <v>0</v>
      </c>
      <c r="F138" s="429">
        <v>0</v>
      </c>
      <c r="G138" s="429">
        <v>0</v>
      </c>
      <c r="H138" s="429">
        <v>0</v>
      </c>
      <c r="I138" s="429">
        <v>0</v>
      </c>
      <c r="J138" s="429">
        <v>0</v>
      </c>
      <c r="K138" s="436">
        <v>0</v>
      </c>
      <c r="L138" s="429">
        <v>0</v>
      </c>
      <c r="M138" s="429">
        <v>0</v>
      </c>
      <c r="N138" s="429">
        <v>0</v>
      </c>
      <c r="O138" s="429">
        <v>0</v>
      </c>
      <c r="P138" s="429">
        <v>0</v>
      </c>
      <c r="Q138" s="429">
        <v>0</v>
      </c>
      <c r="R138" s="436">
        <v>0</v>
      </c>
      <c r="S138" s="436">
        <v>0</v>
      </c>
      <c r="T138" s="436">
        <v>0</v>
      </c>
      <c r="U138" s="436">
        <v>0</v>
      </c>
      <c r="V138" s="436">
        <v>0</v>
      </c>
      <c r="W138" s="436">
        <v>0</v>
      </c>
      <c r="X138" s="436">
        <v>0</v>
      </c>
      <c r="Y138" s="436">
        <v>0</v>
      </c>
      <c r="Z138" s="436">
        <v>0</v>
      </c>
      <c r="AA138" s="436">
        <v>0</v>
      </c>
      <c r="AB138" s="436">
        <v>0</v>
      </c>
      <c r="AC138" s="436">
        <v>0</v>
      </c>
      <c r="AD138" s="436">
        <v>0</v>
      </c>
      <c r="AE138" s="436">
        <v>0</v>
      </c>
      <c r="AF138" s="436">
        <v>0</v>
      </c>
      <c r="AG138" s="436">
        <v>0</v>
      </c>
      <c r="AH138" s="436"/>
      <c r="AI138" s="427">
        <f t="shared" ref="AI138:AI159" si="185">SUM(E138:AH138)</f>
        <v>0</v>
      </c>
      <c r="AJ138" s="427">
        <v>0</v>
      </c>
      <c r="AK138" s="427">
        <v>0</v>
      </c>
      <c r="AL138" s="427">
        <f t="shared" ref="AL138:AL159" si="186">AI138+AJ138-AK138</f>
        <v>0</v>
      </c>
      <c r="AM138" s="427">
        <f t="shared" ref="AM138:AM155" si="187">AL138*C138</f>
        <v>0</v>
      </c>
      <c r="AN138" s="711">
        <f t="shared" ref="AN138" si="188">AM138+AM139</f>
        <v>0</v>
      </c>
      <c r="AO138" s="713">
        <v>0</v>
      </c>
      <c r="AP138" s="711">
        <f t="shared" ref="AP138" si="189">AN138-AO138</f>
        <v>0</v>
      </c>
      <c r="AQ138" s="711"/>
      <c r="AR138" s="711"/>
    </row>
    <row r="139" spans="1:44" ht="12" customHeight="1">
      <c r="A139" s="331"/>
      <c r="B139" s="331"/>
      <c r="C139" s="331"/>
      <c r="D139" s="429">
        <v>0</v>
      </c>
      <c r="E139" s="429">
        <v>0</v>
      </c>
      <c r="F139" s="429">
        <v>0</v>
      </c>
      <c r="G139" s="429">
        <v>0</v>
      </c>
      <c r="H139" s="429">
        <v>0</v>
      </c>
      <c r="I139" s="429">
        <v>0</v>
      </c>
      <c r="J139" s="429">
        <v>0</v>
      </c>
      <c r="K139" s="436">
        <v>0</v>
      </c>
      <c r="L139" s="429">
        <v>0</v>
      </c>
      <c r="M139" s="429">
        <v>0</v>
      </c>
      <c r="N139" s="429">
        <v>0</v>
      </c>
      <c r="O139" s="429">
        <v>0</v>
      </c>
      <c r="P139" s="429">
        <v>0</v>
      </c>
      <c r="Q139" s="429">
        <v>0</v>
      </c>
      <c r="R139" s="436">
        <v>0</v>
      </c>
      <c r="S139" s="436">
        <v>0</v>
      </c>
      <c r="T139" s="436">
        <v>0</v>
      </c>
      <c r="U139" s="436">
        <v>0</v>
      </c>
      <c r="V139" s="436">
        <v>0</v>
      </c>
      <c r="W139" s="436">
        <v>0</v>
      </c>
      <c r="X139" s="436">
        <v>0</v>
      </c>
      <c r="Y139" s="436">
        <v>0</v>
      </c>
      <c r="Z139" s="436">
        <v>0</v>
      </c>
      <c r="AA139" s="436">
        <v>0</v>
      </c>
      <c r="AB139" s="436">
        <v>0</v>
      </c>
      <c r="AC139" s="436">
        <v>0</v>
      </c>
      <c r="AD139" s="436">
        <v>0</v>
      </c>
      <c r="AE139" s="436">
        <v>0</v>
      </c>
      <c r="AF139" s="436">
        <v>0</v>
      </c>
      <c r="AG139" s="436">
        <v>0</v>
      </c>
      <c r="AH139" s="436"/>
      <c r="AI139" s="427">
        <f t="shared" si="185"/>
        <v>0</v>
      </c>
      <c r="AJ139" s="427">
        <v>0</v>
      </c>
      <c r="AK139" s="427">
        <v>0</v>
      </c>
      <c r="AL139" s="427">
        <f t="shared" si="186"/>
        <v>0</v>
      </c>
      <c r="AM139" s="427">
        <f t="shared" si="187"/>
        <v>0</v>
      </c>
      <c r="AN139" s="712"/>
      <c r="AO139" s="714"/>
      <c r="AP139" s="712"/>
      <c r="AQ139" s="712"/>
      <c r="AR139" s="712"/>
    </row>
    <row r="140" spans="1:44" ht="12" customHeight="1">
      <c r="A140" s="331">
        <v>1</v>
      </c>
      <c r="B140" s="329" t="s">
        <v>189</v>
      </c>
      <c r="C140" s="331">
        <v>520</v>
      </c>
      <c r="D140" s="429">
        <v>0</v>
      </c>
      <c r="E140" s="429">
        <v>0</v>
      </c>
      <c r="F140" s="429">
        <v>0</v>
      </c>
      <c r="G140" s="429">
        <v>0</v>
      </c>
      <c r="H140" s="429">
        <v>0</v>
      </c>
      <c r="I140" s="429">
        <v>0</v>
      </c>
      <c r="J140" s="429">
        <v>0</v>
      </c>
      <c r="K140" s="436">
        <v>0</v>
      </c>
      <c r="L140" s="429">
        <v>0</v>
      </c>
      <c r="M140" s="429">
        <v>0</v>
      </c>
      <c r="N140" s="429">
        <v>0</v>
      </c>
      <c r="O140" s="429">
        <v>0</v>
      </c>
      <c r="P140" s="429">
        <v>0</v>
      </c>
      <c r="Q140" s="429">
        <v>0</v>
      </c>
      <c r="R140" s="436">
        <v>0</v>
      </c>
      <c r="S140" s="436">
        <v>0</v>
      </c>
      <c r="T140" s="436">
        <v>0</v>
      </c>
      <c r="U140" s="436">
        <v>0</v>
      </c>
      <c r="V140" s="436">
        <v>0</v>
      </c>
      <c r="W140" s="436">
        <v>0</v>
      </c>
      <c r="X140" s="436">
        <v>0</v>
      </c>
      <c r="Y140" s="436">
        <v>0</v>
      </c>
      <c r="Z140" s="436">
        <v>0</v>
      </c>
      <c r="AA140" s="436">
        <v>0</v>
      </c>
      <c r="AB140" s="436">
        <v>0</v>
      </c>
      <c r="AC140" s="436">
        <v>0</v>
      </c>
      <c r="AD140" s="436">
        <v>0</v>
      </c>
      <c r="AE140" s="436">
        <v>0</v>
      </c>
      <c r="AF140" s="436">
        <v>0</v>
      </c>
      <c r="AG140" s="436">
        <v>0</v>
      </c>
      <c r="AH140" s="436"/>
      <c r="AI140" s="427">
        <f t="shared" si="185"/>
        <v>0</v>
      </c>
      <c r="AJ140" s="427">
        <v>0</v>
      </c>
      <c r="AK140" s="427">
        <v>0</v>
      </c>
      <c r="AL140" s="427">
        <f t="shared" si="186"/>
        <v>0</v>
      </c>
      <c r="AM140" s="427">
        <f t="shared" si="187"/>
        <v>0</v>
      </c>
      <c r="AN140" s="711">
        <f t="shared" ref="AN140" si="190">AM140+AM141</f>
        <v>0</v>
      </c>
      <c r="AO140" s="713">
        <v>0</v>
      </c>
      <c r="AP140" s="711">
        <f t="shared" ref="AP140" si="191">AN140-AO140</f>
        <v>0</v>
      </c>
      <c r="AQ140" s="711"/>
      <c r="AR140" s="711"/>
    </row>
    <row r="141" spans="1:44" ht="12" customHeight="1">
      <c r="A141" s="331"/>
      <c r="B141" s="329"/>
      <c r="C141" s="331">
        <f>C140/8</f>
        <v>65</v>
      </c>
      <c r="D141" s="429">
        <v>0</v>
      </c>
      <c r="E141" s="429">
        <v>0</v>
      </c>
      <c r="F141" s="429">
        <v>0</v>
      </c>
      <c r="G141" s="429">
        <v>0</v>
      </c>
      <c r="H141" s="429">
        <v>0</v>
      </c>
      <c r="I141" s="429">
        <v>0</v>
      </c>
      <c r="J141" s="429">
        <v>0</v>
      </c>
      <c r="K141" s="436">
        <v>0</v>
      </c>
      <c r="L141" s="429">
        <v>0</v>
      </c>
      <c r="M141" s="429">
        <v>0</v>
      </c>
      <c r="N141" s="429">
        <v>0</v>
      </c>
      <c r="O141" s="429">
        <v>0</v>
      </c>
      <c r="P141" s="429">
        <v>0</v>
      </c>
      <c r="Q141" s="429">
        <v>0</v>
      </c>
      <c r="R141" s="436">
        <v>0</v>
      </c>
      <c r="S141" s="436">
        <v>0</v>
      </c>
      <c r="T141" s="436">
        <v>0</v>
      </c>
      <c r="U141" s="436">
        <v>0</v>
      </c>
      <c r="V141" s="436">
        <v>0</v>
      </c>
      <c r="W141" s="436">
        <v>0</v>
      </c>
      <c r="X141" s="436">
        <v>0</v>
      </c>
      <c r="Y141" s="436">
        <v>0</v>
      </c>
      <c r="Z141" s="436">
        <v>0</v>
      </c>
      <c r="AA141" s="436">
        <v>0</v>
      </c>
      <c r="AB141" s="436">
        <v>0</v>
      </c>
      <c r="AC141" s="436">
        <v>0</v>
      </c>
      <c r="AD141" s="436">
        <v>0</v>
      </c>
      <c r="AE141" s="436">
        <v>0</v>
      </c>
      <c r="AF141" s="436">
        <v>0</v>
      </c>
      <c r="AG141" s="436">
        <v>0</v>
      </c>
      <c r="AH141" s="436"/>
      <c r="AI141" s="427">
        <f t="shared" si="185"/>
        <v>0</v>
      </c>
      <c r="AJ141" s="427">
        <v>0</v>
      </c>
      <c r="AK141" s="427">
        <v>0</v>
      </c>
      <c r="AL141" s="427">
        <f t="shared" si="186"/>
        <v>0</v>
      </c>
      <c r="AM141" s="427">
        <f t="shared" si="187"/>
        <v>0</v>
      </c>
      <c r="AN141" s="712"/>
      <c r="AO141" s="714"/>
      <c r="AP141" s="712"/>
      <c r="AQ141" s="712"/>
      <c r="AR141" s="712"/>
    </row>
    <row r="142" spans="1:44" ht="12" customHeight="1">
      <c r="A142" s="331">
        <v>2</v>
      </c>
      <c r="B142" s="329" t="s">
        <v>167</v>
      </c>
      <c r="C142" s="331">
        <v>520</v>
      </c>
      <c r="D142" s="429">
        <v>0</v>
      </c>
      <c r="E142" s="427">
        <v>1</v>
      </c>
      <c r="F142" s="427">
        <v>1</v>
      </c>
      <c r="G142" s="427">
        <v>1</v>
      </c>
      <c r="H142" s="427">
        <v>1</v>
      </c>
      <c r="I142" s="427">
        <v>1</v>
      </c>
      <c r="J142" s="428">
        <v>1</v>
      </c>
      <c r="K142" s="428">
        <v>1</v>
      </c>
      <c r="L142" s="433">
        <v>1</v>
      </c>
      <c r="M142" s="434">
        <v>1</v>
      </c>
      <c r="N142" s="435">
        <v>1</v>
      </c>
      <c r="O142" s="437">
        <v>1</v>
      </c>
      <c r="P142" s="438">
        <v>1</v>
      </c>
      <c r="Q142" s="438">
        <v>1</v>
      </c>
      <c r="R142" s="438">
        <v>1</v>
      </c>
      <c r="S142" s="439">
        <v>1</v>
      </c>
      <c r="T142" s="440">
        <v>1</v>
      </c>
      <c r="U142" s="441">
        <v>1</v>
      </c>
      <c r="V142" s="442">
        <v>1</v>
      </c>
      <c r="W142" s="443">
        <v>1</v>
      </c>
      <c r="X142" s="444">
        <v>1</v>
      </c>
      <c r="Y142" s="445">
        <v>1</v>
      </c>
      <c r="Z142" s="445">
        <v>1</v>
      </c>
      <c r="AA142" s="445">
        <v>1</v>
      </c>
      <c r="AB142" s="445">
        <v>1</v>
      </c>
      <c r="AC142" s="446">
        <v>1</v>
      </c>
      <c r="AD142" s="448">
        <v>1</v>
      </c>
      <c r="AE142" s="449">
        <v>1</v>
      </c>
      <c r="AF142" s="436">
        <v>0</v>
      </c>
      <c r="AG142" s="450">
        <v>1</v>
      </c>
      <c r="AH142" s="436"/>
      <c r="AI142" s="427">
        <f t="shared" si="185"/>
        <v>28</v>
      </c>
      <c r="AJ142" s="427">
        <v>0</v>
      </c>
      <c r="AK142" s="427">
        <v>0</v>
      </c>
      <c r="AL142" s="427">
        <f t="shared" si="186"/>
        <v>28</v>
      </c>
      <c r="AM142" s="427">
        <f t="shared" si="187"/>
        <v>14560</v>
      </c>
      <c r="AN142" s="711">
        <f t="shared" ref="AN142" si="192">AM142+AM143</f>
        <v>18460</v>
      </c>
      <c r="AO142" s="713">
        <v>0</v>
      </c>
      <c r="AP142" s="711">
        <f t="shared" ref="AP142" si="193">AN142-AO142</f>
        <v>18460</v>
      </c>
      <c r="AQ142" s="711"/>
      <c r="AR142" s="711"/>
    </row>
    <row r="143" spans="1:44" ht="12" customHeight="1">
      <c r="A143" s="331"/>
      <c r="B143" s="329"/>
      <c r="C143" s="331">
        <f>C142/8</f>
        <v>65</v>
      </c>
      <c r="D143" s="429">
        <v>0</v>
      </c>
      <c r="E143" s="427">
        <v>2</v>
      </c>
      <c r="F143" s="427">
        <v>2</v>
      </c>
      <c r="G143" s="430">
        <v>4</v>
      </c>
      <c r="H143" s="427">
        <v>2</v>
      </c>
      <c r="I143" s="427">
        <v>2</v>
      </c>
      <c r="J143" s="428">
        <v>2</v>
      </c>
      <c r="K143" s="428">
        <v>2</v>
      </c>
      <c r="L143" s="433">
        <v>2</v>
      </c>
      <c r="M143" s="434">
        <v>2</v>
      </c>
      <c r="N143" s="435">
        <v>2</v>
      </c>
      <c r="O143" s="437">
        <v>2</v>
      </c>
      <c r="P143" s="438">
        <v>2</v>
      </c>
      <c r="Q143" s="438">
        <v>2</v>
      </c>
      <c r="R143" s="438">
        <v>2</v>
      </c>
      <c r="S143" s="439">
        <v>2</v>
      </c>
      <c r="T143" s="430">
        <v>4</v>
      </c>
      <c r="U143" s="441">
        <v>2</v>
      </c>
      <c r="V143" s="442">
        <v>2</v>
      </c>
      <c r="W143" s="443">
        <v>2</v>
      </c>
      <c r="X143" s="444">
        <v>2</v>
      </c>
      <c r="Y143" s="445">
        <v>2</v>
      </c>
      <c r="Z143" s="445">
        <v>2</v>
      </c>
      <c r="AA143" s="445">
        <v>2</v>
      </c>
      <c r="AB143" s="445">
        <v>2</v>
      </c>
      <c r="AC143" s="446">
        <v>2</v>
      </c>
      <c r="AD143" s="448">
        <v>2</v>
      </c>
      <c r="AE143" s="449">
        <v>2</v>
      </c>
      <c r="AF143" s="436">
        <v>0</v>
      </c>
      <c r="AG143" s="450">
        <v>2</v>
      </c>
      <c r="AH143" s="436"/>
      <c r="AI143" s="427">
        <f t="shared" si="185"/>
        <v>60</v>
      </c>
      <c r="AJ143" s="427">
        <v>0</v>
      </c>
      <c r="AK143" s="427">
        <v>0</v>
      </c>
      <c r="AL143" s="427">
        <f t="shared" si="186"/>
        <v>60</v>
      </c>
      <c r="AM143" s="427">
        <f t="shared" si="187"/>
        <v>3900</v>
      </c>
      <c r="AN143" s="712"/>
      <c r="AO143" s="714"/>
      <c r="AP143" s="712"/>
      <c r="AQ143" s="712"/>
      <c r="AR143" s="712"/>
    </row>
    <row r="144" spans="1:44" ht="12" customHeight="1">
      <c r="A144" s="331">
        <v>3</v>
      </c>
      <c r="B144" s="329" t="s">
        <v>185</v>
      </c>
      <c r="C144" s="331">
        <v>480</v>
      </c>
      <c r="D144" s="429">
        <v>0</v>
      </c>
      <c r="E144" s="427">
        <v>1</v>
      </c>
      <c r="F144" s="429">
        <v>0</v>
      </c>
      <c r="G144" s="427">
        <v>1</v>
      </c>
      <c r="H144" s="427">
        <v>1</v>
      </c>
      <c r="I144" s="427">
        <v>1</v>
      </c>
      <c r="J144" s="428">
        <v>1</v>
      </c>
      <c r="K144" s="436">
        <v>0</v>
      </c>
      <c r="L144" s="433">
        <v>1</v>
      </c>
      <c r="M144" s="434">
        <v>1</v>
      </c>
      <c r="N144" s="435">
        <v>1</v>
      </c>
      <c r="O144" s="429">
        <v>0</v>
      </c>
      <c r="P144" s="438">
        <v>1</v>
      </c>
      <c r="Q144" s="438">
        <v>1</v>
      </c>
      <c r="R144" s="438">
        <v>1</v>
      </c>
      <c r="S144" s="439">
        <v>1</v>
      </c>
      <c r="T144" s="440">
        <v>1</v>
      </c>
      <c r="U144" s="441">
        <v>1</v>
      </c>
      <c r="V144" s="442">
        <v>1</v>
      </c>
      <c r="W144" s="436">
        <v>0</v>
      </c>
      <c r="X144" s="444">
        <v>1</v>
      </c>
      <c r="Y144" s="445">
        <v>1</v>
      </c>
      <c r="Z144" s="445">
        <v>1</v>
      </c>
      <c r="AA144" s="445">
        <v>1</v>
      </c>
      <c r="AB144" s="445">
        <v>1</v>
      </c>
      <c r="AC144" s="446">
        <v>1</v>
      </c>
      <c r="AD144" s="448">
        <v>1</v>
      </c>
      <c r="AE144" s="436">
        <v>0</v>
      </c>
      <c r="AF144" s="436">
        <v>0</v>
      </c>
      <c r="AG144" s="450">
        <v>1</v>
      </c>
      <c r="AH144" s="436"/>
      <c r="AI144" s="427">
        <f t="shared" si="185"/>
        <v>23</v>
      </c>
      <c r="AJ144" s="427">
        <v>0</v>
      </c>
      <c r="AK144" s="427">
        <v>0</v>
      </c>
      <c r="AL144" s="427">
        <f t="shared" si="186"/>
        <v>23</v>
      </c>
      <c r="AM144" s="427">
        <f t="shared" si="187"/>
        <v>11040</v>
      </c>
      <c r="AN144" s="711">
        <f t="shared" ref="AN144" si="194">AM144+AM145</f>
        <v>13920</v>
      </c>
      <c r="AO144" s="713">
        <v>0</v>
      </c>
      <c r="AP144" s="711">
        <f t="shared" ref="AP144" si="195">AN144-AO144</f>
        <v>13920</v>
      </c>
      <c r="AQ144" s="711"/>
      <c r="AR144" s="711"/>
    </row>
    <row r="145" spans="1:44" ht="12" customHeight="1">
      <c r="A145" s="331"/>
      <c r="B145" s="329"/>
      <c r="C145" s="331">
        <f>C144/8</f>
        <v>60</v>
      </c>
      <c r="D145" s="429">
        <v>0</v>
      </c>
      <c r="E145" s="427">
        <v>2</v>
      </c>
      <c r="F145" s="429">
        <v>0</v>
      </c>
      <c r="G145" s="430">
        <v>4</v>
      </c>
      <c r="H145" s="427">
        <v>2</v>
      </c>
      <c r="I145" s="427">
        <v>2</v>
      </c>
      <c r="J145" s="428">
        <v>2</v>
      </c>
      <c r="K145" s="436">
        <v>0</v>
      </c>
      <c r="L145" s="433">
        <v>2</v>
      </c>
      <c r="M145" s="434">
        <v>2</v>
      </c>
      <c r="N145" s="435">
        <v>2</v>
      </c>
      <c r="O145" s="429">
        <v>0</v>
      </c>
      <c r="P145" s="438">
        <v>2</v>
      </c>
      <c r="Q145" s="438">
        <v>2</v>
      </c>
      <c r="R145" s="438">
        <v>2</v>
      </c>
      <c r="S145" s="439">
        <v>2</v>
      </c>
      <c r="T145" s="440">
        <v>2</v>
      </c>
      <c r="U145" s="441">
        <v>2</v>
      </c>
      <c r="V145" s="442">
        <v>2</v>
      </c>
      <c r="W145" s="436">
        <v>0</v>
      </c>
      <c r="X145" s="444">
        <v>2</v>
      </c>
      <c r="Y145" s="445">
        <v>2</v>
      </c>
      <c r="Z145" s="445">
        <v>2</v>
      </c>
      <c r="AA145" s="445">
        <v>2</v>
      </c>
      <c r="AB145" s="445">
        <v>2</v>
      </c>
      <c r="AC145" s="446">
        <v>2</v>
      </c>
      <c r="AD145" s="448">
        <v>2</v>
      </c>
      <c r="AE145" s="436">
        <v>0</v>
      </c>
      <c r="AF145" s="436">
        <v>0</v>
      </c>
      <c r="AG145" s="450">
        <v>2</v>
      </c>
      <c r="AH145" s="436"/>
      <c r="AI145" s="427">
        <f t="shared" si="185"/>
        <v>48</v>
      </c>
      <c r="AJ145" s="427">
        <v>0</v>
      </c>
      <c r="AK145" s="427">
        <v>0</v>
      </c>
      <c r="AL145" s="427">
        <f t="shared" si="186"/>
        <v>48</v>
      </c>
      <c r="AM145" s="427">
        <f t="shared" si="187"/>
        <v>2880</v>
      </c>
      <c r="AN145" s="712"/>
      <c r="AO145" s="714"/>
      <c r="AP145" s="712"/>
      <c r="AQ145" s="712"/>
      <c r="AR145" s="712"/>
    </row>
    <row r="146" spans="1:44" ht="12" customHeight="1">
      <c r="A146" s="331">
        <v>4</v>
      </c>
      <c r="B146" s="329" t="s">
        <v>182</v>
      </c>
      <c r="C146" s="331">
        <v>480</v>
      </c>
      <c r="D146" s="429">
        <v>0</v>
      </c>
      <c r="E146" s="429">
        <v>0</v>
      </c>
      <c r="F146" s="427">
        <v>1</v>
      </c>
      <c r="G146" s="427">
        <v>1</v>
      </c>
      <c r="H146" s="427">
        <v>1</v>
      </c>
      <c r="I146" s="427">
        <v>1</v>
      </c>
      <c r="J146" s="428">
        <v>1</v>
      </c>
      <c r="K146" s="428">
        <v>1</v>
      </c>
      <c r="L146" s="433">
        <v>1</v>
      </c>
      <c r="M146" s="434">
        <v>1</v>
      </c>
      <c r="N146" s="435">
        <v>1</v>
      </c>
      <c r="O146" s="437">
        <v>1</v>
      </c>
      <c r="P146" s="438">
        <v>1</v>
      </c>
      <c r="Q146" s="438">
        <v>1</v>
      </c>
      <c r="R146" s="438">
        <v>1</v>
      </c>
      <c r="S146" s="439">
        <v>1</v>
      </c>
      <c r="T146" s="440">
        <v>1</v>
      </c>
      <c r="U146" s="441">
        <v>1</v>
      </c>
      <c r="V146" s="442">
        <v>1</v>
      </c>
      <c r="W146" s="443">
        <v>1</v>
      </c>
      <c r="X146" s="444">
        <v>1</v>
      </c>
      <c r="Y146" s="445">
        <v>1</v>
      </c>
      <c r="Z146" s="445">
        <v>1</v>
      </c>
      <c r="AA146" s="445">
        <v>1</v>
      </c>
      <c r="AB146" s="445">
        <v>1</v>
      </c>
      <c r="AC146" s="446">
        <v>1</v>
      </c>
      <c r="AD146" s="448">
        <v>1</v>
      </c>
      <c r="AE146" s="449">
        <v>1</v>
      </c>
      <c r="AF146" s="436">
        <v>0</v>
      </c>
      <c r="AG146" s="450">
        <v>1</v>
      </c>
      <c r="AH146" s="436"/>
      <c r="AI146" s="427">
        <f t="shared" si="185"/>
        <v>27</v>
      </c>
      <c r="AJ146" s="427">
        <v>0</v>
      </c>
      <c r="AK146" s="427">
        <v>0</v>
      </c>
      <c r="AL146" s="427">
        <f t="shared" si="186"/>
        <v>27</v>
      </c>
      <c r="AM146" s="427">
        <f t="shared" si="187"/>
        <v>12960</v>
      </c>
      <c r="AN146" s="711">
        <f t="shared" ref="AN146" si="196">AM146+AM147</f>
        <v>16440</v>
      </c>
      <c r="AO146" s="713">
        <v>0</v>
      </c>
      <c r="AP146" s="711">
        <f t="shared" ref="AP146" si="197">AN146-AO146</f>
        <v>16440</v>
      </c>
      <c r="AQ146" s="711"/>
      <c r="AR146" s="711"/>
    </row>
    <row r="147" spans="1:44" ht="12" customHeight="1">
      <c r="A147" s="331"/>
      <c r="B147" s="329"/>
      <c r="C147" s="331">
        <f t="shared" ref="C147" si="198">C146/8</f>
        <v>60</v>
      </c>
      <c r="D147" s="429">
        <v>0</v>
      </c>
      <c r="E147" s="429">
        <v>0</v>
      </c>
      <c r="F147" s="427">
        <v>2</v>
      </c>
      <c r="G147" s="430">
        <v>4</v>
      </c>
      <c r="H147" s="427">
        <v>2</v>
      </c>
      <c r="I147" s="427">
        <v>2</v>
      </c>
      <c r="J147" s="428">
        <v>2</v>
      </c>
      <c r="K147" s="428">
        <v>2</v>
      </c>
      <c r="L147" s="433">
        <v>2</v>
      </c>
      <c r="M147" s="434">
        <v>2</v>
      </c>
      <c r="N147" s="435">
        <v>2</v>
      </c>
      <c r="O147" s="437">
        <v>2</v>
      </c>
      <c r="P147" s="438">
        <v>2</v>
      </c>
      <c r="Q147" s="438">
        <v>2</v>
      </c>
      <c r="R147" s="438">
        <v>2</v>
      </c>
      <c r="S147" s="439">
        <v>2</v>
      </c>
      <c r="T147" s="430">
        <v>4</v>
      </c>
      <c r="U147" s="441">
        <v>2</v>
      </c>
      <c r="V147" s="442">
        <v>2</v>
      </c>
      <c r="W147" s="443">
        <v>2</v>
      </c>
      <c r="X147" s="444">
        <v>2</v>
      </c>
      <c r="Y147" s="445">
        <v>2</v>
      </c>
      <c r="Z147" s="445">
        <v>2</v>
      </c>
      <c r="AA147" s="445">
        <v>2</v>
      </c>
      <c r="AB147" s="445">
        <v>2</v>
      </c>
      <c r="AC147" s="446">
        <v>2</v>
      </c>
      <c r="AD147" s="448">
        <v>2</v>
      </c>
      <c r="AE147" s="449">
        <v>2</v>
      </c>
      <c r="AF147" s="436">
        <v>0</v>
      </c>
      <c r="AG147" s="450">
        <v>2</v>
      </c>
      <c r="AH147" s="436"/>
      <c r="AI147" s="427">
        <f t="shared" si="185"/>
        <v>58</v>
      </c>
      <c r="AJ147" s="427">
        <v>0</v>
      </c>
      <c r="AK147" s="427">
        <v>0</v>
      </c>
      <c r="AL147" s="427">
        <f t="shared" si="186"/>
        <v>58</v>
      </c>
      <c r="AM147" s="427">
        <f t="shared" si="187"/>
        <v>3480</v>
      </c>
      <c r="AN147" s="712"/>
      <c r="AO147" s="714"/>
      <c r="AP147" s="712"/>
      <c r="AQ147" s="712"/>
      <c r="AR147" s="712"/>
    </row>
    <row r="148" spans="1:44" ht="12" customHeight="1">
      <c r="A148" s="331">
        <v>5</v>
      </c>
      <c r="B148" s="329" t="s">
        <v>202</v>
      </c>
      <c r="C148" s="331">
        <v>480</v>
      </c>
      <c r="D148" s="429">
        <v>0</v>
      </c>
      <c r="E148" s="427">
        <v>1</v>
      </c>
      <c r="F148" s="427">
        <v>1</v>
      </c>
      <c r="G148" s="429">
        <v>0</v>
      </c>
      <c r="H148" s="429">
        <v>0</v>
      </c>
      <c r="I148" s="429">
        <v>0</v>
      </c>
      <c r="J148" s="428">
        <v>1</v>
      </c>
      <c r="K148" s="428">
        <v>1</v>
      </c>
      <c r="L148" s="433">
        <v>1</v>
      </c>
      <c r="M148" s="434">
        <v>1</v>
      </c>
      <c r="N148" s="429">
        <v>0</v>
      </c>
      <c r="O148" s="429">
        <v>0</v>
      </c>
      <c r="P148" s="438">
        <v>1</v>
      </c>
      <c r="Q148" s="438">
        <v>1</v>
      </c>
      <c r="R148" s="438">
        <v>1</v>
      </c>
      <c r="S148" s="439">
        <v>1</v>
      </c>
      <c r="T148" s="440">
        <v>1</v>
      </c>
      <c r="U148" s="441">
        <v>1</v>
      </c>
      <c r="V148" s="436">
        <v>0</v>
      </c>
      <c r="W148" s="443">
        <v>1</v>
      </c>
      <c r="X148" s="444">
        <v>1</v>
      </c>
      <c r="Y148" s="436">
        <v>0</v>
      </c>
      <c r="Z148" s="445">
        <v>1</v>
      </c>
      <c r="AA148" s="445">
        <v>1</v>
      </c>
      <c r="AB148" s="445">
        <v>1</v>
      </c>
      <c r="AC148" s="446">
        <v>1</v>
      </c>
      <c r="AD148" s="436">
        <v>0</v>
      </c>
      <c r="AE148" s="449">
        <v>1</v>
      </c>
      <c r="AF148" s="436">
        <v>0</v>
      </c>
      <c r="AG148" s="450">
        <v>1</v>
      </c>
      <c r="AH148" s="436"/>
      <c r="AI148" s="427">
        <f t="shared" si="185"/>
        <v>20</v>
      </c>
      <c r="AJ148" s="427">
        <v>0</v>
      </c>
      <c r="AK148" s="427">
        <v>0</v>
      </c>
      <c r="AL148" s="427">
        <f t="shared" si="186"/>
        <v>20</v>
      </c>
      <c r="AM148" s="427">
        <f t="shared" si="187"/>
        <v>9600</v>
      </c>
      <c r="AN148" s="711">
        <f t="shared" ref="AN148" si="199">AM148+AM149</f>
        <v>12000</v>
      </c>
      <c r="AO148" s="713">
        <v>0</v>
      </c>
      <c r="AP148" s="711">
        <f t="shared" ref="AP148" si="200">AN148-AO148</f>
        <v>12000</v>
      </c>
      <c r="AQ148" s="711"/>
      <c r="AR148" s="711"/>
    </row>
    <row r="149" spans="1:44" ht="12" customHeight="1">
      <c r="A149" s="331"/>
      <c r="B149" s="329"/>
      <c r="C149" s="331">
        <f t="shared" ref="C149" si="201">C148/8</f>
        <v>60</v>
      </c>
      <c r="D149" s="429">
        <v>0</v>
      </c>
      <c r="E149" s="427">
        <v>2</v>
      </c>
      <c r="F149" s="427">
        <v>2</v>
      </c>
      <c r="G149" s="429">
        <v>0</v>
      </c>
      <c r="H149" s="429">
        <v>0</v>
      </c>
      <c r="I149" s="429">
        <v>0</v>
      </c>
      <c r="J149" s="428">
        <v>2</v>
      </c>
      <c r="K149" s="428">
        <v>2</v>
      </c>
      <c r="L149" s="433">
        <v>2</v>
      </c>
      <c r="M149" s="434">
        <v>2</v>
      </c>
      <c r="N149" s="429">
        <v>0</v>
      </c>
      <c r="O149" s="429">
        <v>0</v>
      </c>
      <c r="P149" s="438">
        <v>2</v>
      </c>
      <c r="Q149" s="438">
        <v>2</v>
      </c>
      <c r="R149" s="438">
        <v>2</v>
      </c>
      <c r="S149" s="439">
        <v>2</v>
      </c>
      <c r="T149" s="440">
        <v>2</v>
      </c>
      <c r="U149" s="441">
        <v>2</v>
      </c>
      <c r="V149" s="436">
        <v>0</v>
      </c>
      <c r="W149" s="443">
        <v>2</v>
      </c>
      <c r="X149" s="444">
        <v>2</v>
      </c>
      <c r="Y149" s="436">
        <v>0</v>
      </c>
      <c r="Z149" s="445">
        <v>2</v>
      </c>
      <c r="AA149" s="445">
        <v>2</v>
      </c>
      <c r="AB149" s="445">
        <v>2</v>
      </c>
      <c r="AC149" s="446">
        <v>2</v>
      </c>
      <c r="AD149" s="436">
        <v>0</v>
      </c>
      <c r="AE149" s="449">
        <v>2</v>
      </c>
      <c r="AF149" s="436">
        <v>0</v>
      </c>
      <c r="AG149" s="450">
        <v>2</v>
      </c>
      <c r="AH149" s="436"/>
      <c r="AI149" s="427">
        <f t="shared" si="185"/>
        <v>40</v>
      </c>
      <c r="AJ149" s="427">
        <v>0</v>
      </c>
      <c r="AK149" s="427">
        <v>0</v>
      </c>
      <c r="AL149" s="427">
        <f t="shared" si="186"/>
        <v>40</v>
      </c>
      <c r="AM149" s="427">
        <f t="shared" si="187"/>
        <v>2400</v>
      </c>
      <c r="AN149" s="712"/>
      <c r="AO149" s="714"/>
      <c r="AP149" s="712"/>
      <c r="AQ149" s="712"/>
      <c r="AR149" s="712"/>
    </row>
    <row r="150" spans="1:44" ht="12" customHeight="1">
      <c r="A150" s="331">
        <v>6</v>
      </c>
      <c r="B150" s="329" t="s">
        <v>199</v>
      </c>
      <c r="C150" s="331">
        <v>480</v>
      </c>
      <c r="D150" s="429">
        <v>0</v>
      </c>
      <c r="E150" s="427">
        <v>1</v>
      </c>
      <c r="F150" s="427">
        <v>1</v>
      </c>
      <c r="G150" s="427">
        <v>1</v>
      </c>
      <c r="H150" s="427">
        <v>1</v>
      </c>
      <c r="I150" s="427">
        <v>1</v>
      </c>
      <c r="J150" s="429">
        <v>0</v>
      </c>
      <c r="K150" s="436">
        <v>0</v>
      </c>
      <c r="L150" s="433">
        <v>1</v>
      </c>
      <c r="M150" s="434">
        <v>1</v>
      </c>
      <c r="N150" s="435">
        <v>1</v>
      </c>
      <c r="O150" s="437">
        <v>1</v>
      </c>
      <c r="P150" s="438">
        <v>1</v>
      </c>
      <c r="Q150" s="438">
        <v>1</v>
      </c>
      <c r="R150" s="438">
        <v>1</v>
      </c>
      <c r="S150" s="439">
        <v>1</v>
      </c>
      <c r="T150" s="440">
        <v>1</v>
      </c>
      <c r="U150" s="441">
        <v>1</v>
      </c>
      <c r="V150" s="442">
        <v>1</v>
      </c>
      <c r="W150" s="443">
        <v>1</v>
      </c>
      <c r="X150" s="444">
        <v>1</v>
      </c>
      <c r="Y150" s="445">
        <v>1</v>
      </c>
      <c r="Z150" s="445">
        <v>1</v>
      </c>
      <c r="AA150" s="445">
        <v>1</v>
      </c>
      <c r="AB150" s="445">
        <v>1</v>
      </c>
      <c r="AC150" s="446">
        <v>1</v>
      </c>
      <c r="AD150" s="448">
        <v>1</v>
      </c>
      <c r="AE150" s="449">
        <v>1</v>
      </c>
      <c r="AF150" s="436">
        <v>0</v>
      </c>
      <c r="AG150" s="450">
        <v>1</v>
      </c>
      <c r="AH150" s="436"/>
      <c r="AI150" s="427">
        <f t="shared" si="185"/>
        <v>26</v>
      </c>
      <c r="AJ150" s="427">
        <v>0</v>
      </c>
      <c r="AK150" s="427">
        <v>0</v>
      </c>
      <c r="AL150" s="427">
        <f t="shared" si="186"/>
        <v>26</v>
      </c>
      <c r="AM150" s="427">
        <f t="shared" si="187"/>
        <v>12480</v>
      </c>
      <c r="AN150" s="711">
        <f t="shared" ref="AN150" si="202">AM150+AM151</f>
        <v>15360</v>
      </c>
      <c r="AO150" s="713">
        <v>0</v>
      </c>
      <c r="AP150" s="711">
        <f t="shared" ref="AP150" si="203">AN150-AO150</f>
        <v>15360</v>
      </c>
      <c r="AQ150" s="711"/>
      <c r="AR150" s="711"/>
    </row>
    <row r="151" spans="1:44" ht="12" customHeight="1">
      <c r="A151" s="331"/>
      <c r="B151" s="329"/>
      <c r="C151" s="331">
        <f t="shared" ref="C151:C153" si="204">C150/8</f>
        <v>60</v>
      </c>
      <c r="D151" s="429">
        <v>0</v>
      </c>
      <c r="E151" s="427">
        <v>2</v>
      </c>
      <c r="F151" s="427">
        <v>2</v>
      </c>
      <c r="G151" s="431">
        <v>0</v>
      </c>
      <c r="H151" s="427">
        <v>2</v>
      </c>
      <c r="I151" s="431">
        <v>0</v>
      </c>
      <c r="J151" s="429">
        <v>0</v>
      </c>
      <c r="K151" s="436">
        <v>0</v>
      </c>
      <c r="L151" s="433">
        <v>2</v>
      </c>
      <c r="M151" s="434">
        <v>2</v>
      </c>
      <c r="N151" s="435">
        <v>2</v>
      </c>
      <c r="O151" s="437">
        <v>2</v>
      </c>
      <c r="P151" s="438">
        <v>2</v>
      </c>
      <c r="Q151" s="438">
        <v>2</v>
      </c>
      <c r="R151" s="438">
        <v>2</v>
      </c>
      <c r="S151" s="439">
        <v>2</v>
      </c>
      <c r="T151" s="440">
        <v>2</v>
      </c>
      <c r="U151" s="441">
        <v>2</v>
      </c>
      <c r="V151" s="442">
        <v>2</v>
      </c>
      <c r="W151" s="443">
        <v>2</v>
      </c>
      <c r="X151" s="444">
        <v>2</v>
      </c>
      <c r="Y151" s="445">
        <v>2</v>
      </c>
      <c r="Z151" s="445">
        <v>2</v>
      </c>
      <c r="AA151" s="445">
        <v>2</v>
      </c>
      <c r="AB151" s="445">
        <v>2</v>
      </c>
      <c r="AC151" s="446">
        <v>2</v>
      </c>
      <c r="AD151" s="448">
        <v>2</v>
      </c>
      <c r="AE151" s="449">
        <v>2</v>
      </c>
      <c r="AF151" s="436">
        <v>0</v>
      </c>
      <c r="AG151" s="450">
        <v>2</v>
      </c>
      <c r="AH151" s="436"/>
      <c r="AI151" s="427">
        <f t="shared" si="185"/>
        <v>48</v>
      </c>
      <c r="AJ151" s="446">
        <v>0</v>
      </c>
      <c r="AK151" s="427">
        <v>0</v>
      </c>
      <c r="AL151" s="427">
        <f t="shared" si="186"/>
        <v>48</v>
      </c>
      <c r="AM151" s="427">
        <f t="shared" si="187"/>
        <v>2880</v>
      </c>
      <c r="AN151" s="712"/>
      <c r="AO151" s="714"/>
      <c r="AP151" s="712"/>
      <c r="AQ151" s="712"/>
      <c r="AR151" s="712"/>
    </row>
    <row r="152" spans="1:44" ht="12" customHeight="1">
      <c r="A152" s="331">
        <v>7</v>
      </c>
      <c r="B152" s="329" t="s">
        <v>195</v>
      </c>
      <c r="C152" s="331">
        <v>320</v>
      </c>
      <c r="D152" s="429">
        <v>0</v>
      </c>
      <c r="E152" s="429">
        <v>0</v>
      </c>
      <c r="F152" s="429">
        <v>0</v>
      </c>
      <c r="G152" s="429">
        <v>0</v>
      </c>
      <c r="H152" s="429">
        <v>0</v>
      </c>
      <c r="I152" s="429">
        <v>0</v>
      </c>
      <c r="J152" s="429">
        <v>0</v>
      </c>
      <c r="K152" s="436">
        <v>0</v>
      </c>
      <c r="L152" s="429">
        <v>0</v>
      </c>
      <c r="M152" s="429">
        <v>0</v>
      </c>
      <c r="N152" s="429">
        <v>0</v>
      </c>
      <c r="O152" s="429">
        <v>0</v>
      </c>
      <c r="P152" s="429">
        <v>0</v>
      </c>
      <c r="Q152" s="429">
        <v>0</v>
      </c>
      <c r="R152" s="436">
        <v>0</v>
      </c>
      <c r="S152" s="436">
        <v>0</v>
      </c>
      <c r="T152" s="436">
        <v>0</v>
      </c>
      <c r="U152" s="436">
        <v>0</v>
      </c>
      <c r="V152" s="436">
        <v>0</v>
      </c>
      <c r="W152" s="436">
        <v>0</v>
      </c>
      <c r="X152" s="436">
        <v>0</v>
      </c>
      <c r="Y152" s="436">
        <v>0</v>
      </c>
      <c r="Z152" s="447">
        <v>1</v>
      </c>
      <c r="AA152" s="447">
        <v>1</v>
      </c>
      <c r="AB152" s="447">
        <v>1</v>
      </c>
      <c r="AC152" s="447">
        <v>1</v>
      </c>
      <c r="AD152" s="447">
        <v>1</v>
      </c>
      <c r="AE152" s="447">
        <v>1</v>
      </c>
      <c r="AF152" s="436">
        <v>0</v>
      </c>
      <c r="AG152" s="447">
        <v>1</v>
      </c>
      <c r="AH152" s="436"/>
      <c r="AI152" s="427">
        <f t="shared" si="185"/>
        <v>7</v>
      </c>
      <c r="AJ152" s="446">
        <v>0</v>
      </c>
      <c r="AK152" s="427">
        <v>0</v>
      </c>
      <c r="AL152" s="427">
        <f t="shared" si="186"/>
        <v>7</v>
      </c>
      <c r="AM152" s="427">
        <f t="shared" si="187"/>
        <v>2240</v>
      </c>
      <c r="AN152" s="711">
        <f t="shared" ref="AN152" si="205">AM152+AM153</f>
        <v>2800</v>
      </c>
      <c r="AO152" s="713">
        <v>0</v>
      </c>
      <c r="AP152" s="711">
        <f t="shared" ref="AP152" si="206">AN152-AO152</f>
        <v>2800</v>
      </c>
      <c r="AQ152" s="711"/>
      <c r="AR152" s="711"/>
    </row>
    <row r="153" spans="1:44" ht="12" customHeight="1">
      <c r="A153" s="331"/>
      <c r="B153" s="329"/>
      <c r="C153" s="331">
        <f t="shared" si="204"/>
        <v>40</v>
      </c>
      <c r="D153" s="429">
        <v>0</v>
      </c>
      <c r="E153" s="429">
        <v>0</v>
      </c>
      <c r="F153" s="429">
        <v>0</v>
      </c>
      <c r="G153" s="429">
        <v>0</v>
      </c>
      <c r="H153" s="429">
        <v>0</v>
      </c>
      <c r="I153" s="429">
        <v>0</v>
      </c>
      <c r="J153" s="429">
        <v>0</v>
      </c>
      <c r="K153" s="436">
        <v>0</v>
      </c>
      <c r="L153" s="429">
        <v>0</v>
      </c>
      <c r="M153" s="429">
        <v>0</v>
      </c>
      <c r="N153" s="429">
        <v>0</v>
      </c>
      <c r="O153" s="429">
        <v>0</v>
      </c>
      <c r="P153" s="429">
        <v>0</v>
      </c>
      <c r="Q153" s="429">
        <v>0</v>
      </c>
      <c r="R153" s="436">
        <v>0</v>
      </c>
      <c r="S153" s="436">
        <v>0</v>
      </c>
      <c r="T153" s="436">
        <v>0</v>
      </c>
      <c r="U153" s="436">
        <v>0</v>
      </c>
      <c r="V153" s="436">
        <v>0</v>
      </c>
      <c r="W153" s="436">
        <v>0</v>
      </c>
      <c r="X153" s="436">
        <v>0</v>
      </c>
      <c r="Y153" s="436">
        <v>0</v>
      </c>
      <c r="Z153" s="447">
        <v>2</v>
      </c>
      <c r="AA153" s="447">
        <v>2</v>
      </c>
      <c r="AB153" s="447">
        <v>2</v>
      </c>
      <c r="AC153" s="447">
        <v>2</v>
      </c>
      <c r="AD153" s="447">
        <v>2</v>
      </c>
      <c r="AE153" s="447">
        <v>2</v>
      </c>
      <c r="AF153" s="436">
        <v>0</v>
      </c>
      <c r="AG153" s="447">
        <v>2</v>
      </c>
      <c r="AH153" s="436"/>
      <c r="AI153" s="427">
        <f t="shared" si="185"/>
        <v>14</v>
      </c>
      <c r="AJ153" s="446">
        <v>0</v>
      </c>
      <c r="AK153" s="427">
        <v>0</v>
      </c>
      <c r="AL153" s="427">
        <f t="shared" si="186"/>
        <v>14</v>
      </c>
      <c r="AM153" s="427">
        <f t="shared" si="187"/>
        <v>560</v>
      </c>
      <c r="AN153" s="712"/>
      <c r="AO153" s="714"/>
      <c r="AP153" s="712"/>
      <c r="AQ153" s="712"/>
      <c r="AR153" s="712"/>
    </row>
    <row r="154" spans="1:44" ht="12" customHeight="1">
      <c r="A154" s="331">
        <v>8</v>
      </c>
      <c r="B154" s="329" t="s">
        <v>196</v>
      </c>
      <c r="C154" s="331">
        <v>296</v>
      </c>
      <c r="D154" s="429">
        <v>0</v>
      </c>
      <c r="E154" s="427">
        <v>1</v>
      </c>
      <c r="F154" s="427">
        <v>1</v>
      </c>
      <c r="G154" s="427">
        <v>1</v>
      </c>
      <c r="H154" s="427">
        <v>1</v>
      </c>
      <c r="I154" s="427">
        <v>1</v>
      </c>
      <c r="J154" s="428">
        <v>1</v>
      </c>
      <c r="K154" s="436">
        <v>0</v>
      </c>
      <c r="L154" s="429">
        <v>0</v>
      </c>
      <c r="M154" s="429">
        <v>0</v>
      </c>
      <c r="N154" s="435">
        <v>1</v>
      </c>
      <c r="O154" s="437">
        <v>1</v>
      </c>
      <c r="P154" s="438">
        <v>1</v>
      </c>
      <c r="Q154" s="438">
        <v>1</v>
      </c>
      <c r="R154" s="436">
        <v>0</v>
      </c>
      <c r="S154" s="436">
        <v>0</v>
      </c>
      <c r="T154" s="436">
        <v>0</v>
      </c>
      <c r="U154" s="436">
        <v>0</v>
      </c>
      <c r="V154" s="436">
        <v>0</v>
      </c>
      <c r="W154" s="436">
        <v>0</v>
      </c>
      <c r="X154" s="436">
        <v>0</v>
      </c>
      <c r="Y154" s="436">
        <v>0</v>
      </c>
      <c r="Z154" s="447">
        <v>1</v>
      </c>
      <c r="AA154" s="447">
        <v>1</v>
      </c>
      <c r="AB154" s="447">
        <v>1</v>
      </c>
      <c r="AC154" s="447">
        <v>1</v>
      </c>
      <c r="AD154" s="436">
        <v>0</v>
      </c>
      <c r="AE154" s="436">
        <v>0</v>
      </c>
      <c r="AF154" s="436">
        <v>0</v>
      </c>
      <c r="AG154" s="436">
        <v>0</v>
      </c>
      <c r="AH154" s="436"/>
      <c r="AI154" s="427">
        <f t="shared" si="185"/>
        <v>14</v>
      </c>
      <c r="AJ154" s="432">
        <v>2</v>
      </c>
      <c r="AK154" s="427">
        <v>0</v>
      </c>
      <c r="AL154" s="424">
        <f t="shared" si="186"/>
        <v>16</v>
      </c>
      <c r="AM154" s="424">
        <f t="shared" si="187"/>
        <v>4736</v>
      </c>
      <c r="AN154" s="944">
        <f t="shared" ref="AN154" si="207">AM154+AM155</f>
        <v>5846</v>
      </c>
      <c r="AO154" s="713">
        <v>0</v>
      </c>
      <c r="AP154" s="944">
        <f t="shared" ref="AP154" si="208">AN154-AO154</f>
        <v>5846</v>
      </c>
      <c r="AQ154" s="711"/>
      <c r="AR154" s="711"/>
    </row>
    <row r="155" spans="1:44" ht="12" customHeight="1">
      <c r="A155" s="331"/>
      <c r="B155" s="329"/>
      <c r="C155" s="331">
        <v>37</v>
      </c>
      <c r="D155" s="429">
        <v>0</v>
      </c>
      <c r="E155" s="427">
        <v>2</v>
      </c>
      <c r="F155" s="427">
        <v>2</v>
      </c>
      <c r="G155" s="427">
        <v>2</v>
      </c>
      <c r="H155" s="427">
        <v>2</v>
      </c>
      <c r="I155" s="427">
        <v>2</v>
      </c>
      <c r="J155" s="428">
        <v>2</v>
      </c>
      <c r="K155" s="436">
        <v>0</v>
      </c>
      <c r="L155" s="429">
        <v>0</v>
      </c>
      <c r="M155" s="429">
        <v>0</v>
      </c>
      <c r="N155" s="435">
        <v>2</v>
      </c>
      <c r="O155" s="437">
        <v>2</v>
      </c>
      <c r="P155" s="438">
        <v>2</v>
      </c>
      <c r="Q155" s="438">
        <v>2</v>
      </c>
      <c r="R155" s="436">
        <v>0</v>
      </c>
      <c r="S155" s="436">
        <v>0</v>
      </c>
      <c r="T155" s="436">
        <v>0</v>
      </c>
      <c r="U155" s="436">
        <v>0</v>
      </c>
      <c r="V155" s="436">
        <v>0</v>
      </c>
      <c r="W155" s="436">
        <v>0</v>
      </c>
      <c r="X155" s="436">
        <v>0</v>
      </c>
      <c r="Y155" s="436">
        <v>0</v>
      </c>
      <c r="Z155" s="447">
        <v>2</v>
      </c>
      <c r="AA155" s="447">
        <v>2</v>
      </c>
      <c r="AB155" s="447">
        <v>2</v>
      </c>
      <c r="AC155" s="447">
        <v>2</v>
      </c>
      <c r="AD155" s="436">
        <v>0</v>
      </c>
      <c r="AE155" s="436">
        <v>2</v>
      </c>
      <c r="AF155" s="436">
        <v>0</v>
      </c>
      <c r="AG155" s="436">
        <v>0</v>
      </c>
      <c r="AH155" s="436"/>
      <c r="AI155" s="427">
        <f t="shared" si="185"/>
        <v>30</v>
      </c>
      <c r="AJ155" s="427">
        <v>0</v>
      </c>
      <c r="AK155" s="427">
        <v>0</v>
      </c>
      <c r="AL155" s="427">
        <f t="shared" si="186"/>
        <v>30</v>
      </c>
      <c r="AM155" s="427">
        <f t="shared" si="187"/>
        <v>1110</v>
      </c>
      <c r="AN155" s="945"/>
      <c r="AO155" s="714"/>
      <c r="AP155" s="945"/>
      <c r="AQ155" s="712"/>
      <c r="AR155" s="712"/>
    </row>
    <row r="156" spans="1:44" ht="12" customHeight="1">
      <c r="A156" s="331">
        <v>9</v>
      </c>
      <c r="B156" s="329" t="s">
        <v>194</v>
      </c>
      <c r="C156" s="331">
        <v>480</v>
      </c>
      <c r="D156" s="429">
        <v>0</v>
      </c>
      <c r="E156" s="427">
        <v>1</v>
      </c>
      <c r="F156" s="427">
        <v>1</v>
      </c>
      <c r="G156" s="427">
        <v>1</v>
      </c>
      <c r="H156" s="427">
        <v>1</v>
      </c>
      <c r="I156" s="427">
        <v>1</v>
      </c>
      <c r="J156" s="429">
        <v>0</v>
      </c>
      <c r="K156" s="436">
        <v>0</v>
      </c>
      <c r="L156" s="433">
        <v>1</v>
      </c>
      <c r="M156" s="434">
        <v>1</v>
      </c>
      <c r="N156" s="435">
        <v>1</v>
      </c>
      <c r="O156" s="437">
        <v>1</v>
      </c>
      <c r="P156" s="438">
        <v>1</v>
      </c>
      <c r="Q156" s="438">
        <v>1</v>
      </c>
      <c r="R156" s="438">
        <v>1</v>
      </c>
      <c r="S156" s="439">
        <v>1</v>
      </c>
      <c r="T156" s="440">
        <v>1</v>
      </c>
      <c r="U156" s="441">
        <v>1</v>
      </c>
      <c r="V156" s="436">
        <v>0</v>
      </c>
      <c r="W156" s="443">
        <v>1</v>
      </c>
      <c r="X156" s="444">
        <v>1</v>
      </c>
      <c r="Y156" s="445">
        <v>1</v>
      </c>
      <c r="Z156" s="445">
        <v>1</v>
      </c>
      <c r="AA156" s="445">
        <v>1</v>
      </c>
      <c r="AB156" s="445">
        <v>1</v>
      </c>
      <c r="AC156" s="446">
        <v>1</v>
      </c>
      <c r="AD156" s="448">
        <v>1</v>
      </c>
      <c r="AE156" s="449">
        <v>1</v>
      </c>
      <c r="AF156" s="436">
        <v>0</v>
      </c>
      <c r="AG156" s="450">
        <v>1</v>
      </c>
      <c r="AH156" s="436"/>
      <c r="AI156" s="427">
        <f t="shared" si="185"/>
        <v>25</v>
      </c>
      <c r="AJ156" s="427">
        <v>0</v>
      </c>
      <c r="AK156" s="427">
        <v>0</v>
      </c>
      <c r="AL156" s="427">
        <f t="shared" si="186"/>
        <v>25</v>
      </c>
      <c r="AM156" s="427">
        <f>AL156*C156</f>
        <v>12000</v>
      </c>
      <c r="AN156" s="711">
        <f t="shared" ref="AN156" si="209">AM156+AM157</f>
        <v>15000</v>
      </c>
      <c r="AO156" s="713">
        <v>0</v>
      </c>
      <c r="AP156" s="711">
        <f t="shared" ref="AP156" si="210">AN156-AO156</f>
        <v>15000</v>
      </c>
      <c r="AQ156" s="711"/>
      <c r="AR156" s="711"/>
    </row>
    <row r="157" spans="1:44" ht="12" customHeight="1">
      <c r="A157" s="331"/>
      <c r="B157" s="329"/>
      <c r="C157" s="331">
        <f t="shared" ref="C157:C161" si="211">C156/8</f>
        <v>60</v>
      </c>
      <c r="D157" s="429">
        <v>0</v>
      </c>
      <c r="E157" s="427">
        <v>2</v>
      </c>
      <c r="F157" s="427">
        <v>2</v>
      </c>
      <c r="G157" s="430">
        <v>4</v>
      </c>
      <c r="H157" s="427">
        <v>2</v>
      </c>
      <c r="I157" s="431">
        <v>0</v>
      </c>
      <c r="J157" s="429">
        <v>0</v>
      </c>
      <c r="K157" s="436">
        <v>0</v>
      </c>
      <c r="L157" s="433">
        <v>2</v>
      </c>
      <c r="M157" s="434">
        <v>2</v>
      </c>
      <c r="N157" s="435">
        <v>2</v>
      </c>
      <c r="O157" s="437">
        <v>2</v>
      </c>
      <c r="P157" s="438">
        <v>2</v>
      </c>
      <c r="Q157" s="438">
        <v>2</v>
      </c>
      <c r="R157" s="438">
        <v>2</v>
      </c>
      <c r="S157" s="439">
        <v>2</v>
      </c>
      <c r="T157" s="440">
        <v>2</v>
      </c>
      <c r="U157" s="441">
        <v>2</v>
      </c>
      <c r="V157" s="436">
        <v>0</v>
      </c>
      <c r="W157" s="443">
        <v>2</v>
      </c>
      <c r="X157" s="444">
        <v>2</v>
      </c>
      <c r="Y157" s="445">
        <v>2</v>
      </c>
      <c r="Z157" s="445">
        <v>2</v>
      </c>
      <c r="AA157" s="445">
        <v>2</v>
      </c>
      <c r="AB157" s="445">
        <v>2</v>
      </c>
      <c r="AC157" s="446">
        <v>2</v>
      </c>
      <c r="AD157" s="448">
        <v>2</v>
      </c>
      <c r="AE157" s="449">
        <v>2</v>
      </c>
      <c r="AF157" s="436">
        <v>0</v>
      </c>
      <c r="AG157" s="450">
        <v>2</v>
      </c>
      <c r="AH157" s="436"/>
      <c r="AI157" s="427">
        <f t="shared" si="185"/>
        <v>50</v>
      </c>
      <c r="AJ157" s="427">
        <v>0</v>
      </c>
      <c r="AK157" s="427">
        <v>0</v>
      </c>
      <c r="AL157" s="427">
        <f t="shared" si="186"/>
        <v>50</v>
      </c>
      <c r="AM157" s="427">
        <f>AL157*C157</f>
        <v>3000</v>
      </c>
      <c r="AN157" s="712"/>
      <c r="AO157" s="714"/>
      <c r="AP157" s="712"/>
      <c r="AQ157" s="712"/>
      <c r="AR157" s="712"/>
    </row>
    <row r="158" spans="1:44" ht="12" customHeight="1">
      <c r="A158" s="331">
        <v>10</v>
      </c>
      <c r="B158" s="329" t="s">
        <v>195</v>
      </c>
      <c r="C158" s="331">
        <v>320</v>
      </c>
      <c r="D158" s="429">
        <v>0</v>
      </c>
      <c r="E158" s="427">
        <v>1</v>
      </c>
      <c r="F158" s="427">
        <v>1</v>
      </c>
      <c r="G158" s="427">
        <v>1</v>
      </c>
      <c r="H158" s="427">
        <v>1</v>
      </c>
      <c r="I158" s="429">
        <v>0</v>
      </c>
      <c r="J158" s="429">
        <v>0</v>
      </c>
      <c r="K158" s="436">
        <v>0</v>
      </c>
      <c r="L158" s="433">
        <v>1</v>
      </c>
      <c r="M158" s="434">
        <v>1</v>
      </c>
      <c r="N158" s="429">
        <v>0</v>
      </c>
      <c r="O158" s="437">
        <v>1</v>
      </c>
      <c r="P158" s="438">
        <v>1</v>
      </c>
      <c r="Q158" s="429">
        <v>0</v>
      </c>
      <c r="R158" s="438">
        <v>1</v>
      </c>
      <c r="S158" s="439">
        <v>1</v>
      </c>
      <c r="T158" s="440">
        <v>1</v>
      </c>
      <c r="U158" s="441">
        <v>1</v>
      </c>
      <c r="V158" s="442">
        <v>1</v>
      </c>
      <c r="W158" s="436">
        <v>0</v>
      </c>
      <c r="X158" s="444">
        <v>1</v>
      </c>
      <c r="Y158" s="445">
        <v>1</v>
      </c>
      <c r="Z158" s="445">
        <v>1</v>
      </c>
      <c r="AA158" s="445">
        <v>1</v>
      </c>
      <c r="AB158" s="445">
        <v>1</v>
      </c>
      <c r="AC158" s="446">
        <v>1</v>
      </c>
      <c r="AD158" s="448">
        <v>1</v>
      </c>
      <c r="AE158" s="449">
        <v>1</v>
      </c>
      <c r="AF158" s="436">
        <v>0</v>
      </c>
      <c r="AG158" s="450">
        <v>1</v>
      </c>
      <c r="AH158" s="436"/>
      <c r="AI158" s="427">
        <f t="shared" si="185"/>
        <v>22</v>
      </c>
      <c r="AJ158" s="427">
        <v>0</v>
      </c>
      <c r="AK158" s="427">
        <v>0</v>
      </c>
      <c r="AL158" s="427">
        <f t="shared" si="186"/>
        <v>22</v>
      </c>
      <c r="AM158" s="427">
        <f t="shared" ref="AM158:AM159" si="212">AL158*C158</f>
        <v>7040</v>
      </c>
      <c r="AN158" s="711">
        <f t="shared" ref="AN158" si="213">AM158+AM159</f>
        <v>8800</v>
      </c>
      <c r="AO158" s="713">
        <v>0</v>
      </c>
      <c r="AP158" s="711">
        <f t="shared" ref="AP158" si="214">AN158-AO158</f>
        <v>8800</v>
      </c>
      <c r="AQ158" s="711"/>
      <c r="AR158" s="711"/>
    </row>
    <row r="159" spans="1:44" ht="12" customHeight="1">
      <c r="A159" s="331"/>
      <c r="B159" s="329"/>
      <c r="C159" s="331">
        <f t="shared" si="211"/>
        <v>40</v>
      </c>
      <c r="D159" s="429">
        <v>0</v>
      </c>
      <c r="E159" s="427">
        <v>2</v>
      </c>
      <c r="F159" s="427">
        <v>2</v>
      </c>
      <c r="G159" s="427">
        <v>2</v>
      </c>
      <c r="H159" s="427">
        <v>2</v>
      </c>
      <c r="I159" s="429">
        <v>0</v>
      </c>
      <c r="J159" s="429">
        <v>0</v>
      </c>
      <c r="K159" s="436">
        <v>0</v>
      </c>
      <c r="L159" s="433">
        <v>2</v>
      </c>
      <c r="M159" s="434">
        <v>2</v>
      </c>
      <c r="N159" s="429">
        <v>0</v>
      </c>
      <c r="O159" s="437">
        <v>2</v>
      </c>
      <c r="P159" s="438">
        <v>2</v>
      </c>
      <c r="Q159" s="429">
        <v>0</v>
      </c>
      <c r="R159" s="438">
        <v>2</v>
      </c>
      <c r="S159" s="439">
        <v>2</v>
      </c>
      <c r="T159" s="440">
        <v>2</v>
      </c>
      <c r="U159" s="441">
        <v>2</v>
      </c>
      <c r="V159" s="442">
        <v>2</v>
      </c>
      <c r="W159" s="436">
        <v>0</v>
      </c>
      <c r="X159" s="444">
        <v>2</v>
      </c>
      <c r="Y159" s="445">
        <v>2</v>
      </c>
      <c r="Z159" s="445">
        <v>2</v>
      </c>
      <c r="AA159" s="445">
        <v>2</v>
      </c>
      <c r="AB159" s="445">
        <v>2</v>
      </c>
      <c r="AC159" s="446">
        <v>2</v>
      </c>
      <c r="AD159" s="448">
        <v>2</v>
      </c>
      <c r="AE159" s="449">
        <v>2</v>
      </c>
      <c r="AF159" s="436">
        <v>0</v>
      </c>
      <c r="AG159" s="450">
        <v>2</v>
      </c>
      <c r="AH159" s="436"/>
      <c r="AI159" s="427">
        <f t="shared" si="185"/>
        <v>44</v>
      </c>
      <c r="AJ159" s="427">
        <v>0</v>
      </c>
      <c r="AK159" s="427">
        <v>0</v>
      </c>
      <c r="AL159" s="427">
        <f t="shared" si="186"/>
        <v>44</v>
      </c>
      <c r="AM159" s="427">
        <f t="shared" si="212"/>
        <v>1760</v>
      </c>
      <c r="AN159" s="712"/>
      <c r="AO159" s="714"/>
      <c r="AP159" s="712"/>
      <c r="AQ159" s="712"/>
      <c r="AR159" s="712"/>
    </row>
    <row r="160" spans="1:44" ht="12" customHeight="1">
      <c r="A160" s="331">
        <v>11</v>
      </c>
      <c r="B160" s="329" t="s">
        <v>200</v>
      </c>
      <c r="C160" s="331">
        <v>480</v>
      </c>
      <c r="D160" s="429">
        <v>0</v>
      </c>
      <c r="E160" s="427">
        <v>1</v>
      </c>
      <c r="F160" s="427">
        <v>1</v>
      </c>
      <c r="G160" s="427">
        <v>1</v>
      </c>
      <c r="H160" s="427">
        <v>1</v>
      </c>
      <c r="I160" s="427">
        <v>1</v>
      </c>
      <c r="J160" s="428">
        <v>1</v>
      </c>
      <c r="K160" s="428">
        <v>1</v>
      </c>
      <c r="L160" s="433">
        <v>1</v>
      </c>
      <c r="M160" s="434">
        <v>1</v>
      </c>
      <c r="N160" s="435">
        <v>1</v>
      </c>
      <c r="O160" s="437">
        <v>1</v>
      </c>
      <c r="P160" s="438">
        <v>1</v>
      </c>
      <c r="Q160" s="438">
        <v>1</v>
      </c>
      <c r="R160" s="438">
        <v>1</v>
      </c>
      <c r="S160" s="439">
        <v>1</v>
      </c>
      <c r="T160" s="440">
        <v>1</v>
      </c>
      <c r="U160" s="441">
        <v>1</v>
      </c>
      <c r="V160" s="442">
        <v>1</v>
      </c>
      <c r="W160" s="443">
        <v>1</v>
      </c>
      <c r="X160" s="444">
        <v>1</v>
      </c>
      <c r="Y160" s="445">
        <v>1</v>
      </c>
      <c r="Z160" s="445">
        <v>1</v>
      </c>
      <c r="AA160" s="445">
        <v>1</v>
      </c>
      <c r="AB160" s="445">
        <v>1</v>
      </c>
      <c r="AC160" s="436">
        <v>0</v>
      </c>
      <c r="AD160" s="448">
        <v>1</v>
      </c>
      <c r="AE160" s="449">
        <v>1</v>
      </c>
      <c r="AF160" s="436">
        <v>0</v>
      </c>
      <c r="AG160" s="450">
        <v>1</v>
      </c>
      <c r="AH160" s="436"/>
      <c r="AI160" s="427">
        <f t="shared" ref="AI160:AI161" si="215">SUM(E160:AH160)</f>
        <v>27</v>
      </c>
      <c r="AJ160" s="427">
        <v>0</v>
      </c>
      <c r="AK160" s="427">
        <v>0</v>
      </c>
      <c r="AL160" s="427">
        <f t="shared" ref="AL160:AL161" si="216">AI160+AJ160-AK160</f>
        <v>27</v>
      </c>
      <c r="AM160" s="427">
        <f>AL160*C160</f>
        <v>12960</v>
      </c>
      <c r="AN160" s="711">
        <f t="shared" ref="AN160" si="217">AM160+AM161</f>
        <v>16200</v>
      </c>
      <c r="AO160" s="713">
        <v>0</v>
      </c>
      <c r="AP160" s="711">
        <f t="shared" ref="AP160" si="218">AN160-AO160</f>
        <v>16200</v>
      </c>
      <c r="AQ160" s="711"/>
      <c r="AR160" s="711"/>
    </row>
    <row r="161" spans="1:44" ht="12" customHeight="1">
      <c r="A161" s="331"/>
      <c r="B161" s="329"/>
      <c r="C161" s="331">
        <f t="shared" si="211"/>
        <v>60</v>
      </c>
      <c r="D161" s="429">
        <v>0</v>
      </c>
      <c r="E161" s="427">
        <v>2</v>
      </c>
      <c r="F161" s="427">
        <v>2</v>
      </c>
      <c r="G161" s="427">
        <v>2</v>
      </c>
      <c r="H161" s="427">
        <v>2</v>
      </c>
      <c r="I161" s="427">
        <v>2</v>
      </c>
      <c r="J161" s="428">
        <v>2</v>
      </c>
      <c r="K161" s="428">
        <v>2</v>
      </c>
      <c r="L161" s="433">
        <v>2</v>
      </c>
      <c r="M161" s="434">
        <v>2</v>
      </c>
      <c r="N161" s="435">
        <v>2</v>
      </c>
      <c r="O161" s="437">
        <v>2</v>
      </c>
      <c r="P161" s="438">
        <v>2</v>
      </c>
      <c r="Q161" s="438">
        <v>2</v>
      </c>
      <c r="R161" s="438">
        <v>2</v>
      </c>
      <c r="S161" s="439">
        <v>2</v>
      </c>
      <c r="T161" s="440">
        <v>2</v>
      </c>
      <c r="U161" s="441">
        <v>2</v>
      </c>
      <c r="V161" s="442">
        <v>2</v>
      </c>
      <c r="W161" s="443">
        <v>2</v>
      </c>
      <c r="X161" s="444">
        <v>2</v>
      </c>
      <c r="Y161" s="445">
        <v>2</v>
      </c>
      <c r="Z161" s="445">
        <v>2</v>
      </c>
      <c r="AA161" s="445">
        <v>2</v>
      </c>
      <c r="AB161" s="445">
        <v>2</v>
      </c>
      <c r="AC161" s="436">
        <v>0</v>
      </c>
      <c r="AD161" s="448">
        <v>2</v>
      </c>
      <c r="AE161" s="449">
        <v>2</v>
      </c>
      <c r="AF161" s="436">
        <v>0</v>
      </c>
      <c r="AG161" s="450">
        <v>2</v>
      </c>
      <c r="AH161" s="436"/>
      <c r="AI161" s="427">
        <f t="shared" si="215"/>
        <v>54</v>
      </c>
      <c r="AJ161" s="427">
        <v>0</v>
      </c>
      <c r="AK161" s="427">
        <v>0</v>
      </c>
      <c r="AL161" s="427">
        <f t="shared" si="216"/>
        <v>54</v>
      </c>
      <c r="AM161" s="427">
        <f>AL161*C161</f>
        <v>3240</v>
      </c>
      <c r="AN161" s="712"/>
      <c r="AO161" s="714"/>
      <c r="AP161" s="712"/>
      <c r="AQ161" s="712"/>
      <c r="AR161" s="712"/>
    </row>
    <row r="162" spans="1:44" ht="12" customHeight="1">
      <c r="A162" s="895" t="s">
        <v>103</v>
      </c>
      <c r="B162" s="896"/>
      <c r="C162" s="366"/>
      <c r="D162" s="366">
        <f>D138+D140+D142+D144+D146+D148+D154+D156+D150+D152+D158+D160</f>
        <v>0</v>
      </c>
      <c r="E162" s="366">
        <f t="shared" ref="E162:AM162" si="219">E138+E140+E142+E144+E146+E148+E154+E156+E150+E152+E158+E160</f>
        <v>8</v>
      </c>
      <c r="F162" s="366">
        <f t="shared" si="219"/>
        <v>8</v>
      </c>
      <c r="G162" s="366">
        <f t="shared" si="219"/>
        <v>8</v>
      </c>
      <c r="H162" s="366">
        <f t="shared" si="219"/>
        <v>8</v>
      </c>
      <c r="I162" s="366">
        <f t="shared" si="219"/>
        <v>7</v>
      </c>
      <c r="J162" s="366">
        <f t="shared" si="219"/>
        <v>6</v>
      </c>
      <c r="K162" s="366">
        <f t="shared" si="219"/>
        <v>4</v>
      </c>
      <c r="L162" s="366">
        <f t="shared" si="219"/>
        <v>8</v>
      </c>
      <c r="M162" s="366">
        <f t="shared" si="219"/>
        <v>8</v>
      </c>
      <c r="N162" s="366">
        <f t="shared" si="219"/>
        <v>7</v>
      </c>
      <c r="O162" s="366">
        <f t="shared" si="219"/>
        <v>7</v>
      </c>
      <c r="P162" s="366">
        <f t="shared" si="219"/>
        <v>9</v>
      </c>
      <c r="Q162" s="366">
        <f t="shared" si="219"/>
        <v>8</v>
      </c>
      <c r="R162" s="366">
        <f t="shared" si="219"/>
        <v>8</v>
      </c>
      <c r="S162" s="366">
        <f t="shared" si="219"/>
        <v>8</v>
      </c>
      <c r="T162" s="366">
        <f t="shared" si="219"/>
        <v>8</v>
      </c>
      <c r="U162" s="366">
        <f t="shared" si="219"/>
        <v>8</v>
      </c>
      <c r="V162" s="366">
        <f t="shared" si="219"/>
        <v>6</v>
      </c>
      <c r="W162" s="366">
        <f t="shared" si="219"/>
        <v>6</v>
      </c>
      <c r="X162" s="366">
        <f t="shared" si="219"/>
        <v>8</v>
      </c>
      <c r="Y162" s="366">
        <f t="shared" si="219"/>
        <v>7</v>
      </c>
      <c r="Z162" s="366">
        <f t="shared" si="219"/>
        <v>10</v>
      </c>
      <c r="AA162" s="366">
        <f t="shared" si="219"/>
        <v>10</v>
      </c>
      <c r="AB162" s="366">
        <f t="shared" si="219"/>
        <v>10</v>
      </c>
      <c r="AC162" s="366">
        <f t="shared" si="219"/>
        <v>9</v>
      </c>
      <c r="AD162" s="366">
        <f t="shared" si="219"/>
        <v>8</v>
      </c>
      <c r="AE162" s="366">
        <f t="shared" si="219"/>
        <v>8</v>
      </c>
      <c r="AF162" s="366">
        <f t="shared" si="219"/>
        <v>0</v>
      </c>
      <c r="AG162" s="366">
        <f t="shared" si="219"/>
        <v>9</v>
      </c>
      <c r="AH162" s="366">
        <f t="shared" si="219"/>
        <v>0</v>
      </c>
      <c r="AI162" s="366">
        <f t="shared" si="219"/>
        <v>219</v>
      </c>
      <c r="AJ162" s="366">
        <f t="shared" si="219"/>
        <v>2</v>
      </c>
      <c r="AK162" s="366">
        <f t="shared" si="219"/>
        <v>0</v>
      </c>
      <c r="AL162" s="366">
        <f t="shared" si="219"/>
        <v>221</v>
      </c>
      <c r="AM162" s="366">
        <f t="shared" si="219"/>
        <v>99616</v>
      </c>
      <c r="AN162" s="897">
        <f>AN138+AN140+AN142+AN144+AN146+AN148+AN154+AN158+AN156+AN150+AN152+AN160</f>
        <v>124826</v>
      </c>
      <c r="AO162" s="897">
        <f t="shared" ref="AO162:AR162" si="220">AO138+AO140+AO142+AO144+AO146+AO148+AO154+AO158+AO156+AO150+AO152+AO160</f>
        <v>0</v>
      </c>
      <c r="AP162" s="897">
        <f t="shared" si="220"/>
        <v>124826</v>
      </c>
      <c r="AQ162" s="897">
        <f t="shared" si="220"/>
        <v>0</v>
      </c>
      <c r="AR162" s="897">
        <f t="shared" si="220"/>
        <v>0</v>
      </c>
    </row>
    <row r="163" spans="1:44" ht="12" customHeight="1">
      <c r="A163" s="899" t="s">
        <v>106</v>
      </c>
      <c r="B163" s="900"/>
      <c r="C163" s="367"/>
      <c r="D163" s="367">
        <f>D139+D141+D143+D145+D147+D149+D155+D157+D151+D153+D159+D161</f>
        <v>0</v>
      </c>
      <c r="E163" s="367">
        <f t="shared" ref="E163:AM163" si="221">E139+E141+E143+E145+E147+E149+E155+E157+E151+E153+E159+E161</f>
        <v>16</v>
      </c>
      <c r="F163" s="367">
        <f t="shared" si="221"/>
        <v>16</v>
      </c>
      <c r="G163" s="367">
        <f t="shared" si="221"/>
        <v>22</v>
      </c>
      <c r="H163" s="367">
        <f t="shared" si="221"/>
        <v>16</v>
      </c>
      <c r="I163" s="367">
        <f t="shared" si="221"/>
        <v>10</v>
      </c>
      <c r="J163" s="367">
        <f t="shared" si="221"/>
        <v>12</v>
      </c>
      <c r="K163" s="367">
        <f t="shared" si="221"/>
        <v>8</v>
      </c>
      <c r="L163" s="367">
        <f t="shared" si="221"/>
        <v>16</v>
      </c>
      <c r="M163" s="367">
        <f t="shared" si="221"/>
        <v>16</v>
      </c>
      <c r="N163" s="367">
        <f t="shared" si="221"/>
        <v>14</v>
      </c>
      <c r="O163" s="367">
        <f t="shared" si="221"/>
        <v>14</v>
      </c>
      <c r="P163" s="367">
        <f t="shared" si="221"/>
        <v>18</v>
      </c>
      <c r="Q163" s="367">
        <f t="shared" si="221"/>
        <v>16</v>
      </c>
      <c r="R163" s="367">
        <f t="shared" si="221"/>
        <v>16</v>
      </c>
      <c r="S163" s="367">
        <f t="shared" si="221"/>
        <v>16</v>
      </c>
      <c r="T163" s="367">
        <f t="shared" si="221"/>
        <v>20</v>
      </c>
      <c r="U163" s="367">
        <f t="shared" si="221"/>
        <v>16</v>
      </c>
      <c r="V163" s="367">
        <f t="shared" si="221"/>
        <v>12</v>
      </c>
      <c r="W163" s="367">
        <f t="shared" si="221"/>
        <v>12</v>
      </c>
      <c r="X163" s="367">
        <f t="shared" si="221"/>
        <v>16</v>
      </c>
      <c r="Y163" s="367">
        <f t="shared" si="221"/>
        <v>14</v>
      </c>
      <c r="Z163" s="367">
        <f t="shared" si="221"/>
        <v>20</v>
      </c>
      <c r="AA163" s="367">
        <f t="shared" si="221"/>
        <v>20</v>
      </c>
      <c r="AB163" s="367">
        <f t="shared" si="221"/>
        <v>20</v>
      </c>
      <c r="AC163" s="367">
        <f t="shared" si="221"/>
        <v>18</v>
      </c>
      <c r="AD163" s="367">
        <f t="shared" si="221"/>
        <v>16</v>
      </c>
      <c r="AE163" s="367">
        <f t="shared" si="221"/>
        <v>18</v>
      </c>
      <c r="AF163" s="367">
        <f t="shared" si="221"/>
        <v>0</v>
      </c>
      <c r="AG163" s="367">
        <f t="shared" si="221"/>
        <v>18</v>
      </c>
      <c r="AH163" s="367">
        <f t="shared" si="221"/>
        <v>0</v>
      </c>
      <c r="AI163" s="367">
        <f t="shared" si="221"/>
        <v>446</v>
      </c>
      <c r="AJ163" s="367">
        <f t="shared" si="221"/>
        <v>0</v>
      </c>
      <c r="AK163" s="367">
        <f t="shared" si="221"/>
        <v>0</v>
      </c>
      <c r="AL163" s="367">
        <f t="shared" si="221"/>
        <v>446</v>
      </c>
      <c r="AM163" s="367">
        <f t="shared" si="221"/>
        <v>25210</v>
      </c>
      <c r="AN163" s="898"/>
      <c r="AO163" s="898"/>
      <c r="AP163" s="898"/>
      <c r="AQ163" s="898"/>
      <c r="AR163" s="898"/>
    </row>
    <row r="164" spans="1:44" ht="6" customHeight="1"/>
    <row r="165" spans="1:44" ht="17.25" customHeight="1">
      <c r="A165" s="903" t="s">
        <v>113</v>
      </c>
      <c r="B165" s="905" t="s">
        <v>1</v>
      </c>
      <c r="C165" s="906"/>
      <c r="D165" s="909" t="s">
        <v>203</v>
      </c>
      <c r="E165" s="910"/>
      <c r="F165" s="910"/>
      <c r="G165" s="910"/>
      <c r="H165" s="910"/>
      <c r="I165" s="910"/>
      <c r="J165" s="910"/>
      <c r="K165" s="910"/>
      <c r="L165" s="910"/>
      <c r="M165" s="910"/>
      <c r="N165" s="910"/>
      <c r="O165" s="910"/>
      <c r="P165" s="910"/>
      <c r="Q165" s="910"/>
      <c r="R165" s="910"/>
      <c r="S165" s="910"/>
      <c r="T165" s="910"/>
      <c r="U165" s="910"/>
      <c r="V165" s="910"/>
      <c r="W165" s="910"/>
      <c r="X165" s="910"/>
      <c r="Y165" s="910"/>
      <c r="Z165" s="910"/>
      <c r="AA165" s="910"/>
      <c r="AB165" s="910"/>
      <c r="AC165" s="910"/>
      <c r="AD165" s="910"/>
      <c r="AE165" s="910"/>
      <c r="AF165" s="911"/>
      <c r="AG165" s="912">
        <v>31</v>
      </c>
      <c r="AH165" s="913"/>
      <c r="AI165" s="901" t="s">
        <v>107</v>
      </c>
      <c r="AJ165" s="901" t="s">
        <v>45</v>
      </c>
      <c r="AK165" s="901" t="s">
        <v>108</v>
      </c>
      <c r="AL165" s="901" t="s">
        <v>112</v>
      </c>
      <c r="AM165" s="914" t="s">
        <v>7</v>
      </c>
      <c r="AN165" s="915"/>
      <c r="AO165" s="901" t="s">
        <v>93</v>
      </c>
      <c r="AP165" s="901" t="s">
        <v>109</v>
      </c>
      <c r="AQ165" s="901" t="s">
        <v>33</v>
      </c>
      <c r="AR165" s="901" t="s">
        <v>111</v>
      </c>
    </row>
    <row r="166" spans="1:44" ht="12.75" customHeight="1">
      <c r="A166" s="904"/>
      <c r="B166" s="907"/>
      <c r="C166" s="908"/>
      <c r="D166" s="394">
        <v>1</v>
      </c>
      <c r="E166" s="394">
        <v>2</v>
      </c>
      <c r="F166" s="394">
        <v>3</v>
      </c>
      <c r="G166" s="394">
        <v>4</v>
      </c>
      <c r="H166" s="394">
        <v>5</v>
      </c>
      <c r="I166" s="394">
        <v>6</v>
      </c>
      <c r="J166" s="394">
        <v>7</v>
      </c>
      <c r="K166" s="394">
        <v>8</v>
      </c>
      <c r="L166" s="394">
        <v>9</v>
      </c>
      <c r="M166" s="394">
        <v>10</v>
      </c>
      <c r="N166" s="394">
        <v>11</v>
      </c>
      <c r="O166" s="394">
        <v>12</v>
      </c>
      <c r="P166" s="394">
        <v>13</v>
      </c>
      <c r="Q166" s="394">
        <v>14</v>
      </c>
      <c r="R166" s="394">
        <v>15</v>
      </c>
      <c r="S166" s="394">
        <v>16</v>
      </c>
      <c r="T166" s="394">
        <v>17</v>
      </c>
      <c r="U166" s="394">
        <v>18</v>
      </c>
      <c r="V166" s="394">
        <v>19</v>
      </c>
      <c r="W166" s="394">
        <v>20</v>
      </c>
      <c r="X166" s="394">
        <v>21</v>
      </c>
      <c r="Y166" s="394">
        <v>22</v>
      </c>
      <c r="Z166" s="394">
        <v>23</v>
      </c>
      <c r="AA166" s="394">
        <v>24</v>
      </c>
      <c r="AB166" s="394">
        <v>25</v>
      </c>
      <c r="AC166" s="394">
        <v>26</v>
      </c>
      <c r="AD166" s="394">
        <v>27</v>
      </c>
      <c r="AE166" s="394">
        <v>28</v>
      </c>
      <c r="AF166" s="394">
        <v>29</v>
      </c>
      <c r="AG166" s="394">
        <v>30</v>
      </c>
      <c r="AH166" s="394">
        <v>31</v>
      </c>
      <c r="AI166" s="902"/>
      <c r="AJ166" s="902"/>
      <c r="AK166" s="902"/>
      <c r="AL166" s="902"/>
      <c r="AM166" s="916"/>
      <c r="AN166" s="917"/>
      <c r="AO166" s="902"/>
      <c r="AP166" s="902"/>
      <c r="AQ166" s="902"/>
      <c r="AR166" s="902"/>
    </row>
    <row r="167" spans="1:44" ht="11.45" customHeight="1">
      <c r="A167" s="331"/>
      <c r="B167" s="329" t="s">
        <v>207</v>
      </c>
      <c r="C167" s="331">
        <v>320</v>
      </c>
      <c r="D167" s="451"/>
      <c r="E167" s="451"/>
      <c r="F167" s="451"/>
      <c r="G167" s="451"/>
      <c r="H167" s="451"/>
      <c r="I167" s="453"/>
      <c r="J167" s="451"/>
      <c r="K167" s="451"/>
      <c r="L167" s="452"/>
      <c r="M167" s="457">
        <v>1</v>
      </c>
      <c r="N167" s="457">
        <v>1</v>
      </c>
      <c r="O167" s="457">
        <v>1</v>
      </c>
      <c r="P167" s="453"/>
      <c r="Q167" s="458">
        <v>1</v>
      </c>
      <c r="R167" s="459">
        <v>1</v>
      </c>
      <c r="S167" s="459">
        <v>1</v>
      </c>
      <c r="T167" s="460">
        <v>1</v>
      </c>
      <c r="U167" s="453">
        <v>0</v>
      </c>
      <c r="V167" s="453"/>
      <c r="W167" s="453"/>
      <c r="X167" s="462">
        <v>1</v>
      </c>
      <c r="Y167" s="462">
        <v>1</v>
      </c>
      <c r="Z167" s="407">
        <v>1</v>
      </c>
      <c r="AA167" s="407">
        <v>1</v>
      </c>
      <c r="AB167" s="453">
        <v>0</v>
      </c>
      <c r="AC167" s="407">
        <v>1</v>
      </c>
      <c r="AD167" s="453"/>
      <c r="AE167" s="407">
        <v>1</v>
      </c>
      <c r="AF167" s="407">
        <v>1</v>
      </c>
      <c r="AG167" s="453">
        <v>0</v>
      </c>
      <c r="AH167" s="453">
        <v>0</v>
      </c>
      <c r="AI167" s="451">
        <f>SUM(D167:AH167)</f>
        <v>14</v>
      </c>
      <c r="AJ167" s="451">
        <v>0</v>
      </c>
      <c r="AK167" s="451">
        <v>0</v>
      </c>
      <c r="AL167" s="451">
        <f t="shared" ref="AL167:AL190" si="222">AI167+AJ167-AK167</f>
        <v>14</v>
      </c>
      <c r="AM167" s="451">
        <f t="shared" ref="AM167:AM184" si="223">AL167*C167</f>
        <v>4480</v>
      </c>
      <c r="AN167" s="711">
        <f t="shared" ref="AN167" si="224">AM167+AM168</f>
        <v>5600</v>
      </c>
      <c r="AO167" s="713">
        <v>0</v>
      </c>
      <c r="AP167" s="711">
        <f t="shared" ref="AP167" si="225">AN167-AO167</f>
        <v>5600</v>
      </c>
      <c r="AQ167" s="711"/>
      <c r="AR167" s="711"/>
    </row>
    <row r="168" spans="1:44" ht="11.45" customHeight="1">
      <c r="A168" s="331"/>
      <c r="B168" s="331"/>
      <c r="C168" s="331">
        <f t="shared" ref="C168" si="226">C167/8</f>
        <v>40</v>
      </c>
      <c r="D168" s="451"/>
      <c r="E168" s="451"/>
      <c r="F168" s="451"/>
      <c r="G168" s="451"/>
      <c r="H168" s="451"/>
      <c r="I168" s="453"/>
      <c r="J168" s="451"/>
      <c r="K168" s="451"/>
      <c r="L168" s="452"/>
      <c r="M168" s="457">
        <v>2</v>
      </c>
      <c r="N168" s="457">
        <v>2</v>
      </c>
      <c r="O168" s="457">
        <v>2</v>
      </c>
      <c r="P168" s="453"/>
      <c r="Q168" s="458">
        <v>2</v>
      </c>
      <c r="R168" s="459">
        <v>2</v>
      </c>
      <c r="S168" s="459">
        <v>2</v>
      </c>
      <c r="T168" s="460">
        <v>2</v>
      </c>
      <c r="U168" s="453">
        <v>0</v>
      </c>
      <c r="V168" s="453"/>
      <c r="W168" s="453"/>
      <c r="X168" s="462">
        <v>2</v>
      </c>
      <c r="Y168" s="462">
        <v>2</v>
      </c>
      <c r="Z168" s="407">
        <v>2</v>
      </c>
      <c r="AA168" s="407">
        <v>2</v>
      </c>
      <c r="AB168" s="453">
        <v>0</v>
      </c>
      <c r="AC168" s="407">
        <v>2</v>
      </c>
      <c r="AD168" s="453"/>
      <c r="AE168" s="407">
        <v>2</v>
      </c>
      <c r="AF168" s="407">
        <v>2</v>
      </c>
      <c r="AG168" s="453">
        <v>0</v>
      </c>
      <c r="AH168" s="453">
        <v>0</v>
      </c>
      <c r="AI168" s="451">
        <f>SUM(D168:AH168)</f>
        <v>28</v>
      </c>
      <c r="AJ168" s="451">
        <v>0</v>
      </c>
      <c r="AK168" s="451">
        <v>0</v>
      </c>
      <c r="AL168" s="451">
        <f t="shared" si="222"/>
        <v>28</v>
      </c>
      <c r="AM168" s="451">
        <f t="shared" si="223"/>
        <v>1120</v>
      </c>
      <c r="AN168" s="712"/>
      <c r="AO168" s="714"/>
      <c r="AP168" s="712"/>
      <c r="AQ168" s="712"/>
      <c r="AR168" s="712"/>
    </row>
    <row r="169" spans="1:44" ht="11.45" customHeight="1">
      <c r="A169" s="331">
        <v>1</v>
      </c>
      <c r="B169" s="329" t="s">
        <v>189</v>
      </c>
      <c r="C169" s="331">
        <v>520</v>
      </c>
      <c r="D169" s="453"/>
      <c r="E169" s="453"/>
      <c r="F169" s="453"/>
      <c r="G169" s="453"/>
      <c r="H169" s="453"/>
      <c r="I169" s="453"/>
      <c r="J169" s="453"/>
      <c r="K169" s="453"/>
      <c r="L169" s="453"/>
      <c r="M169" s="453"/>
      <c r="N169" s="453"/>
      <c r="O169" s="453"/>
      <c r="P169" s="453"/>
      <c r="Q169" s="453"/>
      <c r="R169" s="453"/>
      <c r="S169" s="453"/>
      <c r="T169" s="453"/>
      <c r="U169" s="453"/>
      <c r="V169" s="453"/>
      <c r="W169" s="453"/>
      <c r="X169" s="463">
        <v>1</v>
      </c>
      <c r="Y169" s="463">
        <v>1</v>
      </c>
      <c r="Z169" s="463">
        <v>1</v>
      </c>
      <c r="AA169" s="463">
        <v>1</v>
      </c>
      <c r="AB169" s="463">
        <v>1</v>
      </c>
      <c r="AC169" s="463">
        <v>1</v>
      </c>
      <c r="AD169" s="453"/>
      <c r="AE169" s="463">
        <v>1</v>
      </c>
      <c r="AF169" s="463">
        <v>1</v>
      </c>
      <c r="AG169" s="463">
        <v>1</v>
      </c>
      <c r="AH169" s="463">
        <v>1</v>
      </c>
      <c r="AI169" s="469">
        <f t="shared" ref="AI169:AI190" si="227">SUM(D169:AH169)</f>
        <v>10</v>
      </c>
      <c r="AJ169" s="451">
        <v>0</v>
      </c>
      <c r="AK169" s="451">
        <v>0</v>
      </c>
      <c r="AL169" s="451">
        <f t="shared" si="222"/>
        <v>10</v>
      </c>
      <c r="AM169" s="451">
        <f t="shared" si="223"/>
        <v>5200</v>
      </c>
      <c r="AN169" s="711">
        <f t="shared" ref="AN169" si="228">AM169+AM170</f>
        <v>6500</v>
      </c>
      <c r="AO169" s="713">
        <v>0</v>
      </c>
      <c r="AP169" s="711">
        <f t="shared" ref="AP169" si="229">AN169-AO169</f>
        <v>6500</v>
      </c>
      <c r="AQ169" s="711"/>
      <c r="AR169" s="711"/>
    </row>
    <row r="170" spans="1:44" ht="11.45" customHeight="1">
      <c r="A170" s="331"/>
      <c r="B170" s="329"/>
      <c r="C170" s="331">
        <f>C169/8</f>
        <v>65</v>
      </c>
      <c r="D170" s="453"/>
      <c r="E170" s="453"/>
      <c r="F170" s="453"/>
      <c r="G170" s="453"/>
      <c r="H170" s="453"/>
      <c r="I170" s="453"/>
      <c r="J170" s="453"/>
      <c r="K170" s="453"/>
      <c r="L170" s="453"/>
      <c r="M170" s="453"/>
      <c r="N170" s="453"/>
      <c r="O170" s="453"/>
      <c r="P170" s="453"/>
      <c r="Q170" s="453"/>
      <c r="R170" s="453"/>
      <c r="S170" s="453"/>
      <c r="T170" s="453"/>
      <c r="U170" s="453"/>
      <c r="V170" s="453"/>
      <c r="W170" s="453"/>
      <c r="X170" s="463">
        <v>2</v>
      </c>
      <c r="Y170" s="463">
        <v>2</v>
      </c>
      <c r="Z170" s="463">
        <v>2</v>
      </c>
      <c r="AA170" s="463">
        <v>2</v>
      </c>
      <c r="AB170" s="463">
        <v>2</v>
      </c>
      <c r="AC170" s="463">
        <v>2</v>
      </c>
      <c r="AD170" s="453"/>
      <c r="AE170" s="463">
        <v>2</v>
      </c>
      <c r="AF170" s="463">
        <v>2</v>
      </c>
      <c r="AG170" s="463">
        <v>2</v>
      </c>
      <c r="AH170" s="463">
        <v>2</v>
      </c>
      <c r="AI170" s="469">
        <f t="shared" si="227"/>
        <v>20</v>
      </c>
      <c r="AJ170" s="451">
        <v>0</v>
      </c>
      <c r="AK170" s="451">
        <v>0</v>
      </c>
      <c r="AL170" s="451">
        <f t="shared" si="222"/>
        <v>20</v>
      </c>
      <c r="AM170" s="451">
        <f t="shared" si="223"/>
        <v>1300</v>
      </c>
      <c r="AN170" s="712"/>
      <c r="AO170" s="714"/>
      <c r="AP170" s="712"/>
      <c r="AQ170" s="712"/>
      <c r="AR170" s="712"/>
    </row>
    <row r="171" spans="1:44" ht="11.45" customHeight="1">
      <c r="A171" s="331">
        <v>2</v>
      </c>
      <c r="B171" s="329" t="s">
        <v>167</v>
      </c>
      <c r="C171" s="331">
        <v>520</v>
      </c>
      <c r="D171" s="451">
        <v>1</v>
      </c>
      <c r="E171" s="451">
        <v>1</v>
      </c>
      <c r="F171" s="451">
        <v>1</v>
      </c>
      <c r="G171" s="451">
        <v>1</v>
      </c>
      <c r="H171" s="451">
        <v>1</v>
      </c>
      <c r="I171" s="453"/>
      <c r="J171" s="451">
        <v>1</v>
      </c>
      <c r="K171" s="451">
        <v>1</v>
      </c>
      <c r="L171" s="452">
        <v>1</v>
      </c>
      <c r="M171" s="454">
        <v>1</v>
      </c>
      <c r="N171" s="457">
        <v>1</v>
      </c>
      <c r="O171" s="457">
        <v>1</v>
      </c>
      <c r="P171" s="453"/>
      <c r="Q171" s="458">
        <v>1</v>
      </c>
      <c r="R171" s="459">
        <v>1</v>
      </c>
      <c r="S171" s="459">
        <v>1</v>
      </c>
      <c r="T171" s="460">
        <v>1</v>
      </c>
      <c r="U171" s="460">
        <v>1</v>
      </c>
      <c r="V171" s="453"/>
      <c r="W171" s="461">
        <v>1</v>
      </c>
      <c r="X171" s="464">
        <v>1</v>
      </c>
      <c r="Y171" s="464">
        <v>1</v>
      </c>
      <c r="Z171" s="453">
        <v>0</v>
      </c>
      <c r="AA171" s="465">
        <v>1</v>
      </c>
      <c r="AB171" s="465">
        <v>1</v>
      </c>
      <c r="AC171" s="465">
        <v>1</v>
      </c>
      <c r="AD171" s="453"/>
      <c r="AE171" s="468">
        <v>1</v>
      </c>
      <c r="AF171" s="468">
        <v>1</v>
      </c>
      <c r="AG171" s="468">
        <v>1</v>
      </c>
      <c r="AH171" s="468">
        <v>1</v>
      </c>
      <c r="AI171" s="469">
        <f t="shared" si="227"/>
        <v>26</v>
      </c>
      <c r="AJ171" s="451">
        <v>0</v>
      </c>
      <c r="AK171" s="451">
        <v>0</v>
      </c>
      <c r="AL171" s="451">
        <f t="shared" si="222"/>
        <v>26</v>
      </c>
      <c r="AM171" s="451">
        <f t="shared" si="223"/>
        <v>13520</v>
      </c>
      <c r="AN171" s="711">
        <f t="shared" ref="AN171" si="230">AM171+AM172</f>
        <v>16900</v>
      </c>
      <c r="AO171" s="713">
        <v>0</v>
      </c>
      <c r="AP171" s="711">
        <f t="shared" ref="AP171" si="231">AN171-AO171</f>
        <v>16900</v>
      </c>
      <c r="AQ171" s="711"/>
      <c r="AR171" s="711"/>
    </row>
    <row r="172" spans="1:44" ht="11.45" customHeight="1">
      <c r="A172" s="331"/>
      <c r="B172" s="329"/>
      <c r="C172" s="331">
        <f>C171/8</f>
        <v>65</v>
      </c>
      <c r="D172" s="451">
        <v>2</v>
      </c>
      <c r="E172" s="451">
        <v>2</v>
      </c>
      <c r="F172" s="451">
        <v>2</v>
      </c>
      <c r="G172" s="451">
        <v>2</v>
      </c>
      <c r="H172" s="451">
        <v>2</v>
      </c>
      <c r="I172" s="453"/>
      <c r="J172" s="451">
        <v>2</v>
      </c>
      <c r="K172" s="451">
        <v>2</v>
      </c>
      <c r="L172" s="452">
        <v>2</v>
      </c>
      <c r="M172" s="454">
        <v>2</v>
      </c>
      <c r="N172" s="457">
        <v>2</v>
      </c>
      <c r="O172" s="457">
        <v>2</v>
      </c>
      <c r="P172" s="453"/>
      <c r="Q172" s="458">
        <v>2</v>
      </c>
      <c r="R172" s="459">
        <v>2</v>
      </c>
      <c r="S172" s="459">
        <v>2</v>
      </c>
      <c r="T172" s="460">
        <v>2</v>
      </c>
      <c r="U172" s="460">
        <v>2</v>
      </c>
      <c r="V172" s="453"/>
      <c r="W172" s="461">
        <v>2</v>
      </c>
      <c r="X172" s="464">
        <v>2</v>
      </c>
      <c r="Y172" s="464">
        <v>2</v>
      </c>
      <c r="Z172" s="453">
        <v>0</v>
      </c>
      <c r="AA172" s="465">
        <v>2</v>
      </c>
      <c r="AB172" s="465">
        <v>2</v>
      </c>
      <c r="AC172" s="465">
        <v>2</v>
      </c>
      <c r="AD172" s="453"/>
      <c r="AE172" s="468">
        <v>2</v>
      </c>
      <c r="AF172" s="468">
        <v>2</v>
      </c>
      <c r="AG172" s="468">
        <v>2</v>
      </c>
      <c r="AH172" s="468">
        <v>2</v>
      </c>
      <c r="AI172" s="469">
        <f t="shared" si="227"/>
        <v>52</v>
      </c>
      <c r="AJ172" s="451">
        <v>0</v>
      </c>
      <c r="AK172" s="451">
        <v>0</v>
      </c>
      <c r="AL172" s="451">
        <f t="shared" si="222"/>
        <v>52</v>
      </c>
      <c r="AM172" s="451">
        <f t="shared" si="223"/>
        <v>3380</v>
      </c>
      <c r="AN172" s="712"/>
      <c r="AO172" s="714"/>
      <c r="AP172" s="712"/>
      <c r="AQ172" s="712"/>
      <c r="AR172" s="712"/>
    </row>
    <row r="173" spans="1:44" ht="11.45" customHeight="1">
      <c r="A173" s="331">
        <v>3</v>
      </c>
      <c r="B173" s="329" t="s">
        <v>185</v>
      </c>
      <c r="C173" s="331">
        <v>480</v>
      </c>
      <c r="D173" s="451">
        <v>1</v>
      </c>
      <c r="E173" s="451">
        <v>1</v>
      </c>
      <c r="F173" s="453">
        <v>0</v>
      </c>
      <c r="G173" s="451">
        <v>1</v>
      </c>
      <c r="H173" s="451">
        <v>1</v>
      </c>
      <c r="I173" s="453"/>
      <c r="J173" s="451">
        <v>1</v>
      </c>
      <c r="K173" s="451">
        <v>1</v>
      </c>
      <c r="L173" s="452">
        <v>1</v>
      </c>
      <c r="M173" s="454">
        <v>1</v>
      </c>
      <c r="N173" s="457">
        <v>1</v>
      </c>
      <c r="O173" s="457">
        <v>1</v>
      </c>
      <c r="P173" s="453"/>
      <c r="Q173" s="458">
        <v>1</v>
      </c>
      <c r="R173" s="459">
        <v>1</v>
      </c>
      <c r="S173" s="459">
        <v>1</v>
      </c>
      <c r="T173" s="460">
        <v>1</v>
      </c>
      <c r="U173" s="460">
        <v>1</v>
      </c>
      <c r="V173" s="453"/>
      <c r="W173" s="461">
        <v>1</v>
      </c>
      <c r="X173" s="453">
        <v>0</v>
      </c>
      <c r="Y173" s="462">
        <v>1</v>
      </c>
      <c r="Z173" s="464">
        <v>1</v>
      </c>
      <c r="AA173" s="453">
        <v>0</v>
      </c>
      <c r="AB173" s="465">
        <v>1</v>
      </c>
      <c r="AC173" s="465">
        <v>1</v>
      </c>
      <c r="AD173" s="453"/>
      <c r="AE173" s="468">
        <v>1</v>
      </c>
      <c r="AF173" s="453">
        <v>0</v>
      </c>
      <c r="AG173" s="468">
        <v>1</v>
      </c>
      <c r="AH173" s="468">
        <v>1</v>
      </c>
      <c r="AI173" s="469">
        <f t="shared" si="227"/>
        <v>23</v>
      </c>
      <c r="AJ173" s="451">
        <v>0</v>
      </c>
      <c r="AK173" s="451">
        <v>0</v>
      </c>
      <c r="AL173" s="451">
        <f t="shared" si="222"/>
        <v>23</v>
      </c>
      <c r="AM173" s="451">
        <f t="shared" si="223"/>
        <v>11040</v>
      </c>
      <c r="AN173" s="711">
        <f t="shared" ref="AN173" si="232">AM173+AM174</f>
        <v>13680</v>
      </c>
      <c r="AO173" s="713">
        <v>0</v>
      </c>
      <c r="AP173" s="711">
        <f t="shared" ref="AP173" si="233">AN173-AO173</f>
        <v>13680</v>
      </c>
      <c r="AQ173" s="711"/>
      <c r="AR173" s="711"/>
    </row>
    <row r="174" spans="1:44" ht="11.45" customHeight="1">
      <c r="A174" s="331"/>
      <c r="B174" s="329"/>
      <c r="C174" s="331">
        <f>C173/8</f>
        <v>60</v>
      </c>
      <c r="D174" s="451">
        <v>2</v>
      </c>
      <c r="E174" s="451">
        <v>2</v>
      </c>
      <c r="F174" s="453">
        <v>0</v>
      </c>
      <c r="G174" s="451">
        <v>2</v>
      </c>
      <c r="H174" s="451">
        <v>2</v>
      </c>
      <c r="I174" s="453"/>
      <c r="J174" s="451">
        <v>2</v>
      </c>
      <c r="K174" s="451">
        <v>2</v>
      </c>
      <c r="L174" s="452">
        <v>2</v>
      </c>
      <c r="M174" s="453">
        <v>0</v>
      </c>
      <c r="N174" s="457">
        <v>2</v>
      </c>
      <c r="O174" s="457">
        <v>2</v>
      </c>
      <c r="P174" s="453"/>
      <c r="Q174" s="458">
        <v>2</v>
      </c>
      <c r="R174" s="459">
        <v>2</v>
      </c>
      <c r="S174" s="459">
        <v>2</v>
      </c>
      <c r="T174" s="460">
        <v>2</v>
      </c>
      <c r="U174" s="460">
        <v>2</v>
      </c>
      <c r="V174" s="453"/>
      <c r="W174" s="461">
        <v>2</v>
      </c>
      <c r="X174" s="453">
        <v>0</v>
      </c>
      <c r="Y174" s="462">
        <v>2</v>
      </c>
      <c r="Z174" s="464">
        <v>2</v>
      </c>
      <c r="AA174" s="453">
        <v>0</v>
      </c>
      <c r="AB174" s="465">
        <v>2</v>
      </c>
      <c r="AC174" s="465">
        <v>2</v>
      </c>
      <c r="AD174" s="453"/>
      <c r="AE174" s="468">
        <v>2</v>
      </c>
      <c r="AF174" s="453">
        <v>0</v>
      </c>
      <c r="AG174" s="468">
        <v>2</v>
      </c>
      <c r="AH174" s="468">
        <v>2</v>
      </c>
      <c r="AI174" s="469">
        <f t="shared" si="227"/>
        <v>44</v>
      </c>
      <c r="AJ174" s="451">
        <v>0</v>
      </c>
      <c r="AK174" s="451">
        <v>0</v>
      </c>
      <c r="AL174" s="451">
        <f t="shared" si="222"/>
        <v>44</v>
      </c>
      <c r="AM174" s="451">
        <f t="shared" si="223"/>
        <v>2640</v>
      </c>
      <c r="AN174" s="712"/>
      <c r="AO174" s="714"/>
      <c r="AP174" s="712"/>
      <c r="AQ174" s="712"/>
      <c r="AR174" s="712"/>
    </row>
    <row r="175" spans="1:44" ht="11.45" customHeight="1">
      <c r="A175" s="331">
        <v>4</v>
      </c>
      <c r="B175" s="329" t="s">
        <v>182</v>
      </c>
      <c r="C175" s="331">
        <v>480</v>
      </c>
      <c r="D175" s="451">
        <v>1</v>
      </c>
      <c r="E175" s="451">
        <v>1</v>
      </c>
      <c r="F175" s="451">
        <v>1</v>
      </c>
      <c r="G175" s="453">
        <v>0</v>
      </c>
      <c r="H175" s="451">
        <v>1</v>
      </c>
      <c r="I175" s="453"/>
      <c r="J175" s="451">
        <v>1</v>
      </c>
      <c r="K175" s="451">
        <v>1</v>
      </c>
      <c r="L175" s="452">
        <v>1</v>
      </c>
      <c r="M175" s="454">
        <v>1</v>
      </c>
      <c r="N175" s="457">
        <v>1</v>
      </c>
      <c r="O175" s="457">
        <v>1</v>
      </c>
      <c r="P175" s="453"/>
      <c r="Q175" s="453">
        <v>0</v>
      </c>
      <c r="R175" s="453">
        <v>0</v>
      </c>
      <c r="S175" s="453">
        <v>0</v>
      </c>
      <c r="T175" s="453">
        <v>0</v>
      </c>
      <c r="U175" s="453">
        <v>0</v>
      </c>
      <c r="V175" s="453"/>
      <c r="W175" s="453"/>
      <c r="X175" s="463">
        <v>1</v>
      </c>
      <c r="Y175" s="463">
        <v>1</v>
      </c>
      <c r="Z175" s="463">
        <v>1</v>
      </c>
      <c r="AA175" s="463">
        <v>1</v>
      </c>
      <c r="AB175" s="463">
        <v>1</v>
      </c>
      <c r="AC175" s="463">
        <v>1</v>
      </c>
      <c r="AD175" s="453"/>
      <c r="AE175" s="463">
        <v>1</v>
      </c>
      <c r="AF175" s="463">
        <v>1</v>
      </c>
      <c r="AG175" s="463">
        <v>1</v>
      </c>
      <c r="AH175" s="463">
        <v>1</v>
      </c>
      <c r="AI175" s="469">
        <f t="shared" si="227"/>
        <v>20</v>
      </c>
      <c r="AJ175" s="451">
        <v>0</v>
      </c>
      <c r="AK175" s="451">
        <v>0</v>
      </c>
      <c r="AL175" s="451">
        <f t="shared" si="222"/>
        <v>20</v>
      </c>
      <c r="AM175" s="451">
        <f t="shared" si="223"/>
        <v>9600</v>
      </c>
      <c r="AN175" s="711">
        <f t="shared" ref="AN175" si="234">AM175+AM176</f>
        <v>12000</v>
      </c>
      <c r="AO175" s="713">
        <v>0</v>
      </c>
      <c r="AP175" s="711">
        <f t="shared" ref="AP175" si="235">AN175-AO175</f>
        <v>12000</v>
      </c>
      <c r="AQ175" s="711"/>
      <c r="AR175" s="711"/>
    </row>
    <row r="176" spans="1:44" ht="11.45" customHeight="1">
      <c r="A176" s="331"/>
      <c r="B176" s="329"/>
      <c r="C176" s="331">
        <f t="shared" ref="C176" si="236">C175/8</f>
        <v>60</v>
      </c>
      <c r="D176" s="451">
        <v>2</v>
      </c>
      <c r="E176" s="451">
        <v>2</v>
      </c>
      <c r="F176" s="451">
        <v>2</v>
      </c>
      <c r="G176" s="453">
        <v>0</v>
      </c>
      <c r="H176" s="451">
        <v>2</v>
      </c>
      <c r="I176" s="453"/>
      <c r="J176" s="451">
        <v>2</v>
      </c>
      <c r="K176" s="451">
        <v>2</v>
      </c>
      <c r="L176" s="452">
        <v>2</v>
      </c>
      <c r="M176" s="454">
        <v>2</v>
      </c>
      <c r="N176" s="457">
        <v>2</v>
      </c>
      <c r="O176" s="457">
        <v>2</v>
      </c>
      <c r="P176" s="453"/>
      <c r="Q176" s="453">
        <v>0</v>
      </c>
      <c r="R176" s="453">
        <v>0</v>
      </c>
      <c r="S176" s="453">
        <v>0</v>
      </c>
      <c r="T176" s="453">
        <v>0</v>
      </c>
      <c r="U176" s="453">
        <v>0</v>
      </c>
      <c r="V176" s="453"/>
      <c r="W176" s="453"/>
      <c r="X176" s="463">
        <v>2</v>
      </c>
      <c r="Y176" s="463">
        <v>2</v>
      </c>
      <c r="Z176" s="463">
        <v>2</v>
      </c>
      <c r="AA176" s="463">
        <v>2</v>
      </c>
      <c r="AB176" s="463">
        <v>2</v>
      </c>
      <c r="AC176" s="463">
        <v>2</v>
      </c>
      <c r="AD176" s="453"/>
      <c r="AE176" s="463">
        <v>2</v>
      </c>
      <c r="AF176" s="463">
        <v>2</v>
      </c>
      <c r="AG176" s="463">
        <v>2</v>
      </c>
      <c r="AH176" s="463">
        <v>2</v>
      </c>
      <c r="AI176" s="469">
        <f t="shared" si="227"/>
        <v>40</v>
      </c>
      <c r="AJ176" s="451">
        <v>0</v>
      </c>
      <c r="AK176" s="451">
        <v>0</v>
      </c>
      <c r="AL176" s="451">
        <f t="shared" si="222"/>
        <v>40</v>
      </c>
      <c r="AM176" s="451">
        <f t="shared" si="223"/>
        <v>2400</v>
      </c>
      <c r="AN176" s="712"/>
      <c r="AO176" s="714"/>
      <c r="AP176" s="712"/>
      <c r="AQ176" s="712"/>
      <c r="AR176" s="712"/>
    </row>
    <row r="177" spans="1:44" ht="11.45" customHeight="1">
      <c r="A177" s="331">
        <v>5</v>
      </c>
      <c r="B177" s="329" t="s">
        <v>202</v>
      </c>
      <c r="C177" s="331">
        <v>480</v>
      </c>
      <c r="D177" s="451">
        <v>1</v>
      </c>
      <c r="E177" s="451">
        <v>1</v>
      </c>
      <c r="F177" s="453">
        <v>0</v>
      </c>
      <c r="G177" s="451">
        <v>1</v>
      </c>
      <c r="H177" s="451">
        <v>1</v>
      </c>
      <c r="I177" s="453"/>
      <c r="J177" s="451">
        <v>1</v>
      </c>
      <c r="K177" s="451">
        <v>1</v>
      </c>
      <c r="L177" s="452">
        <v>1</v>
      </c>
      <c r="M177" s="454">
        <v>1</v>
      </c>
      <c r="N177" s="457">
        <v>1</v>
      </c>
      <c r="O177" s="453">
        <v>0</v>
      </c>
      <c r="P177" s="453"/>
      <c r="Q177" s="399">
        <v>1</v>
      </c>
      <c r="R177" s="399">
        <v>1</v>
      </c>
      <c r="S177" s="399">
        <v>1</v>
      </c>
      <c r="T177" s="399">
        <v>1</v>
      </c>
      <c r="U177" s="337">
        <v>0</v>
      </c>
      <c r="V177" s="453"/>
      <c r="W177" s="453"/>
      <c r="X177" s="399">
        <v>1</v>
      </c>
      <c r="Y177" s="337">
        <v>0</v>
      </c>
      <c r="Z177" s="399">
        <v>1</v>
      </c>
      <c r="AA177" s="453">
        <v>0</v>
      </c>
      <c r="AB177" s="399">
        <v>1</v>
      </c>
      <c r="AC177" s="399">
        <v>1</v>
      </c>
      <c r="AD177" s="453"/>
      <c r="AE177" s="453">
        <v>0</v>
      </c>
      <c r="AF177" s="453">
        <v>0</v>
      </c>
      <c r="AG177" s="399">
        <v>1</v>
      </c>
      <c r="AH177" s="453">
        <v>0</v>
      </c>
      <c r="AI177" s="469">
        <f t="shared" si="227"/>
        <v>18</v>
      </c>
      <c r="AJ177" s="451">
        <v>0</v>
      </c>
      <c r="AK177" s="451">
        <v>0</v>
      </c>
      <c r="AL177" s="451">
        <f t="shared" si="222"/>
        <v>18</v>
      </c>
      <c r="AM177" s="451">
        <f t="shared" si="223"/>
        <v>8640</v>
      </c>
      <c r="AN177" s="711">
        <f t="shared" ref="AN177" si="237">AM177+AM178</f>
        <v>10680</v>
      </c>
      <c r="AO177" s="713">
        <v>0</v>
      </c>
      <c r="AP177" s="711">
        <f t="shared" ref="AP177" si="238">AN177-AO177</f>
        <v>10680</v>
      </c>
      <c r="AQ177" s="711"/>
      <c r="AR177" s="711"/>
    </row>
    <row r="178" spans="1:44" ht="11.45" customHeight="1">
      <c r="A178" s="331"/>
      <c r="B178" s="329"/>
      <c r="C178" s="331">
        <f t="shared" ref="C178" si="239">C177/8</f>
        <v>60</v>
      </c>
      <c r="D178" s="451">
        <v>2</v>
      </c>
      <c r="E178" s="451">
        <v>2</v>
      </c>
      <c r="F178" s="453">
        <v>0</v>
      </c>
      <c r="G178" s="451">
        <v>2</v>
      </c>
      <c r="H178" s="451">
        <v>2</v>
      </c>
      <c r="I178" s="453"/>
      <c r="J178" s="451">
        <v>2</v>
      </c>
      <c r="K178" s="451">
        <v>2</v>
      </c>
      <c r="L178" s="452">
        <v>2</v>
      </c>
      <c r="M178" s="454">
        <v>2</v>
      </c>
      <c r="N178" s="457">
        <v>2</v>
      </c>
      <c r="O178" s="453">
        <v>0</v>
      </c>
      <c r="P178" s="453"/>
      <c r="Q178" s="399">
        <v>2</v>
      </c>
      <c r="R178" s="399">
        <v>2</v>
      </c>
      <c r="S178" s="399">
        <v>2</v>
      </c>
      <c r="T178" s="345">
        <v>0</v>
      </c>
      <c r="U178" s="337">
        <v>0</v>
      </c>
      <c r="V178" s="453"/>
      <c r="W178" s="453"/>
      <c r="X178" s="399">
        <v>2</v>
      </c>
      <c r="Y178" s="337">
        <v>0</v>
      </c>
      <c r="Z178" s="399">
        <v>2</v>
      </c>
      <c r="AA178" s="453">
        <v>0</v>
      </c>
      <c r="AB178" s="399">
        <v>2</v>
      </c>
      <c r="AC178" s="399">
        <v>2</v>
      </c>
      <c r="AD178" s="453"/>
      <c r="AE178" s="453">
        <v>0</v>
      </c>
      <c r="AF178" s="453">
        <v>0</v>
      </c>
      <c r="AG178" s="399">
        <v>2</v>
      </c>
      <c r="AH178" s="453">
        <v>0</v>
      </c>
      <c r="AI178" s="469">
        <f t="shared" si="227"/>
        <v>34</v>
      </c>
      <c r="AJ178" s="451">
        <v>0</v>
      </c>
      <c r="AK178" s="451">
        <v>0</v>
      </c>
      <c r="AL178" s="451">
        <f t="shared" si="222"/>
        <v>34</v>
      </c>
      <c r="AM178" s="451">
        <f t="shared" si="223"/>
        <v>2040</v>
      </c>
      <c r="AN178" s="712"/>
      <c r="AO178" s="714"/>
      <c r="AP178" s="712"/>
      <c r="AQ178" s="712"/>
      <c r="AR178" s="712"/>
    </row>
    <row r="179" spans="1:44" ht="11.45" customHeight="1">
      <c r="A179" s="331">
        <v>6</v>
      </c>
      <c r="B179" s="329" t="s">
        <v>199</v>
      </c>
      <c r="C179" s="331">
        <v>480</v>
      </c>
      <c r="D179" s="451">
        <v>1</v>
      </c>
      <c r="E179" s="451">
        <v>1</v>
      </c>
      <c r="F179" s="453">
        <v>0</v>
      </c>
      <c r="G179" s="451">
        <v>1</v>
      </c>
      <c r="H179" s="453">
        <v>0</v>
      </c>
      <c r="I179" s="453"/>
      <c r="J179" s="451">
        <v>1</v>
      </c>
      <c r="K179" s="451">
        <v>1</v>
      </c>
      <c r="L179" s="453">
        <v>0</v>
      </c>
      <c r="M179" s="453">
        <v>0</v>
      </c>
      <c r="N179" s="457">
        <v>1</v>
      </c>
      <c r="O179" s="457">
        <v>1</v>
      </c>
      <c r="P179" s="453"/>
      <c r="Q179" s="458">
        <v>1</v>
      </c>
      <c r="R179" s="453">
        <v>0</v>
      </c>
      <c r="S179" s="453">
        <v>0</v>
      </c>
      <c r="T179" s="453">
        <v>0</v>
      </c>
      <c r="U179" s="453">
        <v>0</v>
      </c>
      <c r="V179" s="453"/>
      <c r="W179" s="453"/>
      <c r="X179" s="453">
        <v>0</v>
      </c>
      <c r="Y179" s="453">
        <v>0</v>
      </c>
      <c r="Z179" s="407">
        <v>1</v>
      </c>
      <c r="AA179" s="407">
        <v>1</v>
      </c>
      <c r="AB179" s="407">
        <v>1</v>
      </c>
      <c r="AC179" s="407">
        <v>1</v>
      </c>
      <c r="AD179" s="453"/>
      <c r="AE179" s="407">
        <v>1</v>
      </c>
      <c r="AF179" s="407">
        <v>1</v>
      </c>
      <c r="AG179" s="453">
        <v>0</v>
      </c>
      <c r="AH179" s="407">
        <v>1</v>
      </c>
      <c r="AI179" s="469">
        <f t="shared" si="227"/>
        <v>15</v>
      </c>
      <c r="AJ179" s="451">
        <v>0</v>
      </c>
      <c r="AK179" s="451">
        <v>0</v>
      </c>
      <c r="AL179" s="451">
        <f t="shared" si="222"/>
        <v>15</v>
      </c>
      <c r="AM179" s="451">
        <f t="shared" si="223"/>
        <v>7200</v>
      </c>
      <c r="AN179" s="711">
        <f t="shared" ref="AN179" si="240">AM179+AM180</f>
        <v>9000</v>
      </c>
      <c r="AO179" s="713">
        <v>0</v>
      </c>
      <c r="AP179" s="711">
        <f t="shared" ref="AP179" si="241">AN179-AO179</f>
        <v>9000</v>
      </c>
      <c r="AQ179" s="711"/>
      <c r="AR179" s="711"/>
    </row>
    <row r="180" spans="1:44" ht="11.45" customHeight="1">
      <c r="A180" s="331"/>
      <c r="B180" s="329"/>
      <c r="C180" s="331">
        <f t="shared" ref="C180" si="242">C179/8</f>
        <v>60</v>
      </c>
      <c r="D180" s="451">
        <v>2</v>
      </c>
      <c r="E180" s="451">
        <v>2</v>
      </c>
      <c r="F180" s="453">
        <v>0</v>
      </c>
      <c r="G180" s="451">
        <v>2</v>
      </c>
      <c r="H180" s="453">
        <v>0</v>
      </c>
      <c r="I180" s="453"/>
      <c r="J180" s="451">
        <v>2</v>
      </c>
      <c r="K180" s="451">
        <v>2</v>
      </c>
      <c r="L180" s="453">
        <v>0</v>
      </c>
      <c r="M180" s="453">
        <v>0</v>
      </c>
      <c r="N180" s="457">
        <v>2</v>
      </c>
      <c r="O180" s="457">
        <v>2</v>
      </c>
      <c r="P180" s="453"/>
      <c r="Q180" s="458">
        <v>2</v>
      </c>
      <c r="R180" s="453">
        <v>0</v>
      </c>
      <c r="S180" s="453">
        <v>0</v>
      </c>
      <c r="T180" s="453">
        <v>0</v>
      </c>
      <c r="U180" s="453">
        <v>0</v>
      </c>
      <c r="V180" s="453"/>
      <c r="W180" s="453"/>
      <c r="X180" s="453">
        <v>0</v>
      </c>
      <c r="Y180" s="453">
        <v>0</v>
      </c>
      <c r="Z180" s="407">
        <v>2</v>
      </c>
      <c r="AA180" s="407">
        <v>2</v>
      </c>
      <c r="AB180" s="407">
        <v>2</v>
      </c>
      <c r="AC180" s="407">
        <v>2</v>
      </c>
      <c r="AD180" s="453"/>
      <c r="AE180" s="407">
        <v>2</v>
      </c>
      <c r="AF180" s="407">
        <v>2</v>
      </c>
      <c r="AG180" s="453">
        <v>0</v>
      </c>
      <c r="AH180" s="407">
        <v>2</v>
      </c>
      <c r="AI180" s="469">
        <f t="shared" si="227"/>
        <v>30</v>
      </c>
      <c r="AJ180" s="451">
        <v>0</v>
      </c>
      <c r="AK180" s="451">
        <v>0</v>
      </c>
      <c r="AL180" s="451">
        <f t="shared" si="222"/>
        <v>30</v>
      </c>
      <c r="AM180" s="451">
        <f t="shared" si="223"/>
        <v>1800</v>
      </c>
      <c r="AN180" s="712"/>
      <c r="AO180" s="714"/>
      <c r="AP180" s="712"/>
      <c r="AQ180" s="712"/>
      <c r="AR180" s="712"/>
    </row>
    <row r="181" spans="1:44" ht="11.45" customHeight="1">
      <c r="A181" s="331">
        <v>7</v>
      </c>
      <c r="B181" s="329" t="s">
        <v>194</v>
      </c>
      <c r="C181" s="331">
        <v>480</v>
      </c>
      <c r="D181" s="451">
        <v>1</v>
      </c>
      <c r="E181" s="451">
        <v>1</v>
      </c>
      <c r="F181" s="451">
        <v>1</v>
      </c>
      <c r="G181" s="453">
        <v>0</v>
      </c>
      <c r="H181" s="451">
        <v>1</v>
      </c>
      <c r="I181" s="453"/>
      <c r="J181" s="451">
        <v>1</v>
      </c>
      <c r="K181" s="451">
        <v>1</v>
      </c>
      <c r="L181" s="455">
        <v>0.5</v>
      </c>
      <c r="M181" s="453">
        <v>0</v>
      </c>
      <c r="N181" s="457">
        <v>1</v>
      </c>
      <c r="O181" s="457">
        <v>1</v>
      </c>
      <c r="P181" s="453"/>
      <c r="Q181" s="458">
        <v>1</v>
      </c>
      <c r="R181" s="453">
        <v>0</v>
      </c>
      <c r="S181" s="459">
        <v>1</v>
      </c>
      <c r="T181" s="460">
        <v>1</v>
      </c>
      <c r="U181" s="453">
        <v>0</v>
      </c>
      <c r="V181" s="453"/>
      <c r="W181" s="453"/>
      <c r="X181" s="462">
        <v>1</v>
      </c>
      <c r="Y181" s="462">
        <v>1</v>
      </c>
      <c r="Z181" s="407">
        <v>1</v>
      </c>
      <c r="AA181" s="407">
        <v>1</v>
      </c>
      <c r="AB181" s="407">
        <v>1</v>
      </c>
      <c r="AC181" s="407">
        <v>1</v>
      </c>
      <c r="AD181" s="453"/>
      <c r="AE181" s="407">
        <v>1</v>
      </c>
      <c r="AF181" s="407">
        <v>1</v>
      </c>
      <c r="AG181" s="453">
        <v>0</v>
      </c>
      <c r="AH181" s="407">
        <v>1</v>
      </c>
      <c r="AI181" s="469">
        <f t="shared" si="227"/>
        <v>20.5</v>
      </c>
      <c r="AJ181" s="451">
        <v>0</v>
      </c>
      <c r="AK181" s="451">
        <v>0</v>
      </c>
      <c r="AL181" s="451">
        <f t="shared" si="222"/>
        <v>20.5</v>
      </c>
      <c r="AM181" s="451">
        <f t="shared" si="223"/>
        <v>9840</v>
      </c>
      <c r="AN181" s="711">
        <f t="shared" ref="AN181:AN183" si="243">AM181+AM182</f>
        <v>12240</v>
      </c>
      <c r="AO181" s="713">
        <v>0</v>
      </c>
      <c r="AP181" s="711">
        <f t="shared" ref="AP181:AP183" si="244">AN181-AO181</f>
        <v>12240</v>
      </c>
      <c r="AQ181" s="711"/>
      <c r="AR181" s="711"/>
    </row>
    <row r="182" spans="1:44" ht="11.45" customHeight="1">
      <c r="A182" s="331"/>
      <c r="B182" s="329"/>
      <c r="C182" s="331">
        <f t="shared" ref="C182" si="245">C181/8</f>
        <v>60</v>
      </c>
      <c r="D182" s="451">
        <v>2</v>
      </c>
      <c r="E182" s="451">
        <v>2</v>
      </c>
      <c r="F182" s="451">
        <v>2</v>
      </c>
      <c r="G182" s="453">
        <v>0</v>
      </c>
      <c r="H182" s="451">
        <v>2</v>
      </c>
      <c r="I182" s="453"/>
      <c r="J182" s="451">
        <v>2</v>
      </c>
      <c r="K182" s="451">
        <v>2</v>
      </c>
      <c r="L182" s="453">
        <v>0</v>
      </c>
      <c r="M182" s="453">
        <v>0</v>
      </c>
      <c r="N182" s="457">
        <v>2</v>
      </c>
      <c r="O182" s="457">
        <v>2</v>
      </c>
      <c r="P182" s="453"/>
      <c r="Q182" s="458">
        <v>2</v>
      </c>
      <c r="R182" s="453">
        <v>0</v>
      </c>
      <c r="S182" s="459">
        <v>2</v>
      </c>
      <c r="T182" s="460">
        <v>2</v>
      </c>
      <c r="U182" s="453">
        <v>0</v>
      </c>
      <c r="V182" s="453"/>
      <c r="W182" s="453"/>
      <c r="X182" s="462">
        <v>2</v>
      </c>
      <c r="Y182" s="462">
        <v>2</v>
      </c>
      <c r="Z182" s="407">
        <v>2</v>
      </c>
      <c r="AA182" s="407">
        <v>2</v>
      </c>
      <c r="AB182" s="407">
        <v>2</v>
      </c>
      <c r="AC182" s="407">
        <v>2</v>
      </c>
      <c r="AD182" s="453"/>
      <c r="AE182" s="407">
        <v>2</v>
      </c>
      <c r="AF182" s="407">
        <v>2</v>
      </c>
      <c r="AG182" s="453">
        <v>0</v>
      </c>
      <c r="AH182" s="407">
        <v>2</v>
      </c>
      <c r="AI182" s="469">
        <f t="shared" si="227"/>
        <v>40</v>
      </c>
      <c r="AJ182" s="451">
        <v>0</v>
      </c>
      <c r="AK182" s="451">
        <v>0</v>
      </c>
      <c r="AL182" s="451">
        <f t="shared" si="222"/>
        <v>40</v>
      </c>
      <c r="AM182" s="451">
        <f t="shared" si="223"/>
        <v>2400</v>
      </c>
      <c r="AN182" s="712"/>
      <c r="AO182" s="714"/>
      <c r="AP182" s="712"/>
      <c r="AQ182" s="712"/>
      <c r="AR182" s="712"/>
    </row>
    <row r="183" spans="1:44" ht="11.45" customHeight="1">
      <c r="A183" s="331">
        <v>8</v>
      </c>
      <c r="B183" s="329" t="s">
        <v>200</v>
      </c>
      <c r="C183" s="331">
        <v>480</v>
      </c>
      <c r="D183" s="451">
        <v>1</v>
      </c>
      <c r="E183" s="451">
        <v>1</v>
      </c>
      <c r="F183" s="451">
        <v>1</v>
      </c>
      <c r="G183" s="451">
        <v>1</v>
      </c>
      <c r="H183" s="453">
        <v>0</v>
      </c>
      <c r="I183" s="453"/>
      <c r="J183" s="451">
        <v>1</v>
      </c>
      <c r="K183" s="451">
        <v>1</v>
      </c>
      <c r="L183" s="452">
        <v>1</v>
      </c>
      <c r="M183" s="454">
        <v>1</v>
      </c>
      <c r="N183" s="457">
        <v>1</v>
      </c>
      <c r="O183" s="457">
        <v>1</v>
      </c>
      <c r="P183" s="453"/>
      <c r="Q183" s="458">
        <v>1</v>
      </c>
      <c r="R183" s="459">
        <v>1</v>
      </c>
      <c r="S183" s="459">
        <v>1</v>
      </c>
      <c r="T183" s="460">
        <v>1</v>
      </c>
      <c r="U183" s="453">
        <v>0</v>
      </c>
      <c r="V183" s="453"/>
      <c r="W183" s="453"/>
      <c r="X183" s="462">
        <v>1</v>
      </c>
      <c r="Y183" s="462">
        <v>1</v>
      </c>
      <c r="Z183" s="407">
        <v>1</v>
      </c>
      <c r="AA183" s="407">
        <v>1</v>
      </c>
      <c r="AB183" s="467">
        <v>0.5</v>
      </c>
      <c r="AC183" s="407">
        <v>1</v>
      </c>
      <c r="AD183" s="453"/>
      <c r="AE183" s="407">
        <v>1</v>
      </c>
      <c r="AF183" s="407">
        <v>1</v>
      </c>
      <c r="AG183" s="453">
        <v>0</v>
      </c>
      <c r="AH183" s="407">
        <v>1</v>
      </c>
      <c r="AI183" s="469">
        <f t="shared" si="227"/>
        <v>22.5</v>
      </c>
      <c r="AJ183" s="432">
        <v>0</v>
      </c>
      <c r="AK183" s="451">
        <v>0</v>
      </c>
      <c r="AL183" s="424">
        <f t="shared" si="222"/>
        <v>22.5</v>
      </c>
      <c r="AM183" s="424">
        <f t="shared" si="223"/>
        <v>10800</v>
      </c>
      <c r="AN183" s="711">
        <f t="shared" si="243"/>
        <v>13500</v>
      </c>
      <c r="AO183" s="713">
        <v>0</v>
      </c>
      <c r="AP183" s="711">
        <f t="shared" si="244"/>
        <v>13500</v>
      </c>
      <c r="AQ183" s="711"/>
      <c r="AR183" s="711"/>
    </row>
    <row r="184" spans="1:44" ht="11.45" customHeight="1">
      <c r="A184" s="331"/>
      <c r="B184" s="329"/>
      <c r="C184" s="331">
        <f t="shared" ref="C184:C190" si="246">C183/8</f>
        <v>60</v>
      </c>
      <c r="D184" s="451">
        <v>2</v>
      </c>
      <c r="E184" s="451">
        <v>2</v>
      </c>
      <c r="F184" s="451">
        <v>2</v>
      </c>
      <c r="G184" s="451">
        <v>2</v>
      </c>
      <c r="H184" s="453">
        <v>0</v>
      </c>
      <c r="I184" s="453"/>
      <c r="J184" s="451">
        <v>2</v>
      </c>
      <c r="K184" s="451">
        <v>2</v>
      </c>
      <c r="L184" s="452">
        <v>2</v>
      </c>
      <c r="M184" s="454">
        <v>2</v>
      </c>
      <c r="N184" s="457">
        <v>2</v>
      </c>
      <c r="O184" s="457">
        <v>2</v>
      </c>
      <c r="P184" s="453"/>
      <c r="Q184" s="458">
        <v>2</v>
      </c>
      <c r="R184" s="459">
        <v>2</v>
      </c>
      <c r="S184" s="459">
        <v>2</v>
      </c>
      <c r="T184" s="460">
        <v>2</v>
      </c>
      <c r="U184" s="453">
        <v>0</v>
      </c>
      <c r="V184" s="453"/>
      <c r="W184" s="453"/>
      <c r="X184" s="462">
        <v>2</v>
      </c>
      <c r="Y184" s="462">
        <v>2</v>
      </c>
      <c r="Z184" s="407">
        <v>2</v>
      </c>
      <c r="AA184" s="407">
        <v>2</v>
      </c>
      <c r="AB184" s="337">
        <v>1</v>
      </c>
      <c r="AC184" s="407">
        <v>2</v>
      </c>
      <c r="AD184" s="453"/>
      <c r="AE184" s="407">
        <v>2</v>
      </c>
      <c r="AF184" s="407">
        <v>2</v>
      </c>
      <c r="AG184" s="453">
        <v>0</v>
      </c>
      <c r="AH184" s="407">
        <v>2</v>
      </c>
      <c r="AI184" s="469">
        <f t="shared" si="227"/>
        <v>45</v>
      </c>
      <c r="AJ184" s="451">
        <v>0</v>
      </c>
      <c r="AK184" s="451">
        <v>0</v>
      </c>
      <c r="AL184" s="451">
        <f t="shared" si="222"/>
        <v>45</v>
      </c>
      <c r="AM184" s="451">
        <f t="shared" si="223"/>
        <v>2700</v>
      </c>
      <c r="AN184" s="712"/>
      <c r="AO184" s="714"/>
      <c r="AP184" s="712"/>
      <c r="AQ184" s="712"/>
      <c r="AR184" s="712"/>
    </row>
    <row r="185" spans="1:44" ht="11.45" customHeight="1">
      <c r="A185" s="331">
        <v>9</v>
      </c>
      <c r="B185" s="329" t="s">
        <v>204</v>
      </c>
      <c r="C185" s="331">
        <v>320</v>
      </c>
      <c r="D185" s="451">
        <v>1</v>
      </c>
      <c r="E185" s="451">
        <v>1</v>
      </c>
      <c r="F185" s="451">
        <v>1</v>
      </c>
      <c r="G185" s="451">
        <v>1</v>
      </c>
      <c r="H185" s="451">
        <v>1</v>
      </c>
      <c r="I185" s="453"/>
      <c r="J185" s="451">
        <v>1</v>
      </c>
      <c r="K185" s="453">
        <v>0</v>
      </c>
      <c r="L185" s="452">
        <v>1</v>
      </c>
      <c r="M185" s="454">
        <v>1</v>
      </c>
      <c r="N185" s="457">
        <v>1</v>
      </c>
      <c r="O185" s="453">
        <v>0</v>
      </c>
      <c r="P185" s="453"/>
      <c r="Q185" s="458">
        <v>1</v>
      </c>
      <c r="R185" s="459">
        <v>1</v>
      </c>
      <c r="S185" s="459">
        <v>1</v>
      </c>
      <c r="T185" s="460">
        <v>1</v>
      </c>
      <c r="U185" s="453">
        <v>0</v>
      </c>
      <c r="V185" s="453"/>
      <c r="W185" s="453"/>
      <c r="X185" s="462">
        <v>1</v>
      </c>
      <c r="Y185" s="462">
        <v>1</v>
      </c>
      <c r="Z185" s="453">
        <v>0</v>
      </c>
      <c r="AA185" s="453">
        <v>0</v>
      </c>
      <c r="AB185" s="453">
        <v>0</v>
      </c>
      <c r="AC185" s="453">
        <v>0</v>
      </c>
      <c r="AD185" s="453"/>
      <c r="AE185" s="453">
        <v>0</v>
      </c>
      <c r="AF185" s="453">
        <v>0</v>
      </c>
      <c r="AG185" s="453">
        <v>0</v>
      </c>
      <c r="AH185" s="453">
        <v>0</v>
      </c>
      <c r="AI185" s="469">
        <f t="shared" si="227"/>
        <v>15</v>
      </c>
      <c r="AJ185" s="451">
        <v>0</v>
      </c>
      <c r="AK185" s="451">
        <v>0</v>
      </c>
      <c r="AL185" s="451">
        <f t="shared" si="222"/>
        <v>15</v>
      </c>
      <c r="AM185" s="451">
        <f>AL185*C185</f>
        <v>4800</v>
      </c>
      <c r="AN185" s="711">
        <f t="shared" ref="AN185" si="247">AM185+AM186</f>
        <v>6000</v>
      </c>
      <c r="AO185" s="713">
        <v>0</v>
      </c>
      <c r="AP185" s="711">
        <f t="shared" ref="AP185" si="248">AN185-AO185</f>
        <v>6000</v>
      </c>
      <c r="AQ185" s="711"/>
      <c r="AR185" s="711"/>
    </row>
    <row r="186" spans="1:44" ht="11.45" customHeight="1">
      <c r="A186" s="331"/>
      <c r="B186" s="329"/>
      <c r="C186" s="331">
        <f t="shared" si="246"/>
        <v>40</v>
      </c>
      <c r="D186" s="451">
        <v>2</v>
      </c>
      <c r="E186" s="451">
        <v>2</v>
      </c>
      <c r="F186" s="451">
        <v>2</v>
      </c>
      <c r="G186" s="451">
        <v>2</v>
      </c>
      <c r="H186" s="451">
        <v>2</v>
      </c>
      <c r="I186" s="453"/>
      <c r="J186" s="451">
        <v>2</v>
      </c>
      <c r="K186" s="453">
        <v>0</v>
      </c>
      <c r="L186" s="452">
        <v>2</v>
      </c>
      <c r="M186" s="454">
        <v>2</v>
      </c>
      <c r="N186" s="457">
        <v>2</v>
      </c>
      <c r="O186" s="453">
        <v>0</v>
      </c>
      <c r="P186" s="453"/>
      <c r="Q186" s="458">
        <v>2</v>
      </c>
      <c r="R186" s="459">
        <v>2</v>
      </c>
      <c r="S186" s="459">
        <v>2</v>
      </c>
      <c r="T186" s="460">
        <v>2</v>
      </c>
      <c r="U186" s="453">
        <v>0</v>
      </c>
      <c r="V186" s="453"/>
      <c r="W186" s="453"/>
      <c r="X186" s="462">
        <v>2</v>
      </c>
      <c r="Y186" s="462">
        <v>2</v>
      </c>
      <c r="Z186" s="453">
        <v>0</v>
      </c>
      <c r="AA186" s="453">
        <v>0</v>
      </c>
      <c r="AB186" s="453">
        <v>0</v>
      </c>
      <c r="AC186" s="453">
        <v>0</v>
      </c>
      <c r="AD186" s="453"/>
      <c r="AE186" s="453">
        <v>0</v>
      </c>
      <c r="AF186" s="453">
        <v>0</v>
      </c>
      <c r="AG186" s="453">
        <v>0</v>
      </c>
      <c r="AH186" s="453">
        <v>0</v>
      </c>
      <c r="AI186" s="469">
        <f t="shared" si="227"/>
        <v>30</v>
      </c>
      <c r="AJ186" s="451">
        <v>0</v>
      </c>
      <c r="AK186" s="451">
        <v>0</v>
      </c>
      <c r="AL186" s="451">
        <f t="shared" si="222"/>
        <v>30</v>
      </c>
      <c r="AM186" s="451">
        <f>AL186*C186</f>
        <v>1200</v>
      </c>
      <c r="AN186" s="712"/>
      <c r="AO186" s="714"/>
      <c r="AP186" s="712"/>
      <c r="AQ186" s="712"/>
      <c r="AR186" s="712"/>
    </row>
    <row r="187" spans="1:44" ht="11.45" customHeight="1">
      <c r="A187" s="331">
        <v>10</v>
      </c>
      <c r="B187" s="456" t="s">
        <v>205</v>
      </c>
      <c r="C187" s="331">
        <v>320</v>
      </c>
      <c r="D187" s="451">
        <v>1</v>
      </c>
      <c r="E187" s="453">
        <v>0</v>
      </c>
      <c r="F187" s="451">
        <v>1</v>
      </c>
      <c r="G187" s="453">
        <v>0</v>
      </c>
      <c r="H187" s="451">
        <v>1</v>
      </c>
      <c r="I187" s="453"/>
      <c r="J187" s="451">
        <v>1</v>
      </c>
      <c r="K187" s="453">
        <v>0</v>
      </c>
      <c r="L187" s="453">
        <v>0</v>
      </c>
      <c r="M187" s="430">
        <v>1</v>
      </c>
      <c r="N187" s="430">
        <v>1</v>
      </c>
      <c r="O187" s="430">
        <v>1</v>
      </c>
      <c r="P187" s="453"/>
      <c r="Q187" s="458">
        <v>1</v>
      </c>
      <c r="R187" s="403">
        <v>2</v>
      </c>
      <c r="S187" s="459">
        <v>1</v>
      </c>
      <c r="T187" s="403">
        <v>2</v>
      </c>
      <c r="U187" s="403">
        <v>2</v>
      </c>
      <c r="V187" s="453"/>
      <c r="W187" s="453"/>
      <c r="X187" s="403">
        <v>0</v>
      </c>
      <c r="Y187" s="403">
        <v>0</v>
      </c>
      <c r="Z187" s="403">
        <v>0</v>
      </c>
      <c r="AA187" s="453">
        <v>0</v>
      </c>
      <c r="AB187" s="453">
        <v>0</v>
      </c>
      <c r="AC187" s="453">
        <v>0</v>
      </c>
      <c r="AD187" s="453"/>
      <c r="AE187" s="453">
        <v>0</v>
      </c>
      <c r="AF187" s="453">
        <v>0</v>
      </c>
      <c r="AG187" s="453">
        <v>0</v>
      </c>
      <c r="AH187" s="453">
        <v>0</v>
      </c>
      <c r="AI187" s="469">
        <f t="shared" si="227"/>
        <v>15</v>
      </c>
      <c r="AJ187" s="451">
        <v>0</v>
      </c>
      <c r="AK187" s="451">
        <v>0</v>
      </c>
      <c r="AL187" s="451">
        <f t="shared" si="222"/>
        <v>15</v>
      </c>
      <c r="AM187" s="451">
        <f t="shared" ref="AM187:AM188" si="249">AL187*C187</f>
        <v>4800</v>
      </c>
      <c r="AN187" s="711">
        <f t="shared" ref="AN187" si="250">AM187+AM188</f>
        <v>6000</v>
      </c>
      <c r="AO187" s="713">
        <v>0</v>
      </c>
      <c r="AP187" s="711">
        <f t="shared" ref="AP187" si="251">AN187-AO187</f>
        <v>6000</v>
      </c>
      <c r="AQ187" s="711"/>
      <c r="AR187" s="711"/>
    </row>
    <row r="188" spans="1:44" ht="11.45" customHeight="1">
      <c r="A188" s="331"/>
      <c r="B188" s="329"/>
      <c r="C188" s="331">
        <f t="shared" si="246"/>
        <v>40</v>
      </c>
      <c r="D188" s="451">
        <v>2</v>
      </c>
      <c r="E188" s="453">
        <v>0</v>
      </c>
      <c r="F188" s="451">
        <v>2</v>
      </c>
      <c r="G188" s="453">
        <v>0</v>
      </c>
      <c r="H188" s="451">
        <v>2</v>
      </c>
      <c r="I188" s="453"/>
      <c r="J188" s="451">
        <v>2</v>
      </c>
      <c r="K188" s="453">
        <v>0</v>
      </c>
      <c r="L188" s="453">
        <v>0</v>
      </c>
      <c r="M188" s="430">
        <v>2</v>
      </c>
      <c r="N188" s="430">
        <v>2</v>
      </c>
      <c r="O188" s="430">
        <v>2</v>
      </c>
      <c r="P188" s="453"/>
      <c r="Q188" s="458">
        <v>2</v>
      </c>
      <c r="R188" s="403">
        <v>4</v>
      </c>
      <c r="S188" s="459">
        <v>2</v>
      </c>
      <c r="T188" s="403">
        <v>4</v>
      </c>
      <c r="U188" s="403">
        <v>4</v>
      </c>
      <c r="V188" s="453"/>
      <c r="W188" s="453"/>
      <c r="X188" s="403">
        <v>0</v>
      </c>
      <c r="Y188" s="403">
        <v>0</v>
      </c>
      <c r="Z188" s="403">
        <v>0</v>
      </c>
      <c r="AA188" s="453">
        <v>0</v>
      </c>
      <c r="AB188" s="453">
        <v>0</v>
      </c>
      <c r="AC188" s="453">
        <v>0</v>
      </c>
      <c r="AD188" s="453"/>
      <c r="AE188" s="453">
        <v>0</v>
      </c>
      <c r="AF188" s="453">
        <v>0</v>
      </c>
      <c r="AG188" s="453">
        <v>0</v>
      </c>
      <c r="AH188" s="453">
        <v>0</v>
      </c>
      <c r="AI188" s="469">
        <f t="shared" si="227"/>
        <v>30</v>
      </c>
      <c r="AJ188" s="451">
        <v>0</v>
      </c>
      <c r="AK188" s="451">
        <v>0</v>
      </c>
      <c r="AL188" s="451">
        <f t="shared" si="222"/>
        <v>30</v>
      </c>
      <c r="AM188" s="451">
        <f t="shared" si="249"/>
        <v>1200</v>
      </c>
      <c r="AN188" s="712"/>
      <c r="AO188" s="714"/>
      <c r="AP188" s="712"/>
      <c r="AQ188" s="712"/>
      <c r="AR188" s="712"/>
    </row>
    <row r="189" spans="1:44" ht="11.45" customHeight="1">
      <c r="A189" s="331"/>
      <c r="B189" s="329" t="s">
        <v>206</v>
      </c>
      <c r="C189" s="331">
        <v>480</v>
      </c>
      <c r="D189" s="453">
        <v>0</v>
      </c>
      <c r="E189" s="453">
        <v>0</v>
      </c>
      <c r="F189" s="453">
        <v>0</v>
      </c>
      <c r="G189" s="453">
        <v>0</v>
      </c>
      <c r="H189" s="453">
        <v>0</v>
      </c>
      <c r="I189" s="453"/>
      <c r="J189" s="399">
        <v>2</v>
      </c>
      <c r="K189" s="399">
        <v>2</v>
      </c>
      <c r="L189" s="399">
        <v>2</v>
      </c>
      <c r="M189" s="399">
        <v>2</v>
      </c>
      <c r="N189" s="399">
        <v>2</v>
      </c>
      <c r="O189" s="399">
        <v>2</v>
      </c>
      <c r="P189" s="453"/>
      <c r="Q189" s="399">
        <v>1</v>
      </c>
      <c r="R189" s="399">
        <v>1</v>
      </c>
      <c r="S189" s="399">
        <v>1</v>
      </c>
      <c r="T189" s="399">
        <v>1</v>
      </c>
      <c r="U189" s="399">
        <v>1</v>
      </c>
      <c r="V189" s="453"/>
      <c r="W189" s="399">
        <v>1</v>
      </c>
      <c r="X189" s="399">
        <v>1</v>
      </c>
      <c r="Y189" s="399">
        <v>1</v>
      </c>
      <c r="Z189" s="399">
        <v>1</v>
      </c>
      <c r="AA189" s="453">
        <v>0</v>
      </c>
      <c r="AB189" s="399">
        <v>1</v>
      </c>
      <c r="AC189" s="399">
        <v>1</v>
      </c>
      <c r="AD189" s="453"/>
      <c r="AE189" s="399">
        <v>1</v>
      </c>
      <c r="AF189" s="399">
        <v>1</v>
      </c>
      <c r="AG189" s="399">
        <v>1</v>
      </c>
      <c r="AH189" s="453">
        <v>0</v>
      </c>
      <c r="AI189" s="469">
        <f t="shared" si="227"/>
        <v>26</v>
      </c>
      <c r="AJ189" s="451">
        <v>0</v>
      </c>
      <c r="AK189" s="451">
        <v>0</v>
      </c>
      <c r="AL189" s="451">
        <f t="shared" si="222"/>
        <v>26</v>
      </c>
      <c r="AM189" s="451">
        <f>AL189*C189</f>
        <v>12480</v>
      </c>
      <c r="AN189" s="711">
        <f t="shared" ref="AN189" si="252">AM189+AM190</f>
        <v>15600</v>
      </c>
      <c r="AO189" s="713">
        <v>0</v>
      </c>
      <c r="AP189" s="711">
        <f t="shared" ref="AP189" si="253">AN189-AO189</f>
        <v>15600</v>
      </c>
      <c r="AQ189" s="711"/>
      <c r="AR189" s="711"/>
    </row>
    <row r="190" spans="1:44" ht="11.45" customHeight="1">
      <c r="A190" s="331"/>
      <c r="B190" s="329"/>
      <c r="C190" s="331">
        <f t="shared" si="246"/>
        <v>60</v>
      </c>
      <c r="D190" s="453">
        <v>0</v>
      </c>
      <c r="E190" s="453">
        <v>0</v>
      </c>
      <c r="F190" s="453">
        <v>0</v>
      </c>
      <c r="G190" s="453">
        <v>0</v>
      </c>
      <c r="H190" s="453">
        <v>0</v>
      </c>
      <c r="I190" s="453"/>
      <c r="J190" s="399">
        <v>4</v>
      </c>
      <c r="K190" s="399">
        <v>4</v>
      </c>
      <c r="L190" s="399">
        <v>4</v>
      </c>
      <c r="M190" s="399">
        <v>4</v>
      </c>
      <c r="N190" s="399">
        <v>4</v>
      </c>
      <c r="O190" s="399">
        <v>4</v>
      </c>
      <c r="P190" s="453"/>
      <c r="Q190" s="399">
        <v>2</v>
      </c>
      <c r="R190" s="399">
        <v>2</v>
      </c>
      <c r="S190" s="399">
        <v>2</v>
      </c>
      <c r="T190" s="399">
        <v>2</v>
      </c>
      <c r="U190" s="399">
        <v>2</v>
      </c>
      <c r="V190" s="453"/>
      <c r="W190" s="399">
        <v>2</v>
      </c>
      <c r="X190" s="399">
        <v>2</v>
      </c>
      <c r="Y190" s="399">
        <v>2</v>
      </c>
      <c r="Z190" s="399">
        <v>2</v>
      </c>
      <c r="AA190" s="453">
        <v>0</v>
      </c>
      <c r="AB190" s="399">
        <v>2</v>
      </c>
      <c r="AC190" s="399">
        <v>2</v>
      </c>
      <c r="AD190" s="453"/>
      <c r="AE190" s="399">
        <v>2</v>
      </c>
      <c r="AF190" s="399">
        <v>2</v>
      </c>
      <c r="AG190" s="399">
        <v>2</v>
      </c>
      <c r="AH190" s="453">
        <v>0</v>
      </c>
      <c r="AI190" s="469">
        <f t="shared" si="227"/>
        <v>52</v>
      </c>
      <c r="AJ190" s="451">
        <v>0</v>
      </c>
      <c r="AK190" s="451">
        <v>0</v>
      </c>
      <c r="AL190" s="451">
        <f t="shared" si="222"/>
        <v>52</v>
      </c>
      <c r="AM190" s="451">
        <f>AL190*C190</f>
        <v>3120</v>
      </c>
      <c r="AN190" s="712"/>
      <c r="AO190" s="714"/>
      <c r="AP190" s="712"/>
      <c r="AQ190" s="712"/>
      <c r="AR190" s="712"/>
    </row>
    <row r="191" spans="1:44">
      <c r="A191" s="895" t="s">
        <v>103</v>
      </c>
      <c r="B191" s="896"/>
      <c r="C191" s="366"/>
      <c r="D191" s="366">
        <f>D167+D169+D171+D173+D175+D177+D183+D185+D179+D181+D187+D189</f>
        <v>9</v>
      </c>
      <c r="E191" s="366">
        <f t="shared" ref="E191:AM191" si="254">E167+E169+E171+E173+E175+E177+E183+E185+E179+E181+E187+E189</f>
        <v>8</v>
      </c>
      <c r="F191" s="366">
        <f t="shared" si="254"/>
        <v>6</v>
      </c>
      <c r="G191" s="366">
        <f t="shared" si="254"/>
        <v>6</v>
      </c>
      <c r="H191" s="366">
        <f t="shared" si="254"/>
        <v>7</v>
      </c>
      <c r="I191" s="366">
        <f t="shared" si="254"/>
        <v>0</v>
      </c>
      <c r="J191" s="366">
        <f t="shared" si="254"/>
        <v>11</v>
      </c>
      <c r="K191" s="366">
        <f t="shared" si="254"/>
        <v>9</v>
      </c>
      <c r="L191" s="366">
        <f t="shared" si="254"/>
        <v>8.5</v>
      </c>
      <c r="M191" s="366">
        <f t="shared" si="254"/>
        <v>10</v>
      </c>
      <c r="N191" s="366">
        <f t="shared" si="254"/>
        <v>12</v>
      </c>
      <c r="O191" s="366">
        <f t="shared" si="254"/>
        <v>10</v>
      </c>
      <c r="P191" s="366">
        <f t="shared" si="254"/>
        <v>0</v>
      </c>
      <c r="Q191" s="366">
        <f t="shared" si="254"/>
        <v>10</v>
      </c>
      <c r="R191" s="366">
        <f t="shared" si="254"/>
        <v>9</v>
      </c>
      <c r="S191" s="366">
        <f t="shared" si="254"/>
        <v>9</v>
      </c>
      <c r="T191" s="366">
        <f t="shared" si="254"/>
        <v>10</v>
      </c>
      <c r="U191" s="366">
        <f t="shared" si="254"/>
        <v>5</v>
      </c>
      <c r="V191" s="366">
        <f t="shared" si="254"/>
        <v>0</v>
      </c>
      <c r="W191" s="366">
        <f t="shared" si="254"/>
        <v>3</v>
      </c>
      <c r="X191" s="366">
        <f t="shared" si="254"/>
        <v>9</v>
      </c>
      <c r="Y191" s="366">
        <f t="shared" si="254"/>
        <v>9</v>
      </c>
      <c r="Z191" s="366">
        <f t="shared" si="254"/>
        <v>9</v>
      </c>
      <c r="AA191" s="366">
        <f t="shared" si="254"/>
        <v>7</v>
      </c>
      <c r="AB191" s="466">
        <f t="shared" si="254"/>
        <v>8.5</v>
      </c>
      <c r="AC191" s="366">
        <f t="shared" si="254"/>
        <v>10</v>
      </c>
      <c r="AD191" s="366">
        <f t="shared" si="254"/>
        <v>0</v>
      </c>
      <c r="AE191" s="366">
        <f t="shared" si="254"/>
        <v>9</v>
      </c>
      <c r="AF191" s="366">
        <f t="shared" si="254"/>
        <v>8</v>
      </c>
      <c r="AG191" s="366">
        <f t="shared" si="254"/>
        <v>6</v>
      </c>
      <c r="AH191" s="366">
        <f t="shared" si="254"/>
        <v>7</v>
      </c>
      <c r="AI191" s="366">
        <f t="shared" si="254"/>
        <v>225</v>
      </c>
      <c r="AJ191" s="366">
        <f t="shared" si="254"/>
        <v>0</v>
      </c>
      <c r="AK191" s="366">
        <f t="shared" si="254"/>
        <v>0</v>
      </c>
      <c r="AL191" s="366">
        <f t="shared" si="254"/>
        <v>225</v>
      </c>
      <c r="AM191" s="366">
        <f t="shared" si="254"/>
        <v>102400</v>
      </c>
      <c r="AN191" s="897">
        <f>AN167+AN169+AN171+AN173+AN175+AN177+AN183+AN187+AN185+AN179+AN181+AN189</f>
        <v>127700</v>
      </c>
      <c r="AO191" s="897">
        <f t="shared" ref="AO191:AR191" si="255">AO167+AO169+AO171+AO173+AO175+AO177+AO183+AO187+AO185+AO179+AO181+AO189</f>
        <v>0</v>
      </c>
      <c r="AP191" s="897">
        <f t="shared" si="255"/>
        <v>127700</v>
      </c>
      <c r="AQ191" s="897">
        <f t="shared" si="255"/>
        <v>0</v>
      </c>
      <c r="AR191" s="897">
        <f t="shared" si="255"/>
        <v>0</v>
      </c>
    </row>
    <row r="192" spans="1:44">
      <c r="A192" s="899" t="s">
        <v>106</v>
      </c>
      <c r="B192" s="900"/>
      <c r="C192" s="367"/>
      <c r="D192" s="367">
        <f>D168+D170+D172+D174+D176+D178+D184+D186+D180+D182+D188+D190</f>
        <v>18</v>
      </c>
      <c r="E192" s="367">
        <f t="shared" ref="E192:AM192" si="256">E168+E170+E172+E174+E176+E178+E184+E186+E180+E182+E188+E190</f>
        <v>16</v>
      </c>
      <c r="F192" s="367">
        <f t="shared" si="256"/>
        <v>12</v>
      </c>
      <c r="G192" s="367">
        <f t="shared" si="256"/>
        <v>12</v>
      </c>
      <c r="H192" s="367">
        <f t="shared" si="256"/>
        <v>14</v>
      </c>
      <c r="I192" s="367">
        <f t="shared" si="256"/>
        <v>0</v>
      </c>
      <c r="J192" s="367">
        <f t="shared" si="256"/>
        <v>22</v>
      </c>
      <c r="K192" s="367">
        <f t="shared" si="256"/>
        <v>18</v>
      </c>
      <c r="L192" s="367">
        <f t="shared" si="256"/>
        <v>16</v>
      </c>
      <c r="M192" s="367">
        <f t="shared" si="256"/>
        <v>18</v>
      </c>
      <c r="N192" s="367">
        <f t="shared" si="256"/>
        <v>24</v>
      </c>
      <c r="O192" s="367">
        <f t="shared" si="256"/>
        <v>20</v>
      </c>
      <c r="P192" s="367">
        <f t="shared" si="256"/>
        <v>0</v>
      </c>
      <c r="Q192" s="367">
        <f t="shared" si="256"/>
        <v>20</v>
      </c>
      <c r="R192" s="367">
        <f t="shared" si="256"/>
        <v>18</v>
      </c>
      <c r="S192" s="367">
        <f t="shared" si="256"/>
        <v>18</v>
      </c>
      <c r="T192" s="367">
        <f t="shared" si="256"/>
        <v>18</v>
      </c>
      <c r="U192" s="367">
        <f t="shared" si="256"/>
        <v>10</v>
      </c>
      <c r="V192" s="367">
        <f t="shared" si="256"/>
        <v>0</v>
      </c>
      <c r="W192" s="367">
        <f t="shared" si="256"/>
        <v>6</v>
      </c>
      <c r="X192" s="367">
        <f t="shared" si="256"/>
        <v>18</v>
      </c>
      <c r="Y192" s="367">
        <f t="shared" si="256"/>
        <v>18</v>
      </c>
      <c r="Z192" s="367">
        <f t="shared" si="256"/>
        <v>18</v>
      </c>
      <c r="AA192" s="367">
        <f t="shared" si="256"/>
        <v>14</v>
      </c>
      <c r="AB192" s="367">
        <f t="shared" si="256"/>
        <v>17</v>
      </c>
      <c r="AC192" s="367">
        <f t="shared" si="256"/>
        <v>20</v>
      </c>
      <c r="AD192" s="367">
        <f t="shared" si="256"/>
        <v>0</v>
      </c>
      <c r="AE192" s="367">
        <f t="shared" si="256"/>
        <v>18</v>
      </c>
      <c r="AF192" s="367">
        <f t="shared" si="256"/>
        <v>16</v>
      </c>
      <c r="AG192" s="367">
        <f t="shared" si="256"/>
        <v>12</v>
      </c>
      <c r="AH192" s="367">
        <f t="shared" si="256"/>
        <v>14</v>
      </c>
      <c r="AI192" s="367">
        <f t="shared" si="256"/>
        <v>445</v>
      </c>
      <c r="AJ192" s="367">
        <f t="shared" si="256"/>
        <v>0</v>
      </c>
      <c r="AK192" s="367">
        <f t="shared" si="256"/>
        <v>0</v>
      </c>
      <c r="AL192" s="367">
        <f t="shared" si="256"/>
        <v>445</v>
      </c>
      <c r="AM192" s="367">
        <f t="shared" si="256"/>
        <v>25300</v>
      </c>
      <c r="AN192" s="898"/>
      <c r="AO192" s="898"/>
      <c r="AP192" s="898"/>
      <c r="AQ192" s="898"/>
      <c r="AR192" s="898"/>
    </row>
    <row r="194" spans="1:44" ht="18" customHeight="1">
      <c r="A194" s="880" t="s">
        <v>113</v>
      </c>
      <c r="B194" s="882" t="s">
        <v>1</v>
      </c>
      <c r="C194" s="883"/>
      <c r="D194" s="886" t="s">
        <v>214</v>
      </c>
      <c r="E194" s="887"/>
      <c r="F194" s="887"/>
      <c r="G194" s="887"/>
      <c r="H194" s="887"/>
      <c r="I194" s="887"/>
      <c r="J194" s="887"/>
      <c r="K194" s="887"/>
      <c r="L194" s="887"/>
      <c r="M194" s="887"/>
      <c r="N194" s="887"/>
      <c r="O194" s="887"/>
      <c r="P194" s="887"/>
      <c r="Q194" s="887"/>
      <c r="R194" s="887"/>
      <c r="S194" s="887"/>
      <c r="T194" s="887"/>
      <c r="U194" s="887"/>
      <c r="V194" s="887"/>
      <c r="W194" s="887"/>
      <c r="X194" s="887"/>
      <c r="Y194" s="887"/>
      <c r="Z194" s="887"/>
      <c r="AA194" s="887"/>
      <c r="AB194" s="887"/>
      <c r="AC194" s="887"/>
      <c r="AD194" s="887"/>
      <c r="AE194" s="887"/>
      <c r="AF194" s="888"/>
      <c r="AG194" s="889">
        <v>31</v>
      </c>
      <c r="AH194" s="890"/>
      <c r="AI194" s="878" t="s">
        <v>107</v>
      </c>
      <c r="AJ194" s="878" t="s">
        <v>45</v>
      </c>
      <c r="AK194" s="878" t="s">
        <v>108</v>
      </c>
      <c r="AL194" s="878" t="s">
        <v>112</v>
      </c>
      <c r="AM194" s="891" t="s">
        <v>7</v>
      </c>
      <c r="AN194" s="892"/>
      <c r="AO194" s="878" t="s">
        <v>93</v>
      </c>
      <c r="AP194" s="878" t="s">
        <v>109</v>
      </c>
      <c r="AQ194" s="878" t="s">
        <v>33</v>
      </c>
      <c r="AR194" s="878" t="s">
        <v>111</v>
      </c>
    </row>
    <row r="195" spans="1:44" ht="12" customHeight="1">
      <c r="A195" s="881"/>
      <c r="B195" s="884"/>
      <c r="C195" s="885"/>
      <c r="D195" s="475">
        <v>1</v>
      </c>
      <c r="E195" s="475">
        <v>2</v>
      </c>
      <c r="F195" s="475">
        <v>3</v>
      </c>
      <c r="G195" s="475">
        <v>4</v>
      </c>
      <c r="H195" s="475">
        <v>5</v>
      </c>
      <c r="I195" s="475">
        <v>6</v>
      </c>
      <c r="J195" s="475">
        <v>7</v>
      </c>
      <c r="K195" s="475">
        <v>8</v>
      </c>
      <c r="L195" s="475">
        <v>9</v>
      </c>
      <c r="M195" s="475">
        <v>10</v>
      </c>
      <c r="N195" s="475">
        <v>11</v>
      </c>
      <c r="O195" s="475">
        <v>12</v>
      </c>
      <c r="P195" s="475">
        <v>13</v>
      </c>
      <c r="Q195" s="475">
        <v>14</v>
      </c>
      <c r="R195" s="475">
        <v>15</v>
      </c>
      <c r="S195" s="475">
        <v>16</v>
      </c>
      <c r="T195" s="475">
        <v>17</v>
      </c>
      <c r="U195" s="475">
        <v>18</v>
      </c>
      <c r="V195" s="475">
        <v>19</v>
      </c>
      <c r="W195" s="475">
        <v>20</v>
      </c>
      <c r="X195" s="475">
        <v>21</v>
      </c>
      <c r="Y195" s="475">
        <v>22</v>
      </c>
      <c r="Z195" s="475">
        <v>23</v>
      </c>
      <c r="AA195" s="475">
        <v>24</v>
      </c>
      <c r="AB195" s="475">
        <v>25</v>
      </c>
      <c r="AC195" s="475">
        <v>26</v>
      </c>
      <c r="AD195" s="475">
        <v>27</v>
      </c>
      <c r="AE195" s="475">
        <v>28</v>
      </c>
      <c r="AF195" s="475">
        <v>29</v>
      </c>
      <c r="AG195" s="475">
        <v>30</v>
      </c>
      <c r="AH195" s="475">
        <v>31</v>
      </c>
      <c r="AI195" s="879"/>
      <c r="AJ195" s="879"/>
      <c r="AK195" s="879"/>
      <c r="AL195" s="879"/>
      <c r="AM195" s="893"/>
      <c r="AN195" s="894"/>
      <c r="AO195" s="879"/>
      <c r="AP195" s="879"/>
      <c r="AQ195" s="879"/>
      <c r="AR195" s="879"/>
    </row>
    <row r="196" spans="1:44" ht="12" customHeight="1">
      <c r="A196" s="331"/>
      <c r="B196" s="329"/>
      <c r="C196" s="331"/>
      <c r="D196" s="470"/>
      <c r="E196" s="470"/>
      <c r="F196" s="472"/>
      <c r="G196" s="470"/>
      <c r="H196" s="470"/>
      <c r="I196" s="470"/>
      <c r="J196" s="470"/>
      <c r="K196" s="470"/>
      <c r="L196" s="470"/>
      <c r="M196" s="472"/>
      <c r="N196" s="470"/>
      <c r="O196" s="470"/>
      <c r="P196" s="470"/>
      <c r="Q196" s="470"/>
      <c r="R196" s="470"/>
      <c r="S196" s="470"/>
      <c r="T196" s="470"/>
      <c r="U196" s="470"/>
      <c r="V196" s="470"/>
      <c r="W196" s="470"/>
      <c r="X196" s="470"/>
      <c r="Y196" s="470"/>
      <c r="Z196" s="470"/>
      <c r="AA196" s="470"/>
      <c r="AB196" s="470"/>
      <c r="AC196" s="470"/>
      <c r="AD196" s="470"/>
      <c r="AE196" s="470"/>
      <c r="AF196" s="470"/>
      <c r="AG196" s="470"/>
      <c r="AH196" s="470"/>
      <c r="AI196" s="470">
        <f>SUM(D196:AH196)</f>
        <v>0</v>
      </c>
      <c r="AJ196" s="470">
        <v>0</v>
      </c>
      <c r="AK196" s="470">
        <v>0</v>
      </c>
      <c r="AL196" s="470">
        <f t="shared" ref="AL196:AL219" si="257">AI196+AJ196-AK196</f>
        <v>0</v>
      </c>
      <c r="AM196" s="470">
        <f t="shared" ref="AM196:AM213" si="258">AL196*C196</f>
        <v>0</v>
      </c>
      <c r="AN196" s="711">
        <f t="shared" ref="AN196" si="259">AM196+AM197</f>
        <v>0</v>
      </c>
      <c r="AO196" s="713">
        <v>0</v>
      </c>
      <c r="AP196" s="711">
        <f t="shared" ref="AP196" si="260">AN196-AO196</f>
        <v>0</v>
      </c>
      <c r="AQ196" s="711"/>
      <c r="AR196" s="711"/>
    </row>
    <row r="197" spans="1:44" ht="12" customHeight="1">
      <c r="A197" s="331"/>
      <c r="B197" s="331"/>
      <c r="C197" s="331"/>
      <c r="D197" s="470"/>
      <c r="E197" s="470"/>
      <c r="F197" s="472"/>
      <c r="G197" s="470"/>
      <c r="H197" s="470"/>
      <c r="I197" s="470"/>
      <c r="J197" s="470"/>
      <c r="K197" s="470"/>
      <c r="L197" s="470"/>
      <c r="M197" s="472"/>
      <c r="N197" s="470"/>
      <c r="O197" s="470"/>
      <c r="P197" s="470"/>
      <c r="Q197" s="470"/>
      <c r="R197" s="470"/>
      <c r="S197" s="470"/>
      <c r="T197" s="470"/>
      <c r="U197" s="470"/>
      <c r="V197" s="470"/>
      <c r="W197" s="470"/>
      <c r="X197" s="470"/>
      <c r="Y197" s="470"/>
      <c r="Z197" s="470"/>
      <c r="AA197" s="470"/>
      <c r="AB197" s="470"/>
      <c r="AC197" s="470"/>
      <c r="AD197" s="470"/>
      <c r="AE197" s="470"/>
      <c r="AF197" s="470"/>
      <c r="AG197" s="470"/>
      <c r="AH197" s="470"/>
      <c r="AI197" s="470">
        <f>SUM(D197:AH197)</f>
        <v>0</v>
      </c>
      <c r="AJ197" s="470">
        <v>0</v>
      </c>
      <c r="AK197" s="470">
        <v>0</v>
      </c>
      <c r="AL197" s="470">
        <f t="shared" si="257"/>
        <v>0</v>
      </c>
      <c r="AM197" s="470">
        <f t="shared" si="258"/>
        <v>0</v>
      </c>
      <c r="AN197" s="712"/>
      <c r="AO197" s="714"/>
      <c r="AP197" s="712"/>
      <c r="AQ197" s="712"/>
      <c r="AR197" s="712"/>
    </row>
    <row r="198" spans="1:44" ht="12" customHeight="1">
      <c r="A198" s="331">
        <v>1</v>
      </c>
      <c r="B198" s="329" t="s">
        <v>189</v>
      </c>
      <c r="C198" s="331">
        <v>520</v>
      </c>
      <c r="D198" s="476">
        <v>0</v>
      </c>
      <c r="E198" s="470">
        <v>1</v>
      </c>
      <c r="F198" s="472"/>
      <c r="G198" s="470">
        <v>1</v>
      </c>
      <c r="H198" s="470">
        <v>1</v>
      </c>
      <c r="I198" s="470">
        <v>1</v>
      </c>
      <c r="J198" s="471">
        <v>1</v>
      </c>
      <c r="K198" s="477">
        <v>1</v>
      </c>
      <c r="L198" s="471"/>
      <c r="M198" s="472"/>
      <c r="N198" s="470"/>
      <c r="O198" s="470"/>
      <c r="P198" s="470"/>
      <c r="Q198" s="470"/>
      <c r="R198" s="470"/>
      <c r="S198" s="470"/>
      <c r="T198" s="470"/>
      <c r="U198" s="470"/>
      <c r="V198" s="470"/>
      <c r="W198" s="470"/>
      <c r="X198" s="470"/>
      <c r="Y198" s="470"/>
      <c r="Z198" s="470"/>
      <c r="AA198" s="470"/>
      <c r="AB198" s="470"/>
      <c r="AC198" s="470"/>
      <c r="AD198" s="470"/>
      <c r="AE198" s="470"/>
      <c r="AF198" s="470"/>
      <c r="AG198" s="470"/>
      <c r="AH198" s="470"/>
      <c r="AI198" s="470">
        <f t="shared" ref="AI198:AI219" si="261">SUM(D198:AH198)</f>
        <v>6</v>
      </c>
      <c r="AJ198" s="470">
        <v>0</v>
      </c>
      <c r="AK198" s="470">
        <v>0</v>
      </c>
      <c r="AL198" s="470">
        <f t="shared" si="257"/>
        <v>6</v>
      </c>
      <c r="AM198" s="470">
        <f t="shared" si="258"/>
        <v>3120</v>
      </c>
      <c r="AN198" s="711">
        <f t="shared" ref="AN198" si="262">AM198+AM199</f>
        <v>3900</v>
      </c>
      <c r="AO198" s="713">
        <v>0</v>
      </c>
      <c r="AP198" s="711">
        <f t="shared" ref="AP198" si="263">AN198-AO198</f>
        <v>3900</v>
      </c>
      <c r="AQ198" s="711"/>
      <c r="AR198" s="711"/>
    </row>
    <row r="199" spans="1:44" ht="12" customHeight="1">
      <c r="A199" s="331"/>
      <c r="B199" s="329"/>
      <c r="C199" s="331">
        <f>C198/8</f>
        <v>65</v>
      </c>
      <c r="D199" s="476">
        <v>0</v>
      </c>
      <c r="E199" s="470">
        <v>2</v>
      </c>
      <c r="F199" s="472"/>
      <c r="G199" s="470">
        <v>2</v>
      </c>
      <c r="H199" s="470">
        <v>2</v>
      </c>
      <c r="I199" s="470">
        <v>2</v>
      </c>
      <c r="J199" s="471">
        <v>2</v>
      </c>
      <c r="K199" s="477">
        <v>2</v>
      </c>
      <c r="L199" s="471"/>
      <c r="M199" s="472"/>
      <c r="N199" s="470"/>
      <c r="O199" s="470"/>
      <c r="P199" s="470"/>
      <c r="Q199" s="470"/>
      <c r="R199" s="470"/>
      <c r="S199" s="470"/>
      <c r="T199" s="470"/>
      <c r="U199" s="470"/>
      <c r="V199" s="470"/>
      <c r="W199" s="470"/>
      <c r="X199" s="470"/>
      <c r="Y199" s="470"/>
      <c r="Z199" s="470"/>
      <c r="AA199" s="470"/>
      <c r="AB199" s="470"/>
      <c r="AC199" s="470"/>
      <c r="AD199" s="470"/>
      <c r="AE199" s="470"/>
      <c r="AF199" s="470"/>
      <c r="AG199" s="470"/>
      <c r="AH199" s="470"/>
      <c r="AI199" s="470">
        <f t="shared" si="261"/>
        <v>12</v>
      </c>
      <c r="AJ199" s="470">
        <v>0</v>
      </c>
      <c r="AK199" s="470">
        <v>0</v>
      </c>
      <c r="AL199" s="470">
        <f t="shared" si="257"/>
        <v>12</v>
      </c>
      <c r="AM199" s="470">
        <f t="shared" si="258"/>
        <v>780</v>
      </c>
      <c r="AN199" s="712"/>
      <c r="AO199" s="714"/>
      <c r="AP199" s="712"/>
      <c r="AQ199" s="712"/>
      <c r="AR199" s="712"/>
    </row>
    <row r="200" spans="1:44" ht="12" customHeight="1">
      <c r="A200" s="331">
        <v>2</v>
      </c>
      <c r="B200" s="329" t="s">
        <v>167</v>
      </c>
      <c r="C200" s="331">
        <v>520</v>
      </c>
      <c r="D200" s="470">
        <v>1</v>
      </c>
      <c r="E200" s="476">
        <v>0</v>
      </c>
      <c r="F200" s="472"/>
      <c r="G200" s="470">
        <v>1</v>
      </c>
      <c r="H200" s="470">
        <v>1</v>
      </c>
      <c r="I200" s="470">
        <v>1</v>
      </c>
      <c r="J200" s="471">
        <v>1</v>
      </c>
      <c r="K200" s="477">
        <v>1</v>
      </c>
      <c r="L200" s="471"/>
      <c r="M200" s="472"/>
      <c r="N200" s="470"/>
      <c r="O200" s="470"/>
      <c r="P200" s="470"/>
      <c r="Q200" s="470"/>
      <c r="R200" s="470"/>
      <c r="S200" s="470"/>
      <c r="T200" s="470"/>
      <c r="U200" s="470"/>
      <c r="V200" s="470"/>
      <c r="W200" s="470"/>
      <c r="X200" s="470"/>
      <c r="Y200" s="470"/>
      <c r="Z200" s="470"/>
      <c r="AA200" s="470"/>
      <c r="AB200" s="470"/>
      <c r="AC200" s="470"/>
      <c r="AD200" s="470"/>
      <c r="AE200" s="470"/>
      <c r="AF200" s="470"/>
      <c r="AG200" s="470"/>
      <c r="AH200" s="470"/>
      <c r="AI200" s="470">
        <f t="shared" si="261"/>
        <v>6</v>
      </c>
      <c r="AJ200" s="470">
        <v>0</v>
      </c>
      <c r="AK200" s="470">
        <v>0</v>
      </c>
      <c r="AL200" s="470">
        <f t="shared" si="257"/>
        <v>6</v>
      </c>
      <c r="AM200" s="470">
        <f t="shared" si="258"/>
        <v>3120</v>
      </c>
      <c r="AN200" s="711">
        <f t="shared" ref="AN200" si="264">AM200+AM201</f>
        <v>3900</v>
      </c>
      <c r="AO200" s="713">
        <v>0</v>
      </c>
      <c r="AP200" s="711">
        <f t="shared" ref="AP200" si="265">AN200-AO200</f>
        <v>3900</v>
      </c>
      <c r="AQ200" s="711"/>
      <c r="AR200" s="711"/>
    </row>
    <row r="201" spans="1:44" ht="12" customHeight="1">
      <c r="A201" s="331"/>
      <c r="B201" s="329"/>
      <c r="C201" s="331">
        <f>C200/8</f>
        <v>65</v>
      </c>
      <c r="D201" s="470">
        <v>2</v>
      </c>
      <c r="E201" s="476">
        <v>0</v>
      </c>
      <c r="F201" s="472"/>
      <c r="G201" s="470">
        <v>2</v>
      </c>
      <c r="H201" s="470">
        <v>2</v>
      </c>
      <c r="I201" s="470">
        <v>2</v>
      </c>
      <c r="J201" s="471">
        <v>2</v>
      </c>
      <c r="K201" s="477">
        <v>2</v>
      </c>
      <c r="L201" s="471"/>
      <c r="M201" s="472"/>
      <c r="N201" s="470"/>
      <c r="O201" s="470"/>
      <c r="P201" s="470"/>
      <c r="Q201" s="470"/>
      <c r="R201" s="470"/>
      <c r="S201" s="470"/>
      <c r="T201" s="470"/>
      <c r="U201" s="470"/>
      <c r="V201" s="470"/>
      <c r="W201" s="470"/>
      <c r="X201" s="470"/>
      <c r="Y201" s="470"/>
      <c r="Z201" s="470"/>
      <c r="AA201" s="470"/>
      <c r="AB201" s="470"/>
      <c r="AC201" s="470"/>
      <c r="AD201" s="470"/>
      <c r="AE201" s="470"/>
      <c r="AF201" s="470"/>
      <c r="AG201" s="470"/>
      <c r="AH201" s="470"/>
      <c r="AI201" s="470">
        <f t="shared" si="261"/>
        <v>12</v>
      </c>
      <c r="AJ201" s="470">
        <v>0</v>
      </c>
      <c r="AK201" s="470">
        <v>0</v>
      </c>
      <c r="AL201" s="470">
        <f t="shared" si="257"/>
        <v>12</v>
      </c>
      <c r="AM201" s="470">
        <f t="shared" si="258"/>
        <v>780</v>
      </c>
      <c r="AN201" s="712"/>
      <c r="AO201" s="714"/>
      <c r="AP201" s="712"/>
      <c r="AQ201" s="712"/>
      <c r="AR201" s="712"/>
    </row>
    <row r="202" spans="1:44" ht="12" customHeight="1">
      <c r="A202" s="331">
        <v>3</v>
      </c>
      <c r="B202" s="329" t="s">
        <v>185</v>
      </c>
      <c r="C202" s="331">
        <v>480</v>
      </c>
      <c r="D202" s="470">
        <v>1</v>
      </c>
      <c r="E202" s="470">
        <v>1</v>
      </c>
      <c r="F202" s="472"/>
      <c r="G202" s="470">
        <v>1</v>
      </c>
      <c r="H202" s="470">
        <v>1</v>
      </c>
      <c r="I202" s="470">
        <v>1</v>
      </c>
      <c r="J202" s="471">
        <v>1</v>
      </c>
      <c r="K202" s="476">
        <v>0</v>
      </c>
      <c r="L202" s="471"/>
      <c r="M202" s="472"/>
      <c r="N202" s="470"/>
      <c r="O202" s="470"/>
      <c r="P202" s="470"/>
      <c r="Q202" s="470"/>
      <c r="R202" s="470"/>
      <c r="S202" s="470"/>
      <c r="T202" s="470"/>
      <c r="U202" s="470"/>
      <c r="V202" s="470"/>
      <c r="W202" s="470"/>
      <c r="X202" s="470"/>
      <c r="Y202" s="470"/>
      <c r="Z202" s="470"/>
      <c r="AA202" s="470"/>
      <c r="AB202" s="470"/>
      <c r="AC202" s="470"/>
      <c r="AD202" s="470"/>
      <c r="AE202" s="470"/>
      <c r="AF202" s="470"/>
      <c r="AG202" s="470"/>
      <c r="AH202" s="470"/>
      <c r="AI202" s="470">
        <f t="shared" si="261"/>
        <v>6</v>
      </c>
      <c r="AJ202" s="470">
        <v>0</v>
      </c>
      <c r="AK202" s="470">
        <v>0</v>
      </c>
      <c r="AL202" s="470">
        <f t="shared" si="257"/>
        <v>6</v>
      </c>
      <c r="AM202" s="470">
        <f t="shared" si="258"/>
        <v>2880</v>
      </c>
      <c r="AN202" s="711">
        <f t="shared" ref="AN202" si="266">AM202+AM203</f>
        <v>3600</v>
      </c>
      <c r="AO202" s="713">
        <v>0</v>
      </c>
      <c r="AP202" s="711">
        <f t="shared" ref="AP202" si="267">AN202-AO202</f>
        <v>3600</v>
      </c>
      <c r="AQ202" s="711"/>
      <c r="AR202" s="711"/>
    </row>
    <row r="203" spans="1:44" ht="12" customHeight="1">
      <c r="A203" s="331"/>
      <c r="B203" s="329"/>
      <c r="C203" s="331">
        <f>C202/8</f>
        <v>60</v>
      </c>
      <c r="D203" s="470">
        <v>2</v>
      </c>
      <c r="E203" s="470">
        <v>2</v>
      </c>
      <c r="F203" s="472"/>
      <c r="G203" s="470">
        <v>2</v>
      </c>
      <c r="H203" s="470">
        <v>2</v>
      </c>
      <c r="I203" s="470">
        <v>2</v>
      </c>
      <c r="J203" s="471">
        <v>2</v>
      </c>
      <c r="K203" s="476">
        <v>0</v>
      </c>
      <c r="L203" s="471"/>
      <c r="M203" s="472"/>
      <c r="N203" s="470"/>
      <c r="O203" s="470"/>
      <c r="P203" s="470"/>
      <c r="Q203" s="470"/>
      <c r="R203" s="470"/>
      <c r="S203" s="470"/>
      <c r="T203" s="470"/>
      <c r="U203" s="470"/>
      <c r="V203" s="470"/>
      <c r="W203" s="470"/>
      <c r="X203" s="470"/>
      <c r="Y203" s="470"/>
      <c r="Z203" s="470"/>
      <c r="AA203" s="470"/>
      <c r="AB203" s="470"/>
      <c r="AC203" s="470"/>
      <c r="AD203" s="470"/>
      <c r="AE203" s="470"/>
      <c r="AF203" s="470"/>
      <c r="AG203" s="470"/>
      <c r="AH203" s="470"/>
      <c r="AI203" s="470">
        <f t="shared" si="261"/>
        <v>12</v>
      </c>
      <c r="AJ203" s="470">
        <v>0</v>
      </c>
      <c r="AK203" s="470">
        <v>0</v>
      </c>
      <c r="AL203" s="470">
        <f t="shared" si="257"/>
        <v>12</v>
      </c>
      <c r="AM203" s="470">
        <f t="shared" si="258"/>
        <v>720</v>
      </c>
      <c r="AN203" s="712"/>
      <c r="AO203" s="714"/>
      <c r="AP203" s="712"/>
      <c r="AQ203" s="712"/>
      <c r="AR203" s="712"/>
    </row>
    <row r="204" spans="1:44" ht="12" customHeight="1">
      <c r="A204" s="331">
        <v>4</v>
      </c>
      <c r="B204" s="329" t="s">
        <v>208</v>
      </c>
      <c r="C204" s="331">
        <v>480</v>
      </c>
      <c r="D204" s="470">
        <v>1</v>
      </c>
      <c r="E204" s="470">
        <v>1</v>
      </c>
      <c r="F204" s="472"/>
      <c r="G204" s="470">
        <v>1</v>
      </c>
      <c r="H204" s="470">
        <v>1</v>
      </c>
      <c r="I204" s="476">
        <v>0</v>
      </c>
      <c r="J204" s="471">
        <v>1</v>
      </c>
      <c r="K204" s="477">
        <v>1</v>
      </c>
      <c r="L204" s="471"/>
      <c r="M204" s="472"/>
      <c r="N204" s="470"/>
      <c r="O204" s="470"/>
      <c r="P204" s="470"/>
      <c r="Q204" s="470"/>
      <c r="R204" s="470"/>
      <c r="S204" s="470"/>
      <c r="T204" s="470"/>
      <c r="U204" s="470"/>
      <c r="V204" s="470"/>
      <c r="W204" s="470"/>
      <c r="X204" s="470"/>
      <c r="Y204" s="470"/>
      <c r="Z204" s="470"/>
      <c r="AA204" s="470"/>
      <c r="AB204" s="470"/>
      <c r="AC204" s="470"/>
      <c r="AD204" s="470"/>
      <c r="AE204" s="470"/>
      <c r="AF204" s="470"/>
      <c r="AG204" s="470"/>
      <c r="AH204" s="470"/>
      <c r="AI204" s="470">
        <f t="shared" si="261"/>
        <v>6</v>
      </c>
      <c r="AJ204" s="470">
        <v>0</v>
      </c>
      <c r="AK204" s="470">
        <v>0</v>
      </c>
      <c r="AL204" s="470">
        <f t="shared" si="257"/>
        <v>6</v>
      </c>
      <c r="AM204" s="470">
        <f t="shared" si="258"/>
        <v>2880</v>
      </c>
      <c r="AN204" s="711">
        <f t="shared" ref="AN204" si="268">AM204+AM205</f>
        <v>3600</v>
      </c>
      <c r="AO204" s="713">
        <v>0</v>
      </c>
      <c r="AP204" s="711">
        <f t="shared" ref="AP204" si="269">AN204-AO204</f>
        <v>3600</v>
      </c>
      <c r="AQ204" s="711"/>
      <c r="AR204" s="711"/>
    </row>
    <row r="205" spans="1:44" ht="12" customHeight="1">
      <c r="A205" s="331"/>
      <c r="B205" s="329"/>
      <c r="C205" s="331">
        <f t="shared" ref="C205" si="270">C204/8</f>
        <v>60</v>
      </c>
      <c r="D205" s="470">
        <v>2</v>
      </c>
      <c r="E205" s="470">
        <v>2</v>
      </c>
      <c r="F205" s="472"/>
      <c r="G205" s="470">
        <v>2</v>
      </c>
      <c r="H205" s="470">
        <v>2</v>
      </c>
      <c r="I205" s="476">
        <v>0</v>
      </c>
      <c r="J205" s="471">
        <v>2</v>
      </c>
      <c r="K205" s="477">
        <v>2</v>
      </c>
      <c r="L205" s="471"/>
      <c r="M205" s="472"/>
      <c r="N205" s="470"/>
      <c r="O205" s="470"/>
      <c r="P205" s="470"/>
      <c r="Q205" s="470"/>
      <c r="R205" s="470"/>
      <c r="S205" s="470"/>
      <c r="T205" s="470"/>
      <c r="U205" s="470"/>
      <c r="V205" s="470"/>
      <c r="W205" s="470"/>
      <c r="X205" s="470"/>
      <c r="Y205" s="470"/>
      <c r="Z205" s="470"/>
      <c r="AA205" s="470"/>
      <c r="AB205" s="470"/>
      <c r="AC205" s="470"/>
      <c r="AD205" s="470"/>
      <c r="AE205" s="470"/>
      <c r="AF205" s="470"/>
      <c r="AG205" s="470"/>
      <c r="AH205" s="470"/>
      <c r="AI205" s="470">
        <f t="shared" si="261"/>
        <v>12</v>
      </c>
      <c r="AJ205" s="470">
        <v>0</v>
      </c>
      <c r="AK205" s="470">
        <v>0</v>
      </c>
      <c r="AL205" s="470">
        <f t="shared" si="257"/>
        <v>12</v>
      </c>
      <c r="AM205" s="470">
        <f t="shared" si="258"/>
        <v>720</v>
      </c>
      <c r="AN205" s="712"/>
      <c r="AO205" s="714"/>
      <c r="AP205" s="712"/>
      <c r="AQ205" s="712"/>
      <c r="AR205" s="712"/>
    </row>
    <row r="206" spans="1:44" ht="12" customHeight="1">
      <c r="A206" s="331">
        <v>5</v>
      </c>
      <c r="B206" s="329" t="s">
        <v>209</v>
      </c>
      <c r="C206" s="331">
        <v>480</v>
      </c>
      <c r="D206" s="476">
        <v>0</v>
      </c>
      <c r="E206" s="476">
        <v>0</v>
      </c>
      <c r="F206" s="472"/>
      <c r="G206" s="476">
        <v>0</v>
      </c>
      <c r="H206" s="476">
        <v>0</v>
      </c>
      <c r="I206" s="476">
        <v>0</v>
      </c>
      <c r="J206" s="476">
        <v>0</v>
      </c>
      <c r="K206" s="476">
        <v>0</v>
      </c>
      <c r="L206" s="471"/>
      <c r="M206" s="472"/>
      <c r="N206" s="470"/>
      <c r="O206" s="470"/>
      <c r="P206" s="470"/>
      <c r="Q206" s="470"/>
      <c r="R206" s="470"/>
      <c r="S206" s="470"/>
      <c r="T206" s="470"/>
      <c r="U206" s="470"/>
      <c r="V206" s="470"/>
      <c r="W206" s="470"/>
      <c r="X206" s="470"/>
      <c r="Y206" s="470"/>
      <c r="Z206" s="470"/>
      <c r="AA206" s="470"/>
      <c r="AB206" s="470"/>
      <c r="AC206" s="470"/>
      <c r="AD206" s="470"/>
      <c r="AE206" s="470"/>
      <c r="AF206" s="470"/>
      <c r="AG206" s="470"/>
      <c r="AH206" s="470"/>
      <c r="AI206" s="470">
        <f t="shared" si="261"/>
        <v>0</v>
      </c>
      <c r="AJ206" s="470">
        <v>0</v>
      </c>
      <c r="AK206" s="470">
        <v>0</v>
      </c>
      <c r="AL206" s="470">
        <f t="shared" si="257"/>
        <v>0</v>
      </c>
      <c r="AM206" s="470">
        <f t="shared" si="258"/>
        <v>0</v>
      </c>
      <c r="AN206" s="711">
        <f t="shared" ref="AN206" si="271">AM206+AM207</f>
        <v>0</v>
      </c>
      <c r="AO206" s="713">
        <v>0</v>
      </c>
      <c r="AP206" s="711">
        <f t="shared" ref="AP206" si="272">AN206-AO206</f>
        <v>0</v>
      </c>
      <c r="AQ206" s="711"/>
      <c r="AR206" s="711"/>
    </row>
    <row r="207" spans="1:44" ht="12" customHeight="1">
      <c r="A207" s="331"/>
      <c r="B207" s="329"/>
      <c r="C207" s="331">
        <f t="shared" ref="C207" si="273">C206/8</f>
        <v>60</v>
      </c>
      <c r="D207" s="476">
        <v>0</v>
      </c>
      <c r="E207" s="476">
        <v>0</v>
      </c>
      <c r="F207" s="472"/>
      <c r="G207" s="476">
        <v>0</v>
      </c>
      <c r="H207" s="476">
        <v>0</v>
      </c>
      <c r="I207" s="476">
        <v>0</v>
      </c>
      <c r="J207" s="476">
        <v>0</v>
      </c>
      <c r="K207" s="476">
        <v>0</v>
      </c>
      <c r="L207" s="471"/>
      <c r="M207" s="472"/>
      <c r="N207" s="470"/>
      <c r="O207" s="470"/>
      <c r="P207" s="470"/>
      <c r="Q207" s="470"/>
      <c r="R207" s="470"/>
      <c r="S207" s="470"/>
      <c r="T207" s="470"/>
      <c r="U207" s="470"/>
      <c r="V207" s="470"/>
      <c r="W207" s="470"/>
      <c r="X207" s="470"/>
      <c r="Y207" s="470"/>
      <c r="Z207" s="470"/>
      <c r="AA207" s="470"/>
      <c r="AB207" s="470"/>
      <c r="AC207" s="470"/>
      <c r="AD207" s="470"/>
      <c r="AE207" s="470"/>
      <c r="AF207" s="470"/>
      <c r="AG207" s="470"/>
      <c r="AH207" s="470"/>
      <c r="AI207" s="470">
        <f t="shared" si="261"/>
        <v>0</v>
      </c>
      <c r="AJ207" s="470">
        <v>0</v>
      </c>
      <c r="AK207" s="470">
        <v>0</v>
      </c>
      <c r="AL207" s="470">
        <f t="shared" si="257"/>
        <v>0</v>
      </c>
      <c r="AM207" s="470">
        <f t="shared" si="258"/>
        <v>0</v>
      </c>
      <c r="AN207" s="712"/>
      <c r="AO207" s="714"/>
      <c r="AP207" s="712"/>
      <c r="AQ207" s="712"/>
      <c r="AR207" s="712"/>
    </row>
    <row r="208" spans="1:44" ht="12" customHeight="1">
      <c r="A208" s="331">
        <v>6</v>
      </c>
      <c r="B208" s="329" t="s">
        <v>200</v>
      </c>
      <c r="C208" s="331">
        <v>480</v>
      </c>
      <c r="D208" s="476">
        <v>0</v>
      </c>
      <c r="E208" s="476">
        <v>0</v>
      </c>
      <c r="F208" s="472"/>
      <c r="G208" s="470">
        <v>1</v>
      </c>
      <c r="H208" s="470">
        <v>1</v>
      </c>
      <c r="I208" s="470">
        <v>1</v>
      </c>
      <c r="J208" s="471">
        <v>1</v>
      </c>
      <c r="K208" s="477">
        <v>1</v>
      </c>
      <c r="L208" s="471"/>
      <c r="M208" s="472"/>
      <c r="N208" s="470"/>
      <c r="O208" s="470"/>
      <c r="P208" s="470"/>
      <c r="Q208" s="470"/>
      <c r="R208" s="470"/>
      <c r="S208" s="470"/>
      <c r="T208" s="470"/>
      <c r="U208" s="470"/>
      <c r="V208" s="470"/>
      <c r="W208" s="470"/>
      <c r="X208" s="470"/>
      <c r="Y208" s="470"/>
      <c r="Z208" s="470"/>
      <c r="AA208" s="470"/>
      <c r="AB208" s="470"/>
      <c r="AC208" s="470"/>
      <c r="AD208" s="470"/>
      <c r="AE208" s="470"/>
      <c r="AF208" s="470"/>
      <c r="AG208" s="470"/>
      <c r="AH208" s="470"/>
      <c r="AI208" s="470">
        <f t="shared" si="261"/>
        <v>5</v>
      </c>
      <c r="AJ208" s="470">
        <v>0</v>
      </c>
      <c r="AK208" s="470">
        <v>0</v>
      </c>
      <c r="AL208" s="470">
        <f t="shared" si="257"/>
        <v>5</v>
      </c>
      <c r="AM208" s="470">
        <f t="shared" si="258"/>
        <v>2400</v>
      </c>
      <c r="AN208" s="711">
        <f t="shared" ref="AN208" si="274">AM208+AM209</f>
        <v>3000</v>
      </c>
      <c r="AO208" s="713">
        <v>0</v>
      </c>
      <c r="AP208" s="711">
        <f t="shared" ref="AP208" si="275">AN208-AO208</f>
        <v>3000</v>
      </c>
      <c r="AQ208" s="711"/>
      <c r="AR208" s="711"/>
    </row>
    <row r="209" spans="1:44" ht="12" customHeight="1">
      <c r="A209" s="331"/>
      <c r="B209" s="329"/>
      <c r="C209" s="331">
        <f t="shared" ref="C209" si="276">C208/8</f>
        <v>60</v>
      </c>
      <c r="D209" s="476">
        <v>0</v>
      </c>
      <c r="E209" s="476">
        <v>0</v>
      </c>
      <c r="F209" s="472"/>
      <c r="G209" s="470">
        <v>2</v>
      </c>
      <c r="H209" s="470">
        <v>2</v>
      </c>
      <c r="I209" s="470">
        <v>2</v>
      </c>
      <c r="J209" s="471">
        <v>2</v>
      </c>
      <c r="K209" s="477">
        <v>2</v>
      </c>
      <c r="L209" s="471"/>
      <c r="M209" s="472"/>
      <c r="N209" s="470"/>
      <c r="O209" s="470"/>
      <c r="P209" s="470"/>
      <c r="Q209" s="470"/>
      <c r="R209" s="470"/>
      <c r="S209" s="470"/>
      <c r="T209" s="470"/>
      <c r="U209" s="470"/>
      <c r="V209" s="470"/>
      <c r="W209" s="470"/>
      <c r="X209" s="470"/>
      <c r="Y209" s="470"/>
      <c r="Z209" s="470"/>
      <c r="AA209" s="470"/>
      <c r="AB209" s="470"/>
      <c r="AC209" s="470"/>
      <c r="AD209" s="470"/>
      <c r="AE209" s="470"/>
      <c r="AF209" s="470"/>
      <c r="AG209" s="470"/>
      <c r="AH209" s="470"/>
      <c r="AI209" s="470">
        <f t="shared" si="261"/>
        <v>10</v>
      </c>
      <c r="AJ209" s="470">
        <v>0</v>
      </c>
      <c r="AK209" s="470">
        <v>0</v>
      </c>
      <c r="AL209" s="470">
        <f t="shared" si="257"/>
        <v>10</v>
      </c>
      <c r="AM209" s="470">
        <f t="shared" si="258"/>
        <v>600</v>
      </c>
      <c r="AN209" s="712"/>
      <c r="AO209" s="714"/>
      <c r="AP209" s="712"/>
      <c r="AQ209" s="712"/>
      <c r="AR209" s="712"/>
    </row>
    <row r="210" spans="1:44" ht="12" customHeight="1">
      <c r="A210" s="331">
        <v>7</v>
      </c>
      <c r="B210" s="329" t="s">
        <v>210</v>
      </c>
      <c r="C210" s="331">
        <v>480</v>
      </c>
      <c r="D210" s="470">
        <v>1</v>
      </c>
      <c r="E210" s="470">
        <v>1</v>
      </c>
      <c r="F210" s="472"/>
      <c r="G210" s="470">
        <v>1</v>
      </c>
      <c r="H210" s="470">
        <v>1</v>
      </c>
      <c r="I210" s="470">
        <v>1</v>
      </c>
      <c r="J210" s="471">
        <v>1</v>
      </c>
      <c r="K210" s="477">
        <v>1</v>
      </c>
      <c r="L210" s="471"/>
      <c r="M210" s="472"/>
      <c r="N210" s="470"/>
      <c r="O210" s="470"/>
      <c r="P210" s="470"/>
      <c r="Q210" s="470"/>
      <c r="R210" s="470"/>
      <c r="S210" s="470"/>
      <c r="T210" s="470"/>
      <c r="U210" s="470"/>
      <c r="V210" s="470"/>
      <c r="W210" s="470"/>
      <c r="X210" s="470"/>
      <c r="Y210" s="470"/>
      <c r="Z210" s="470"/>
      <c r="AA210" s="470"/>
      <c r="AB210" s="470"/>
      <c r="AC210" s="470"/>
      <c r="AD210" s="470"/>
      <c r="AE210" s="470"/>
      <c r="AF210" s="470"/>
      <c r="AG210" s="470"/>
      <c r="AH210" s="470"/>
      <c r="AI210" s="470">
        <f t="shared" si="261"/>
        <v>7</v>
      </c>
      <c r="AJ210" s="470">
        <v>0</v>
      </c>
      <c r="AK210" s="470">
        <v>0</v>
      </c>
      <c r="AL210" s="470">
        <f t="shared" si="257"/>
        <v>7</v>
      </c>
      <c r="AM210" s="470">
        <f t="shared" si="258"/>
        <v>3360</v>
      </c>
      <c r="AN210" s="711">
        <f t="shared" ref="AN210" si="277">AM210+AM211</f>
        <v>4200</v>
      </c>
      <c r="AO210" s="713">
        <v>0</v>
      </c>
      <c r="AP210" s="711">
        <f t="shared" ref="AP210" si="278">AN210-AO210</f>
        <v>4200</v>
      </c>
      <c r="AQ210" s="711"/>
      <c r="AR210" s="711"/>
    </row>
    <row r="211" spans="1:44" ht="12" customHeight="1">
      <c r="A211" s="331"/>
      <c r="B211" s="329"/>
      <c r="C211" s="331">
        <f t="shared" ref="C211" si="279">C210/8</f>
        <v>60</v>
      </c>
      <c r="D211" s="470">
        <v>2</v>
      </c>
      <c r="E211" s="470">
        <v>2</v>
      </c>
      <c r="F211" s="472"/>
      <c r="G211" s="470">
        <v>2</v>
      </c>
      <c r="H211" s="470">
        <v>2</v>
      </c>
      <c r="I211" s="470">
        <v>2</v>
      </c>
      <c r="J211" s="471">
        <v>2</v>
      </c>
      <c r="K211" s="477">
        <v>2</v>
      </c>
      <c r="L211" s="471"/>
      <c r="M211" s="472"/>
      <c r="N211" s="470"/>
      <c r="O211" s="470"/>
      <c r="P211" s="470"/>
      <c r="Q211" s="470"/>
      <c r="R211" s="470"/>
      <c r="S211" s="470"/>
      <c r="T211" s="470"/>
      <c r="U211" s="470"/>
      <c r="V211" s="470"/>
      <c r="W211" s="470"/>
      <c r="X211" s="470"/>
      <c r="Y211" s="470"/>
      <c r="Z211" s="470"/>
      <c r="AA211" s="470"/>
      <c r="AB211" s="470"/>
      <c r="AC211" s="470"/>
      <c r="AD211" s="470"/>
      <c r="AE211" s="470"/>
      <c r="AF211" s="470"/>
      <c r="AG211" s="470"/>
      <c r="AH211" s="470"/>
      <c r="AI211" s="470">
        <f t="shared" si="261"/>
        <v>14</v>
      </c>
      <c r="AJ211" s="470">
        <v>0</v>
      </c>
      <c r="AK211" s="470">
        <v>0</v>
      </c>
      <c r="AL211" s="470">
        <f t="shared" si="257"/>
        <v>14</v>
      </c>
      <c r="AM211" s="470">
        <f t="shared" si="258"/>
        <v>840</v>
      </c>
      <c r="AN211" s="712"/>
      <c r="AO211" s="714"/>
      <c r="AP211" s="712"/>
      <c r="AQ211" s="712"/>
      <c r="AR211" s="712"/>
    </row>
    <row r="212" spans="1:44" ht="12" customHeight="1">
      <c r="A212" s="331">
        <v>8</v>
      </c>
      <c r="B212" s="329" t="s">
        <v>211</v>
      </c>
      <c r="C212" s="331">
        <v>480</v>
      </c>
      <c r="D212" s="470">
        <v>1</v>
      </c>
      <c r="E212" s="470">
        <v>1</v>
      </c>
      <c r="F212" s="472"/>
      <c r="G212" s="470">
        <v>1</v>
      </c>
      <c r="H212" s="470">
        <v>1</v>
      </c>
      <c r="I212" s="470">
        <v>1</v>
      </c>
      <c r="J212" s="471">
        <v>1</v>
      </c>
      <c r="K212" s="477">
        <v>1</v>
      </c>
      <c r="L212" s="471"/>
      <c r="M212" s="472"/>
      <c r="N212" s="470"/>
      <c r="O212" s="470"/>
      <c r="P212" s="470"/>
      <c r="Q212" s="470"/>
      <c r="R212" s="470"/>
      <c r="S212" s="470"/>
      <c r="T212" s="470"/>
      <c r="U212" s="470"/>
      <c r="V212" s="470"/>
      <c r="W212" s="470"/>
      <c r="X212" s="470"/>
      <c r="Y212" s="470"/>
      <c r="Z212" s="470"/>
      <c r="AA212" s="470"/>
      <c r="AB212" s="470"/>
      <c r="AC212" s="470"/>
      <c r="AD212" s="470"/>
      <c r="AE212" s="470"/>
      <c r="AF212" s="470"/>
      <c r="AG212" s="470"/>
      <c r="AH212" s="470"/>
      <c r="AI212" s="470">
        <f t="shared" si="261"/>
        <v>7</v>
      </c>
      <c r="AJ212" s="432">
        <v>0</v>
      </c>
      <c r="AK212" s="470">
        <v>0</v>
      </c>
      <c r="AL212" s="424">
        <f t="shared" si="257"/>
        <v>7</v>
      </c>
      <c r="AM212" s="424">
        <f t="shared" si="258"/>
        <v>3360</v>
      </c>
      <c r="AN212" s="711">
        <f t="shared" ref="AN212" si="280">AM212+AM213</f>
        <v>4200</v>
      </c>
      <c r="AO212" s="713">
        <v>0</v>
      </c>
      <c r="AP212" s="711">
        <f t="shared" ref="AP212" si="281">AN212-AO212</f>
        <v>4200</v>
      </c>
      <c r="AQ212" s="711"/>
      <c r="AR212" s="711"/>
    </row>
    <row r="213" spans="1:44" ht="12" customHeight="1">
      <c r="A213" s="331"/>
      <c r="B213" s="329"/>
      <c r="C213" s="331">
        <f t="shared" ref="C213:C219" si="282">C212/8</f>
        <v>60</v>
      </c>
      <c r="D213" s="470">
        <v>2</v>
      </c>
      <c r="E213" s="470">
        <v>2</v>
      </c>
      <c r="F213" s="472"/>
      <c r="G213" s="470">
        <v>2</v>
      </c>
      <c r="H213" s="470">
        <v>2</v>
      </c>
      <c r="I213" s="470">
        <v>2</v>
      </c>
      <c r="J213" s="471">
        <v>2</v>
      </c>
      <c r="K213" s="477">
        <v>2</v>
      </c>
      <c r="L213" s="471"/>
      <c r="M213" s="472"/>
      <c r="N213" s="470"/>
      <c r="O213" s="470"/>
      <c r="P213" s="470"/>
      <c r="Q213" s="470"/>
      <c r="R213" s="470"/>
      <c r="S213" s="470"/>
      <c r="T213" s="470"/>
      <c r="U213" s="470"/>
      <c r="V213" s="470"/>
      <c r="W213" s="470"/>
      <c r="X213" s="470"/>
      <c r="Y213" s="470"/>
      <c r="Z213" s="470"/>
      <c r="AA213" s="470"/>
      <c r="AB213" s="470"/>
      <c r="AC213" s="470"/>
      <c r="AD213" s="470"/>
      <c r="AE213" s="470"/>
      <c r="AF213" s="470"/>
      <c r="AG213" s="470"/>
      <c r="AH213" s="470"/>
      <c r="AI213" s="470">
        <f t="shared" si="261"/>
        <v>14</v>
      </c>
      <c r="AJ213" s="470">
        <v>0</v>
      </c>
      <c r="AK213" s="470">
        <v>0</v>
      </c>
      <c r="AL213" s="470">
        <f t="shared" si="257"/>
        <v>14</v>
      </c>
      <c r="AM213" s="470">
        <f t="shared" si="258"/>
        <v>840</v>
      </c>
      <c r="AN213" s="712"/>
      <c r="AO213" s="714"/>
      <c r="AP213" s="712"/>
      <c r="AQ213" s="712"/>
      <c r="AR213" s="712"/>
    </row>
    <row r="214" spans="1:44" ht="12" customHeight="1">
      <c r="A214" s="331">
        <v>9</v>
      </c>
      <c r="B214" s="329" t="s">
        <v>212</v>
      </c>
      <c r="C214" s="331">
        <v>480</v>
      </c>
      <c r="D214" s="470">
        <v>1</v>
      </c>
      <c r="E214" s="470">
        <v>1</v>
      </c>
      <c r="F214" s="472"/>
      <c r="G214" s="470">
        <v>1</v>
      </c>
      <c r="H214" s="470">
        <v>1</v>
      </c>
      <c r="I214" s="470">
        <v>1</v>
      </c>
      <c r="J214" s="471">
        <v>1</v>
      </c>
      <c r="K214" s="477">
        <v>1</v>
      </c>
      <c r="L214" s="471"/>
      <c r="M214" s="472"/>
      <c r="N214" s="470"/>
      <c r="O214" s="470"/>
      <c r="P214" s="470"/>
      <c r="Q214" s="470"/>
      <c r="R214" s="470"/>
      <c r="S214" s="470"/>
      <c r="T214" s="470"/>
      <c r="U214" s="470"/>
      <c r="V214" s="470"/>
      <c r="W214" s="470"/>
      <c r="X214" s="470"/>
      <c r="Y214" s="470"/>
      <c r="Z214" s="470"/>
      <c r="AA214" s="470"/>
      <c r="AB214" s="470"/>
      <c r="AC214" s="470"/>
      <c r="AD214" s="470"/>
      <c r="AE214" s="470"/>
      <c r="AF214" s="470"/>
      <c r="AG214" s="470"/>
      <c r="AH214" s="470"/>
      <c r="AI214" s="470">
        <f t="shared" si="261"/>
        <v>7</v>
      </c>
      <c r="AJ214" s="470">
        <v>0</v>
      </c>
      <c r="AK214" s="470">
        <v>0</v>
      </c>
      <c r="AL214" s="470">
        <f t="shared" si="257"/>
        <v>7</v>
      </c>
      <c r="AM214" s="470">
        <f>AL214*C214</f>
        <v>3360</v>
      </c>
      <c r="AN214" s="711">
        <f t="shared" ref="AN214" si="283">AM214+AM215</f>
        <v>4200</v>
      </c>
      <c r="AO214" s="713">
        <v>0</v>
      </c>
      <c r="AP214" s="711">
        <f t="shared" ref="AP214" si="284">AN214-AO214</f>
        <v>4200</v>
      </c>
      <c r="AQ214" s="711"/>
      <c r="AR214" s="711"/>
    </row>
    <row r="215" spans="1:44" ht="12" customHeight="1">
      <c r="A215" s="331"/>
      <c r="B215" s="329"/>
      <c r="C215" s="331">
        <f>C214/8</f>
        <v>60</v>
      </c>
      <c r="D215" s="470">
        <v>2</v>
      </c>
      <c r="E215" s="470">
        <v>2</v>
      </c>
      <c r="F215" s="472"/>
      <c r="G215" s="470">
        <v>2</v>
      </c>
      <c r="H215" s="470">
        <v>2</v>
      </c>
      <c r="I215" s="470">
        <v>2</v>
      </c>
      <c r="J215" s="471">
        <v>2</v>
      </c>
      <c r="K215" s="477">
        <v>2</v>
      </c>
      <c r="L215" s="471"/>
      <c r="M215" s="472"/>
      <c r="N215" s="470"/>
      <c r="O215" s="470"/>
      <c r="P215" s="470"/>
      <c r="Q215" s="470"/>
      <c r="R215" s="470"/>
      <c r="S215" s="470"/>
      <c r="T215" s="470"/>
      <c r="U215" s="470"/>
      <c r="V215" s="470"/>
      <c r="W215" s="470"/>
      <c r="X215" s="470"/>
      <c r="Y215" s="470"/>
      <c r="Z215" s="470"/>
      <c r="AA215" s="470"/>
      <c r="AB215" s="470"/>
      <c r="AC215" s="470"/>
      <c r="AD215" s="470"/>
      <c r="AE215" s="470"/>
      <c r="AF215" s="470"/>
      <c r="AG215" s="470"/>
      <c r="AH215" s="470"/>
      <c r="AI215" s="470">
        <f t="shared" si="261"/>
        <v>14</v>
      </c>
      <c r="AJ215" s="470">
        <v>0</v>
      </c>
      <c r="AK215" s="470">
        <v>0</v>
      </c>
      <c r="AL215" s="470">
        <f t="shared" si="257"/>
        <v>14</v>
      </c>
      <c r="AM215" s="470">
        <f>AL215*C215</f>
        <v>840</v>
      </c>
      <c r="AN215" s="712"/>
      <c r="AO215" s="714"/>
      <c r="AP215" s="712"/>
      <c r="AQ215" s="712"/>
      <c r="AR215" s="712"/>
    </row>
    <row r="216" spans="1:44" ht="12" customHeight="1">
      <c r="A216" s="331">
        <v>10</v>
      </c>
      <c r="B216" s="329" t="s">
        <v>213</v>
      </c>
      <c r="C216" s="331">
        <v>480</v>
      </c>
      <c r="D216" s="470">
        <v>1</v>
      </c>
      <c r="E216" s="470">
        <v>1</v>
      </c>
      <c r="F216" s="472"/>
      <c r="G216" s="470">
        <v>1</v>
      </c>
      <c r="H216" s="470">
        <v>1</v>
      </c>
      <c r="I216" s="470">
        <v>1</v>
      </c>
      <c r="J216" s="471">
        <v>1</v>
      </c>
      <c r="K216" s="477">
        <v>1</v>
      </c>
      <c r="L216" s="471"/>
      <c r="M216" s="472"/>
      <c r="N216" s="470"/>
      <c r="O216" s="470"/>
      <c r="P216" s="470"/>
      <c r="Q216" s="470"/>
      <c r="R216" s="470"/>
      <c r="S216" s="470"/>
      <c r="T216" s="470"/>
      <c r="U216" s="470"/>
      <c r="V216" s="470"/>
      <c r="W216" s="470"/>
      <c r="X216" s="470"/>
      <c r="Y216" s="470"/>
      <c r="Z216" s="470"/>
      <c r="AA216" s="470"/>
      <c r="AB216" s="470"/>
      <c r="AC216" s="470"/>
      <c r="AD216" s="470"/>
      <c r="AE216" s="470"/>
      <c r="AF216" s="470"/>
      <c r="AG216" s="470"/>
      <c r="AH216" s="470"/>
      <c r="AI216" s="470">
        <f t="shared" si="261"/>
        <v>7</v>
      </c>
      <c r="AJ216" s="470">
        <v>0</v>
      </c>
      <c r="AK216" s="470">
        <v>0</v>
      </c>
      <c r="AL216" s="470">
        <f t="shared" si="257"/>
        <v>7</v>
      </c>
      <c r="AM216" s="470">
        <f t="shared" ref="AM216:AM217" si="285">AL216*C216</f>
        <v>3360</v>
      </c>
      <c r="AN216" s="711">
        <f t="shared" ref="AN216" si="286">AM216+AM217</f>
        <v>4200</v>
      </c>
      <c r="AO216" s="713">
        <v>0</v>
      </c>
      <c r="AP216" s="711">
        <f t="shared" ref="AP216" si="287">AN216-AO216</f>
        <v>4200</v>
      </c>
      <c r="AQ216" s="711"/>
      <c r="AR216" s="711"/>
    </row>
    <row r="217" spans="1:44" ht="12" customHeight="1">
      <c r="A217" s="331"/>
      <c r="B217" s="329"/>
      <c r="C217" s="331">
        <f>C216/8</f>
        <v>60</v>
      </c>
      <c r="D217" s="470">
        <v>2</v>
      </c>
      <c r="E217" s="470">
        <v>2</v>
      </c>
      <c r="F217" s="472"/>
      <c r="G217" s="470">
        <v>2</v>
      </c>
      <c r="H217" s="470">
        <v>2</v>
      </c>
      <c r="I217" s="470">
        <v>2</v>
      </c>
      <c r="J217" s="471">
        <v>2</v>
      </c>
      <c r="K217" s="477">
        <v>2</v>
      </c>
      <c r="L217" s="471"/>
      <c r="M217" s="472"/>
      <c r="N217" s="470"/>
      <c r="O217" s="470"/>
      <c r="P217" s="470"/>
      <c r="Q217" s="470"/>
      <c r="R217" s="470"/>
      <c r="S217" s="470"/>
      <c r="T217" s="470"/>
      <c r="U217" s="470"/>
      <c r="V217" s="470"/>
      <c r="W217" s="470"/>
      <c r="X217" s="470"/>
      <c r="Y217" s="470"/>
      <c r="Z217" s="470"/>
      <c r="AA217" s="470"/>
      <c r="AB217" s="470"/>
      <c r="AC217" s="470"/>
      <c r="AD217" s="470"/>
      <c r="AE217" s="470"/>
      <c r="AF217" s="470"/>
      <c r="AG217" s="470"/>
      <c r="AH217" s="470"/>
      <c r="AI217" s="470">
        <f t="shared" si="261"/>
        <v>14</v>
      </c>
      <c r="AJ217" s="470">
        <v>0</v>
      </c>
      <c r="AK217" s="470">
        <v>0</v>
      </c>
      <c r="AL217" s="470">
        <f t="shared" si="257"/>
        <v>14</v>
      </c>
      <c r="AM217" s="470">
        <f t="shared" si="285"/>
        <v>840</v>
      </c>
      <c r="AN217" s="712"/>
      <c r="AO217" s="714"/>
      <c r="AP217" s="712"/>
      <c r="AQ217" s="712"/>
      <c r="AR217" s="712"/>
    </row>
    <row r="218" spans="1:44" ht="12" customHeight="1">
      <c r="A218" s="331">
        <v>11</v>
      </c>
      <c r="B218" s="329" t="s">
        <v>207</v>
      </c>
      <c r="C218" s="331">
        <v>320</v>
      </c>
      <c r="D218" s="476">
        <v>0</v>
      </c>
      <c r="E218" s="476">
        <v>0</v>
      </c>
      <c r="F218" s="472"/>
      <c r="G218" s="470">
        <v>1</v>
      </c>
      <c r="H218" s="470">
        <v>1</v>
      </c>
      <c r="I218" s="470">
        <v>1</v>
      </c>
      <c r="J218" s="471">
        <v>1</v>
      </c>
      <c r="K218" s="477">
        <v>1</v>
      </c>
      <c r="L218" s="471"/>
      <c r="M218" s="472"/>
      <c r="N218" s="470"/>
      <c r="O218" s="470"/>
      <c r="P218" s="470"/>
      <c r="Q218" s="470"/>
      <c r="R218" s="470"/>
      <c r="S218" s="470"/>
      <c r="T218" s="470"/>
      <c r="U218" s="470"/>
      <c r="V218" s="470"/>
      <c r="W218" s="470"/>
      <c r="X218" s="470"/>
      <c r="Y218" s="470"/>
      <c r="Z218" s="470"/>
      <c r="AA218" s="470"/>
      <c r="AB218" s="470"/>
      <c r="AC218" s="470"/>
      <c r="AD218" s="470"/>
      <c r="AE218" s="470"/>
      <c r="AF218" s="470"/>
      <c r="AG218" s="470"/>
      <c r="AH218" s="470"/>
      <c r="AI218" s="470">
        <f t="shared" si="261"/>
        <v>5</v>
      </c>
      <c r="AJ218" s="470">
        <v>0</v>
      </c>
      <c r="AK218" s="470">
        <v>0</v>
      </c>
      <c r="AL218" s="470">
        <f t="shared" si="257"/>
        <v>5</v>
      </c>
      <c r="AM218" s="470">
        <f>AL218*C218</f>
        <v>1600</v>
      </c>
      <c r="AN218" s="711">
        <f t="shared" ref="AN218" si="288">AM218+AM219</f>
        <v>2000</v>
      </c>
      <c r="AO218" s="713">
        <v>0</v>
      </c>
      <c r="AP218" s="711">
        <f t="shared" ref="AP218" si="289">AN218-AO218</f>
        <v>2000</v>
      </c>
      <c r="AQ218" s="711"/>
      <c r="AR218" s="711"/>
    </row>
    <row r="219" spans="1:44" ht="12" customHeight="1">
      <c r="A219" s="331"/>
      <c r="B219" s="329"/>
      <c r="C219" s="331">
        <f t="shared" si="282"/>
        <v>40</v>
      </c>
      <c r="D219" s="476">
        <v>0</v>
      </c>
      <c r="E219" s="476">
        <v>0</v>
      </c>
      <c r="F219" s="472"/>
      <c r="G219" s="470">
        <v>2</v>
      </c>
      <c r="H219" s="470">
        <v>2</v>
      </c>
      <c r="I219" s="470">
        <v>2</v>
      </c>
      <c r="J219" s="471">
        <v>2</v>
      </c>
      <c r="K219" s="477">
        <v>2</v>
      </c>
      <c r="L219" s="471"/>
      <c r="M219" s="472"/>
      <c r="N219" s="470"/>
      <c r="O219" s="470"/>
      <c r="P219" s="470"/>
      <c r="Q219" s="470"/>
      <c r="R219" s="470"/>
      <c r="S219" s="470"/>
      <c r="T219" s="470"/>
      <c r="U219" s="470"/>
      <c r="V219" s="470"/>
      <c r="W219" s="470"/>
      <c r="X219" s="470"/>
      <c r="Y219" s="470"/>
      <c r="Z219" s="470"/>
      <c r="AA219" s="470"/>
      <c r="AB219" s="470"/>
      <c r="AC219" s="470"/>
      <c r="AD219" s="470"/>
      <c r="AE219" s="470"/>
      <c r="AF219" s="470"/>
      <c r="AG219" s="470"/>
      <c r="AH219" s="470"/>
      <c r="AI219" s="470">
        <f t="shared" si="261"/>
        <v>10</v>
      </c>
      <c r="AJ219" s="470">
        <v>0</v>
      </c>
      <c r="AK219" s="470">
        <v>0</v>
      </c>
      <c r="AL219" s="470">
        <f t="shared" si="257"/>
        <v>10</v>
      </c>
      <c r="AM219" s="470">
        <f>AL219*C219</f>
        <v>400</v>
      </c>
      <c r="AN219" s="712"/>
      <c r="AO219" s="714"/>
      <c r="AP219" s="712"/>
      <c r="AQ219" s="712"/>
      <c r="AR219" s="712"/>
    </row>
    <row r="220" spans="1:44" ht="15.75" customHeight="1">
      <c r="A220" s="872" t="s">
        <v>103</v>
      </c>
      <c r="B220" s="873"/>
      <c r="C220" s="474"/>
      <c r="D220" s="474">
        <f>D196+D198+D200+D202+D204+D206+D212+D214+D208+D210+D216+D218</f>
        <v>7</v>
      </c>
      <c r="E220" s="474">
        <f t="shared" ref="E220:AM220" si="290">E196+E198+E200+E202+E204+E206+E212+E214+E208+E210+E216+E218</f>
        <v>7</v>
      </c>
      <c r="F220" s="474">
        <f t="shared" si="290"/>
        <v>0</v>
      </c>
      <c r="G220" s="474">
        <f t="shared" si="290"/>
        <v>10</v>
      </c>
      <c r="H220" s="474">
        <f t="shared" si="290"/>
        <v>10</v>
      </c>
      <c r="I220" s="474">
        <f t="shared" si="290"/>
        <v>9</v>
      </c>
      <c r="J220" s="474">
        <f t="shared" si="290"/>
        <v>10</v>
      </c>
      <c r="K220" s="474">
        <f t="shared" si="290"/>
        <v>9</v>
      </c>
      <c r="L220" s="474">
        <f t="shared" si="290"/>
        <v>0</v>
      </c>
      <c r="M220" s="474">
        <f t="shared" si="290"/>
        <v>0</v>
      </c>
      <c r="N220" s="474">
        <f t="shared" si="290"/>
        <v>0</v>
      </c>
      <c r="O220" s="474">
        <f t="shared" si="290"/>
        <v>0</v>
      </c>
      <c r="P220" s="474">
        <f t="shared" si="290"/>
        <v>0</v>
      </c>
      <c r="Q220" s="474">
        <f t="shared" si="290"/>
        <v>0</v>
      </c>
      <c r="R220" s="474">
        <f t="shared" si="290"/>
        <v>0</v>
      </c>
      <c r="S220" s="474">
        <f t="shared" si="290"/>
        <v>0</v>
      </c>
      <c r="T220" s="474">
        <f t="shared" si="290"/>
        <v>0</v>
      </c>
      <c r="U220" s="474">
        <f t="shared" si="290"/>
        <v>0</v>
      </c>
      <c r="V220" s="474">
        <f t="shared" si="290"/>
        <v>0</v>
      </c>
      <c r="W220" s="474">
        <f t="shared" si="290"/>
        <v>0</v>
      </c>
      <c r="X220" s="474">
        <f t="shared" si="290"/>
        <v>0</v>
      </c>
      <c r="Y220" s="474">
        <f t="shared" si="290"/>
        <v>0</v>
      </c>
      <c r="Z220" s="474">
        <f t="shared" si="290"/>
        <v>0</v>
      </c>
      <c r="AA220" s="474">
        <f t="shared" si="290"/>
        <v>0</v>
      </c>
      <c r="AB220" s="474">
        <f t="shared" si="290"/>
        <v>0</v>
      </c>
      <c r="AC220" s="474">
        <f t="shared" si="290"/>
        <v>0</v>
      </c>
      <c r="AD220" s="474">
        <f t="shared" si="290"/>
        <v>0</v>
      </c>
      <c r="AE220" s="474">
        <f t="shared" si="290"/>
        <v>0</v>
      </c>
      <c r="AF220" s="474">
        <f t="shared" si="290"/>
        <v>0</v>
      </c>
      <c r="AG220" s="474">
        <f t="shared" si="290"/>
        <v>0</v>
      </c>
      <c r="AH220" s="474">
        <f t="shared" si="290"/>
        <v>0</v>
      </c>
      <c r="AI220" s="474">
        <f t="shared" si="290"/>
        <v>62</v>
      </c>
      <c r="AJ220" s="474">
        <f t="shared" si="290"/>
        <v>0</v>
      </c>
      <c r="AK220" s="474">
        <f t="shared" si="290"/>
        <v>0</v>
      </c>
      <c r="AL220" s="474">
        <f t="shared" si="290"/>
        <v>62</v>
      </c>
      <c r="AM220" s="474">
        <f t="shared" si="290"/>
        <v>29440</v>
      </c>
      <c r="AN220" s="874">
        <f>AN196+AN198+AN200+AN202+AN204+AN206+AN212+AN216+AN214+AN208+AN210+AN218</f>
        <v>36800</v>
      </c>
      <c r="AO220" s="874">
        <f t="shared" ref="AO220:AR220" si="291">AO196+AO198+AO200+AO202+AO204+AO206+AO212+AO216+AO214+AO208+AO210+AO218</f>
        <v>0</v>
      </c>
      <c r="AP220" s="874">
        <f t="shared" si="291"/>
        <v>36800</v>
      </c>
      <c r="AQ220" s="874">
        <f t="shared" si="291"/>
        <v>0</v>
      </c>
      <c r="AR220" s="874">
        <f t="shared" si="291"/>
        <v>0</v>
      </c>
    </row>
    <row r="221" spans="1:44" ht="15.75" customHeight="1">
      <c r="A221" s="876" t="s">
        <v>106</v>
      </c>
      <c r="B221" s="877"/>
      <c r="C221" s="473"/>
      <c r="D221" s="473">
        <f>D197+D199+D201+D203+D205+D207+D213+D215+D209+D211+D217+D219</f>
        <v>14</v>
      </c>
      <c r="E221" s="473">
        <f t="shared" ref="E221:AM221" si="292">E197+E199+E201+E203+E205+E207+E213+E215+E209+E211+E217+E219</f>
        <v>14</v>
      </c>
      <c r="F221" s="473">
        <f t="shared" si="292"/>
        <v>0</v>
      </c>
      <c r="G221" s="473">
        <f t="shared" si="292"/>
        <v>20</v>
      </c>
      <c r="H221" s="473">
        <f t="shared" si="292"/>
        <v>20</v>
      </c>
      <c r="I221" s="473">
        <f t="shared" si="292"/>
        <v>18</v>
      </c>
      <c r="J221" s="473">
        <f t="shared" si="292"/>
        <v>20</v>
      </c>
      <c r="K221" s="473">
        <f t="shared" si="292"/>
        <v>18</v>
      </c>
      <c r="L221" s="473">
        <f t="shared" si="292"/>
        <v>0</v>
      </c>
      <c r="M221" s="473">
        <f t="shared" si="292"/>
        <v>0</v>
      </c>
      <c r="N221" s="473">
        <f t="shared" si="292"/>
        <v>0</v>
      </c>
      <c r="O221" s="473">
        <f t="shared" si="292"/>
        <v>0</v>
      </c>
      <c r="P221" s="473">
        <f t="shared" si="292"/>
        <v>0</v>
      </c>
      <c r="Q221" s="473">
        <f t="shared" si="292"/>
        <v>0</v>
      </c>
      <c r="R221" s="473">
        <f t="shared" si="292"/>
        <v>0</v>
      </c>
      <c r="S221" s="473">
        <f t="shared" si="292"/>
        <v>0</v>
      </c>
      <c r="T221" s="473">
        <f t="shared" si="292"/>
        <v>0</v>
      </c>
      <c r="U221" s="473">
        <f t="shared" si="292"/>
        <v>0</v>
      </c>
      <c r="V221" s="473">
        <f t="shared" si="292"/>
        <v>0</v>
      </c>
      <c r="W221" s="473">
        <f t="shared" si="292"/>
        <v>0</v>
      </c>
      <c r="X221" s="473">
        <f t="shared" si="292"/>
        <v>0</v>
      </c>
      <c r="Y221" s="473">
        <f t="shared" si="292"/>
        <v>0</v>
      </c>
      <c r="Z221" s="473">
        <f t="shared" si="292"/>
        <v>0</v>
      </c>
      <c r="AA221" s="473">
        <f t="shared" si="292"/>
        <v>0</v>
      </c>
      <c r="AB221" s="473">
        <f t="shared" si="292"/>
        <v>0</v>
      </c>
      <c r="AC221" s="473">
        <f t="shared" si="292"/>
        <v>0</v>
      </c>
      <c r="AD221" s="473">
        <f t="shared" si="292"/>
        <v>0</v>
      </c>
      <c r="AE221" s="473">
        <f t="shared" si="292"/>
        <v>0</v>
      </c>
      <c r="AF221" s="473">
        <f t="shared" si="292"/>
        <v>0</v>
      </c>
      <c r="AG221" s="473">
        <f t="shared" si="292"/>
        <v>0</v>
      </c>
      <c r="AH221" s="473">
        <f t="shared" si="292"/>
        <v>0</v>
      </c>
      <c r="AI221" s="473">
        <f t="shared" si="292"/>
        <v>124</v>
      </c>
      <c r="AJ221" s="473">
        <f t="shared" si="292"/>
        <v>0</v>
      </c>
      <c r="AK221" s="473">
        <f t="shared" si="292"/>
        <v>0</v>
      </c>
      <c r="AL221" s="473">
        <f t="shared" si="292"/>
        <v>124</v>
      </c>
      <c r="AM221" s="473">
        <f t="shared" si="292"/>
        <v>7360</v>
      </c>
      <c r="AN221" s="875"/>
      <c r="AO221" s="875"/>
      <c r="AP221" s="875"/>
      <c r="AQ221" s="875"/>
      <c r="AR221" s="875"/>
    </row>
  </sheetData>
  <mergeCells count="615">
    <mergeCell ref="A162:B162"/>
    <mergeCell ref="AN162:AN163"/>
    <mergeCell ref="AO162:AO163"/>
    <mergeCell ref="AP162:AP163"/>
    <mergeCell ref="AQ162:AQ163"/>
    <mergeCell ref="AR162:AR163"/>
    <mergeCell ref="A163:B163"/>
    <mergeCell ref="AN160:AN161"/>
    <mergeCell ref="AO160:AO161"/>
    <mergeCell ref="AP160:AP161"/>
    <mergeCell ref="AQ160:AQ161"/>
    <mergeCell ref="AR160:AR161"/>
    <mergeCell ref="AN156:AN157"/>
    <mergeCell ref="AO156:AO157"/>
    <mergeCell ref="AP156:AP157"/>
    <mergeCell ref="AQ156:AQ157"/>
    <mergeCell ref="AR156:AR157"/>
    <mergeCell ref="AN158:AN159"/>
    <mergeCell ref="AO158:AO159"/>
    <mergeCell ref="AP158:AP159"/>
    <mergeCell ref="AQ158:AQ159"/>
    <mergeCell ref="AR158:AR159"/>
    <mergeCell ref="AN152:AN153"/>
    <mergeCell ref="AO152:AO153"/>
    <mergeCell ref="AP152:AP153"/>
    <mergeCell ref="AQ152:AQ153"/>
    <mergeCell ref="AR152:AR153"/>
    <mergeCell ref="AN154:AN155"/>
    <mergeCell ref="AO154:AO155"/>
    <mergeCell ref="AP154:AP155"/>
    <mergeCell ref="AQ154:AQ155"/>
    <mergeCell ref="AR154:AR155"/>
    <mergeCell ref="AN148:AN149"/>
    <mergeCell ref="AO148:AO149"/>
    <mergeCell ref="AP148:AP149"/>
    <mergeCell ref="AQ148:AQ149"/>
    <mergeCell ref="AR148:AR149"/>
    <mergeCell ref="AN150:AN151"/>
    <mergeCell ref="AO150:AO151"/>
    <mergeCell ref="AP150:AP151"/>
    <mergeCell ref="AQ150:AQ151"/>
    <mergeCell ref="AR150:AR151"/>
    <mergeCell ref="AN144:AN145"/>
    <mergeCell ref="AO144:AO145"/>
    <mergeCell ref="AP144:AP145"/>
    <mergeCell ref="AQ144:AQ145"/>
    <mergeCell ref="AR144:AR145"/>
    <mergeCell ref="AN146:AN147"/>
    <mergeCell ref="AO146:AO147"/>
    <mergeCell ref="AP146:AP147"/>
    <mergeCell ref="AQ146:AQ147"/>
    <mergeCell ref="AR146:AR147"/>
    <mergeCell ref="AN140:AN141"/>
    <mergeCell ref="AO140:AO141"/>
    <mergeCell ref="AP140:AP141"/>
    <mergeCell ref="AQ140:AQ141"/>
    <mergeCell ref="AR140:AR141"/>
    <mergeCell ref="AN142:AN143"/>
    <mergeCell ref="AO142:AO143"/>
    <mergeCell ref="AP142:AP143"/>
    <mergeCell ref="AQ142:AQ143"/>
    <mergeCell ref="AR142:AR143"/>
    <mergeCell ref="AO136:AO137"/>
    <mergeCell ref="AP136:AP137"/>
    <mergeCell ref="AQ136:AQ137"/>
    <mergeCell ref="AR136:AR137"/>
    <mergeCell ref="AN138:AN139"/>
    <mergeCell ref="AO138:AO139"/>
    <mergeCell ref="AP138:AP139"/>
    <mergeCell ref="AQ138:AQ139"/>
    <mergeCell ref="AR138:AR139"/>
    <mergeCell ref="A136:A137"/>
    <mergeCell ref="B136:C137"/>
    <mergeCell ref="D136:AF136"/>
    <mergeCell ref="AG136:AH136"/>
    <mergeCell ref="AI136:AI137"/>
    <mergeCell ref="AJ136:AJ137"/>
    <mergeCell ref="AK136:AK137"/>
    <mergeCell ref="AL136:AL137"/>
    <mergeCell ref="AM136:AN137"/>
    <mergeCell ref="A133:B133"/>
    <mergeCell ref="AN133:AN134"/>
    <mergeCell ref="AO133:AO134"/>
    <mergeCell ref="AP133:AP134"/>
    <mergeCell ref="AQ133:AQ134"/>
    <mergeCell ref="AR133:AR134"/>
    <mergeCell ref="A134:B134"/>
    <mergeCell ref="AN123:AN124"/>
    <mergeCell ref="AO123:AO124"/>
    <mergeCell ref="AP123:AP124"/>
    <mergeCell ref="AQ123:AQ124"/>
    <mergeCell ref="AR123:AR124"/>
    <mergeCell ref="AN125:AN126"/>
    <mergeCell ref="AO125:AO126"/>
    <mergeCell ref="AP125:AP126"/>
    <mergeCell ref="AQ125:AQ126"/>
    <mergeCell ref="AR125:AR126"/>
    <mergeCell ref="AN131:AN132"/>
    <mergeCell ref="AO131:AO132"/>
    <mergeCell ref="AP131:AP132"/>
    <mergeCell ref="AQ131:AQ132"/>
    <mergeCell ref="AR131:AR132"/>
    <mergeCell ref="AN129:AN130"/>
    <mergeCell ref="AO129:AO130"/>
    <mergeCell ref="AP129:AP130"/>
    <mergeCell ref="AQ129:AQ130"/>
    <mergeCell ref="AR129:AR130"/>
    <mergeCell ref="AN121:AN122"/>
    <mergeCell ref="AO121:AO122"/>
    <mergeCell ref="AP121:AP122"/>
    <mergeCell ref="AQ121:AQ122"/>
    <mergeCell ref="AR121:AR122"/>
    <mergeCell ref="AN127:AN128"/>
    <mergeCell ref="AO127:AO128"/>
    <mergeCell ref="AP127:AP128"/>
    <mergeCell ref="AQ127:AQ128"/>
    <mergeCell ref="AR127:AR128"/>
    <mergeCell ref="AN117:AN118"/>
    <mergeCell ref="AO117:AO118"/>
    <mergeCell ref="AP117:AP118"/>
    <mergeCell ref="AQ117:AQ118"/>
    <mergeCell ref="AR117:AR118"/>
    <mergeCell ref="AN119:AN120"/>
    <mergeCell ref="AO119:AO120"/>
    <mergeCell ref="AP119:AP120"/>
    <mergeCell ref="AQ119:AQ120"/>
    <mergeCell ref="AR119:AR120"/>
    <mergeCell ref="AN113:AN114"/>
    <mergeCell ref="AO113:AO114"/>
    <mergeCell ref="AP113:AP114"/>
    <mergeCell ref="AQ113:AQ114"/>
    <mergeCell ref="AR113:AR114"/>
    <mergeCell ref="AN115:AN116"/>
    <mergeCell ref="AO115:AO116"/>
    <mergeCell ref="AP115:AP116"/>
    <mergeCell ref="AQ115:AQ116"/>
    <mergeCell ref="AR115:AR116"/>
    <mergeCell ref="AO109:AO110"/>
    <mergeCell ref="AP109:AP110"/>
    <mergeCell ref="AQ109:AQ110"/>
    <mergeCell ref="AR109:AR110"/>
    <mergeCell ref="AN111:AN112"/>
    <mergeCell ref="AO111:AO112"/>
    <mergeCell ref="AP111:AP112"/>
    <mergeCell ref="AQ111:AQ112"/>
    <mergeCell ref="AR111:AR112"/>
    <mergeCell ref="A109:A110"/>
    <mergeCell ref="B109:C110"/>
    <mergeCell ref="D109:AF109"/>
    <mergeCell ref="AG109:AH109"/>
    <mergeCell ref="AI109:AI110"/>
    <mergeCell ref="AJ109:AJ110"/>
    <mergeCell ref="AK109:AK110"/>
    <mergeCell ref="AL109:AL110"/>
    <mergeCell ref="AM109:AN110"/>
    <mergeCell ref="A79:B79"/>
    <mergeCell ref="AN79:AN80"/>
    <mergeCell ref="AO79:AO80"/>
    <mergeCell ref="AP79:AP80"/>
    <mergeCell ref="AQ79:AQ80"/>
    <mergeCell ref="AR79:AR80"/>
    <mergeCell ref="A80:B80"/>
    <mergeCell ref="AN75:AN76"/>
    <mergeCell ref="AO75:AO76"/>
    <mergeCell ref="AP75:AP76"/>
    <mergeCell ref="AQ75:AQ76"/>
    <mergeCell ref="AR75:AR76"/>
    <mergeCell ref="AN77:AN78"/>
    <mergeCell ref="AO77:AO78"/>
    <mergeCell ref="AP77:AP78"/>
    <mergeCell ref="AQ77:AQ78"/>
    <mergeCell ref="AR77:AR78"/>
    <mergeCell ref="AN71:AN72"/>
    <mergeCell ref="AO71:AO72"/>
    <mergeCell ref="AP71:AP72"/>
    <mergeCell ref="AQ71:AQ72"/>
    <mergeCell ref="AR71:AR72"/>
    <mergeCell ref="AN73:AN74"/>
    <mergeCell ref="AO73:AO74"/>
    <mergeCell ref="AP73:AP74"/>
    <mergeCell ref="AQ73:AQ74"/>
    <mergeCell ref="AR73:AR74"/>
    <mergeCell ref="AN67:AN68"/>
    <mergeCell ref="AO67:AO68"/>
    <mergeCell ref="AP67:AP68"/>
    <mergeCell ref="AQ67:AQ68"/>
    <mergeCell ref="AR67:AR68"/>
    <mergeCell ref="AN69:AN70"/>
    <mergeCell ref="AO69:AO70"/>
    <mergeCell ref="AP69:AP70"/>
    <mergeCell ref="AQ69:AQ70"/>
    <mergeCell ref="AR69:AR70"/>
    <mergeCell ref="AN63:AN64"/>
    <mergeCell ref="AO63:AO64"/>
    <mergeCell ref="AP63:AP64"/>
    <mergeCell ref="AQ63:AQ64"/>
    <mergeCell ref="AR63:AR64"/>
    <mergeCell ref="AN65:AN66"/>
    <mergeCell ref="AO65:AO66"/>
    <mergeCell ref="AP65:AP66"/>
    <mergeCell ref="AQ65:AQ66"/>
    <mergeCell ref="AR65:AR66"/>
    <mergeCell ref="AN59:AN60"/>
    <mergeCell ref="AO59:AO60"/>
    <mergeCell ref="AP59:AP60"/>
    <mergeCell ref="AQ59:AQ60"/>
    <mergeCell ref="AR59:AR60"/>
    <mergeCell ref="AN61:AN62"/>
    <mergeCell ref="AO61:AO62"/>
    <mergeCell ref="AP61:AP62"/>
    <mergeCell ref="AQ61:AQ62"/>
    <mergeCell ref="AR61:AR62"/>
    <mergeCell ref="AO55:AO56"/>
    <mergeCell ref="AP55:AP56"/>
    <mergeCell ref="AQ55:AQ56"/>
    <mergeCell ref="AR55:AR56"/>
    <mergeCell ref="AN57:AN58"/>
    <mergeCell ref="AO57:AO58"/>
    <mergeCell ref="AP57:AP58"/>
    <mergeCell ref="AQ57:AQ58"/>
    <mergeCell ref="AR57:AR58"/>
    <mergeCell ref="A55:A56"/>
    <mergeCell ref="B55:C56"/>
    <mergeCell ref="D55:AF55"/>
    <mergeCell ref="AG55:AH55"/>
    <mergeCell ref="AI55:AI56"/>
    <mergeCell ref="AJ55:AJ56"/>
    <mergeCell ref="AK55:AK56"/>
    <mergeCell ref="AL55:AL56"/>
    <mergeCell ref="AM55:AN56"/>
    <mergeCell ref="AR52:AR53"/>
    <mergeCell ref="A53:B53"/>
    <mergeCell ref="A52:B52"/>
    <mergeCell ref="AN52:AN53"/>
    <mergeCell ref="AO52:AO53"/>
    <mergeCell ref="AP52:AP53"/>
    <mergeCell ref="AQ52:AQ53"/>
    <mergeCell ref="AN50:AN51"/>
    <mergeCell ref="AO50:AO51"/>
    <mergeCell ref="AP50:AP51"/>
    <mergeCell ref="AQ50:AQ51"/>
    <mergeCell ref="AR50:AR51"/>
    <mergeCell ref="AN48:AN49"/>
    <mergeCell ref="AO48:AO49"/>
    <mergeCell ref="AP48:AP49"/>
    <mergeCell ref="AQ48:AQ49"/>
    <mergeCell ref="AR48:AR49"/>
    <mergeCell ref="AN46:AN47"/>
    <mergeCell ref="AO46:AO47"/>
    <mergeCell ref="AP46:AP47"/>
    <mergeCell ref="AQ46:AQ47"/>
    <mergeCell ref="AR46:AR47"/>
    <mergeCell ref="AN44:AN45"/>
    <mergeCell ref="AO44:AO45"/>
    <mergeCell ref="AP44:AP45"/>
    <mergeCell ref="AQ44:AQ45"/>
    <mergeCell ref="AR44:AR45"/>
    <mergeCell ref="AN42:AN43"/>
    <mergeCell ref="AO42:AO43"/>
    <mergeCell ref="AP42:AP43"/>
    <mergeCell ref="AQ42:AQ43"/>
    <mergeCell ref="AR42:AR43"/>
    <mergeCell ref="AN40:AN41"/>
    <mergeCell ref="AO40:AO41"/>
    <mergeCell ref="AP40:AP41"/>
    <mergeCell ref="AQ40:AQ41"/>
    <mergeCell ref="AR40:AR41"/>
    <mergeCell ref="AN38:AN39"/>
    <mergeCell ref="AO38:AO39"/>
    <mergeCell ref="AP38:AP39"/>
    <mergeCell ref="AQ38:AQ39"/>
    <mergeCell ref="AR38:AR39"/>
    <mergeCell ref="AN36:AN37"/>
    <mergeCell ref="AO36:AO37"/>
    <mergeCell ref="AP36:AP37"/>
    <mergeCell ref="AQ36:AQ37"/>
    <mergeCell ref="AR36:AR37"/>
    <mergeCell ref="AN34:AN35"/>
    <mergeCell ref="AO34:AO35"/>
    <mergeCell ref="AP34:AP35"/>
    <mergeCell ref="AQ34:AQ35"/>
    <mergeCell ref="AR34:AR35"/>
    <mergeCell ref="AN32:AN33"/>
    <mergeCell ref="AO32:AO33"/>
    <mergeCell ref="AP32:AP33"/>
    <mergeCell ref="AQ32:AQ33"/>
    <mergeCell ref="AR32:AR33"/>
    <mergeCell ref="AP28:AP29"/>
    <mergeCell ref="AQ28:AQ29"/>
    <mergeCell ref="AR28:AR29"/>
    <mergeCell ref="AN30:AN31"/>
    <mergeCell ref="AO30:AO31"/>
    <mergeCell ref="AP30:AP31"/>
    <mergeCell ref="AQ30:AQ31"/>
    <mergeCell ref="AR30:AR31"/>
    <mergeCell ref="AQ23:AQ24"/>
    <mergeCell ref="AJ28:AJ29"/>
    <mergeCell ref="AK28:AK29"/>
    <mergeCell ref="AL28:AL29"/>
    <mergeCell ref="AM28:AN29"/>
    <mergeCell ref="AO28:AO29"/>
    <mergeCell ref="A28:A29"/>
    <mergeCell ref="B28:C29"/>
    <mergeCell ref="D28:AF28"/>
    <mergeCell ref="AG28:AH28"/>
    <mergeCell ref="AI28:AI29"/>
    <mergeCell ref="AN23:AN24"/>
    <mergeCell ref="AO23:AO24"/>
    <mergeCell ref="AP23:AP24"/>
    <mergeCell ref="AP9:AP10"/>
    <mergeCell ref="AR23:AR24"/>
    <mergeCell ref="AR17:AR18"/>
    <mergeCell ref="AQ19:AQ20"/>
    <mergeCell ref="AR19:AR20"/>
    <mergeCell ref="AQ21:AQ22"/>
    <mergeCell ref="AR21:AR22"/>
    <mergeCell ref="AR25:AR26"/>
    <mergeCell ref="AQ3:AQ4"/>
    <mergeCell ref="AR3:AR4"/>
    <mergeCell ref="AQ5:AQ6"/>
    <mergeCell ref="AR5:AR6"/>
    <mergeCell ref="AQ7:AQ8"/>
    <mergeCell ref="AR7:AR8"/>
    <mergeCell ref="AQ9:AQ10"/>
    <mergeCell ref="AR9:AR10"/>
    <mergeCell ref="AQ11:AQ12"/>
    <mergeCell ref="AR11:AR12"/>
    <mergeCell ref="AQ13:AQ14"/>
    <mergeCell ref="AR13:AR14"/>
    <mergeCell ref="AQ15:AQ16"/>
    <mergeCell ref="AR15:AR16"/>
    <mergeCell ref="AQ17:AQ18"/>
    <mergeCell ref="AQ25:AQ26"/>
    <mergeCell ref="A1:A2"/>
    <mergeCell ref="B1:C2"/>
    <mergeCell ref="D1:AF1"/>
    <mergeCell ref="AG1:AH1"/>
    <mergeCell ref="AI1:AI2"/>
    <mergeCell ref="AK1:AK2"/>
    <mergeCell ref="AL1:AL2"/>
    <mergeCell ref="AM1:AN2"/>
    <mergeCell ref="AO1:AO2"/>
    <mergeCell ref="AR1:AR2"/>
    <mergeCell ref="AN3:AN4"/>
    <mergeCell ref="AO3:AO4"/>
    <mergeCell ref="AP3:AP4"/>
    <mergeCell ref="AQ1:AQ2"/>
    <mergeCell ref="AJ1:AJ2"/>
    <mergeCell ref="AO13:AO14"/>
    <mergeCell ref="AP13:AP14"/>
    <mergeCell ref="AN15:AN16"/>
    <mergeCell ref="AO15:AO16"/>
    <mergeCell ref="AP15:AP16"/>
    <mergeCell ref="AN11:AN12"/>
    <mergeCell ref="AO11:AO12"/>
    <mergeCell ref="AP11:AP12"/>
    <mergeCell ref="AN13:AN14"/>
    <mergeCell ref="AP1:AP2"/>
    <mergeCell ref="AN7:AN8"/>
    <mergeCell ref="AO7:AO8"/>
    <mergeCell ref="AP7:AP8"/>
    <mergeCell ref="AN9:AN10"/>
    <mergeCell ref="AO9:AO10"/>
    <mergeCell ref="AN5:AN6"/>
    <mergeCell ref="AO5:AO6"/>
    <mergeCell ref="AP5:AP6"/>
    <mergeCell ref="AP21:AP22"/>
    <mergeCell ref="A25:B25"/>
    <mergeCell ref="A26:B26"/>
    <mergeCell ref="AN17:AN18"/>
    <mergeCell ref="AO17:AO18"/>
    <mergeCell ref="AP17:AP18"/>
    <mergeCell ref="AN19:AN20"/>
    <mergeCell ref="AO19:AO20"/>
    <mergeCell ref="AP19:AP20"/>
    <mergeCell ref="AN21:AN22"/>
    <mergeCell ref="AO21:AO22"/>
    <mergeCell ref="AN25:AN26"/>
    <mergeCell ref="AO25:AO26"/>
    <mergeCell ref="AP25:AP26"/>
    <mergeCell ref="A82:A83"/>
    <mergeCell ref="B82:C83"/>
    <mergeCell ref="D82:AF82"/>
    <mergeCell ref="AG82:AH82"/>
    <mergeCell ref="AI82:AI83"/>
    <mergeCell ref="AJ82:AJ83"/>
    <mergeCell ref="AK82:AK83"/>
    <mergeCell ref="AL82:AL83"/>
    <mergeCell ref="AM82:AN83"/>
    <mergeCell ref="AO82:AO83"/>
    <mergeCell ref="AP82:AP83"/>
    <mergeCell ref="AQ82:AQ83"/>
    <mergeCell ref="AR82:AR83"/>
    <mergeCell ref="AN84:AN85"/>
    <mergeCell ref="AO84:AO85"/>
    <mergeCell ref="AP84:AP85"/>
    <mergeCell ref="AQ84:AQ85"/>
    <mergeCell ref="AR84:AR85"/>
    <mergeCell ref="AN86:AN87"/>
    <mergeCell ref="AO86:AO87"/>
    <mergeCell ref="AP86:AP87"/>
    <mergeCell ref="AQ86:AQ87"/>
    <mergeCell ref="AR86:AR87"/>
    <mergeCell ref="AN88:AN89"/>
    <mergeCell ref="AO88:AO89"/>
    <mergeCell ref="AP88:AP89"/>
    <mergeCell ref="AQ88:AQ89"/>
    <mergeCell ref="AR88:AR89"/>
    <mergeCell ref="AN90:AN91"/>
    <mergeCell ref="AO90:AO91"/>
    <mergeCell ref="AP90:AP91"/>
    <mergeCell ref="AQ90:AQ91"/>
    <mergeCell ref="AR90:AR91"/>
    <mergeCell ref="AN92:AN93"/>
    <mergeCell ref="AO92:AO93"/>
    <mergeCell ref="AP92:AP93"/>
    <mergeCell ref="AQ92:AQ93"/>
    <mergeCell ref="AR92:AR93"/>
    <mergeCell ref="AN94:AN95"/>
    <mergeCell ref="AO94:AO95"/>
    <mergeCell ref="AP94:AP95"/>
    <mergeCell ref="AQ94:AQ95"/>
    <mergeCell ref="AR94:AR95"/>
    <mergeCell ref="AN96:AN97"/>
    <mergeCell ref="AO96:AO97"/>
    <mergeCell ref="AP96:AP97"/>
    <mergeCell ref="AQ96:AQ97"/>
    <mergeCell ref="AR96:AR97"/>
    <mergeCell ref="AN98:AN99"/>
    <mergeCell ref="AO98:AO99"/>
    <mergeCell ref="AP98:AP99"/>
    <mergeCell ref="AQ98:AQ99"/>
    <mergeCell ref="AR98:AR99"/>
    <mergeCell ref="AN100:AN101"/>
    <mergeCell ref="AO100:AO101"/>
    <mergeCell ref="AP100:AP101"/>
    <mergeCell ref="AQ100:AQ101"/>
    <mergeCell ref="AR100:AR101"/>
    <mergeCell ref="A106:B106"/>
    <mergeCell ref="AN106:AN107"/>
    <mergeCell ref="AO106:AO107"/>
    <mergeCell ref="AP106:AP107"/>
    <mergeCell ref="AQ106:AQ107"/>
    <mergeCell ref="AR106:AR107"/>
    <mergeCell ref="A107:B107"/>
    <mergeCell ref="AN102:AN103"/>
    <mergeCell ref="AO102:AO103"/>
    <mergeCell ref="AP102:AP103"/>
    <mergeCell ref="AQ102:AQ103"/>
    <mergeCell ref="AR102:AR103"/>
    <mergeCell ref="AN104:AN105"/>
    <mergeCell ref="AO104:AO105"/>
    <mergeCell ref="AP104:AP105"/>
    <mergeCell ref="AQ104:AQ105"/>
    <mergeCell ref="AR104:AR105"/>
    <mergeCell ref="A165:A166"/>
    <mergeCell ref="B165:C166"/>
    <mergeCell ref="D165:AF165"/>
    <mergeCell ref="AG165:AH165"/>
    <mergeCell ref="AI165:AI166"/>
    <mergeCell ref="AJ165:AJ166"/>
    <mergeCell ref="AK165:AK166"/>
    <mergeCell ref="AL165:AL166"/>
    <mergeCell ref="AM165:AN166"/>
    <mergeCell ref="AO165:AO166"/>
    <mergeCell ref="AP165:AP166"/>
    <mergeCell ref="AQ165:AQ166"/>
    <mergeCell ref="AR165:AR166"/>
    <mergeCell ref="AN167:AN168"/>
    <mergeCell ref="AO167:AO168"/>
    <mergeCell ref="AP167:AP168"/>
    <mergeCell ref="AQ167:AQ168"/>
    <mergeCell ref="AR167:AR168"/>
    <mergeCell ref="AN169:AN170"/>
    <mergeCell ref="AO169:AO170"/>
    <mergeCell ref="AP169:AP170"/>
    <mergeCell ref="AQ169:AQ170"/>
    <mergeCell ref="AR169:AR170"/>
    <mergeCell ref="AN171:AN172"/>
    <mergeCell ref="AO171:AO172"/>
    <mergeCell ref="AP171:AP172"/>
    <mergeCell ref="AQ171:AQ172"/>
    <mergeCell ref="AR171:AR172"/>
    <mergeCell ref="AN173:AN174"/>
    <mergeCell ref="AO173:AO174"/>
    <mergeCell ref="AP173:AP174"/>
    <mergeCell ref="AQ173:AQ174"/>
    <mergeCell ref="AR173:AR174"/>
    <mergeCell ref="AN175:AN176"/>
    <mergeCell ref="AO175:AO176"/>
    <mergeCell ref="AP175:AP176"/>
    <mergeCell ref="AQ175:AQ176"/>
    <mergeCell ref="AR175:AR176"/>
    <mergeCell ref="AN177:AN178"/>
    <mergeCell ref="AO177:AO178"/>
    <mergeCell ref="AP177:AP178"/>
    <mergeCell ref="AQ177:AQ178"/>
    <mergeCell ref="AR177:AR178"/>
    <mergeCell ref="AN179:AN180"/>
    <mergeCell ref="AO179:AO180"/>
    <mergeCell ref="AP179:AP180"/>
    <mergeCell ref="AQ179:AQ180"/>
    <mergeCell ref="AR179:AR180"/>
    <mergeCell ref="AN181:AN182"/>
    <mergeCell ref="AO181:AO182"/>
    <mergeCell ref="AP181:AP182"/>
    <mergeCell ref="AQ181:AQ182"/>
    <mergeCell ref="AR181:AR182"/>
    <mergeCell ref="AN183:AN184"/>
    <mergeCell ref="AO183:AO184"/>
    <mergeCell ref="AP183:AP184"/>
    <mergeCell ref="AQ183:AQ184"/>
    <mergeCell ref="AR183:AR184"/>
    <mergeCell ref="AN185:AN186"/>
    <mergeCell ref="AO185:AO186"/>
    <mergeCell ref="AP185:AP186"/>
    <mergeCell ref="AQ185:AQ186"/>
    <mergeCell ref="AR185:AR186"/>
    <mergeCell ref="AN187:AN188"/>
    <mergeCell ref="AO187:AO188"/>
    <mergeCell ref="AP187:AP188"/>
    <mergeCell ref="AQ187:AQ188"/>
    <mergeCell ref="AR187:AR188"/>
    <mergeCell ref="AN189:AN190"/>
    <mergeCell ref="AO189:AO190"/>
    <mergeCell ref="AP189:AP190"/>
    <mergeCell ref="AQ189:AQ190"/>
    <mergeCell ref="AR189:AR190"/>
    <mergeCell ref="A191:B191"/>
    <mergeCell ref="AN191:AN192"/>
    <mergeCell ref="AO191:AO192"/>
    <mergeCell ref="AP191:AP192"/>
    <mergeCell ref="AQ191:AQ192"/>
    <mergeCell ref="AR191:AR192"/>
    <mergeCell ref="A192:B192"/>
    <mergeCell ref="A194:A195"/>
    <mergeCell ref="B194:C195"/>
    <mergeCell ref="D194:AF194"/>
    <mergeCell ref="AG194:AH194"/>
    <mergeCell ref="AI194:AI195"/>
    <mergeCell ref="AJ194:AJ195"/>
    <mergeCell ref="AK194:AK195"/>
    <mergeCell ref="AL194:AL195"/>
    <mergeCell ref="AM194:AN195"/>
    <mergeCell ref="AO194:AO195"/>
    <mergeCell ref="AP194:AP195"/>
    <mergeCell ref="AQ194:AQ195"/>
    <mergeCell ref="AR194:AR195"/>
    <mergeCell ref="AN196:AN197"/>
    <mergeCell ref="AO196:AO197"/>
    <mergeCell ref="AP196:AP197"/>
    <mergeCell ref="AQ196:AQ197"/>
    <mergeCell ref="AR196:AR197"/>
    <mergeCell ref="AN198:AN199"/>
    <mergeCell ref="AO198:AO199"/>
    <mergeCell ref="AP198:AP199"/>
    <mergeCell ref="AQ198:AQ199"/>
    <mergeCell ref="AR198:AR199"/>
    <mergeCell ref="AN200:AN201"/>
    <mergeCell ref="AO200:AO201"/>
    <mergeCell ref="AP200:AP201"/>
    <mergeCell ref="AQ200:AQ201"/>
    <mergeCell ref="AR200:AR201"/>
    <mergeCell ref="AN202:AN203"/>
    <mergeCell ref="AO202:AO203"/>
    <mergeCell ref="AP202:AP203"/>
    <mergeCell ref="AQ202:AQ203"/>
    <mergeCell ref="AR202:AR203"/>
    <mergeCell ref="AN204:AN205"/>
    <mergeCell ref="AO204:AO205"/>
    <mergeCell ref="AP204:AP205"/>
    <mergeCell ref="AQ204:AQ205"/>
    <mergeCell ref="AR204:AR205"/>
    <mergeCell ref="AN206:AN207"/>
    <mergeCell ref="AO206:AO207"/>
    <mergeCell ref="AP206:AP207"/>
    <mergeCell ref="AQ206:AQ207"/>
    <mergeCell ref="AR206:AR207"/>
    <mergeCell ref="AN208:AN209"/>
    <mergeCell ref="AO208:AO209"/>
    <mergeCell ref="AP208:AP209"/>
    <mergeCell ref="AQ208:AQ209"/>
    <mergeCell ref="AR208:AR209"/>
    <mergeCell ref="AN210:AN211"/>
    <mergeCell ref="AO210:AO211"/>
    <mergeCell ref="AP210:AP211"/>
    <mergeCell ref="AQ210:AQ211"/>
    <mergeCell ref="AR210:AR211"/>
    <mergeCell ref="AN212:AN213"/>
    <mergeCell ref="AO212:AO213"/>
    <mergeCell ref="AP212:AP213"/>
    <mergeCell ref="AQ212:AQ213"/>
    <mergeCell ref="AR212:AR213"/>
    <mergeCell ref="AN214:AN215"/>
    <mergeCell ref="AO214:AO215"/>
    <mergeCell ref="AP214:AP215"/>
    <mergeCell ref="AQ214:AQ215"/>
    <mergeCell ref="AR214:AR215"/>
    <mergeCell ref="AN216:AN217"/>
    <mergeCell ref="AO216:AO217"/>
    <mergeCell ref="AP216:AP217"/>
    <mergeCell ref="AQ216:AQ217"/>
    <mergeCell ref="AR216:AR217"/>
    <mergeCell ref="AN218:AN219"/>
    <mergeCell ref="AO218:AO219"/>
    <mergeCell ref="AP218:AP219"/>
    <mergeCell ref="AQ218:AQ219"/>
    <mergeCell ref="AR218:AR219"/>
    <mergeCell ref="A220:B220"/>
    <mergeCell ref="AN220:AN221"/>
    <mergeCell ref="AO220:AO221"/>
    <mergeCell ref="AP220:AP221"/>
    <mergeCell ref="AQ220:AQ221"/>
    <mergeCell ref="AR220:AR221"/>
    <mergeCell ref="A221:B221"/>
  </mergeCells>
  <pageMargins left="0.7" right="0.7" top="0.75" bottom="0.75" header="0.3" footer="0.3"/>
  <pageSetup orientation="portrait" horizontalDpi="0" verticalDpi="0" r:id="rId1"/>
  <ignoredErrors>
    <ignoredError sqref="AI60 AI62 AI64 AI68 AI66 AI70 AI72 AI74 AI76 AI78 AI87 AI89 AI91 AI93 AI95 AI97 AI99 AI101:AI102 AI103:AI104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L27"/>
  <sheetViews>
    <sheetView topLeftCell="A7" workbookViewId="0">
      <selection activeCell="L6" sqref="L6"/>
    </sheetView>
  </sheetViews>
  <sheetFormatPr defaultColWidth="9.140625" defaultRowHeight="14.25"/>
  <cols>
    <col min="1" max="1" width="2" style="1" customWidth="1"/>
    <col min="2" max="2" width="19.5703125" style="1" customWidth="1"/>
    <col min="3" max="3" width="12.140625" style="1" customWidth="1"/>
    <col min="4" max="5" width="12.140625" style="2" customWidth="1"/>
    <col min="6" max="6" width="4.7109375" style="1" customWidth="1"/>
    <col min="7" max="7" width="19.5703125" style="1" customWidth="1"/>
    <col min="8" max="10" width="11.7109375" style="1" customWidth="1"/>
    <col min="11" max="11" width="9.140625" style="1"/>
    <col min="12" max="12" width="9.5703125" style="1" customWidth="1"/>
    <col min="13" max="16384" width="9.140625" style="1"/>
  </cols>
  <sheetData>
    <row r="1" spans="2:12" ht="10.5" customHeight="1"/>
    <row r="2" spans="2:12" ht="21" customHeight="1">
      <c r="B2" s="3" t="s">
        <v>39</v>
      </c>
      <c r="C2" s="4" t="s">
        <v>40</v>
      </c>
      <c r="D2" s="946" t="s">
        <v>41</v>
      </c>
      <c r="E2" s="947"/>
      <c r="G2" s="3" t="s">
        <v>39</v>
      </c>
      <c r="H2" s="4" t="s">
        <v>17</v>
      </c>
      <c r="I2" s="946" t="s">
        <v>41</v>
      </c>
      <c r="J2" s="947"/>
    </row>
    <row r="3" spans="2:12" ht="21" customHeight="1">
      <c r="B3" s="5" t="s">
        <v>42</v>
      </c>
      <c r="C3" s="6">
        <v>11000</v>
      </c>
      <c r="D3" s="6"/>
      <c r="E3" s="7"/>
      <c r="G3" s="5" t="s">
        <v>42</v>
      </c>
      <c r="H3" s="6">
        <v>9000</v>
      </c>
      <c r="I3" s="6"/>
      <c r="J3" s="7"/>
    </row>
    <row r="4" spans="2:12" ht="21" customHeight="1">
      <c r="B4" s="5" t="s">
        <v>43</v>
      </c>
      <c r="C4" s="6">
        <v>30</v>
      </c>
      <c r="D4" s="6"/>
      <c r="E4" s="7"/>
      <c r="G4" s="5" t="s">
        <v>43</v>
      </c>
      <c r="H4" s="6">
        <v>30</v>
      </c>
      <c r="I4" s="6"/>
      <c r="J4" s="7"/>
    </row>
    <row r="5" spans="2:12" ht="21" customHeight="1">
      <c r="B5" s="5" t="s">
        <v>44</v>
      </c>
      <c r="C5" s="6">
        <v>22</v>
      </c>
      <c r="D5" s="8">
        <f>C3/C4</f>
        <v>366.66666666666669</v>
      </c>
      <c r="E5" s="7"/>
      <c r="G5" s="5" t="s">
        <v>44</v>
      </c>
      <c r="H5" s="6">
        <v>20.5</v>
      </c>
      <c r="I5" s="8">
        <f>H3/H4</f>
        <v>300</v>
      </c>
      <c r="J5" s="7"/>
    </row>
    <row r="6" spans="2:12" ht="21" customHeight="1">
      <c r="B6" s="5" t="s">
        <v>45</v>
      </c>
      <c r="C6" s="6">
        <v>6</v>
      </c>
      <c r="D6" s="6">
        <f>C5+C6</f>
        <v>28</v>
      </c>
      <c r="E6" s="9">
        <f>D6*D5</f>
        <v>10266.666666666668</v>
      </c>
      <c r="G6" s="5" t="s">
        <v>45</v>
      </c>
      <c r="H6" s="6">
        <v>6</v>
      </c>
      <c r="I6" s="6">
        <f>H5+H6</f>
        <v>26.5</v>
      </c>
      <c r="J6" s="9">
        <f>I6*I5</f>
        <v>7950</v>
      </c>
    </row>
    <row r="7" spans="2:12" ht="21" customHeight="1">
      <c r="B7" s="5" t="s">
        <v>5</v>
      </c>
      <c r="C7" s="10">
        <v>2</v>
      </c>
      <c r="D7" s="6"/>
      <c r="E7" s="7"/>
      <c r="G7" s="5" t="s">
        <v>5</v>
      </c>
      <c r="H7" s="10">
        <v>3.5</v>
      </c>
      <c r="I7" s="6"/>
      <c r="J7" s="7"/>
    </row>
    <row r="8" spans="2:12" ht="21" customHeight="1">
      <c r="B8" s="11" t="s">
        <v>46</v>
      </c>
      <c r="C8" s="12">
        <v>26</v>
      </c>
      <c r="D8" s="12">
        <v>50</v>
      </c>
      <c r="E8" s="13">
        <f>C8*D8</f>
        <v>1300</v>
      </c>
      <c r="G8" s="11" t="s">
        <v>46</v>
      </c>
      <c r="H8" s="12">
        <v>20</v>
      </c>
      <c r="I8" s="12">
        <v>45</v>
      </c>
      <c r="J8" s="13">
        <f>H8*I8</f>
        <v>900</v>
      </c>
    </row>
    <row r="9" spans="2:12" ht="21" customHeight="1">
      <c r="B9" s="948" t="s">
        <v>47</v>
      </c>
      <c r="C9" s="949"/>
      <c r="D9" s="952">
        <f>E6+E8</f>
        <v>11566.666666666668</v>
      </c>
      <c r="E9" s="953"/>
      <c r="G9" s="948" t="s">
        <v>47</v>
      </c>
      <c r="H9" s="949"/>
      <c r="I9" s="952">
        <f>J6+J8</f>
        <v>8850</v>
      </c>
      <c r="J9" s="953"/>
    </row>
    <row r="10" spans="2:12" ht="21" customHeight="1">
      <c r="B10" s="950"/>
      <c r="C10" s="951"/>
      <c r="D10" s="954"/>
      <c r="E10" s="955"/>
      <c r="G10" s="950"/>
      <c r="H10" s="951"/>
      <c r="I10" s="954"/>
      <c r="J10" s="955"/>
      <c r="L10" s="15"/>
    </row>
    <row r="11" spans="2:12" ht="21" customHeight="1">
      <c r="D11" s="1"/>
      <c r="E11" s="1"/>
    </row>
    <row r="12" spans="2:12" ht="21" customHeight="1">
      <c r="B12" s="3" t="s">
        <v>39</v>
      </c>
      <c r="C12" s="4" t="s">
        <v>27</v>
      </c>
      <c r="D12" s="946" t="s">
        <v>41</v>
      </c>
      <c r="E12" s="947"/>
      <c r="G12" s="3" t="s">
        <v>39</v>
      </c>
      <c r="H12" s="4" t="s">
        <v>36</v>
      </c>
      <c r="I12" s="946" t="s">
        <v>41</v>
      </c>
      <c r="J12" s="947"/>
    </row>
    <row r="13" spans="2:12" ht="21" customHeight="1">
      <c r="B13" s="5" t="s">
        <v>42</v>
      </c>
      <c r="C13" s="6">
        <v>8000</v>
      </c>
      <c r="D13" s="6"/>
      <c r="E13" s="7"/>
      <c r="G13" s="5" t="s">
        <v>42</v>
      </c>
      <c r="H13" s="6">
        <v>8000</v>
      </c>
      <c r="I13" s="6"/>
      <c r="J13" s="7"/>
    </row>
    <row r="14" spans="2:12" ht="21" customHeight="1">
      <c r="B14" s="5" t="s">
        <v>43</v>
      </c>
      <c r="C14" s="6">
        <v>30</v>
      </c>
      <c r="D14" s="6"/>
      <c r="E14" s="7"/>
      <c r="G14" s="5" t="s">
        <v>43</v>
      </c>
      <c r="H14" s="6">
        <v>30</v>
      </c>
      <c r="I14" s="6"/>
      <c r="J14" s="7"/>
    </row>
    <row r="15" spans="2:12" ht="21" customHeight="1">
      <c r="B15" s="5" t="s">
        <v>44</v>
      </c>
      <c r="C15" s="6">
        <v>15</v>
      </c>
      <c r="D15" s="8">
        <f>C13/C14</f>
        <v>266.66666666666669</v>
      </c>
      <c r="E15" s="7"/>
      <c r="G15" s="5" t="s">
        <v>44</v>
      </c>
      <c r="H15" s="6">
        <v>14</v>
      </c>
      <c r="I15" s="8">
        <f>H13/H14</f>
        <v>266.66666666666669</v>
      </c>
      <c r="J15" s="7"/>
    </row>
    <row r="16" spans="2:12" ht="21" customHeight="1">
      <c r="B16" s="5" t="s">
        <v>45</v>
      </c>
      <c r="C16" s="6">
        <v>4</v>
      </c>
      <c r="D16" s="6">
        <f>C15+C16</f>
        <v>19</v>
      </c>
      <c r="E16" s="9">
        <f>D16*D15</f>
        <v>5066.666666666667</v>
      </c>
      <c r="G16" s="5" t="s">
        <v>45</v>
      </c>
      <c r="H16" s="6">
        <v>2</v>
      </c>
      <c r="I16" s="6">
        <f>H15+H16</f>
        <v>16</v>
      </c>
      <c r="J16" s="9">
        <f>I16*I15</f>
        <v>4266.666666666667</v>
      </c>
    </row>
    <row r="17" spans="2:12" ht="21" customHeight="1">
      <c r="B17" s="5" t="s">
        <v>5</v>
      </c>
      <c r="C17" s="10">
        <v>11</v>
      </c>
      <c r="D17" s="6"/>
      <c r="E17" s="7"/>
      <c r="G17" s="5" t="s">
        <v>5</v>
      </c>
      <c r="H17" s="10">
        <v>0</v>
      </c>
      <c r="I17" s="6"/>
      <c r="J17" s="7"/>
    </row>
    <row r="18" spans="2:12" ht="21" customHeight="1">
      <c r="B18" s="11" t="s">
        <v>46</v>
      </c>
      <c r="C18" s="12">
        <v>20</v>
      </c>
      <c r="D18" s="12">
        <v>40</v>
      </c>
      <c r="E18" s="13">
        <f>C18*D18</f>
        <v>800</v>
      </c>
      <c r="G18" s="11" t="s">
        <v>46</v>
      </c>
      <c r="H18" s="12">
        <v>10</v>
      </c>
      <c r="I18" s="12">
        <v>40</v>
      </c>
      <c r="J18" s="13">
        <f>H18*I18</f>
        <v>400</v>
      </c>
    </row>
    <row r="19" spans="2:12" ht="21" customHeight="1">
      <c r="B19" s="948" t="s">
        <v>47</v>
      </c>
      <c r="C19" s="949"/>
      <c r="D19" s="952">
        <f>E16+E18</f>
        <v>5866.666666666667</v>
      </c>
      <c r="E19" s="953"/>
      <c r="G19" s="948" t="s">
        <v>47</v>
      </c>
      <c r="H19" s="949"/>
      <c r="I19" s="952">
        <f>J16+J18</f>
        <v>4666.666666666667</v>
      </c>
      <c r="J19" s="953"/>
    </row>
    <row r="20" spans="2:12" ht="21" customHeight="1">
      <c r="B20" s="950"/>
      <c r="C20" s="951"/>
      <c r="D20" s="954"/>
      <c r="E20" s="955"/>
      <c r="G20" s="950"/>
      <c r="H20" s="951"/>
      <c r="I20" s="954"/>
      <c r="J20" s="955"/>
      <c r="L20" s="15"/>
    </row>
    <row r="22" spans="2:12">
      <c r="C22" s="1" t="s">
        <v>40</v>
      </c>
      <c r="D22" s="2">
        <v>12000</v>
      </c>
      <c r="E22" s="14"/>
    </row>
    <row r="23" spans="2:12">
      <c r="C23" s="1" t="s">
        <v>17</v>
      </c>
      <c r="D23" s="2">
        <v>9200</v>
      </c>
    </row>
    <row r="24" spans="2:12">
      <c r="C24" s="1" t="s">
        <v>27</v>
      </c>
      <c r="D24" s="2">
        <v>6000</v>
      </c>
    </row>
    <row r="25" spans="2:12">
      <c r="C25" s="1" t="s">
        <v>36</v>
      </c>
      <c r="D25" s="2">
        <v>5000</v>
      </c>
    </row>
    <row r="27" spans="2:12">
      <c r="D27" s="2">
        <f>SUM(D22:D26)</f>
        <v>32200</v>
      </c>
    </row>
  </sheetData>
  <mergeCells count="12">
    <mergeCell ref="D2:E2"/>
    <mergeCell ref="I2:J2"/>
    <mergeCell ref="D12:E12"/>
    <mergeCell ref="I12:J12"/>
    <mergeCell ref="B19:C20"/>
    <mergeCell ref="D19:E20"/>
    <mergeCell ref="G19:H20"/>
    <mergeCell ref="I19:J20"/>
    <mergeCell ref="B9:C10"/>
    <mergeCell ref="D9:E10"/>
    <mergeCell ref="G9:H10"/>
    <mergeCell ref="I9:J10"/>
  </mergeCells>
  <printOptions horizontalCentered="1" verticalCentered="1"/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5:AR40"/>
  <sheetViews>
    <sheetView topLeftCell="A31" workbookViewId="0">
      <selection activeCell="AK44" sqref="AK44"/>
    </sheetView>
  </sheetViews>
  <sheetFormatPr defaultRowHeight="15"/>
  <cols>
    <col min="1" max="1" width="3.7109375" customWidth="1"/>
    <col min="2" max="2" width="6.7109375" customWidth="1"/>
    <col min="3" max="3" width="6.5703125" bestFit="1" customWidth="1"/>
    <col min="4" max="34" width="2.42578125" customWidth="1"/>
    <col min="35" max="35" width="2.7109375" bestFit="1" customWidth="1"/>
    <col min="36" max="37" width="2" customWidth="1"/>
    <col min="38" max="38" width="2.7109375" bestFit="1" customWidth="1"/>
    <col min="39" max="43" width="5.7109375" customWidth="1"/>
    <col min="44" max="44" width="5" customWidth="1"/>
  </cols>
  <sheetData>
    <row r="5" spans="1:41" ht="15.75" thickBot="1"/>
    <row r="6" spans="1:41" ht="15.75" customHeight="1" thickBot="1">
      <c r="J6" s="958">
        <v>700</v>
      </c>
      <c r="K6" s="959"/>
      <c r="L6" s="959"/>
      <c r="M6" s="959"/>
      <c r="N6" s="959"/>
      <c r="O6" s="959"/>
      <c r="P6" s="959"/>
      <c r="Q6" s="960"/>
      <c r="AA6" s="957">
        <f>J6*W7</f>
        <v>18200</v>
      </c>
      <c r="AB6" s="957"/>
      <c r="AC6" s="957"/>
      <c r="AD6" s="957"/>
      <c r="AE6" s="957"/>
      <c r="AF6" s="957"/>
      <c r="AG6" s="957"/>
      <c r="AH6" s="957"/>
      <c r="AI6" s="957"/>
      <c r="AJ6" s="957"/>
      <c r="AK6" s="957"/>
      <c r="AL6" s="957"/>
    </row>
    <row r="7" spans="1:41" ht="15" customHeight="1">
      <c r="J7" s="961"/>
      <c r="K7" s="962"/>
      <c r="L7" s="962"/>
      <c r="M7" s="962"/>
      <c r="N7" s="962"/>
      <c r="O7" s="962"/>
      <c r="P7" s="962"/>
      <c r="Q7" s="963"/>
      <c r="S7" s="967">
        <v>10</v>
      </c>
      <c r="T7" s="968"/>
      <c r="U7" s="969"/>
      <c r="W7" s="967">
        <v>26</v>
      </c>
      <c r="X7" s="968"/>
      <c r="Y7" s="969"/>
      <c r="AA7" s="957"/>
      <c r="AB7" s="957"/>
      <c r="AC7" s="957"/>
      <c r="AD7" s="957"/>
      <c r="AE7" s="957"/>
      <c r="AF7" s="957"/>
      <c r="AG7" s="957"/>
      <c r="AH7" s="957"/>
      <c r="AI7" s="957"/>
      <c r="AJ7" s="957"/>
      <c r="AK7" s="957"/>
      <c r="AL7" s="957"/>
    </row>
    <row r="8" spans="1:41" ht="15" customHeight="1">
      <c r="J8" s="961"/>
      <c r="K8" s="962"/>
      <c r="L8" s="962"/>
      <c r="M8" s="962"/>
      <c r="N8" s="962"/>
      <c r="O8" s="962"/>
      <c r="P8" s="962"/>
      <c r="Q8" s="963"/>
      <c r="S8" s="970"/>
      <c r="T8" s="971"/>
      <c r="U8" s="972"/>
      <c r="V8" s="141"/>
      <c r="W8" s="970"/>
      <c r="X8" s="971"/>
      <c r="Y8" s="972"/>
      <c r="AA8" s="957"/>
      <c r="AB8" s="957"/>
      <c r="AC8" s="957"/>
      <c r="AD8" s="957"/>
      <c r="AE8" s="957"/>
      <c r="AF8" s="957"/>
      <c r="AG8" s="957"/>
      <c r="AH8" s="957"/>
      <c r="AI8" s="957"/>
      <c r="AJ8" s="957"/>
      <c r="AK8" s="957"/>
      <c r="AL8" s="957"/>
    </row>
    <row r="9" spans="1:41" ht="15.75" customHeight="1" thickBot="1">
      <c r="J9" s="961"/>
      <c r="K9" s="962"/>
      <c r="L9" s="962"/>
      <c r="M9" s="962"/>
      <c r="N9" s="962"/>
      <c r="O9" s="962"/>
      <c r="P9" s="962"/>
      <c r="Q9" s="963"/>
      <c r="S9" s="973"/>
      <c r="T9" s="974"/>
      <c r="U9" s="975"/>
      <c r="W9" s="973"/>
      <c r="X9" s="974"/>
      <c r="Y9" s="975"/>
      <c r="AA9" s="957"/>
      <c r="AB9" s="957"/>
      <c r="AC9" s="957"/>
      <c r="AD9" s="957"/>
      <c r="AE9" s="957"/>
      <c r="AF9" s="957"/>
      <c r="AG9" s="957"/>
      <c r="AH9" s="957"/>
      <c r="AI9" s="957"/>
      <c r="AJ9" s="957"/>
      <c r="AK9" s="957"/>
      <c r="AL9" s="957"/>
    </row>
    <row r="10" spans="1:41" ht="15" customHeight="1">
      <c r="J10" s="961"/>
      <c r="K10" s="962"/>
      <c r="L10" s="962"/>
      <c r="M10" s="962"/>
      <c r="N10" s="962"/>
      <c r="O10" s="962"/>
      <c r="P10" s="962"/>
      <c r="Q10" s="963"/>
      <c r="AA10" s="957"/>
      <c r="AB10" s="957"/>
      <c r="AC10" s="957"/>
      <c r="AD10" s="957"/>
      <c r="AE10" s="957"/>
      <c r="AF10" s="957"/>
      <c r="AG10" s="957"/>
      <c r="AH10" s="957"/>
      <c r="AI10" s="957"/>
      <c r="AJ10" s="957"/>
      <c r="AK10" s="957"/>
      <c r="AL10" s="957"/>
    </row>
    <row r="11" spans="1:41" ht="15.75" customHeight="1" thickBot="1">
      <c r="J11" s="964"/>
      <c r="K11" s="965"/>
      <c r="L11" s="965"/>
      <c r="M11" s="965"/>
      <c r="N11" s="965"/>
      <c r="O11" s="965"/>
      <c r="P11" s="965"/>
      <c r="Q11" s="966"/>
      <c r="AA11" s="957"/>
      <c r="AB11" s="957"/>
      <c r="AC11" s="957"/>
      <c r="AD11" s="957"/>
      <c r="AE11" s="957"/>
      <c r="AF11" s="957"/>
      <c r="AG11" s="957"/>
      <c r="AH11" s="957"/>
      <c r="AI11" s="957"/>
      <c r="AJ11" s="957"/>
      <c r="AK11" s="957"/>
      <c r="AL11" s="957"/>
    </row>
    <row r="13" spans="1:41">
      <c r="AG13">
        <v>31</v>
      </c>
    </row>
    <row r="14" spans="1:41">
      <c r="A14" s="956" t="s">
        <v>91</v>
      </c>
      <c r="B14" s="956"/>
    </row>
    <row r="15" spans="1:41" ht="16.5" customHeight="1">
      <c r="A15" s="18">
        <v>1</v>
      </c>
      <c r="B15" s="19" t="s">
        <v>27</v>
      </c>
      <c r="C15" s="20">
        <f>B16/AG13</f>
        <v>322.58064516129031</v>
      </c>
      <c r="D15" s="21">
        <v>1</v>
      </c>
      <c r="E15" s="21">
        <v>1</v>
      </c>
      <c r="F15" s="22">
        <v>0</v>
      </c>
      <c r="G15" s="21">
        <v>1</v>
      </c>
      <c r="H15" s="21">
        <v>1</v>
      </c>
      <c r="I15" s="21">
        <v>1</v>
      </c>
      <c r="J15" s="21">
        <v>1</v>
      </c>
      <c r="K15" s="21">
        <v>1</v>
      </c>
      <c r="L15" s="21">
        <v>1</v>
      </c>
      <c r="M15" s="22">
        <v>0</v>
      </c>
      <c r="N15" s="21">
        <v>1</v>
      </c>
      <c r="O15" s="21">
        <v>1</v>
      </c>
      <c r="P15" s="21">
        <v>1</v>
      </c>
      <c r="Q15" s="21">
        <v>1</v>
      </c>
      <c r="R15" s="21">
        <v>1</v>
      </c>
      <c r="S15" s="21">
        <v>1</v>
      </c>
      <c r="T15" s="22">
        <v>0</v>
      </c>
      <c r="U15" s="23">
        <v>0</v>
      </c>
      <c r="V15" s="21">
        <v>1</v>
      </c>
      <c r="W15" s="21">
        <v>1</v>
      </c>
      <c r="X15" s="21">
        <v>1</v>
      </c>
      <c r="Y15" s="23">
        <v>0</v>
      </c>
      <c r="Z15" s="21">
        <v>1</v>
      </c>
      <c r="AA15" s="152">
        <v>0</v>
      </c>
      <c r="AB15" s="21">
        <v>1</v>
      </c>
      <c r="AC15" s="21">
        <v>1</v>
      </c>
      <c r="AD15" s="21">
        <v>1</v>
      </c>
      <c r="AE15" s="21">
        <v>1</v>
      </c>
      <c r="AF15" s="21">
        <v>1</v>
      </c>
      <c r="AG15" s="21">
        <v>1</v>
      </c>
      <c r="AH15" s="22">
        <v>0</v>
      </c>
      <c r="AI15" s="21">
        <f>SUM(D15:AH15)</f>
        <v>24</v>
      </c>
      <c r="AJ15" s="120">
        <v>5</v>
      </c>
      <c r="AK15" s="21">
        <v>0</v>
      </c>
      <c r="AL15" s="21">
        <f>SUM(AI15:AK15)</f>
        <v>29</v>
      </c>
      <c r="AM15" s="20">
        <f>C15*AL15</f>
        <v>9354.8387096774186</v>
      </c>
      <c r="AN15" s="21">
        <v>11000</v>
      </c>
      <c r="AO15" s="505">
        <f>AM15+AM16</f>
        <v>10564.516129032258</v>
      </c>
    </row>
    <row r="16" spans="1:41" ht="16.5" customHeight="1">
      <c r="A16" s="153">
        <f>C15/8</f>
        <v>40.322580645161288</v>
      </c>
      <c r="B16" s="21">
        <v>10000</v>
      </c>
      <c r="C16" s="20">
        <f>C15/8*1.5</f>
        <v>60.483870967741936</v>
      </c>
      <c r="D16" s="21">
        <v>0</v>
      </c>
      <c r="E16" s="21">
        <v>0</v>
      </c>
      <c r="F16" s="22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2">
        <v>0</v>
      </c>
      <c r="N16" s="21">
        <v>2</v>
      </c>
      <c r="O16" s="21">
        <v>2</v>
      </c>
      <c r="P16" s="21">
        <v>0</v>
      </c>
      <c r="Q16" s="21">
        <v>0</v>
      </c>
      <c r="R16" s="21">
        <v>2</v>
      </c>
      <c r="S16" s="21">
        <v>0</v>
      </c>
      <c r="T16" s="22">
        <v>0</v>
      </c>
      <c r="U16" s="21">
        <v>0</v>
      </c>
      <c r="V16" s="21">
        <v>2</v>
      </c>
      <c r="W16" s="21">
        <v>2</v>
      </c>
      <c r="X16" s="21">
        <v>2</v>
      </c>
      <c r="Y16" s="120">
        <v>0</v>
      </c>
      <c r="Z16" s="120">
        <v>0</v>
      </c>
      <c r="AA16" s="152">
        <v>0</v>
      </c>
      <c r="AB16" s="21">
        <v>2</v>
      </c>
      <c r="AC16" s="21">
        <v>2</v>
      </c>
      <c r="AD16" s="120">
        <v>0</v>
      </c>
      <c r="AE16" s="120">
        <v>0</v>
      </c>
      <c r="AF16" s="21">
        <v>2</v>
      </c>
      <c r="AG16" s="21">
        <v>2</v>
      </c>
      <c r="AH16" s="22">
        <v>0</v>
      </c>
      <c r="AI16" s="21">
        <f t="shared" ref="AI16" si="0">SUM(D16:AH16)</f>
        <v>20</v>
      </c>
      <c r="AJ16" s="120">
        <v>0</v>
      </c>
      <c r="AK16" s="21">
        <v>0</v>
      </c>
      <c r="AL16" s="21">
        <f t="shared" ref="AL16" si="1">SUM(AI16:AK16)</f>
        <v>20</v>
      </c>
      <c r="AM16" s="20">
        <f>C16*AL16</f>
        <v>1209.6774193548388</v>
      </c>
      <c r="AN16" s="20">
        <v>0</v>
      </c>
      <c r="AO16" s="505"/>
    </row>
    <row r="18" spans="1:44" ht="15.75" thickBot="1"/>
    <row r="19" spans="1:44" ht="27" thickBot="1">
      <c r="A19" s="553" t="s">
        <v>0</v>
      </c>
      <c r="B19" s="555" t="s">
        <v>1</v>
      </c>
      <c r="C19" s="556"/>
      <c r="D19" s="591" t="s">
        <v>92</v>
      </c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592"/>
      <c r="Z19" s="592"/>
      <c r="AA19" s="592"/>
      <c r="AB19" s="592"/>
      <c r="AC19" s="592"/>
      <c r="AD19" s="592"/>
      <c r="AE19" s="592"/>
      <c r="AF19" s="593"/>
      <c r="AG19" s="976">
        <v>30</v>
      </c>
      <c r="AH19" s="977"/>
      <c r="AI19" s="564" t="s">
        <v>3</v>
      </c>
      <c r="AJ19" s="566" t="s">
        <v>4</v>
      </c>
      <c r="AK19" s="566" t="s">
        <v>5</v>
      </c>
      <c r="AL19" s="566" t="s">
        <v>6</v>
      </c>
      <c r="AM19" s="568" t="s">
        <v>7</v>
      </c>
      <c r="AN19" s="568" t="s">
        <v>8</v>
      </c>
      <c r="AO19" s="568" t="s">
        <v>7</v>
      </c>
      <c r="AP19" s="568" t="s">
        <v>33</v>
      </c>
      <c r="AQ19" s="978" t="s">
        <v>93</v>
      </c>
    </row>
    <row r="20" spans="1:44" ht="15.75" thickBot="1">
      <c r="A20" s="554"/>
      <c r="B20" s="557"/>
      <c r="C20" s="558"/>
      <c r="D20" s="156">
        <v>1</v>
      </c>
      <c r="E20" s="157">
        <v>2</v>
      </c>
      <c r="F20" s="157">
        <v>3</v>
      </c>
      <c r="G20" s="157">
        <v>4</v>
      </c>
      <c r="H20" s="157">
        <v>5</v>
      </c>
      <c r="I20" s="157">
        <v>6</v>
      </c>
      <c r="J20" s="157">
        <v>7</v>
      </c>
      <c r="K20" s="157">
        <v>8</v>
      </c>
      <c r="L20" s="157">
        <v>9</v>
      </c>
      <c r="M20" s="157">
        <v>10</v>
      </c>
      <c r="N20" s="157">
        <v>11</v>
      </c>
      <c r="O20" s="157">
        <v>12</v>
      </c>
      <c r="P20" s="157">
        <v>13</v>
      </c>
      <c r="Q20" s="157">
        <v>14</v>
      </c>
      <c r="R20" s="157">
        <v>15</v>
      </c>
      <c r="S20" s="157">
        <v>16</v>
      </c>
      <c r="T20" s="157">
        <v>17</v>
      </c>
      <c r="U20" s="157">
        <v>18</v>
      </c>
      <c r="V20" s="157">
        <v>19</v>
      </c>
      <c r="W20" s="157">
        <v>20</v>
      </c>
      <c r="X20" s="157">
        <v>21</v>
      </c>
      <c r="Y20" s="157">
        <v>22</v>
      </c>
      <c r="Z20" s="157">
        <v>23</v>
      </c>
      <c r="AA20" s="157">
        <v>24</v>
      </c>
      <c r="AB20" s="157">
        <v>25</v>
      </c>
      <c r="AC20" s="157">
        <v>26</v>
      </c>
      <c r="AD20" s="157">
        <v>27</v>
      </c>
      <c r="AE20" s="157">
        <v>28</v>
      </c>
      <c r="AF20" s="157">
        <v>29</v>
      </c>
      <c r="AG20" s="157">
        <v>30</v>
      </c>
      <c r="AH20" s="155">
        <v>31</v>
      </c>
      <c r="AI20" s="565"/>
      <c r="AJ20" s="567"/>
      <c r="AK20" s="567"/>
      <c r="AL20" s="567"/>
      <c r="AM20" s="569"/>
      <c r="AN20" s="569"/>
      <c r="AO20" s="569"/>
      <c r="AP20" s="569"/>
      <c r="AQ20" s="979"/>
    </row>
    <row r="21" spans="1:44">
      <c r="A21" s="160">
        <v>1</v>
      </c>
      <c r="B21" s="95" t="s">
        <v>27</v>
      </c>
      <c r="C21" s="116">
        <f>B22/AG19</f>
        <v>333.33333333333331</v>
      </c>
      <c r="D21" s="21">
        <v>1</v>
      </c>
      <c r="E21" s="21">
        <v>1</v>
      </c>
      <c r="F21" s="21">
        <v>1</v>
      </c>
      <c r="G21" s="86">
        <v>0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86">
        <v>0</v>
      </c>
      <c r="O21" s="23">
        <v>0</v>
      </c>
      <c r="P21" s="23">
        <v>0</v>
      </c>
      <c r="Q21" s="23">
        <v>0</v>
      </c>
      <c r="R21" s="21">
        <v>1</v>
      </c>
      <c r="S21" s="21">
        <v>1</v>
      </c>
      <c r="T21" s="163">
        <v>0</v>
      </c>
      <c r="U21" s="162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86">
        <v>0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123">
        <v>0</v>
      </c>
      <c r="AI21" s="108">
        <f>SUM(D21:AH21)</f>
        <v>23</v>
      </c>
      <c r="AJ21" s="119">
        <v>4</v>
      </c>
      <c r="AK21" s="81">
        <v>0</v>
      </c>
      <c r="AL21" s="81">
        <f>SUM(AI21:AK21)</f>
        <v>27</v>
      </c>
      <c r="AM21" s="81">
        <f>C21*AL21</f>
        <v>9000</v>
      </c>
      <c r="AN21" s="81">
        <v>0</v>
      </c>
      <c r="AO21" s="533">
        <f>AM21+AM22</f>
        <v>10937.5</v>
      </c>
      <c r="AP21" s="546">
        <f>AO21-677</f>
        <v>10260.5</v>
      </c>
      <c r="AQ21" s="701">
        <f>1000-323</f>
        <v>677</v>
      </c>
    </row>
    <row r="22" spans="1:44">
      <c r="A22" s="78">
        <f>C21/8</f>
        <v>41.666666666666664</v>
      </c>
      <c r="B22" s="147">
        <v>10000</v>
      </c>
      <c r="C22" s="116">
        <f>C21/8*1.5</f>
        <v>62.5</v>
      </c>
      <c r="D22" s="21">
        <v>0</v>
      </c>
      <c r="E22" s="21">
        <v>0</v>
      </c>
      <c r="F22" s="21">
        <v>0</v>
      </c>
      <c r="G22" s="86">
        <v>0</v>
      </c>
      <c r="H22" s="21">
        <v>2</v>
      </c>
      <c r="I22" s="21">
        <v>0</v>
      </c>
      <c r="J22" s="21">
        <v>0</v>
      </c>
      <c r="K22" s="21">
        <v>0</v>
      </c>
      <c r="L22" s="21">
        <v>2</v>
      </c>
      <c r="M22" s="21">
        <v>1</v>
      </c>
      <c r="N22" s="86">
        <v>0</v>
      </c>
      <c r="O22" s="21">
        <v>0</v>
      </c>
      <c r="P22" s="21">
        <v>0</v>
      </c>
      <c r="Q22" s="21">
        <v>0</v>
      </c>
      <c r="R22" s="21">
        <v>2</v>
      </c>
      <c r="S22" s="21">
        <v>2</v>
      </c>
      <c r="T22" s="21">
        <v>0</v>
      </c>
      <c r="U22" s="86">
        <v>0</v>
      </c>
      <c r="V22" s="21">
        <v>2</v>
      </c>
      <c r="W22" s="21">
        <v>2</v>
      </c>
      <c r="X22" s="21">
        <v>0</v>
      </c>
      <c r="Y22" s="21">
        <v>2</v>
      </c>
      <c r="Z22" s="21">
        <v>2</v>
      </c>
      <c r="AA22" s="21">
        <v>0</v>
      </c>
      <c r="AB22" s="86">
        <v>6</v>
      </c>
      <c r="AC22" s="21">
        <v>2</v>
      </c>
      <c r="AD22" s="21">
        <v>2</v>
      </c>
      <c r="AE22" s="21">
        <v>0</v>
      </c>
      <c r="AF22" s="21">
        <v>2</v>
      </c>
      <c r="AG22" s="21">
        <v>2</v>
      </c>
      <c r="AH22" s="123">
        <v>0</v>
      </c>
      <c r="AI22" s="108">
        <f t="shared" ref="AI22" si="2">SUM(D22:AH22)</f>
        <v>31</v>
      </c>
      <c r="AJ22" s="120">
        <v>0</v>
      </c>
      <c r="AK22" s="21">
        <v>0</v>
      </c>
      <c r="AL22" s="81">
        <f t="shared" ref="AL22" si="3">SUM(AI22:AK22)</f>
        <v>31</v>
      </c>
      <c r="AM22" s="81">
        <f>C22*AL22</f>
        <v>1937.5</v>
      </c>
      <c r="AN22" s="20">
        <v>0</v>
      </c>
      <c r="AO22" s="528"/>
      <c r="AP22" s="703"/>
      <c r="AQ22" s="702"/>
    </row>
    <row r="23" spans="1:44" ht="15.75" thickBot="1"/>
    <row r="24" spans="1:44" ht="27" thickBot="1">
      <c r="A24" s="680" t="s">
        <v>0</v>
      </c>
      <c r="B24" s="682" t="s">
        <v>1</v>
      </c>
      <c r="C24" s="683"/>
      <c r="D24" s="686" t="s">
        <v>94</v>
      </c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687"/>
      <c r="S24" s="687"/>
      <c r="T24" s="687"/>
      <c r="U24" s="687"/>
      <c r="V24" s="687"/>
      <c r="W24" s="687"/>
      <c r="X24" s="687"/>
      <c r="Y24" s="687"/>
      <c r="Z24" s="687"/>
      <c r="AA24" s="687"/>
      <c r="AB24" s="687"/>
      <c r="AC24" s="687"/>
      <c r="AD24" s="687"/>
      <c r="AE24" s="687"/>
      <c r="AF24" s="688"/>
      <c r="AG24" s="689">
        <v>31</v>
      </c>
      <c r="AH24" s="690"/>
      <c r="AI24" s="691" t="s">
        <v>3</v>
      </c>
      <c r="AJ24" s="693" t="s">
        <v>4</v>
      </c>
      <c r="AK24" s="693" t="s">
        <v>5</v>
      </c>
      <c r="AL24" s="693" t="s">
        <v>6</v>
      </c>
      <c r="AM24" s="695" t="s">
        <v>7</v>
      </c>
      <c r="AN24" s="695" t="s">
        <v>8</v>
      </c>
      <c r="AO24" s="695" t="s">
        <v>7</v>
      </c>
      <c r="AP24" s="695" t="s">
        <v>33</v>
      </c>
      <c r="AQ24" s="699" t="s">
        <v>93</v>
      </c>
    </row>
    <row r="25" spans="1:44" ht="15.75" thickBot="1">
      <c r="A25" s="681"/>
      <c r="B25" s="684"/>
      <c r="C25" s="685"/>
      <c r="D25" s="168">
        <v>1</v>
      </c>
      <c r="E25" s="169">
        <v>2</v>
      </c>
      <c r="F25" s="169">
        <v>3</v>
      </c>
      <c r="G25" s="169">
        <v>4</v>
      </c>
      <c r="H25" s="169">
        <v>5</v>
      </c>
      <c r="I25" s="169">
        <v>6</v>
      </c>
      <c r="J25" s="169">
        <v>7</v>
      </c>
      <c r="K25" s="169">
        <v>8</v>
      </c>
      <c r="L25" s="169">
        <v>9</v>
      </c>
      <c r="M25" s="169">
        <v>10</v>
      </c>
      <c r="N25" s="169">
        <v>11</v>
      </c>
      <c r="O25" s="169">
        <v>12</v>
      </c>
      <c r="P25" s="169">
        <v>13</v>
      </c>
      <c r="Q25" s="169">
        <v>14</v>
      </c>
      <c r="R25" s="169">
        <v>15</v>
      </c>
      <c r="S25" s="169">
        <v>16</v>
      </c>
      <c r="T25" s="169">
        <v>17</v>
      </c>
      <c r="U25" s="169">
        <v>18</v>
      </c>
      <c r="V25" s="169">
        <v>19</v>
      </c>
      <c r="W25" s="169">
        <v>20</v>
      </c>
      <c r="X25" s="169">
        <v>21</v>
      </c>
      <c r="Y25" s="169">
        <v>22</v>
      </c>
      <c r="Z25" s="169">
        <v>23</v>
      </c>
      <c r="AA25" s="169">
        <v>24</v>
      </c>
      <c r="AB25" s="169">
        <v>25</v>
      </c>
      <c r="AC25" s="169">
        <v>26</v>
      </c>
      <c r="AD25" s="169">
        <v>27</v>
      </c>
      <c r="AE25" s="169">
        <v>28</v>
      </c>
      <c r="AF25" s="169">
        <v>29</v>
      </c>
      <c r="AG25" s="169">
        <v>30</v>
      </c>
      <c r="AH25" s="169">
        <v>31</v>
      </c>
      <c r="AI25" s="692"/>
      <c r="AJ25" s="694"/>
      <c r="AK25" s="694"/>
      <c r="AL25" s="694"/>
      <c r="AM25" s="696"/>
      <c r="AN25" s="696"/>
      <c r="AO25" s="696"/>
      <c r="AP25" s="696"/>
      <c r="AQ25" s="700"/>
    </row>
    <row r="26" spans="1:44">
      <c r="A26" s="160">
        <v>1</v>
      </c>
      <c r="B26" s="95" t="s">
        <v>27</v>
      </c>
      <c r="C26" s="116">
        <f>B27/AG24</f>
        <v>322.58064516129031</v>
      </c>
      <c r="D26" s="21">
        <v>1</v>
      </c>
      <c r="E26" s="86">
        <v>0</v>
      </c>
      <c r="F26" s="21">
        <v>1</v>
      </c>
      <c r="G26" s="21">
        <v>1</v>
      </c>
      <c r="H26" s="131">
        <v>0</v>
      </c>
      <c r="I26" s="21">
        <v>1</v>
      </c>
      <c r="J26" s="21">
        <v>1</v>
      </c>
      <c r="K26" s="21">
        <v>1</v>
      </c>
      <c r="L26" s="86">
        <v>0</v>
      </c>
      <c r="M26" s="21">
        <v>1</v>
      </c>
      <c r="N26" s="21">
        <v>1</v>
      </c>
      <c r="O26" s="21">
        <v>1</v>
      </c>
      <c r="P26" s="23">
        <v>0</v>
      </c>
      <c r="Q26" s="21">
        <v>1</v>
      </c>
      <c r="R26" s="21">
        <v>1</v>
      </c>
      <c r="S26" s="86">
        <v>0</v>
      </c>
      <c r="T26" s="21">
        <v>1</v>
      </c>
      <c r="U26" s="21">
        <v>1</v>
      </c>
      <c r="V26" s="21">
        <v>1</v>
      </c>
      <c r="W26" s="21">
        <v>1</v>
      </c>
      <c r="X26" s="21">
        <v>1</v>
      </c>
      <c r="Y26" s="21">
        <v>1</v>
      </c>
      <c r="Z26" s="86">
        <v>0</v>
      </c>
      <c r="AA26" s="131">
        <v>0</v>
      </c>
      <c r="AB26" s="23">
        <v>0</v>
      </c>
      <c r="AC26" s="21">
        <v>1</v>
      </c>
      <c r="AD26" s="21">
        <v>1</v>
      </c>
      <c r="AE26" s="21">
        <v>1</v>
      </c>
      <c r="AF26" s="23">
        <v>0.5</v>
      </c>
      <c r="AG26" s="86">
        <v>0</v>
      </c>
      <c r="AH26" s="21">
        <v>1</v>
      </c>
      <c r="AI26" s="108">
        <f>SUM(D26:AH26)</f>
        <v>21.5</v>
      </c>
      <c r="AJ26" s="119">
        <v>7</v>
      </c>
      <c r="AK26" s="81">
        <v>0</v>
      </c>
      <c r="AL26" s="81">
        <f>SUM(AI26:AK26)</f>
        <v>28.5</v>
      </c>
      <c r="AM26" s="81">
        <f>C26*AL26</f>
        <v>9193.5483870967746</v>
      </c>
      <c r="AN26" s="81">
        <v>0</v>
      </c>
      <c r="AO26" s="533">
        <f>AM26+AM27</f>
        <v>10645.161290322581</v>
      </c>
      <c r="AP26" s="546">
        <v>10000</v>
      </c>
      <c r="AQ26" s="701">
        <v>2000</v>
      </c>
    </row>
    <row r="27" spans="1:44">
      <c r="A27" s="78">
        <f>C26/8</f>
        <v>40.322580645161288</v>
      </c>
      <c r="B27" s="147">
        <v>10000</v>
      </c>
      <c r="C27" s="116">
        <f>C26/8*1.5</f>
        <v>60.483870967741936</v>
      </c>
      <c r="D27" s="21">
        <v>0</v>
      </c>
      <c r="E27" s="86">
        <v>0</v>
      </c>
      <c r="F27" s="21">
        <v>0</v>
      </c>
      <c r="G27" s="21">
        <v>2</v>
      </c>
      <c r="H27" s="131">
        <v>0</v>
      </c>
      <c r="I27" s="21">
        <v>2</v>
      </c>
      <c r="J27" s="21">
        <v>2</v>
      </c>
      <c r="K27" s="21">
        <v>0</v>
      </c>
      <c r="L27" s="86">
        <v>0</v>
      </c>
      <c r="M27" s="21">
        <v>0</v>
      </c>
      <c r="N27" s="21">
        <v>2</v>
      </c>
      <c r="O27" s="21">
        <v>0</v>
      </c>
      <c r="P27" s="21">
        <v>0</v>
      </c>
      <c r="Q27" s="21">
        <v>2</v>
      </c>
      <c r="R27" s="21">
        <v>0</v>
      </c>
      <c r="S27" s="86">
        <v>0</v>
      </c>
      <c r="T27" s="21">
        <v>2</v>
      </c>
      <c r="U27" s="21">
        <v>2</v>
      </c>
      <c r="V27" s="21">
        <v>0</v>
      </c>
      <c r="W27" s="21">
        <v>2</v>
      </c>
      <c r="X27" s="21">
        <v>2</v>
      </c>
      <c r="Y27" s="21">
        <v>0</v>
      </c>
      <c r="Z27" s="86">
        <v>0</v>
      </c>
      <c r="AA27" s="131">
        <v>0</v>
      </c>
      <c r="AB27" s="21">
        <v>0</v>
      </c>
      <c r="AC27" s="21">
        <v>0</v>
      </c>
      <c r="AD27" s="21">
        <v>2</v>
      </c>
      <c r="AE27" s="21">
        <v>2</v>
      </c>
      <c r="AF27" s="21">
        <v>0</v>
      </c>
      <c r="AG27" s="86">
        <v>0</v>
      </c>
      <c r="AH27" s="21">
        <v>2</v>
      </c>
      <c r="AI27" s="108">
        <f t="shared" ref="AI27" si="4">SUM(D27:AH27)</f>
        <v>24</v>
      </c>
      <c r="AJ27" s="120">
        <v>0</v>
      </c>
      <c r="AK27" s="21">
        <v>0</v>
      </c>
      <c r="AL27" s="81">
        <f t="shared" ref="AL27" si="5">SUM(AI27:AK27)</f>
        <v>24</v>
      </c>
      <c r="AM27" s="81">
        <f>C27*AL27</f>
        <v>1451.6129032258063</v>
      </c>
      <c r="AN27" s="20">
        <v>0</v>
      </c>
      <c r="AO27" s="528"/>
      <c r="AP27" s="703"/>
      <c r="AQ27" s="702"/>
    </row>
    <row r="28" spans="1:44" ht="15.75" thickBot="1"/>
    <row r="29" spans="1:44" ht="28.5" customHeight="1" thickBot="1">
      <c r="A29" s="553" t="s">
        <v>0</v>
      </c>
      <c r="B29" s="555" t="s">
        <v>1</v>
      </c>
      <c r="C29" s="556"/>
      <c r="D29" s="559" t="s">
        <v>96</v>
      </c>
      <c r="E29" s="560"/>
      <c r="F29" s="560"/>
      <c r="G29" s="560"/>
      <c r="H29" s="560"/>
      <c r="I29" s="560"/>
      <c r="J29" s="560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0"/>
      <c r="V29" s="560"/>
      <c r="W29" s="560"/>
      <c r="X29" s="560"/>
      <c r="Y29" s="560"/>
      <c r="Z29" s="560"/>
      <c r="AA29" s="560"/>
      <c r="AB29" s="560"/>
      <c r="AC29" s="560"/>
      <c r="AD29" s="560"/>
      <c r="AE29" s="560"/>
      <c r="AF29" s="561"/>
      <c r="AG29" s="562">
        <v>30</v>
      </c>
      <c r="AH29" s="563"/>
      <c r="AI29" s="564" t="s">
        <v>3</v>
      </c>
      <c r="AJ29" s="566" t="s">
        <v>4</v>
      </c>
      <c r="AK29" s="566" t="s">
        <v>5</v>
      </c>
      <c r="AL29" s="566" t="s">
        <v>6</v>
      </c>
      <c r="AM29" s="568" t="s">
        <v>7</v>
      </c>
      <c r="AN29" s="568" t="s">
        <v>97</v>
      </c>
      <c r="AO29" s="568" t="s">
        <v>33</v>
      </c>
      <c r="AP29" s="549" t="s">
        <v>93</v>
      </c>
    </row>
    <row r="30" spans="1:44" ht="15.75" customHeight="1" thickBot="1">
      <c r="A30" s="554"/>
      <c r="B30" s="557"/>
      <c r="C30" s="558"/>
      <c r="D30" s="156">
        <v>1</v>
      </c>
      <c r="E30" s="157">
        <v>2</v>
      </c>
      <c r="F30" s="157">
        <v>3</v>
      </c>
      <c r="G30" s="157">
        <v>4</v>
      </c>
      <c r="H30" s="157">
        <v>5</v>
      </c>
      <c r="I30" s="157">
        <v>6</v>
      </c>
      <c r="J30" s="157">
        <v>7</v>
      </c>
      <c r="K30" s="157">
        <v>8</v>
      </c>
      <c r="L30" s="157">
        <v>9</v>
      </c>
      <c r="M30" s="157">
        <v>10</v>
      </c>
      <c r="N30" s="157">
        <v>11</v>
      </c>
      <c r="O30" s="157">
        <v>12</v>
      </c>
      <c r="P30" s="157">
        <v>13</v>
      </c>
      <c r="Q30" s="157">
        <v>14</v>
      </c>
      <c r="R30" s="157">
        <v>15</v>
      </c>
      <c r="S30" s="157">
        <v>16</v>
      </c>
      <c r="T30" s="157">
        <v>17</v>
      </c>
      <c r="U30" s="157">
        <v>18</v>
      </c>
      <c r="V30" s="157">
        <v>19</v>
      </c>
      <c r="W30" s="157">
        <v>20</v>
      </c>
      <c r="X30" s="157">
        <v>21</v>
      </c>
      <c r="Y30" s="157">
        <v>22</v>
      </c>
      <c r="Z30" s="157">
        <v>23</v>
      </c>
      <c r="AA30" s="157">
        <v>24</v>
      </c>
      <c r="AB30" s="157">
        <v>25</v>
      </c>
      <c r="AC30" s="157">
        <v>26</v>
      </c>
      <c r="AD30" s="157">
        <v>27</v>
      </c>
      <c r="AE30" s="157">
        <v>28</v>
      </c>
      <c r="AF30" s="157">
        <v>29</v>
      </c>
      <c r="AG30" s="157">
        <v>30</v>
      </c>
      <c r="AH30" s="157">
        <v>31</v>
      </c>
      <c r="AI30" s="565"/>
      <c r="AJ30" s="567"/>
      <c r="AK30" s="567"/>
      <c r="AL30" s="567"/>
      <c r="AM30" s="569"/>
      <c r="AN30" s="569"/>
      <c r="AO30" s="569"/>
      <c r="AP30" s="550"/>
      <c r="AR30" s="157" t="s">
        <v>101</v>
      </c>
    </row>
    <row r="31" spans="1:44" ht="16.5" customHeight="1">
      <c r="A31" s="160">
        <v>1</v>
      </c>
      <c r="B31" s="95" t="s">
        <v>27</v>
      </c>
      <c r="C31" s="116">
        <f>B32/AG29</f>
        <v>333.33333333333331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86">
        <v>0</v>
      </c>
      <c r="J31" s="23">
        <v>0.5</v>
      </c>
      <c r="K31" s="21">
        <v>1</v>
      </c>
      <c r="L31" s="21">
        <v>1</v>
      </c>
      <c r="M31" s="21">
        <v>1</v>
      </c>
      <c r="N31" s="21">
        <v>1</v>
      </c>
      <c r="O31" s="23">
        <v>0</v>
      </c>
      <c r="P31" s="86">
        <v>0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176">
        <v>1</v>
      </c>
      <c r="W31" s="86">
        <v>0</v>
      </c>
      <c r="X31" s="23">
        <v>0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86">
        <v>0</v>
      </c>
      <c r="AE31" s="21">
        <v>1</v>
      </c>
      <c r="AF31" s="21">
        <v>1</v>
      </c>
      <c r="AG31" s="21">
        <v>1</v>
      </c>
      <c r="AH31" s="72"/>
      <c r="AI31" s="108">
        <f>SUM(D31:AH31)</f>
        <v>23.5</v>
      </c>
      <c r="AJ31" s="119">
        <v>4</v>
      </c>
      <c r="AK31" s="81">
        <v>0</v>
      </c>
      <c r="AL31" s="81">
        <f>SUM(AI31:AK31)</f>
        <v>27.5</v>
      </c>
      <c r="AM31" s="81">
        <f>C31*AL31</f>
        <v>9166.6666666666661</v>
      </c>
      <c r="AN31" s="551">
        <f>AM31+AM32</f>
        <v>11166.666666666666</v>
      </c>
      <c r="AO31" s="552">
        <v>11000</v>
      </c>
      <c r="AP31" s="530">
        <v>167</v>
      </c>
      <c r="AQ31" s="530">
        <f>1355+400</f>
        <v>1755</v>
      </c>
      <c r="AR31" s="530">
        <f>AQ31-AP31</f>
        <v>1588</v>
      </c>
    </row>
    <row r="32" spans="1:44" ht="16.5" customHeight="1">
      <c r="A32" s="78">
        <f>C31/8</f>
        <v>41.666666666666664</v>
      </c>
      <c r="B32" s="147">
        <v>10000</v>
      </c>
      <c r="C32" s="116">
        <f>A32*1.5</f>
        <v>62.5</v>
      </c>
      <c r="D32" s="21">
        <v>2</v>
      </c>
      <c r="E32" s="21">
        <v>0</v>
      </c>
      <c r="F32" s="21">
        <v>2</v>
      </c>
      <c r="G32" s="21">
        <v>2</v>
      </c>
      <c r="H32" s="21">
        <v>0</v>
      </c>
      <c r="I32" s="86">
        <v>0</v>
      </c>
      <c r="J32" s="21">
        <v>2</v>
      </c>
      <c r="K32" s="21">
        <v>0</v>
      </c>
      <c r="L32" s="21">
        <v>2</v>
      </c>
      <c r="M32" s="21">
        <v>2</v>
      </c>
      <c r="N32" s="21">
        <v>0</v>
      </c>
      <c r="O32" s="21">
        <v>0</v>
      </c>
      <c r="P32" s="86">
        <v>0</v>
      </c>
      <c r="Q32" s="21">
        <v>2</v>
      </c>
      <c r="R32" s="21">
        <v>2</v>
      </c>
      <c r="S32" s="21">
        <v>0</v>
      </c>
      <c r="T32" s="21">
        <v>2</v>
      </c>
      <c r="U32" s="21">
        <v>2</v>
      </c>
      <c r="V32" s="21">
        <v>0</v>
      </c>
      <c r="W32" s="86">
        <v>0</v>
      </c>
      <c r="X32" s="21">
        <v>0</v>
      </c>
      <c r="Y32" s="21">
        <v>2</v>
      </c>
      <c r="Z32" s="21">
        <v>2</v>
      </c>
      <c r="AA32" s="21">
        <v>2</v>
      </c>
      <c r="AB32" s="21">
        <v>2</v>
      </c>
      <c r="AC32" s="21">
        <v>0</v>
      </c>
      <c r="AD32" s="86">
        <v>0</v>
      </c>
      <c r="AE32" s="21">
        <v>2</v>
      </c>
      <c r="AF32" s="21">
        <v>2</v>
      </c>
      <c r="AG32" s="21">
        <v>0</v>
      </c>
      <c r="AH32" s="72"/>
      <c r="AI32" s="108">
        <f t="shared" ref="AI32" si="6">SUM(D32:AH32)</f>
        <v>32</v>
      </c>
      <c r="AJ32" s="120">
        <v>0</v>
      </c>
      <c r="AK32" s="21">
        <v>0</v>
      </c>
      <c r="AL32" s="81">
        <f t="shared" ref="AL32" si="7">SUM(AI32:AK32)</f>
        <v>32</v>
      </c>
      <c r="AM32" s="81">
        <f>C32*AL32</f>
        <v>2000</v>
      </c>
      <c r="AN32" s="533"/>
      <c r="AO32" s="546"/>
      <c r="AP32" s="531"/>
      <c r="AQ32" s="531"/>
      <c r="AR32" s="531"/>
    </row>
    <row r="33" spans="1:43" ht="15.75" thickBot="1"/>
    <row r="34" spans="1:43" ht="27" thickBot="1">
      <c r="A34" s="553" t="s">
        <v>0</v>
      </c>
      <c r="B34" s="555" t="s">
        <v>1</v>
      </c>
      <c r="C34" s="556"/>
      <c r="D34" s="559" t="s">
        <v>100</v>
      </c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60"/>
      <c r="AB34" s="560"/>
      <c r="AC34" s="560"/>
      <c r="AD34" s="560"/>
      <c r="AE34" s="560"/>
      <c r="AF34" s="561"/>
      <c r="AG34" s="562">
        <v>31</v>
      </c>
      <c r="AH34" s="563"/>
      <c r="AI34" s="564" t="s">
        <v>3</v>
      </c>
      <c r="AJ34" s="566" t="s">
        <v>4</v>
      </c>
      <c r="AK34" s="566" t="s">
        <v>5</v>
      </c>
      <c r="AL34" s="566" t="s">
        <v>6</v>
      </c>
      <c r="AM34" s="568" t="s">
        <v>7</v>
      </c>
      <c r="AN34" s="568" t="s">
        <v>97</v>
      </c>
      <c r="AO34" s="568" t="s">
        <v>33</v>
      </c>
      <c r="AP34" s="549" t="s">
        <v>93</v>
      </c>
      <c r="AQ34" s="549" t="s">
        <v>101</v>
      </c>
    </row>
    <row r="35" spans="1:43" ht="15.75" thickBot="1">
      <c r="A35" s="554"/>
      <c r="B35" s="557"/>
      <c r="C35" s="558"/>
      <c r="D35" s="156">
        <v>1</v>
      </c>
      <c r="E35" s="157">
        <v>2</v>
      </c>
      <c r="F35" s="157">
        <v>3</v>
      </c>
      <c r="G35" s="157">
        <v>4</v>
      </c>
      <c r="H35" s="157">
        <v>5</v>
      </c>
      <c r="I35" s="157">
        <v>6</v>
      </c>
      <c r="J35" s="157">
        <v>7</v>
      </c>
      <c r="K35" s="157">
        <v>8</v>
      </c>
      <c r="L35" s="157">
        <v>9</v>
      </c>
      <c r="M35" s="157">
        <v>10</v>
      </c>
      <c r="N35" s="157">
        <v>11</v>
      </c>
      <c r="O35" s="157">
        <v>12</v>
      </c>
      <c r="P35" s="157">
        <v>13</v>
      </c>
      <c r="Q35" s="157">
        <v>14</v>
      </c>
      <c r="R35" s="157">
        <v>15</v>
      </c>
      <c r="S35" s="157">
        <v>16</v>
      </c>
      <c r="T35" s="157">
        <v>17</v>
      </c>
      <c r="U35" s="157">
        <v>18</v>
      </c>
      <c r="V35" s="157">
        <v>19</v>
      </c>
      <c r="W35" s="157">
        <v>20</v>
      </c>
      <c r="X35" s="157">
        <v>21</v>
      </c>
      <c r="Y35" s="157">
        <v>22</v>
      </c>
      <c r="Z35" s="157">
        <v>23</v>
      </c>
      <c r="AA35" s="157">
        <v>24</v>
      </c>
      <c r="AB35" s="157">
        <v>25</v>
      </c>
      <c r="AC35" s="157">
        <v>26</v>
      </c>
      <c r="AD35" s="157">
        <v>27</v>
      </c>
      <c r="AE35" s="157">
        <v>28</v>
      </c>
      <c r="AF35" s="157">
        <v>29</v>
      </c>
      <c r="AG35" s="157">
        <v>30</v>
      </c>
      <c r="AH35" s="157">
        <v>31</v>
      </c>
      <c r="AI35" s="565"/>
      <c r="AJ35" s="567"/>
      <c r="AK35" s="567"/>
      <c r="AL35" s="567"/>
      <c r="AM35" s="569"/>
      <c r="AN35" s="569"/>
      <c r="AO35" s="569"/>
      <c r="AP35" s="550"/>
      <c r="AQ35" s="550"/>
    </row>
    <row r="36" spans="1:43">
      <c r="A36" s="160">
        <v>1</v>
      </c>
      <c r="B36" s="95" t="s">
        <v>27</v>
      </c>
      <c r="C36" s="116">
        <f>B37/AG34</f>
        <v>322.58064516129031</v>
      </c>
      <c r="D36" s="21">
        <v>1</v>
      </c>
      <c r="E36" s="21">
        <v>1</v>
      </c>
      <c r="F36" s="21">
        <v>1</v>
      </c>
      <c r="G36" s="86">
        <v>0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86">
        <v>0</v>
      </c>
      <c r="O36" s="178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1">
        <v>1</v>
      </c>
      <c r="Y36" s="21">
        <v>1</v>
      </c>
      <c r="Z36" s="21">
        <v>1</v>
      </c>
      <c r="AA36" s="21">
        <v>1</v>
      </c>
      <c r="AB36" s="86">
        <v>0</v>
      </c>
      <c r="AC36" s="21">
        <v>1</v>
      </c>
      <c r="AD36" s="21">
        <v>1</v>
      </c>
      <c r="AE36" s="21">
        <v>1</v>
      </c>
      <c r="AF36" s="21">
        <v>1</v>
      </c>
      <c r="AG36" s="21">
        <v>1</v>
      </c>
      <c r="AH36" s="21">
        <v>1</v>
      </c>
      <c r="AI36" s="108">
        <f>SUM(D36:AH36)</f>
        <v>19</v>
      </c>
      <c r="AJ36" s="119">
        <v>3</v>
      </c>
      <c r="AK36" s="81">
        <v>0</v>
      </c>
      <c r="AL36" s="81">
        <f>SUM(AI36:AK36)</f>
        <v>22</v>
      </c>
      <c r="AM36" s="81">
        <f>C36*AL36</f>
        <v>7096.7741935483864</v>
      </c>
      <c r="AN36" s="551">
        <f>AM36+AM37</f>
        <v>7338.7096774193542</v>
      </c>
      <c r="AO36" s="552">
        <v>7500</v>
      </c>
      <c r="AP36" s="530">
        <v>1588</v>
      </c>
      <c r="AQ36" s="530">
        <f>AN36-AP36</f>
        <v>5750.7096774193542</v>
      </c>
    </row>
    <row r="37" spans="1:43">
      <c r="A37" s="78">
        <f>C44/8</f>
        <v>0</v>
      </c>
      <c r="B37" s="147">
        <v>10000</v>
      </c>
      <c r="C37" s="116">
        <f>C36/8*1.5</f>
        <v>60.483870967741936</v>
      </c>
      <c r="D37" s="21">
        <v>2</v>
      </c>
      <c r="E37" s="21">
        <v>2</v>
      </c>
      <c r="F37" s="21">
        <v>0</v>
      </c>
      <c r="G37" s="86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86">
        <v>0</v>
      </c>
      <c r="O37" s="178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86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86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108">
        <f t="shared" ref="AI37" si="8">SUM(D37:AH37)</f>
        <v>4</v>
      </c>
      <c r="AJ37" s="120">
        <v>0</v>
      </c>
      <c r="AK37" s="21">
        <v>0</v>
      </c>
      <c r="AL37" s="81">
        <f t="shared" ref="AL37" si="9">SUM(AI37:AK37)</f>
        <v>4</v>
      </c>
      <c r="AM37" s="81">
        <f>C37*AL37</f>
        <v>241.93548387096774</v>
      </c>
      <c r="AN37" s="533"/>
      <c r="AO37" s="546"/>
      <c r="AP37" s="531"/>
      <c r="AQ37" s="531"/>
    </row>
    <row r="39" spans="1:43">
      <c r="A39" s="196">
        <v>1</v>
      </c>
      <c r="B39" s="196" t="s">
        <v>27</v>
      </c>
      <c r="C39" s="196">
        <v>322.58064516129031</v>
      </c>
      <c r="D39" s="189"/>
      <c r="E39" s="185">
        <v>1</v>
      </c>
      <c r="F39" s="190">
        <v>0.5</v>
      </c>
      <c r="G39" s="190">
        <v>0.5</v>
      </c>
      <c r="H39" s="190">
        <v>0</v>
      </c>
      <c r="I39" s="185">
        <v>1</v>
      </c>
      <c r="J39" s="185">
        <v>1</v>
      </c>
      <c r="K39" s="189"/>
      <c r="L39" s="185">
        <v>1</v>
      </c>
      <c r="M39" s="185">
        <v>1</v>
      </c>
      <c r="N39" s="190">
        <v>0</v>
      </c>
      <c r="O39" s="185">
        <v>1</v>
      </c>
      <c r="P39" s="185">
        <v>1</v>
      </c>
      <c r="Q39" s="185">
        <v>1</v>
      </c>
      <c r="R39" s="189"/>
      <c r="S39" s="189"/>
      <c r="T39" s="189"/>
      <c r="U39" s="185">
        <v>1</v>
      </c>
      <c r="V39" s="185">
        <v>1</v>
      </c>
      <c r="W39" s="190">
        <v>0</v>
      </c>
      <c r="X39" s="190">
        <v>0</v>
      </c>
      <c r="Y39" s="189"/>
      <c r="Z39" s="185">
        <v>1</v>
      </c>
      <c r="AA39" s="185">
        <v>1</v>
      </c>
      <c r="AB39" s="185">
        <v>1</v>
      </c>
      <c r="AC39" s="189"/>
      <c r="AD39" s="185">
        <v>1</v>
      </c>
      <c r="AE39" s="185">
        <v>1</v>
      </c>
      <c r="AF39" s="189"/>
      <c r="AG39" s="185">
        <v>1</v>
      </c>
      <c r="AH39" s="185">
        <v>1</v>
      </c>
      <c r="AI39" s="196">
        <v>18</v>
      </c>
      <c r="AJ39" s="196">
        <v>8</v>
      </c>
      <c r="AK39" s="196">
        <v>5</v>
      </c>
      <c r="AL39" s="196">
        <v>26</v>
      </c>
      <c r="AM39" s="196">
        <v>8387.0967741935474</v>
      </c>
      <c r="AN39" s="196">
        <v>8387.0967741935474</v>
      </c>
      <c r="AO39" s="196">
        <v>2088</v>
      </c>
      <c r="AP39" s="196">
        <v>6299.0967741935474</v>
      </c>
      <c r="AQ39" s="196">
        <v>8500</v>
      </c>
    </row>
    <row r="40" spans="1:43">
      <c r="A40" s="196">
        <v>40.322580645161288</v>
      </c>
      <c r="B40" s="196">
        <v>10000</v>
      </c>
      <c r="C40" s="196">
        <v>60.483870967741936</v>
      </c>
      <c r="D40" s="189"/>
      <c r="E40" s="185">
        <v>0</v>
      </c>
      <c r="F40" s="185">
        <v>0</v>
      </c>
      <c r="G40" s="185">
        <v>0</v>
      </c>
      <c r="H40" s="185">
        <v>0</v>
      </c>
      <c r="I40" s="185">
        <v>0</v>
      </c>
      <c r="J40" s="185">
        <v>0</v>
      </c>
      <c r="K40" s="189"/>
      <c r="L40" s="185">
        <v>0</v>
      </c>
      <c r="M40" s="185">
        <v>0</v>
      </c>
      <c r="N40" s="185">
        <v>0</v>
      </c>
      <c r="O40" s="185">
        <v>0</v>
      </c>
      <c r="P40" s="185">
        <v>0</v>
      </c>
      <c r="Q40" s="185">
        <v>0</v>
      </c>
      <c r="R40" s="189"/>
      <c r="S40" s="189"/>
      <c r="T40" s="189"/>
      <c r="U40" s="185">
        <v>0</v>
      </c>
      <c r="V40" s="185">
        <v>0</v>
      </c>
      <c r="W40" s="185">
        <v>0</v>
      </c>
      <c r="X40" s="185">
        <v>0</v>
      </c>
      <c r="Y40" s="189"/>
      <c r="Z40" s="185">
        <v>0</v>
      </c>
      <c r="AA40" s="185">
        <v>0</v>
      </c>
      <c r="AB40" s="185">
        <v>0</v>
      </c>
      <c r="AC40" s="189"/>
      <c r="AD40" s="185">
        <v>0</v>
      </c>
      <c r="AE40" s="185">
        <v>0</v>
      </c>
      <c r="AF40" s="189"/>
      <c r="AG40" s="185">
        <v>0</v>
      </c>
      <c r="AH40" s="185">
        <v>0</v>
      </c>
      <c r="AI40" s="196">
        <v>0</v>
      </c>
      <c r="AJ40" s="196">
        <v>0</v>
      </c>
      <c r="AK40" s="196">
        <v>0</v>
      </c>
      <c r="AL40" s="196">
        <v>0</v>
      </c>
      <c r="AM40" s="196">
        <v>0</v>
      </c>
      <c r="AN40" s="196"/>
      <c r="AO40" s="196"/>
      <c r="AP40" s="196"/>
      <c r="AQ40" s="196"/>
    </row>
  </sheetData>
  <mergeCells count="72">
    <mergeCell ref="AJ34:AJ35"/>
    <mergeCell ref="AO31:AO32"/>
    <mergeCell ref="AP31:AP32"/>
    <mergeCell ref="AQ31:AQ32"/>
    <mergeCell ref="AR31:AR32"/>
    <mergeCell ref="AN31:AN32"/>
    <mergeCell ref="AK34:AK35"/>
    <mergeCell ref="AL34:AL35"/>
    <mergeCell ref="AM34:AM35"/>
    <mergeCell ref="AN34:AN35"/>
    <mergeCell ref="AL29:AL30"/>
    <mergeCell ref="AM29:AM30"/>
    <mergeCell ref="AN29:AN30"/>
    <mergeCell ref="AO29:AO30"/>
    <mergeCell ref="AP29:AP30"/>
    <mergeCell ref="A29:A30"/>
    <mergeCell ref="B34:C35"/>
    <mergeCell ref="D34:AF34"/>
    <mergeCell ref="AG34:AH34"/>
    <mergeCell ref="AI34:AI35"/>
    <mergeCell ref="A34:A35"/>
    <mergeCell ref="B29:C30"/>
    <mergeCell ref="D29:AF29"/>
    <mergeCell ref="AG29:AH29"/>
    <mergeCell ref="AI29:AI30"/>
    <mergeCell ref="AJ29:AJ30"/>
    <mergeCell ref="AK29:AK30"/>
    <mergeCell ref="AO19:AO20"/>
    <mergeCell ref="AP19:AP20"/>
    <mergeCell ref="AQ19:AQ20"/>
    <mergeCell ref="AO21:AO22"/>
    <mergeCell ref="AP21:AP22"/>
    <mergeCell ref="AQ21:AQ22"/>
    <mergeCell ref="AJ19:AJ20"/>
    <mergeCell ref="AK19:AK20"/>
    <mergeCell ref="AL19:AL20"/>
    <mergeCell ref="AM19:AM20"/>
    <mergeCell ref="AN19:AN20"/>
    <mergeCell ref="AJ24:AJ25"/>
    <mergeCell ref="AK24:AK25"/>
    <mergeCell ref="AL24:AL25"/>
    <mergeCell ref="A19:A20"/>
    <mergeCell ref="B19:C20"/>
    <mergeCell ref="D19:AF19"/>
    <mergeCell ref="AG19:AH19"/>
    <mergeCell ref="AI19:AI20"/>
    <mergeCell ref="A14:B14"/>
    <mergeCell ref="AO15:AO16"/>
    <mergeCell ref="AA6:AL11"/>
    <mergeCell ref="J6:Q11"/>
    <mergeCell ref="W7:Y9"/>
    <mergeCell ref="S7:U9"/>
    <mergeCell ref="A24:A25"/>
    <mergeCell ref="B24:C25"/>
    <mergeCell ref="D24:AF24"/>
    <mergeCell ref="AG24:AH24"/>
    <mergeCell ref="AI24:AI25"/>
    <mergeCell ref="AM24:AM25"/>
    <mergeCell ref="AN24:AN25"/>
    <mergeCell ref="AN36:AN37"/>
    <mergeCell ref="AO36:AO37"/>
    <mergeCell ref="AP36:AP37"/>
    <mergeCell ref="AQ36:AQ37"/>
    <mergeCell ref="AO24:AO25"/>
    <mergeCell ref="AP24:AP25"/>
    <mergeCell ref="AQ24:AQ25"/>
    <mergeCell ref="AO26:AO27"/>
    <mergeCell ref="AP26:AP27"/>
    <mergeCell ref="AQ26:AQ27"/>
    <mergeCell ref="AO34:AO35"/>
    <mergeCell ref="AP34:AP35"/>
    <mergeCell ref="AQ34:AQ3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Attendence</vt:lpstr>
      <vt:lpstr>2021</vt:lpstr>
      <vt:lpstr>2022</vt:lpstr>
      <vt:lpstr>2023</vt:lpstr>
      <vt:lpstr>2024</vt:lpstr>
      <vt:lpstr>2025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Dell</cp:lastModifiedBy>
  <cp:lastPrinted>2022-12-10T10:16:20Z</cp:lastPrinted>
  <dcterms:created xsi:type="dcterms:W3CDTF">2006-09-16T00:00:00Z</dcterms:created>
  <dcterms:modified xsi:type="dcterms:W3CDTF">2025-08-08T05:06:51Z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