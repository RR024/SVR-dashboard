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VR\"/>
    </mc:Choice>
  </mc:AlternateContent>
  <bookViews>
    <workbookView xWindow="-120" yWindow="-120" windowWidth="20730" windowHeight="11160" tabRatio="568" firstSheet="6" activeTab="14"/>
  </bookViews>
  <sheets>
    <sheet name="Apr'24" sheetId="1" r:id="rId1"/>
    <sheet name="May'24" sheetId="2" r:id="rId2"/>
    <sheet name="June'24" sheetId="3" r:id="rId3"/>
    <sheet name="Jul'24" sheetId="4" r:id="rId4"/>
    <sheet name="Aug'24" sheetId="5" r:id="rId5"/>
    <sheet name="Sep'24" sheetId="6" r:id="rId6"/>
    <sheet name="Oct'24" sheetId="7" r:id="rId7"/>
    <sheet name="Nov'24" sheetId="8" r:id="rId8"/>
    <sheet name="Dec'24" sheetId="9" r:id="rId9"/>
    <sheet name="Feb'25" sheetId="10" r:id="rId10"/>
    <sheet name="Mar'25" sheetId="11" r:id="rId11"/>
    <sheet name="May'25" sheetId="13" r:id="rId12"/>
    <sheet name="Jun'25" sheetId="12" r:id="rId13"/>
    <sheet name="Jul'25" sheetId="14" r:id="rId14"/>
    <sheet name="Aug'25" sheetId="15" r:id="rId15"/>
  </sheets>
  <definedNames>
    <definedName name="_xlnm._FilterDatabase" localSheetId="0" hidden="1">'Apr''24'!$A$2:$M$168</definedName>
    <definedName name="_xlnm._FilterDatabase" localSheetId="4" hidden="1">'Aug''24'!$A$2:$M$221</definedName>
    <definedName name="_xlnm._FilterDatabase" localSheetId="9" hidden="1">'Feb''25'!$A$2:$M$254</definedName>
    <definedName name="_xlnm._FilterDatabase" localSheetId="3" hidden="1">'Jul''24'!$A$2:$M$261</definedName>
    <definedName name="_xlnm._FilterDatabase" localSheetId="13" hidden="1">'Jul''25'!$A$2:$M$218</definedName>
    <definedName name="_xlnm._FilterDatabase" localSheetId="12" hidden="1">'Jun''25'!$A$2:$M$272</definedName>
    <definedName name="_xlnm._FilterDatabase" localSheetId="2" hidden="1">'June''24'!$A$2:$M$177</definedName>
    <definedName name="_xlnm._FilterDatabase" localSheetId="10" hidden="1">'Mar''25'!$A$2:$M$296</definedName>
    <definedName name="_xlnm._FilterDatabase" localSheetId="1" hidden="1">'May''24'!$A$2:$M$181</definedName>
    <definedName name="_xlnm._FilterDatabase" localSheetId="11" hidden="1">'May''25'!$A$2:$M$101</definedName>
    <definedName name="_xlnm._FilterDatabase" localSheetId="7" hidden="1">'Nov''24'!$A$2:$M$144</definedName>
    <definedName name="_xlnm._FilterDatabase" localSheetId="6" hidden="1">'Oct''24'!$A$2:$M$173</definedName>
    <definedName name="_xlnm._FilterDatabase" localSheetId="5" hidden="1">'Sep''24'!$A$2:$M$177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8" i="15" l="1"/>
  <c r="K65" i="15"/>
  <c r="L65" i="15" s="1"/>
  <c r="H65" i="15"/>
  <c r="K69" i="15"/>
  <c r="L69" i="15" s="1"/>
  <c r="H69" i="15"/>
  <c r="L68" i="15"/>
  <c r="K67" i="15"/>
  <c r="L67" i="15" s="1"/>
  <c r="H67" i="15"/>
  <c r="K66" i="15"/>
  <c r="L66" i="15" s="1"/>
  <c r="K64" i="15"/>
  <c r="L64" i="15" s="1"/>
  <c r="H64" i="15"/>
  <c r="K63" i="15"/>
  <c r="L63" i="15" s="1"/>
  <c r="H63" i="15"/>
  <c r="L62" i="15"/>
  <c r="K61" i="15"/>
  <c r="L61" i="15" s="1"/>
  <c r="H61" i="15"/>
  <c r="K60" i="15"/>
  <c r="L60" i="15" s="1"/>
  <c r="H60" i="15"/>
  <c r="L59" i="15"/>
  <c r="K58" i="15"/>
  <c r="L58" i="15" s="1"/>
  <c r="H58" i="15"/>
  <c r="K57" i="15"/>
  <c r="L57" i="15" s="1"/>
  <c r="H57" i="15"/>
  <c r="L56" i="15"/>
  <c r="K55" i="15"/>
  <c r="L55" i="15" s="1"/>
  <c r="H55" i="15"/>
  <c r="L54" i="15"/>
  <c r="K53" i="15"/>
  <c r="L53" i="15" s="1"/>
  <c r="H53" i="15"/>
  <c r="L52" i="15"/>
  <c r="L51" i="15"/>
  <c r="K50" i="15"/>
  <c r="L50" i="15" s="1"/>
  <c r="H50" i="15"/>
  <c r="L49" i="15"/>
  <c r="K48" i="15"/>
  <c r="L48" i="15" s="1"/>
  <c r="H48" i="15"/>
  <c r="K47" i="15"/>
  <c r="L47" i="15" s="1"/>
  <c r="H47" i="15"/>
  <c r="L37" i="15"/>
  <c r="L36" i="15"/>
  <c r="L35" i="15"/>
  <c r="L46" i="15"/>
  <c r="L45" i="15"/>
  <c r="L44" i="15"/>
  <c r="K43" i="15" l="1"/>
  <c r="L43" i="15" s="1"/>
  <c r="H43" i="15"/>
  <c r="L42" i="15"/>
  <c r="K41" i="15"/>
  <c r="L41" i="15" s="1"/>
  <c r="H41" i="15"/>
  <c r="K40" i="15"/>
  <c r="L40" i="15" s="1"/>
  <c r="H40" i="15"/>
  <c r="K39" i="15"/>
  <c r="L39" i="15" s="1"/>
  <c r="H39" i="15"/>
  <c r="L38" i="15"/>
  <c r="K34" i="15"/>
  <c r="L34" i="15" s="1"/>
  <c r="H34" i="15"/>
  <c r="L33" i="15"/>
  <c r="K32" i="15"/>
  <c r="L32" i="15" s="1"/>
  <c r="H32" i="15"/>
  <c r="L31" i="15"/>
  <c r="K30" i="15"/>
  <c r="L30" i="15" s="1"/>
  <c r="H30" i="15"/>
  <c r="K29" i="15"/>
  <c r="L29" i="15" s="1"/>
  <c r="H29" i="15"/>
  <c r="K28" i="15"/>
  <c r="L28" i="15" s="1"/>
  <c r="H28" i="15"/>
  <c r="L27" i="15"/>
  <c r="L26" i="15"/>
  <c r="L25" i="15"/>
  <c r="L24" i="15"/>
  <c r="L23" i="15"/>
  <c r="K22" i="15"/>
  <c r="L22" i="15" s="1"/>
  <c r="H22" i="15"/>
  <c r="K21" i="15"/>
  <c r="L21" i="15" s="1"/>
  <c r="H21" i="15"/>
  <c r="L20" i="15"/>
  <c r="K19" i="15"/>
  <c r="L19" i="15" s="1"/>
  <c r="H19" i="15"/>
  <c r="L18" i="15"/>
  <c r="L17" i="15"/>
  <c r="L16" i="15"/>
  <c r="L15" i="15"/>
  <c r="H15" i="15"/>
  <c r="L14" i="15"/>
  <c r="L13" i="15"/>
  <c r="L12" i="15"/>
  <c r="K11" i="15"/>
  <c r="L11" i="15" s="1"/>
  <c r="H11" i="15"/>
  <c r="J78" i="15"/>
  <c r="I78" i="15"/>
  <c r="F78" i="15"/>
  <c r="K10" i="15"/>
  <c r="L10" i="15" s="1"/>
  <c r="H10" i="15"/>
  <c r="L9" i="15"/>
  <c r="K8" i="15"/>
  <c r="L8" i="15" s="1"/>
  <c r="H8" i="15"/>
  <c r="L7" i="15"/>
  <c r="L6" i="15"/>
  <c r="L5" i="15"/>
  <c r="K4" i="15"/>
  <c r="L4" i="15" s="1"/>
  <c r="H4" i="15"/>
  <c r="K3" i="15"/>
  <c r="L3" i="15" s="1"/>
  <c r="H3" i="15"/>
  <c r="H232" i="14"/>
  <c r="H80" i="15" l="1"/>
  <c r="L78" i="15"/>
  <c r="H78" i="15"/>
  <c r="L229" i="14"/>
  <c r="K228" i="14"/>
  <c r="L228" i="14" s="1"/>
  <c r="H228" i="14"/>
  <c r="L227" i="14"/>
  <c r="K226" i="14"/>
  <c r="L226" i="14" s="1"/>
  <c r="L225" i="14"/>
  <c r="L224" i="14"/>
  <c r="L223" i="14"/>
  <c r="L222" i="14"/>
  <c r="K221" i="14"/>
  <c r="L221" i="14" s="1"/>
  <c r="H221" i="14"/>
  <c r="L220" i="14"/>
  <c r="K219" i="14"/>
  <c r="L219" i="14" s="1"/>
  <c r="L218" i="14"/>
  <c r="L217" i="14"/>
  <c r="L216" i="14"/>
  <c r="L215" i="14"/>
  <c r="K214" i="14"/>
  <c r="L214" i="14" s="1"/>
  <c r="H214" i="14"/>
  <c r="L213" i="14"/>
  <c r="L212" i="14"/>
  <c r="L211" i="14"/>
  <c r="L210" i="14"/>
  <c r="L209" i="14"/>
  <c r="L208" i="14"/>
  <c r="L207" i="14"/>
  <c r="L206" i="14"/>
  <c r="K205" i="14"/>
  <c r="L205" i="14" s="1"/>
  <c r="H205" i="14"/>
  <c r="L204" i="14"/>
  <c r="L203" i="14"/>
  <c r="K202" i="14"/>
  <c r="L202" i="14" s="1"/>
  <c r="H202" i="14"/>
  <c r="L201" i="14"/>
  <c r="L198" i="14"/>
  <c r="L199" i="14"/>
  <c r="L200" i="14"/>
  <c r="K197" i="14"/>
  <c r="L197" i="14" s="1"/>
  <c r="H197" i="14"/>
  <c r="K196" i="14"/>
  <c r="L196" i="14" s="1"/>
  <c r="H196" i="14"/>
  <c r="L195" i="14"/>
  <c r="L194" i="14"/>
  <c r="K193" i="14"/>
  <c r="L193" i="14" s="1"/>
  <c r="H193" i="14"/>
  <c r="L192" i="14"/>
  <c r="K191" i="14"/>
  <c r="L191" i="14" s="1"/>
  <c r="H191" i="14"/>
  <c r="L190" i="14" l="1"/>
  <c r="K189" i="14"/>
  <c r="L189" i="14" s="1"/>
  <c r="H189" i="14"/>
  <c r="L188" i="14" l="1"/>
  <c r="L187" i="14"/>
  <c r="L186" i="14"/>
  <c r="L185" i="14"/>
  <c r="L184" i="14"/>
  <c r="L183" i="14"/>
  <c r="L182" i="14" l="1"/>
  <c r="L181" i="14"/>
  <c r="K180" i="14"/>
  <c r="L180" i="14" s="1"/>
  <c r="H180" i="14"/>
  <c r="L179" i="14"/>
  <c r="K178" i="14"/>
  <c r="L178" i="14" s="1"/>
  <c r="H178" i="14"/>
  <c r="L177" i="14"/>
  <c r="L176" i="14"/>
  <c r="L175" i="14"/>
  <c r="K174" i="14"/>
  <c r="L174" i="14" s="1"/>
  <c r="H174" i="14"/>
  <c r="L173" i="14" l="1"/>
  <c r="L172" i="14"/>
  <c r="K171" i="14"/>
  <c r="L171" i="14" s="1"/>
  <c r="H171" i="14"/>
  <c r="K170" i="14"/>
  <c r="L170" i="14" s="1"/>
  <c r="H170" i="14"/>
  <c r="K169" i="14"/>
  <c r="L169" i="14" s="1"/>
  <c r="H169" i="14"/>
  <c r="K168" i="14"/>
  <c r="L168" i="14" s="1"/>
  <c r="H168" i="14"/>
  <c r="L167" i="14"/>
  <c r="L166" i="14"/>
  <c r="L165" i="14"/>
  <c r="K164" i="14"/>
  <c r="L164" i="14" s="1"/>
  <c r="H164" i="14"/>
  <c r="L162" i="14"/>
  <c r="K163" i="14"/>
  <c r="L163" i="14" s="1"/>
  <c r="H163" i="14"/>
  <c r="K161" i="14"/>
  <c r="L161" i="14" s="1"/>
  <c r="H161" i="14"/>
  <c r="K160" i="14"/>
  <c r="L160" i="14" s="1"/>
  <c r="H160" i="14"/>
  <c r="K159" i="14"/>
  <c r="L159" i="14" s="1"/>
  <c r="H159" i="14"/>
  <c r="L158" i="14"/>
  <c r="L157" i="14"/>
  <c r="K156" i="14"/>
  <c r="L156" i="14" s="1"/>
  <c r="H156" i="14"/>
  <c r="K155" i="14"/>
  <c r="L155" i="14" s="1"/>
  <c r="H155" i="14"/>
  <c r="K154" i="14"/>
  <c r="L154" i="14" s="1"/>
  <c r="H154" i="14"/>
  <c r="H92" i="14" l="1"/>
  <c r="K153" i="14" l="1"/>
  <c r="L153" i="14" s="1"/>
  <c r="H153" i="14"/>
  <c r="L152" i="14"/>
  <c r="K151" i="14"/>
  <c r="L151" i="14" s="1"/>
  <c r="H151" i="14"/>
  <c r="L150" i="14"/>
  <c r="L149" i="14"/>
  <c r="K148" i="14"/>
  <c r="L148" i="14" s="1"/>
  <c r="H148" i="14"/>
  <c r="K147" i="14"/>
  <c r="L147" i="14" s="1"/>
  <c r="H147" i="14"/>
  <c r="K146" i="14"/>
  <c r="L146" i="14" s="1"/>
  <c r="H146" i="14"/>
  <c r="K145" i="14"/>
  <c r="L145" i="14" s="1"/>
  <c r="H145" i="14"/>
  <c r="K144" i="14"/>
  <c r="L144" i="14" s="1"/>
  <c r="H144" i="14"/>
  <c r="L143" i="14"/>
  <c r="L142" i="14"/>
  <c r="L141" i="14"/>
  <c r="L140" i="14"/>
  <c r="K139" i="14"/>
  <c r="L139" i="14" s="1"/>
  <c r="H139" i="14"/>
  <c r="L138" i="14"/>
  <c r="K137" i="14"/>
  <c r="L137" i="14" s="1"/>
  <c r="H137" i="14"/>
  <c r="L136" i="14"/>
  <c r="K135" i="14"/>
  <c r="L135" i="14" s="1"/>
  <c r="H135" i="14"/>
  <c r="K134" i="14"/>
  <c r="L134" i="14" s="1"/>
  <c r="H134" i="14"/>
  <c r="K133" i="14"/>
  <c r="L133" i="14" s="1"/>
  <c r="H133" i="14"/>
  <c r="L132" i="14"/>
  <c r="L131" i="14"/>
  <c r="L130" i="14"/>
  <c r="K129" i="14"/>
  <c r="L129" i="14" s="1"/>
  <c r="H129" i="14"/>
  <c r="L128" i="14"/>
  <c r="L127" i="14"/>
  <c r="K126" i="14"/>
  <c r="L126" i="14" s="1"/>
  <c r="H126" i="14"/>
  <c r="L125" i="14"/>
  <c r="L124" i="14"/>
  <c r="H123" i="14"/>
  <c r="K123" i="14"/>
  <c r="L123" i="14" s="1"/>
  <c r="K122" i="14"/>
  <c r="L122" i="14" s="1"/>
  <c r="H122" i="14"/>
  <c r="K121" i="14"/>
  <c r="L121" i="14" s="1"/>
  <c r="H121" i="14"/>
  <c r="L120" i="14"/>
  <c r="L119" i="14"/>
  <c r="K118" i="14"/>
  <c r="L118" i="14" s="1"/>
  <c r="H118" i="14"/>
  <c r="L117" i="14"/>
  <c r="K116" i="14"/>
  <c r="L116" i="14" s="1"/>
  <c r="H116" i="14"/>
  <c r="K115" i="14"/>
  <c r="L115" i="14" s="1"/>
  <c r="H115" i="14"/>
  <c r="L113" i="14"/>
  <c r="L114" i="14"/>
  <c r="K112" i="14"/>
  <c r="L112" i="14" s="1"/>
  <c r="H112" i="14"/>
  <c r="K111" i="14"/>
  <c r="L111" i="14" s="1"/>
  <c r="H111" i="14"/>
  <c r="L110" i="14"/>
  <c r="L109" i="14"/>
  <c r="L108" i="14"/>
  <c r="L107" i="14"/>
  <c r="L106" i="14"/>
  <c r="L105" i="14"/>
  <c r="L104" i="14"/>
  <c r="L103" i="14"/>
  <c r="L102" i="14"/>
  <c r="K101" i="14"/>
  <c r="L101" i="14" s="1"/>
  <c r="H101" i="14"/>
  <c r="K100" i="14"/>
  <c r="L100" i="14" s="1"/>
  <c r="H100" i="14"/>
  <c r="L99" i="14"/>
  <c r="L98" i="14"/>
  <c r="L97" i="14"/>
  <c r="L96" i="14"/>
  <c r="L95" i="14"/>
  <c r="K94" i="14"/>
  <c r="L94" i="14" s="1"/>
  <c r="H93" i="14"/>
  <c r="K93" i="14"/>
  <c r="L93" i="14" s="1"/>
  <c r="K92" i="14"/>
  <c r="L92" i="14" s="1"/>
  <c r="K91" i="14"/>
  <c r="L91" i="14" s="1"/>
  <c r="H91" i="14"/>
  <c r="K90" i="14"/>
  <c r="L90" i="14" s="1"/>
  <c r="H90" i="14"/>
  <c r="L89" i="14"/>
  <c r="L88" i="14"/>
  <c r="L87" i="14"/>
  <c r="K53" i="14" l="1"/>
  <c r="L53" i="14" s="1"/>
  <c r="H53" i="14"/>
  <c r="H41" i="12" l="1"/>
  <c r="H32" i="12"/>
  <c r="H22" i="12"/>
  <c r="K41" i="12"/>
  <c r="L41" i="12" s="1"/>
  <c r="K32" i="12"/>
  <c r="L32" i="12" s="1"/>
  <c r="K22" i="12"/>
  <c r="L22" i="12" s="1"/>
  <c r="K86" i="14"/>
  <c r="L86" i="14" s="1"/>
  <c r="K85" i="14"/>
  <c r="L85" i="14" s="1"/>
  <c r="H85" i="14"/>
  <c r="K84" i="14"/>
  <c r="L84" i="14" s="1"/>
  <c r="H84" i="14"/>
  <c r="L83" i="14"/>
  <c r="L82" i="14"/>
  <c r="L81" i="14"/>
  <c r="L80" i="14"/>
  <c r="L69" i="14"/>
  <c r="K79" i="14"/>
  <c r="L79" i="14" s="1"/>
  <c r="H79" i="14"/>
  <c r="K78" i="14"/>
  <c r="L78" i="14" s="1"/>
  <c r="H78" i="14"/>
  <c r="K77" i="14"/>
  <c r="L77" i="14" s="1"/>
  <c r="H77" i="14"/>
  <c r="K76" i="14"/>
  <c r="L76" i="14" s="1"/>
  <c r="H76" i="14"/>
  <c r="K75" i="14"/>
  <c r="L75" i="14" s="1"/>
  <c r="H75" i="14"/>
  <c r="L74" i="14"/>
  <c r="L73" i="14"/>
  <c r="L72" i="14"/>
  <c r="K71" i="14"/>
  <c r="L71" i="14" s="1"/>
  <c r="H71" i="14"/>
  <c r="K70" i="14"/>
  <c r="L70" i="14" s="1"/>
  <c r="H70" i="14"/>
  <c r="K68" i="14"/>
  <c r="L68" i="14" s="1"/>
  <c r="K67" i="14"/>
  <c r="L67" i="14" s="1"/>
  <c r="H67" i="14"/>
  <c r="L66" i="14"/>
  <c r="L65" i="14"/>
  <c r="K64" i="14"/>
  <c r="L64" i="14" s="1"/>
  <c r="H64" i="14"/>
  <c r="K63" i="14"/>
  <c r="L63" i="14" s="1"/>
  <c r="H63" i="14"/>
  <c r="L62" i="14"/>
  <c r="L61" i="14"/>
  <c r="L60" i="14"/>
  <c r="K58" i="14"/>
  <c r="L58" i="14" s="1"/>
  <c r="L57" i="14"/>
  <c r="K56" i="14"/>
  <c r="L56" i="14" s="1"/>
  <c r="H56" i="14"/>
  <c r="K54" i="14"/>
  <c r="L54" i="14" s="1"/>
  <c r="H52" i="14"/>
  <c r="K52" i="14"/>
  <c r="L52" i="14" s="1"/>
  <c r="K51" i="14"/>
  <c r="L51" i="14" s="1"/>
  <c r="H51" i="14"/>
  <c r="K50" i="14"/>
  <c r="L50" i="14" s="1"/>
  <c r="H50" i="14"/>
  <c r="L49" i="14"/>
  <c r="K48" i="14"/>
  <c r="L48" i="14" s="1"/>
  <c r="H48" i="14"/>
  <c r="L47" i="14"/>
  <c r="L40" i="14"/>
  <c r="K46" i="14"/>
  <c r="L46" i="14" s="1"/>
  <c r="H46" i="14"/>
  <c r="K45" i="14"/>
  <c r="L45" i="14" s="1"/>
  <c r="H45" i="14"/>
  <c r="K44" i="14"/>
  <c r="L44" i="14" s="1"/>
  <c r="H44" i="14"/>
  <c r="K42" i="14"/>
  <c r="L42" i="14" s="1"/>
  <c r="H42" i="14"/>
  <c r="K41" i="14"/>
  <c r="L41" i="14" s="1"/>
  <c r="H41" i="14"/>
  <c r="K39" i="14"/>
  <c r="L39" i="14" s="1"/>
  <c r="H39" i="14"/>
  <c r="K38" i="14"/>
  <c r="L38" i="14" s="1"/>
  <c r="H38" i="14"/>
  <c r="L37" i="14"/>
  <c r="K36" i="14"/>
  <c r="L36" i="14" s="1"/>
  <c r="H36" i="14"/>
  <c r="K35" i="14" l="1"/>
  <c r="L35" i="14" s="1"/>
  <c r="H35" i="14"/>
  <c r="L34" i="14"/>
  <c r="L33" i="14"/>
  <c r="L32" i="14"/>
  <c r="K31" i="14" l="1"/>
  <c r="L31" i="14" s="1"/>
  <c r="H31" i="14"/>
  <c r="K30" i="14"/>
  <c r="L30" i="14" s="1"/>
  <c r="H30" i="14"/>
  <c r="L29" i="14"/>
  <c r="L28" i="14"/>
  <c r="K27" i="14"/>
  <c r="L27" i="14" s="1"/>
  <c r="H27" i="14"/>
  <c r="K26" i="14"/>
  <c r="L26" i="14" s="1"/>
  <c r="H26" i="14"/>
  <c r="L25" i="14"/>
  <c r="L24" i="14"/>
  <c r="L23" i="14"/>
  <c r="K22" i="14"/>
  <c r="L22" i="14" s="1"/>
  <c r="H22" i="14"/>
  <c r="K21" i="14"/>
  <c r="L21" i="14" s="1"/>
  <c r="H21" i="14"/>
  <c r="K20" i="14"/>
  <c r="L20" i="14" s="1"/>
  <c r="H20" i="14"/>
  <c r="K19" i="14"/>
  <c r="L19" i="14" s="1"/>
  <c r="H19" i="14"/>
  <c r="L18" i="14"/>
  <c r="L17" i="14"/>
  <c r="L16" i="14"/>
  <c r="L15" i="14"/>
  <c r="L14" i="14"/>
  <c r="K13" i="14"/>
  <c r="L13" i="14" s="1"/>
  <c r="H13" i="14"/>
  <c r="L12" i="14"/>
  <c r="K11" i="14"/>
  <c r="L11" i="14" s="1"/>
  <c r="H11" i="14"/>
  <c r="L10" i="14"/>
  <c r="K9" i="14"/>
  <c r="L9" i="14" s="1"/>
  <c r="H9" i="14"/>
  <c r="L8" i="14"/>
  <c r="L7" i="14"/>
  <c r="K6" i="14"/>
  <c r="L6" i="14" s="1"/>
  <c r="H6" i="14"/>
  <c r="K5" i="14"/>
  <c r="L5" i="14" s="1"/>
  <c r="H5" i="14"/>
  <c r="L4" i="14"/>
  <c r="K3" i="14"/>
  <c r="H3" i="14"/>
  <c r="J230" i="14"/>
  <c r="I230" i="14"/>
  <c r="F230" i="14"/>
  <c r="K271" i="12"/>
  <c r="L271" i="12" s="1"/>
  <c r="H271" i="12"/>
  <c r="L270" i="12"/>
  <c r="L269" i="12"/>
  <c r="K268" i="12"/>
  <c r="L268" i="12" s="1"/>
  <c r="H268" i="12"/>
  <c r="K267" i="12"/>
  <c r="L267" i="12" s="1"/>
  <c r="H267" i="12"/>
  <c r="K266" i="12"/>
  <c r="L266" i="12" s="1"/>
  <c r="H266" i="12"/>
  <c r="L265" i="12"/>
  <c r="K264" i="12"/>
  <c r="L264" i="12" s="1"/>
  <c r="H264" i="12"/>
  <c r="L263" i="12"/>
  <c r="K230" i="14" l="1"/>
  <c r="H230" i="14"/>
  <c r="L3" i="14"/>
  <c r="L230" i="14" s="1"/>
  <c r="M272" i="12"/>
  <c r="J272" i="12"/>
  <c r="I272" i="12"/>
  <c r="K262" i="12"/>
  <c r="L262" i="12" s="1"/>
  <c r="H262" i="12"/>
  <c r="K261" i="12"/>
  <c r="L261" i="12" s="1"/>
  <c r="H261" i="12"/>
  <c r="L260" i="12"/>
  <c r="L259" i="12"/>
  <c r="K258" i="12"/>
  <c r="L258" i="12" s="1"/>
  <c r="H258" i="12"/>
  <c r="L257" i="12"/>
  <c r="K256" i="12"/>
  <c r="L256" i="12" s="1"/>
  <c r="H256" i="12"/>
  <c r="K255" i="12"/>
  <c r="L255" i="12" s="1"/>
  <c r="H255" i="12"/>
  <c r="L254" i="12"/>
  <c r="K253" i="12"/>
  <c r="L253" i="12" s="1"/>
  <c r="H253" i="12"/>
  <c r="K252" i="12"/>
  <c r="L252" i="12" s="1"/>
  <c r="H252" i="12"/>
  <c r="L251" i="12"/>
  <c r="L250" i="12"/>
  <c r="K249" i="12"/>
  <c r="L249" i="12" s="1"/>
  <c r="H249" i="12"/>
  <c r="K248" i="12"/>
  <c r="L248" i="12" s="1"/>
  <c r="H248" i="12"/>
  <c r="L247" i="12"/>
  <c r="L246" i="12"/>
  <c r="L245" i="12"/>
  <c r="K244" i="12"/>
  <c r="L244" i="12" s="1"/>
  <c r="H244" i="12"/>
  <c r="K243" i="12"/>
  <c r="L243" i="12" s="1"/>
  <c r="H243" i="12"/>
  <c r="K242" i="12"/>
  <c r="L242" i="12" s="1"/>
  <c r="H242" i="12"/>
  <c r="K241" i="12"/>
  <c r="L241" i="12" s="1"/>
  <c r="H241" i="12"/>
  <c r="L240" i="12"/>
  <c r="L239" i="12"/>
  <c r="K238" i="12"/>
  <c r="L238" i="12" s="1"/>
  <c r="H238" i="12"/>
  <c r="L237" i="12"/>
  <c r="L236" i="12"/>
  <c r="L235" i="12"/>
  <c r="K234" i="12"/>
  <c r="L234" i="12" s="1"/>
  <c r="H234" i="12"/>
  <c r="K233" i="12"/>
  <c r="L233" i="12" s="1"/>
  <c r="H233" i="12"/>
  <c r="L232" i="12"/>
  <c r="K231" i="12"/>
  <c r="L231" i="12" s="1"/>
  <c r="H231" i="12"/>
  <c r="L230" i="12"/>
  <c r="K229" i="12"/>
  <c r="L229" i="12" s="1"/>
  <c r="H229" i="12"/>
  <c r="L228" i="12"/>
  <c r="K227" i="12"/>
  <c r="L227" i="12" s="1"/>
  <c r="H227" i="12"/>
  <c r="L226" i="12"/>
  <c r="L225" i="12"/>
  <c r="L224" i="12"/>
  <c r="L223" i="12"/>
  <c r="K222" i="12"/>
  <c r="L222" i="12" s="1"/>
  <c r="H222" i="12"/>
  <c r="K221" i="12"/>
  <c r="L221" i="12" s="1"/>
  <c r="H221" i="12"/>
  <c r="K220" i="12"/>
  <c r="L220" i="12" s="1"/>
  <c r="H220" i="12"/>
  <c r="L219" i="12"/>
  <c r="L218" i="12"/>
  <c r="L217" i="12"/>
  <c r="L216" i="12"/>
  <c r="K215" i="12"/>
  <c r="L215" i="12" s="1"/>
  <c r="H215" i="12"/>
  <c r="L214" i="12"/>
  <c r="L213" i="12"/>
  <c r="K212" i="12"/>
  <c r="L212" i="12" s="1"/>
  <c r="H212" i="12"/>
  <c r="K211" i="12"/>
  <c r="L211" i="12" s="1"/>
  <c r="H211" i="12"/>
  <c r="L210" i="12"/>
  <c r="L209" i="12"/>
  <c r="L208" i="12"/>
  <c r="L207" i="12"/>
  <c r="L206" i="12"/>
  <c r="K205" i="12"/>
  <c r="L205" i="12" s="1"/>
  <c r="H205" i="12"/>
  <c r="L203" i="12"/>
  <c r="K202" i="12"/>
  <c r="L202" i="12" s="1"/>
  <c r="H202" i="12"/>
  <c r="L204" i="12"/>
  <c r="K201" i="12"/>
  <c r="L201" i="12" s="1"/>
  <c r="H201" i="12"/>
  <c r="L200" i="12"/>
  <c r="K199" i="12"/>
  <c r="L199" i="12" s="1"/>
  <c r="H199" i="12"/>
  <c r="L198" i="12"/>
  <c r="L197" i="12"/>
  <c r="L196" i="12"/>
  <c r="K195" i="12"/>
  <c r="L195" i="12" s="1"/>
  <c r="H195" i="12"/>
  <c r="L194" i="12"/>
  <c r="L193" i="12"/>
  <c r="L192" i="12"/>
  <c r="K191" i="12"/>
  <c r="L191" i="12" s="1"/>
  <c r="H191" i="12"/>
  <c r="L190" i="12"/>
  <c r="K189" i="12"/>
  <c r="L189" i="12" s="1"/>
  <c r="H189" i="12"/>
  <c r="K188" i="12"/>
  <c r="L188" i="12" s="1"/>
  <c r="H188" i="12"/>
  <c r="L187" i="12"/>
  <c r="L186" i="12"/>
  <c r="L185" i="12"/>
  <c r="L184" i="12" l="1"/>
  <c r="L183" i="12"/>
  <c r="L182" i="12"/>
  <c r="K181" i="12"/>
  <c r="L181" i="12" s="1"/>
  <c r="H181" i="12"/>
  <c r="L180" i="12"/>
  <c r="L179" i="12"/>
  <c r="K178" i="12"/>
  <c r="L178" i="12" s="1"/>
  <c r="H178" i="12"/>
  <c r="K177" i="12"/>
  <c r="L177" i="12" s="1"/>
  <c r="H177" i="12"/>
  <c r="H176" i="12"/>
  <c r="K176" i="12"/>
  <c r="L176" i="12" s="1"/>
  <c r="K175" i="12"/>
  <c r="L175" i="12" s="1"/>
  <c r="H175" i="12"/>
  <c r="K174" i="12"/>
  <c r="L174" i="12" s="1"/>
  <c r="H174" i="12"/>
  <c r="K173" i="12"/>
  <c r="L173" i="12" s="1"/>
  <c r="H173" i="12"/>
  <c r="L172" i="12"/>
  <c r="K171" i="12"/>
  <c r="L171" i="12" s="1"/>
  <c r="H171" i="12"/>
  <c r="K170" i="12"/>
  <c r="L170" i="12" s="1"/>
  <c r="H170" i="12"/>
  <c r="L169" i="12"/>
  <c r="K168" i="12"/>
  <c r="L168" i="12" s="1"/>
  <c r="H168" i="12"/>
  <c r="L167" i="12"/>
  <c r="K166" i="12" l="1"/>
  <c r="L166" i="12" s="1"/>
  <c r="H166" i="12"/>
  <c r="K165" i="12"/>
  <c r="L165" i="12" s="1"/>
  <c r="H165" i="12"/>
  <c r="K164" i="12"/>
  <c r="L164" i="12" s="1"/>
  <c r="H164" i="12"/>
  <c r="K163" i="12"/>
  <c r="L163" i="12" s="1"/>
  <c r="H163" i="12"/>
  <c r="L162" i="12"/>
  <c r="L161" i="12"/>
  <c r="K160" i="12"/>
  <c r="L160" i="12" s="1"/>
  <c r="H160" i="12"/>
  <c r="K159" i="12"/>
  <c r="L159" i="12" s="1"/>
  <c r="H159" i="12"/>
  <c r="K158" i="12"/>
  <c r="L158" i="12" s="1"/>
  <c r="H158" i="12"/>
  <c r="L157" i="12"/>
  <c r="K156" i="12"/>
  <c r="L156" i="12" s="1"/>
  <c r="H156" i="12"/>
  <c r="K155" i="12" l="1"/>
  <c r="L155" i="12" s="1"/>
  <c r="H155" i="12"/>
  <c r="L154" i="12"/>
  <c r="K153" i="12"/>
  <c r="L153" i="12" s="1"/>
  <c r="H153" i="12"/>
  <c r="K152" i="12"/>
  <c r="L152" i="12" s="1"/>
  <c r="H152" i="12"/>
  <c r="K151" i="12"/>
  <c r="L151" i="12" s="1"/>
  <c r="H151" i="12"/>
  <c r="L150" i="12"/>
  <c r="K149" i="12"/>
  <c r="L149" i="12" s="1"/>
  <c r="H149" i="12"/>
  <c r="L148" i="12"/>
  <c r="K147" i="12"/>
  <c r="L147" i="12" s="1"/>
  <c r="H147" i="12"/>
  <c r="L146" i="12"/>
  <c r="L145" i="12"/>
  <c r="K144" i="12" l="1"/>
  <c r="L144" i="12" s="1"/>
  <c r="H144" i="12"/>
  <c r="K143" i="12"/>
  <c r="L143" i="12" s="1"/>
  <c r="H143" i="12"/>
  <c r="L142" i="12"/>
  <c r="K141" i="12"/>
  <c r="L141" i="12" s="1"/>
  <c r="H141" i="12"/>
  <c r="L140" i="12"/>
  <c r="K139" i="12"/>
  <c r="L139" i="12" s="1"/>
  <c r="H139" i="12"/>
  <c r="L138" i="12"/>
  <c r="K137" i="12"/>
  <c r="L137" i="12" s="1"/>
  <c r="H137" i="12"/>
  <c r="L136" i="12"/>
  <c r="K135" i="12"/>
  <c r="L135" i="12" s="1"/>
  <c r="H135" i="12"/>
  <c r="K134" i="12" l="1"/>
  <c r="L134" i="12" s="1"/>
  <c r="H134" i="12"/>
  <c r="L133" i="12"/>
  <c r="L132" i="12"/>
  <c r="K131" i="12"/>
  <c r="L131" i="12" s="1"/>
  <c r="H131" i="12"/>
  <c r="L130" i="12"/>
  <c r="K129" i="12"/>
  <c r="L129" i="12" s="1"/>
  <c r="H129" i="12"/>
  <c r="L128" i="12"/>
  <c r="K127" i="12"/>
  <c r="L127" i="12" s="1"/>
  <c r="H127" i="12"/>
  <c r="K126" i="12"/>
  <c r="L126" i="12" s="1"/>
  <c r="H126" i="12"/>
  <c r="L125" i="12"/>
  <c r="K124" i="12"/>
  <c r="L124" i="12" s="1"/>
  <c r="H124" i="12"/>
  <c r="K123" i="12"/>
  <c r="L123" i="12" s="1"/>
  <c r="H123" i="12"/>
  <c r="L122" i="12"/>
  <c r="K121" i="12"/>
  <c r="L121" i="12" s="1"/>
  <c r="H121" i="12"/>
  <c r="L120" i="12"/>
  <c r="L119" i="12"/>
  <c r="K118" i="12"/>
  <c r="L118" i="12" s="1"/>
  <c r="H118" i="12"/>
  <c r="L117" i="12"/>
  <c r="L116" i="12"/>
  <c r="L115" i="12"/>
  <c r="K114" i="12" l="1"/>
  <c r="L114" i="12" s="1"/>
  <c r="H114" i="12"/>
  <c r="L113" i="12"/>
  <c r="K112" i="12"/>
  <c r="L112" i="12" s="1"/>
  <c r="H112" i="12"/>
  <c r="L111" i="12"/>
  <c r="K110" i="12"/>
  <c r="L110" i="12" s="1"/>
  <c r="H110" i="12"/>
  <c r="H109" i="12"/>
  <c r="K109" i="12"/>
  <c r="L109" i="12" s="1"/>
  <c r="K108" i="12"/>
  <c r="L108" i="12" s="1"/>
  <c r="H108" i="12"/>
  <c r="L107" i="12"/>
  <c r="L106" i="12"/>
  <c r="L105" i="12"/>
  <c r="K104" i="12" l="1"/>
  <c r="L104" i="12" s="1"/>
  <c r="H104" i="12"/>
  <c r="L103" i="12"/>
  <c r="L102" i="12"/>
  <c r="K101" i="12"/>
  <c r="L101" i="12" s="1"/>
  <c r="H101" i="12"/>
  <c r="K100" i="12"/>
  <c r="L100" i="12" s="1"/>
  <c r="H100" i="12"/>
  <c r="L99" i="12"/>
  <c r="L98" i="12"/>
  <c r="L97" i="12"/>
  <c r="K96" i="12"/>
  <c r="L96" i="12" s="1"/>
  <c r="H96" i="12"/>
  <c r="K95" i="12"/>
  <c r="L95" i="12" s="1"/>
  <c r="H95" i="12"/>
  <c r="L94" i="12" l="1"/>
  <c r="L93" i="12"/>
  <c r="L92" i="12"/>
  <c r="K91" i="12" l="1"/>
  <c r="L91" i="12" s="1"/>
  <c r="H91" i="12"/>
  <c r="K90" i="12"/>
  <c r="L90" i="12" s="1"/>
  <c r="H90" i="12"/>
  <c r="L89" i="12"/>
  <c r="K88" i="12"/>
  <c r="L88" i="12" s="1"/>
  <c r="H88" i="12"/>
  <c r="L87" i="12"/>
  <c r="L86" i="12"/>
  <c r="L85" i="12"/>
  <c r="K84" i="12"/>
  <c r="L84" i="12" s="1"/>
  <c r="H84" i="12"/>
  <c r="L83" i="12"/>
  <c r="K82" i="12"/>
  <c r="L82" i="12" s="1"/>
  <c r="H82" i="12"/>
  <c r="L81" i="12"/>
  <c r="K80" i="12"/>
  <c r="L80" i="12" s="1"/>
  <c r="H80" i="12"/>
  <c r="L79" i="12"/>
  <c r="L78" i="12"/>
  <c r="L77" i="12"/>
  <c r="K76" i="12"/>
  <c r="L76" i="12" s="1"/>
  <c r="H76" i="12"/>
  <c r="L75" i="12"/>
  <c r="K74" i="12"/>
  <c r="L74" i="12" s="1"/>
  <c r="H74" i="12"/>
  <c r="L73" i="12"/>
  <c r="K72" i="12" l="1"/>
  <c r="L72" i="12" s="1"/>
  <c r="H72" i="12"/>
  <c r="L71" i="12"/>
  <c r="K70" i="12"/>
  <c r="L70" i="12" s="1"/>
  <c r="H70" i="12"/>
  <c r="L69" i="12"/>
  <c r="K68" i="12"/>
  <c r="L68" i="12" s="1"/>
  <c r="H68" i="12"/>
  <c r="L67" i="12"/>
  <c r="L66" i="12"/>
  <c r="K65" i="12"/>
  <c r="L65" i="12" s="1"/>
  <c r="H65" i="12"/>
  <c r="L64" i="12"/>
  <c r="K58" i="12" l="1"/>
  <c r="L58" i="12" s="1"/>
  <c r="L60" i="12"/>
  <c r="L59" i="12"/>
  <c r="K101" i="13" l="1"/>
  <c r="L101" i="13" s="1"/>
  <c r="H101" i="13"/>
  <c r="H100" i="13"/>
  <c r="K100" i="13"/>
  <c r="L100" i="13" s="1"/>
  <c r="K99" i="13"/>
  <c r="L99" i="13" s="1"/>
  <c r="H99" i="13"/>
  <c r="H98" i="13"/>
  <c r="K98" i="13"/>
  <c r="L98" i="13" s="1"/>
  <c r="K97" i="13"/>
  <c r="L97" i="13" s="1"/>
  <c r="H97" i="13"/>
  <c r="L96" i="13"/>
  <c r="K95" i="13"/>
  <c r="L95" i="13" s="1"/>
  <c r="H95" i="13"/>
  <c r="K91" i="13"/>
  <c r="L91" i="13" s="1"/>
  <c r="H91" i="13"/>
  <c r="L94" i="13"/>
  <c r="L93" i="13"/>
  <c r="K92" i="13"/>
  <c r="L92" i="13" s="1"/>
  <c r="H92" i="13"/>
  <c r="L90" i="13"/>
  <c r="K89" i="13"/>
  <c r="L89" i="13" s="1"/>
  <c r="H89" i="13"/>
  <c r="L88" i="13"/>
  <c r="K87" i="13"/>
  <c r="L87" i="13" s="1"/>
  <c r="H87" i="13"/>
  <c r="K86" i="13"/>
  <c r="L86" i="13" s="1"/>
  <c r="H86" i="13"/>
  <c r="K85" i="13"/>
  <c r="L85" i="13" s="1"/>
  <c r="L71" i="13"/>
  <c r="L76" i="13"/>
  <c r="L84" i="13"/>
  <c r="L81" i="13"/>
  <c r="L80" i="13"/>
  <c r="K83" i="13"/>
  <c r="L83" i="13" s="1"/>
  <c r="H83" i="13"/>
  <c r="L82" i="13"/>
  <c r="K79" i="13"/>
  <c r="L79" i="13" s="1"/>
  <c r="H79" i="13"/>
  <c r="L78" i="13"/>
  <c r="K77" i="13"/>
  <c r="L77" i="13" s="1"/>
  <c r="H77" i="13"/>
  <c r="L74" i="13"/>
  <c r="K75" i="13"/>
  <c r="L75" i="13" s="1"/>
  <c r="H75" i="13"/>
  <c r="L73" i="13"/>
  <c r="K72" i="13"/>
  <c r="L72" i="13" s="1"/>
  <c r="H72" i="13"/>
  <c r="K70" i="13"/>
  <c r="L70" i="13" s="1"/>
  <c r="H70" i="13"/>
  <c r="L69" i="13"/>
  <c r="K68" i="13"/>
  <c r="L68" i="13" s="1"/>
  <c r="H68" i="13"/>
  <c r="K67" i="13"/>
  <c r="L67" i="13" s="1"/>
  <c r="H67" i="13"/>
  <c r="K66" i="13"/>
  <c r="L66" i="13" s="1"/>
  <c r="H66" i="13"/>
  <c r="L65" i="13"/>
  <c r="K64" i="13"/>
  <c r="L64" i="13" s="1"/>
  <c r="H64" i="13"/>
  <c r="K63" i="13"/>
  <c r="L63" i="13" s="1"/>
  <c r="H63" i="13"/>
  <c r="L62" i="13"/>
  <c r="K61" i="13"/>
  <c r="L61" i="13" s="1"/>
  <c r="H61" i="13"/>
  <c r="H60" i="13"/>
  <c r="K60" i="13"/>
  <c r="L60" i="13" s="1"/>
  <c r="F59" i="13"/>
  <c r="K59" i="13" s="1"/>
  <c r="L59" i="13" s="1"/>
  <c r="F58" i="13"/>
  <c r="H58" i="13"/>
  <c r="K58" i="13"/>
  <c r="L58" i="13" s="1"/>
  <c r="H57" i="13"/>
  <c r="K57" i="13"/>
  <c r="L57" i="13" s="1"/>
  <c r="H56" i="13"/>
  <c r="K56" i="13"/>
  <c r="L56" i="13" s="1"/>
  <c r="K55" i="13"/>
  <c r="L55" i="13" s="1"/>
  <c r="H55" i="13"/>
  <c r="K8" i="12"/>
  <c r="L8" i="12" s="1"/>
  <c r="H8" i="12"/>
  <c r="K7" i="12"/>
  <c r="L7" i="12" s="1"/>
  <c r="H7" i="12"/>
  <c r="K6" i="12"/>
  <c r="L6" i="12" s="1"/>
  <c r="H6" i="12"/>
  <c r="L5" i="12"/>
  <c r="K4" i="12"/>
  <c r="L4" i="12" s="1"/>
  <c r="K3" i="12"/>
  <c r="H3" i="12"/>
  <c r="K15" i="12"/>
  <c r="L15" i="12" s="1"/>
  <c r="H15" i="12"/>
  <c r="K14" i="12"/>
  <c r="L14" i="12" s="1"/>
  <c r="H14" i="12"/>
  <c r="L13" i="12"/>
  <c r="K12" i="12"/>
  <c r="L12" i="12" s="1"/>
  <c r="H12" i="12"/>
  <c r="K11" i="12"/>
  <c r="L11" i="12" s="1"/>
  <c r="K9" i="12"/>
  <c r="L9" i="12" s="1"/>
  <c r="H9" i="12"/>
  <c r="L63" i="12"/>
  <c r="L62" i="12"/>
  <c r="L61" i="12"/>
  <c r="H58" i="12"/>
  <c r="K57" i="12"/>
  <c r="L57" i="12" s="1"/>
  <c r="K56" i="12"/>
  <c r="L56" i="12" s="1"/>
  <c r="H56" i="12"/>
  <c r="K55" i="12"/>
  <c r="L55" i="12" s="1"/>
  <c r="K54" i="12"/>
  <c r="L54" i="12" s="1"/>
  <c r="H54" i="12"/>
  <c r="L53" i="12"/>
  <c r="L52" i="12"/>
  <c r="L51" i="12"/>
  <c r="L50" i="12"/>
  <c r="K49" i="12"/>
  <c r="L49" i="12" s="1"/>
  <c r="H49" i="12"/>
  <c r="L3" i="12" l="1"/>
  <c r="H59" i="13"/>
  <c r="H48" i="12"/>
  <c r="K48" i="12"/>
  <c r="L48" i="12" s="1"/>
  <c r="F43" i="12"/>
  <c r="F272" i="12" s="1"/>
  <c r="L17" i="12" l="1"/>
  <c r="L19" i="12"/>
  <c r="K18" i="12"/>
  <c r="L18" i="12" s="1"/>
  <c r="H18" i="12"/>
  <c r="K20" i="12"/>
  <c r="L20" i="12" s="1"/>
  <c r="H20" i="12"/>
  <c r="K21" i="12"/>
  <c r="L21" i="12" s="1"/>
  <c r="H21" i="12"/>
  <c r="K23" i="12"/>
  <c r="L23" i="12" s="1"/>
  <c r="H23" i="12"/>
  <c r="K24" i="12"/>
  <c r="L24" i="12" s="1"/>
  <c r="H24" i="12"/>
  <c r="L25" i="12"/>
  <c r="K37" i="12" l="1"/>
  <c r="L37" i="12" s="1"/>
  <c r="H37" i="12"/>
  <c r="H36" i="12"/>
  <c r="K36" i="12"/>
  <c r="L36" i="12" s="1"/>
  <c r="H35" i="12"/>
  <c r="K35" i="12"/>
  <c r="L35" i="12" s="1"/>
  <c r="K34" i="12"/>
  <c r="L34" i="12" s="1"/>
  <c r="H34" i="12"/>
  <c r="K33" i="12"/>
  <c r="L33" i="12" s="1"/>
  <c r="H33" i="12"/>
  <c r="K31" i="12"/>
  <c r="L31" i="12" s="1"/>
  <c r="H31" i="12"/>
  <c r="L30" i="12"/>
  <c r="L29" i="12"/>
  <c r="K16" i="12"/>
  <c r="L28" i="12"/>
  <c r="L27" i="12"/>
  <c r="L26" i="12"/>
  <c r="K47" i="12"/>
  <c r="L47" i="12" s="1"/>
  <c r="H47" i="12"/>
  <c r="L46" i="12"/>
  <c r="K45" i="12"/>
  <c r="L45" i="12" s="1"/>
  <c r="H45" i="12"/>
  <c r="K44" i="12"/>
  <c r="L44" i="12" s="1"/>
  <c r="K43" i="12"/>
  <c r="L43" i="12" s="1"/>
  <c r="H43" i="12"/>
  <c r="L42" i="12"/>
  <c r="L40" i="12"/>
  <c r="L39" i="12"/>
  <c r="L38" i="12"/>
  <c r="H272" i="12" l="1"/>
  <c r="K272" i="12"/>
  <c r="L16" i="12"/>
  <c r="L272" i="12" s="1"/>
  <c r="L54" i="13"/>
  <c r="L53" i="13"/>
  <c r="L52" i="13"/>
  <c r="L51" i="13"/>
  <c r="L50" i="13"/>
  <c r="L49" i="13"/>
  <c r="K48" i="13"/>
  <c r="L48" i="13" s="1"/>
  <c r="H48" i="13"/>
  <c r="L47" i="13"/>
  <c r="L46" i="13"/>
  <c r="L45" i="13"/>
  <c r="L44" i="13"/>
  <c r="L43" i="13"/>
  <c r="L42" i="13"/>
  <c r="K41" i="13"/>
  <c r="L41" i="13" s="1"/>
  <c r="H41" i="13"/>
  <c r="L40" i="13"/>
  <c r="L39" i="13"/>
  <c r="L38" i="13"/>
  <c r="L37" i="13"/>
  <c r="L36" i="13"/>
  <c r="L35" i="13"/>
  <c r="K34" i="13"/>
  <c r="L34" i="13" s="1"/>
  <c r="H34" i="13"/>
  <c r="L33" i="13"/>
  <c r="K32" i="13"/>
  <c r="L32" i="13" s="1"/>
  <c r="H32" i="13"/>
  <c r="L31" i="13"/>
  <c r="L30" i="13"/>
  <c r="L29" i="13"/>
  <c r="L28" i="13"/>
  <c r="L27" i="13"/>
  <c r="L26" i="13"/>
  <c r="K25" i="13"/>
  <c r="L25" i="13" s="1"/>
  <c r="H25" i="13"/>
  <c r="K24" i="13"/>
  <c r="L24" i="13" s="1"/>
  <c r="H24" i="13"/>
  <c r="L23" i="13"/>
  <c r="L22" i="13"/>
  <c r="L21" i="13"/>
  <c r="L20" i="13"/>
  <c r="L19" i="13"/>
  <c r="L18" i="13"/>
  <c r="K17" i="13"/>
  <c r="L17" i="13" s="1"/>
  <c r="H17" i="13"/>
  <c r="L16" i="13"/>
  <c r="K15" i="13"/>
  <c r="L15" i="13" s="1"/>
  <c r="H15" i="13"/>
  <c r="L14" i="13"/>
  <c r="L13" i="13"/>
  <c r="L12" i="13"/>
  <c r="K11" i="13" l="1"/>
  <c r="L11" i="13" s="1"/>
  <c r="H11" i="13"/>
  <c r="L10" i="13"/>
  <c r="K9" i="13"/>
  <c r="H9" i="13"/>
  <c r="L8" i="13"/>
  <c r="L7" i="13"/>
  <c r="L6" i="13"/>
  <c r="L5" i="13"/>
  <c r="L4" i="13"/>
  <c r="L3" i="13"/>
  <c r="F109" i="13"/>
  <c r="H109" i="13" l="1"/>
  <c r="L9" i="13"/>
  <c r="L109" i="13" s="1"/>
  <c r="K109" i="13"/>
  <c r="L296" i="11"/>
  <c r="L295" i="11"/>
  <c r="L294" i="11"/>
  <c r="L293" i="11"/>
  <c r="L292" i="11"/>
  <c r="L291" i="11"/>
  <c r="K290" i="11"/>
  <c r="L290" i="11" s="1"/>
  <c r="H290" i="11"/>
  <c r="K280" i="11"/>
  <c r="L280" i="11" s="1"/>
  <c r="H280" i="11"/>
  <c r="L279" i="11"/>
  <c r="L289" i="11"/>
  <c r="K288" i="11"/>
  <c r="L288" i="11" s="1"/>
  <c r="L287" i="11"/>
  <c r="L286" i="11"/>
  <c r="L285" i="11"/>
  <c r="K284" i="11"/>
  <c r="L284" i="11" s="1"/>
  <c r="H284" i="11"/>
  <c r="L283" i="11"/>
  <c r="K282" i="11"/>
  <c r="L282" i="11" s="1"/>
  <c r="H282" i="11"/>
  <c r="L281" i="11" l="1"/>
  <c r="K278" i="11" l="1"/>
  <c r="L278" i="11" s="1"/>
  <c r="H278" i="11"/>
  <c r="L277" i="11"/>
  <c r="L276" i="11"/>
  <c r="L275" i="11"/>
  <c r="L274" i="11"/>
  <c r="L273" i="11"/>
  <c r="L272" i="11"/>
  <c r="L271" i="11"/>
  <c r="L270" i="11"/>
  <c r="L269" i="11"/>
  <c r="K268" i="11" l="1"/>
  <c r="L268" i="11" s="1"/>
  <c r="H268" i="11"/>
  <c r="L257" i="11"/>
  <c r="L258" i="11"/>
  <c r="L259" i="11"/>
  <c r="L260" i="11"/>
  <c r="L261" i="11"/>
  <c r="L262" i="11"/>
  <c r="L263" i="11"/>
  <c r="L264" i="11"/>
  <c r="L265" i="11"/>
  <c r="L266" i="11"/>
  <c r="L267" i="11"/>
  <c r="L256" i="11"/>
  <c r="L255" i="11"/>
  <c r="L254" i="11"/>
  <c r="K252" i="11"/>
  <c r="L252" i="11" s="1"/>
  <c r="L253" i="11" l="1"/>
  <c r="H252" i="11" l="1"/>
  <c r="L251" i="11"/>
  <c r="L250" i="11"/>
  <c r="L249" i="11"/>
  <c r="L248" i="11"/>
  <c r="L247" i="11"/>
  <c r="L246" i="11"/>
  <c r="L245" i="11"/>
  <c r="L244" i="11"/>
  <c r="K243" i="11" l="1"/>
  <c r="L243" i="11" s="1"/>
  <c r="H243" i="11"/>
  <c r="L242" i="11"/>
  <c r="L241" i="11"/>
  <c r="L240" i="11"/>
  <c r="L239" i="11"/>
  <c r="L238" i="11"/>
  <c r="L237" i="11"/>
  <c r="L236" i="11"/>
  <c r="L235" i="11"/>
  <c r="L234" i="11" l="1"/>
  <c r="K233" i="11"/>
  <c r="L233" i="11" s="1"/>
  <c r="H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K215" i="11" l="1"/>
  <c r="L215" i="11" s="1"/>
  <c r="H215" i="11"/>
  <c r="L214" i="11" l="1"/>
  <c r="L213" i="11"/>
  <c r="L212" i="11"/>
  <c r="L216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 l="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K164" i="11"/>
  <c r="L164" i="11" s="1"/>
  <c r="L163" i="11"/>
  <c r="L162" i="11"/>
  <c r="L161" i="11"/>
  <c r="K160" i="11"/>
  <c r="L160" i="11" s="1"/>
  <c r="H160" i="11"/>
  <c r="L159" i="11"/>
  <c r="L158" i="11"/>
  <c r="L157" i="11"/>
  <c r="L156" i="11"/>
  <c r="K155" i="11"/>
  <c r="L155" i="11" s="1"/>
  <c r="L154" i="11"/>
  <c r="K153" i="11"/>
  <c r="L153" i="11" s="1"/>
  <c r="H153" i="11"/>
  <c r="L152" i="11" l="1"/>
  <c r="L151" i="11"/>
  <c r="L150" i="11"/>
  <c r="L149" i="11"/>
  <c r="L148" i="11"/>
  <c r="L147" i="11"/>
  <c r="L146" i="11"/>
  <c r="L145" i="11"/>
  <c r="L144" i="11"/>
  <c r="L143" i="11"/>
  <c r="L142" i="11" l="1"/>
  <c r="L141" i="11"/>
  <c r="L140" i="11"/>
  <c r="L139" i="11"/>
  <c r="L138" i="11"/>
  <c r="L137" i="11"/>
  <c r="L136" i="11"/>
  <c r="L135" i="11"/>
  <c r="L134" i="11"/>
  <c r="L133" i="11"/>
  <c r="F302" i="11"/>
  <c r="L132" i="11"/>
  <c r="K131" i="11"/>
  <c r="L131" i="11" s="1"/>
  <c r="L130" i="11"/>
  <c r="L129" i="11"/>
  <c r="L128" i="11"/>
  <c r="L127" i="11"/>
  <c r="L126" i="11"/>
  <c r="L125" i="11"/>
  <c r="L124" i="11"/>
  <c r="L123" i="11"/>
  <c r="L122" i="11"/>
  <c r="L121" i="11"/>
  <c r="K120" i="11"/>
  <c r="L120" i="11" s="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K104" i="11"/>
  <c r="L104" i="11" s="1"/>
  <c r="H104" i="11"/>
  <c r="K103" i="11"/>
  <c r="L103" i="11" s="1"/>
  <c r="H102" i="11"/>
  <c r="K102" i="11"/>
  <c r="L102" i="11" s="1"/>
  <c r="L101" i="11"/>
  <c r="L100" i="11"/>
  <c r="K99" i="11"/>
  <c r="L99" i="11" s="1"/>
  <c r="H99" i="11"/>
  <c r="L98" i="11"/>
  <c r="L97" i="11"/>
  <c r="L96" i="11"/>
  <c r="L95" i="11"/>
  <c r="K94" i="11" l="1"/>
  <c r="L94" i="11" s="1"/>
  <c r="L93" i="11"/>
  <c r="L92" i="11"/>
  <c r="L91" i="11"/>
  <c r="L90" i="11"/>
  <c r="K89" i="11"/>
  <c r="L89" i="11" s="1"/>
  <c r="H89" i="11"/>
  <c r="L88" i="11" l="1"/>
  <c r="L87" i="11"/>
  <c r="L86" i="11"/>
  <c r="L85" i="11"/>
  <c r="K84" i="11"/>
  <c r="L84" i="11" s="1"/>
  <c r="H84" i="11"/>
  <c r="L83" i="11"/>
  <c r="L82" i="11"/>
  <c r="L81" i="11"/>
  <c r="L80" i="11"/>
  <c r="L79" i="11"/>
  <c r="L78" i="11"/>
  <c r="K76" i="11"/>
  <c r="L76" i="11" s="1"/>
  <c r="H76" i="11"/>
  <c r="L77" i="11"/>
  <c r="L75" i="11"/>
  <c r="L74" i="11"/>
  <c r="L73" i="11"/>
  <c r="L72" i="11"/>
  <c r="L71" i="11"/>
  <c r="L70" i="11"/>
  <c r="L69" i="11"/>
  <c r="L68" i="11"/>
  <c r="H67" i="11" l="1"/>
  <c r="K67" i="11"/>
  <c r="L67" i="11" s="1"/>
  <c r="K66" i="11"/>
  <c r="L66" i="11" s="1"/>
  <c r="H66" i="11"/>
  <c r="L65" i="11"/>
  <c r="L64" i="11"/>
  <c r="L63" i="11"/>
  <c r="L62" i="11"/>
  <c r="L61" i="11"/>
  <c r="L60" i="11"/>
  <c r="L59" i="11"/>
  <c r="K58" i="11"/>
  <c r="L58" i="11" s="1"/>
  <c r="H58" i="11"/>
  <c r="L57" i="11"/>
  <c r="L56" i="11"/>
  <c r="L55" i="11"/>
  <c r="K54" i="11" l="1"/>
  <c r="L54" i="11" s="1"/>
  <c r="H54" i="11"/>
  <c r="L53" i="11"/>
  <c r="L52" i="11"/>
  <c r="L51" i="11"/>
  <c r="L50" i="11"/>
  <c r="L49" i="11"/>
  <c r="L48" i="11"/>
  <c r="L47" i="11"/>
  <c r="L46" i="11"/>
  <c r="L45" i="11"/>
  <c r="L44" i="11"/>
  <c r="L43" i="11"/>
  <c r="K42" i="11"/>
  <c r="L42" i="11" s="1"/>
  <c r="H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K29" i="11"/>
  <c r="H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9" i="11" l="1"/>
  <c r="L302" i="11" s="1"/>
  <c r="K302" i="11"/>
  <c r="H302" i="11"/>
  <c r="L251" i="10"/>
  <c r="L243" i="10"/>
  <c r="L247" i="10"/>
  <c r="L250" i="10"/>
  <c r="L249" i="10"/>
  <c r="L248" i="10"/>
  <c r="L246" i="10"/>
  <c r="L245" i="10"/>
  <c r="L244" i="10"/>
  <c r="L242" i="10" l="1"/>
  <c r="K241" i="10"/>
  <c r="L241" i="10" s="1"/>
  <c r="H241" i="10"/>
  <c r="L240" i="10"/>
  <c r="L239" i="10"/>
  <c r="K238" i="10"/>
  <c r="L238" i="10" s="1"/>
  <c r="H238" i="10"/>
  <c r="L237" i="10"/>
  <c r="L236" i="10"/>
  <c r="L235" i="10"/>
  <c r="L234" i="10"/>
  <c r="L233" i="10"/>
  <c r="K232" i="10" l="1"/>
  <c r="L232" i="10" s="1"/>
  <c r="H232" i="10"/>
  <c r="L231" i="10"/>
  <c r="L218" i="10"/>
  <c r="L230" i="10"/>
  <c r="L229" i="10"/>
  <c r="L228" i="10"/>
  <c r="L227" i="10"/>
  <c r="L226" i="10"/>
  <c r="L225" i="10"/>
  <c r="L224" i="10"/>
  <c r="K223" i="10" l="1"/>
  <c r="L223" i="10" s="1"/>
  <c r="H223" i="10"/>
  <c r="L222" i="10" l="1"/>
  <c r="L221" i="10"/>
  <c r="L220" i="10"/>
  <c r="K219" i="10"/>
  <c r="L219" i="10" s="1"/>
  <c r="H219" i="10"/>
  <c r="L217" i="10"/>
  <c r="L216" i="10"/>
  <c r="L215" i="10"/>
  <c r="L214" i="10"/>
  <c r="L213" i="10"/>
  <c r="L212" i="10"/>
  <c r="L211" i="10" l="1"/>
  <c r="K210" i="10"/>
  <c r="L210" i="10" s="1"/>
  <c r="H210" i="10"/>
  <c r="K207" i="10"/>
  <c r="L207" i="10" s="1"/>
  <c r="H207" i="10"/>
  <c r="L206" i="10"/>
  <c r="L205" i="10"/>
  <c r="L204" i="10"/>
  <c r="L203" i="10"/>
  <c r="L202" i="10"/>
  <c r="L201" i="10"/>
  <c r="L200" i="10"/>
  <c r="L199" i="10"/>
  <c r="L198" i="10"/>
  <c r="L197" i="10"/>
  <c r="L196" i="10"/>
  <c r="K195" i="10"/>
  <c r="L195" i="10" s="1"/>
  <c r="H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K179" i="10"/>
  <c r="L179" i="10" s="1"/>
  <c r="L180" i="10"/>
  <c r="L181" i="10"/>
  <c r="L178" i="10"/>
  <c r="L177" i="10"/>
  <c r="L176" i="10"/>
  <c r="L175" i="10"/>
  <c r="L174" i="10"/>
  <c r="L173" i="10"/>
  <c r="L172" i="10"/>
  <c r="L171" i="10"/>
  <c r="L170" i="10"/>
  <c r="L169" i="10"/>
  <c r="L168" i="10"/>
  <c r="L167" i="10"/>
  <c r="K166" i="10" l="1"/>
  <c r="L166" i="10" s="1"/>
  <c r="H166" i="10"/>
  <c r="L165" i="10"/>
  <c r="L164" i="10"/>
  <c r="L163" i="10"/>
  <c r="L162" i="10"/>
  <c r="L161" i="10"/>
  <c r="L160" i="10"/>
  <c r="K159" i="10"/>
  <c r="L159" i="10" s="1"/>
  <c r="H159" i="10"/>
  <c r="L158" i="10"/>
  <c r="L157" i="10"/>
  <c r="L156" i="10"/>
  <c r="L155" i="10"/>
  <c r="L154" i="10"/>
  <c r="L153" i="10"/>
  <c r="L152" i="10"/>
  <c r="L151" i="10"/>
  <c r="L150" i="10"/>
  <c r="L149" i="10"/>
  <c r="L136" i="10" l="1"/>
  <c r="L146" i="10"/>
  <c r="L148" i="10"/>
  <c r="L147" i="10"/>
  <c r="L145" i="10"/>
  <c r="L144" i="10"/>
  <c r="L143" i="10"/>
  <c r="K142" i="10"/>
  <c r="L142" i="10" s="1"/>
  <c r="H142" i="10"/>
  <c r="L141" i="10"/>
  <c r="L140" i="10"/>
  <c r="L139" i="10" l="1"/>
  <c r="L138" i="10"/>
  <c r="L137" i="10"/>
  <c r="K135" i="10" l="1"/>
  <c r="L135" i="10" s="1"/>
  <c r="H135" i="10"/>
  <c r="H256" i="10" s="1"/>
  <c r="L134" i="10"/>
  <c r="L133" i="10"/>
  <c r="L132" i="10"/>
  <c r="L131" i="10"/>
  <c r="L130" i="10"/>
  <c r="L129" i="10"/>
  <c r="L128" i="10"/>
  <c r="L127" i="10" l="1"/>
  <c r="L126" i="10"/>
  <c r="L125" i="10"/>
  <c r="L124" i="10"/>
  <c r="L123" i="10"/>
  <c r="L122" i="10"/>
  <c r="L121" i="10"/>
  <c r="L120" i="10"/>
  <c r="L119" i="10" l="1"/>
  <c r="L118" i="10"/>
  <c r="L117" i="10"/>
  <c r="L116" i="10"/>
  <c r="L115" i="10"/>
  <c r="L114" i="10"/>
  <c r="L113" i="10" l="1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 l="1"/>
  <c r="L90" i="10"/>
  <c r="L89" i="10"/>
  <c r="L88" i="10"/>
  <c r="L87" i="10"/>
  <c r="L86" i="10"/>
  <c r="L77" i="10" l="1"/>
  <c r="K67" i="10"/>
  <c r="L67" i="10" s="1"/>
  <c r="K66" i="10"/>
  <c r="L66" i="10" s="1"/>
  <c r="H66" i="10"/>
  <c r="L65" i="10"/>
  <c r="L64" i="10"/>
  <c r="L63" i="10"/>
  <c r="L62" i="10"/>
  <c r="L61" i="10"/>
  <c r="K60" i="10"/>
  <c r="L60" i="10" s="1"/>
  <c r="H60" i="10"/>
  <c r="L59" i="10"/>
  <c r="L58" i="10"/>
  <c r="L57" i="10"/>
  <c r="K56" i="10"/>
  <c r="L56" i="10" s="1"/>
  <c r="K55" i="10"/>
  <c r="L55" i="10" s="1"/>
  <c r="K54" i="10"/>
  <c r="L54" i="10" s="1"/>
  <c r="H54" i="10"/>
  <c r="L53" i="10"/>
  <c r="L52" i="10"/>
  <c r="L51" i="10" l="1"/>
  <c r="L50" i="10"/>
  <c r="K49" i="10"/>
  <c r="L49" i="10" s="1"/>
  <c r="K48" i="10"/>
  <c r="L48" i="10" s="1"/>
  <c r="H48" i="10"/>
  <c r="L47" i="10"/>
  <c r="L46" i="10"/>
  <c r="K45" i="10"/>
  <c r="L45" i="10" s="1"/>
  <c r="H45" i="10"/>
  <c r="L44" i="10"/>
  <c r="L43" i="10"/>
  <c r="L42" i="10"/>
  <c r="K41" i="10"/>
  <c r="L41" i="10" s="1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K7" i="10"/>
  <c r="L7" i="10" s="1"/>
  <c r="H7" i="10"/>
  <c r="K6" i="10"/>
  <c r="H6" i="10"/>
  <c r="L5" i="10"/>
  <c r="L4" i="10"/>
  <c r="L3" i="10"/>
  <c r="L78" i="10"/>
  <c r="L76" i="10"/>
  <c r="L75" i="10"/>
  <c r="L74" i="10"/>
  <c r="L73" i="10"/>
  <c r="L72" i="10"/>
  <c r="K71" i="10"/>
  <c r="L71" i="10" s="1"/>
  <c r="L70" i="10"/>
  <c r="L69" i="10"/>
  <c r="L85" i="10"/>
  <c r="L84" i="10"/>
  <c r="L83" i="10"/>
  <c r="L82" i="10"/>
  <c r="K79" i="10"/>
  <c r="L79" i="10" s="1"/>
  <c r="L81" i="10"/>
  <c r="L80" i="10"/>
  <c r="J254" i="10"/>
  <c r="I254" i="10"/>
  <c r="G254" i="10"/>
  <c r="F254" i="10"/>
  <c r="H254" i="10" l="1"/>
  <c r="L6" i="10"/>
  <c r="K254" i="10"/>
  <c r="L68" i="10"/>
  <c r="L26" i="9"/>
  <c r="K25" i="9"/>
  <c r="L25" i="9" s="1"/>
  <c r="H25" i="9"/>
  <c r="L254" i="10" l="1"/>
  <c r="L24" i="9"/>
  <c r="K23" i="9"/>
  <c r="L23" i="9" s="1"/>
  <c r="H23" i="9"/>
  <c r="K22" i="9"/>
  <c r="L22" i="9" s="1"/>
  <c r="H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K32" i="9" l="1"/>
  <c r="L7" i="9"/>
  <c r="L6" i="9"/>
  <c r="L5" i="9"/>
  <c r="L4" i="9"/>
  <c r="L3" i="9"/>
  <c r="L32" i="9" l="1"/>
  <c r="L140" i="8"/>
  <c r="L139" i="8"/>
  <c r="L138" i="8"/>
  <c r="L137" i="8"/>
  <c r="L136" i="8"/>
  <c r="L135" i="8"/>
  <c r="L134" i="8"/>
  <c r="L133" i="8"/>
  <c r="L132" i="8"/>
  <c r="L131" i="8"/>
  <c r="L130" i="8"/>
  <c r="K129" i="8"/>
  <c r="L129" i="8" s="1"/>
  <c r="H129" i="8"/>
  <c r="L128" i="8"/>
  <c r="L127" i="8"/>
  <c r="L126" i="8"/>
  <c r="K125" i="8" l="1"/>
  <c r="L125" i="8" s="1"/>
  <c r="H125" i="8"/>
  <c r="L124" i="8"/>
  <c r="L123" i="8"/>
  <c r="L122" i="8"/>
  <c r="L121" i="8"/>
  <c r="L120" i="8"/>
  <c r="L119" i="8"/>
  <c r="L118" i="8"/>
  <c r="L117" i="8"/>
  <c r="L116" i="8"/>
  <c r="L114" i="8"/>
  <c r="L115" i="8"/>
  <c r="L113" i="8"/>
  <c r="L112" i="8"/>
  <c r="L111" i="8"/>
  <c r="L110" i="8"/>
  <c r="L109" i="8"/>
  <c r="L108" i="8"/>
  <c r="L107" i="8"/>
  <c r="K106" i="8"/>
  <c r="L106" i="8" s="1"/>
  <c r="H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 l="1"/>
  <c r="L83" i="8"/>
  <c r="L82" i="8"/>
  <c r="L81" i="8"/>
  <c r="H80" i="8"/>
  <c r="K80" i="8"/>
  <c r="L80" i="8" s="1"/>
  <c r="K79" i="8"/>
  <c r="L79" i="8" s="1"/>
  <c r="H79" i="8"/>
  <c r="K78" i="8"/>
  <c r="L78" i="8" s="1"/>
  <c r="H78" i="8"/>
  <c r="L77" i="8"/>
  <c r="L76" i="8"/>
  <c r="K75" i="8"/>
  <c r="L75" i="8" s="1"/>
  <c r="H75" i="8"/>
  <c r="L74" i="8"/>
  <c r="L73" i="8"/>
  <c r="L72" i="8"/>
  <c r="L71" i="8"/>
  <c r="L70" i="8"/>
  <c r="L69" i="8"/>
  <c r="K68" i="8"/>
  <c r="L68" i="8" s="1"/>
  <c r="H68" i="8"/>
  <c r="L67" i="8"/>
  <c r="L66" i="8"/>
  <c r="L65" i="8"/>
  <c r="L64" i="8"/>
  <c r="L63" i="8"/>
  <c r="L62" i="8"/>
  <c r="L61" i="8"/>
  <c r="L60" i="8"/>
  <c r="L59" i="8"/>
  <c r="H58" i="8"/>
  <c r="K58" i="8"/>
  <c r="L58" i="8" s="1"/>
  <c r="K57" i="8"/>
  <c r="L57" i="8" s="1"/>
  <c r="H57" i="8"/>
  <c r="H146" i="8" l="1"/>
  <c r="L56" i="8"/>
  <c r="L55" i="8"/>
  <c r="L54" i="8"/>
  <c r="L53" i="8"/>
  <c r="L52" i="8"/>
  <c r="L51" i="8"/>
  <c r="L50" i="8"/>
  <c r="K49" i="8"/>
  <c r="L49" i="8" s="1"/>
  <c r="H49" i="8"/>
  <c r="L48" i="8"/>
  <c r="L47" i="8"/>
  <c r="L46" i="8"/>
  <c r="L45" i="8"/>
  <c r="L44" i="8"/>
  <c r="K43" i="8"/>
  <c r="L43" i="8" s="1"/>
  <c r="H43" i="8"/>
  <c r="L42" i="8"/>
  <c r="L41" i="8"/>
  <c r="L40" i="8"/>
  <c r="L39" i="8"/>
  <c r="K38" i="8"/>
  <c r="L38" i="8" s="1"/>
  <c r="H38" i="8"/>
  <c r="L37" i="8"/>
  <c r="K36" i="8"/>
  <c r="L36" i="8" s="1"/>
  <c r="H36" i="8"/>
  <c r="K35" i="8"/>
  <c r="L35" i="8" s="1"/>
  <c r="H35" i="8"/>
  <c r="L34" i="8"/>
  <c r="K33" i="8"/>
  <c r="L33" i="8" s="1"/>
  <c r="L32" i="8"/>
  <c r="L31" i="8"/>
  <c r="L30" i="8"/>
  <c r="L29" i="8"/>
  <c r="L28" i="8"/>
  <c r="L27" i="8"/>
  <c r="L26" i="8" l="1"/>
  <c r="L25" i="8"/>
  <c r="L24" i="8"/>
  <c r="L23" i="8"/>
  <c r="K22" i="8"/>
  <c r="L22" i="8" s="1"/>
  <c r="K21" i="8"/>
  <c r="L21" i="8" s="1"/>
  <c r="H21" i="8"/>
  <c r="L17" i="8"/>
  <c r="K16" i="8"/>
  <c r="L16" i="8" s="1"/>
  <c r="L20" i="8"/>
  <c r="H19" i="8"/>
  <c r="K19" i="8"/>
  <c r="L19" i="8" s="1"/>
  <c r="K18" i="8"/>
  <c r="L18" i="8" s="1"/>
  <c r="H18" i="8"/>
  <c r="H15" i="8"/>
  <c r="K15" i="8"/>
  <c r="L15" i="8" s="1"/>
  <c r="H14" i="8"/>
  <c r="K14" i="8"/>
  <c r="L14" i="8" s="1"/>
  <c r="K13" i="8"/>
  <c r="L13" i="8" s="1"/>
  <c r="H13" i="8"/>
  <c r="L12" i="8"/>
  <c r="K11" i="8"/>
  <c r="L11" i="8" s="1"/>
  <c r="K10" i="8"/>
  <c r="L10" i="8" s="1"/>
  <c r="H10" i="8"/>
  <c r="K9" i="8"/>
  <c r="L9" i="8" s="1"/>
  <c r="H9" i="8"/>
  <c r="L7" i="8"/>
  <c r="L6" i="8"/>
  <c r="K5" i="8"/>
  <c r="H5" i="8"/>
  <c r="L8" i="8"/>
  <c r="L4" i="8"/>
  <c r="L3" i="8"/>
  <c r="J144" i="8"/>
  <c r="I144" i="8"/>
  <c r="G144" i="8"/>
  <c r="F144" i="8"/>
  <c r="L5" i="8" l="1"/>
  <c r="L144" i="8" s="1"/>
  <c r="K144" i="8"/>
  <c r="H144" i="8"/>
  <c r="L171" i="7"/>
  <c r="K170" i="7"/>
  <c r="L170" i="7" s="1"/>
  <c r="K169" i="7"/>
  <c r="L169" i="7" s="1"/>
  <c r="H169" i="7"/>
  <c r="K168" i="7"/>
  <c r="L168" i="7" s="1"/>
  <c r="H168" i="7"/>
  <c r="L167" i="7"/>
  <c r="L166" i="7"/>
  <c r="K165" i="7"/>
  <c r="L165" i="7" s="1"/>
  <c r="H165" i="7"/>
  <c r="K164" i="7"/>
  <c r="L164" i="7" s="1"/>
  <c r="H164" i="7"/>
  <c r="L163" i="7"/>
  <c r="L162" i="7"/>
  <c r="L161" i="7"/>
  <c r="K160" i="7" l="1"/>
  <c r="L160" i="7" s="1"/>
  <c r="H160" i="7"/>
  <c r="K155" i="7"/>
  <c r="L155" i="7" s="1"/>
  <c r="H155" i="7"/>
  <c r="L159" i="7"/>
  <c r="K158" i="7"/>
  <c r="L158" i="7" s="1"/>
  <c r="H158" i="7"/>
  <c r="K157" i="7"/>
  <c r="L157" i="7" s="1"/>
  <c r="H157" i="7"/>
  <c r="L156" i="7"/>
  <c r="L154" i="7"/>
  <c r="L153" i="7"/>
  <c r="L152" i="7" l="1"/>
  <c r="L151" i="7"/>
  <c r="L150" i="7"/>
  <c r="K149" i="7" l="1"/>
  <c r="L149" i="7" s="1"/>
  <c r="H149" i="7"/>
  <c r="L148" i="7"/>
  <c r="L147" i="7"/>
  <c r="L146" i="7"/>
  <c r="L145" i="7" l="1"/>
  <c r="L144" i="7"/>
  <c r="K143" i="7"/>
  <c r="L143" i="7" s="1"/>
  <c r="H143" i="7"/>
  <c r="L142" i="7" l="1"/>
  <c r="L141" i="7" l="1"/>
  <c r="K140" i="7"/>
  <c r="L140" i="7" s="1"/>
  <c r="H140" i="7"/>
  <c r="L139" i="7"/>
  <c r="L138" i="7"/>
  <c r="L137" i="7"/>
  <c r="L136" i="7"/>
  <c r="L135" i="7"/>
  <c r="L134" i="7"/>
  <c r="L133" i="7"/>
  <c r="L132" i="7"/>
  <c r="K131" i="7"/>
  <c r="L131" i="7" s="1"/>
  <c r="L130" i="7"/>
  <c r="L129" i="7"/>
  <c r="L128" i="7"/>
  <c r="K127" i="7"/>
  <c r="L127" i="7" s="1"/>
  <c r="L126" i="7"/>
  <c r="L125" i="7"/>
  <c r="L120" i="7"/>
  <c r="L124" i="7"/>
  <c r="L123" i="7"/>
  <c r="K122" i="7"/>
  <c r="L122" i="7" s="1"/>
  <c r="L121" i="7"/>
  <c r="L119" i="7"/>
  <c r="L118" i="7"/>
  <c r="L117" i="7"/>
  <c r="L116" i="7"/>
  <c r="L115" i="7"/>
  <c r="L114" i="7"/>
  <c r="L113" i="7"/>
  <c r="K112" i="7"/>
  <c r="L112" i="7" s="1"/>
  <c r="L111" i="7"/>
  <c r="L110" i="7"/>
  <c r="L109" i="7"/>
  <c r="L108" i="7"/>
  <c r="L107" i="7"/>
  <c r="L106" i="7"/>
  <c r="K105" i="7"/>
  <c r="L105" i="7" s="1"/>
  <c r="L104" i="7"/>
  <c r="L103" i="7"/>
  <c r="L102" i="7"/>
  <c r="K101" i="7"/>
  <c r="L101" i="7" s="1"/>
  <c r="K100" i="7"/>
  <c r="L100" i="7" s="1"/>
  <c r="H100" i="7"/>
  <c r="K93" i="7"/>
  <c r="L93" i="7" s="1"/>
  <c r="H93" i="7"/>
  <c r="L96" i="7"/>
  <c r="L99" i="7"/>
  <c r="L98" i="7"/>
  <c r="L97" i="7"/>
  <c r="K95" i="7"/>
  <c r="L95" i="7" s="1"/>
  <c r="L94" i="7"/>
  <c r="L92" i="7"/>
  <c r="L91" i="7"/>
  <c r="L90" i="7"/>
  <c r="K89" i="7"/>
  <c r="L89" i="7" s="1"/>
  <c r="H89" i="7"/>
  <c r="L88" i="7"/>
  <c r="L87" i="7"/>
  <c r="K86" i="7"/>
  <c r="L86" i="7" s="1"/>
  <c r="L85" i="7"/>
  <c r="K84" i="7"/>
  <c r="L84" i="7" s="1"/>
  <c r="L83" i="7"/>
  <c r="L82" i="7"/>
  <c r="L81" i="7"/>
  <c r="L80" i="7"/>
  <c r="K79" i="7"/>
  <c r="L79" i="7" s="1"/>
  <c r="H79" i="7"/>
  <c r="K78" i="7"/>
  <c r="L78" i="7" s="1"/>
  <c r="H78" i="7"/>
  <c r="L77" i="7"/>
  <c r="L76" i="7"/>
  <c r="K75" i="7"/>
  <c r="L75" i="7" s="1"/>
  <c r="H75" i="7"/>
  <c r="L74" i="7"/>
  <c r="L73" i="7"/>
  <c r="L72" i="7"/>
  <c r="K71" i="7"/>
  <c r="L71" i="7" s="1"/>
  <c r="H71" i="7"/>
  <c r="L70" i="7"/>
  <c r="L69" i="7"/>
  <c r="L68" i="7"/>
  <c r="K67" i="7"/>
  <c r="L67" i="7" s="1"/>
  <c r="H67" i="7"/>
  <c r="L66" i="7"/>
  <c r="L65" i="7"/>
  <c r="L64" i="7"/>
  <c r="L63" i="7"/>
  <c r="L62" i="7"/>
  <c r="K61" i="7"/>
  <c r="L61" i="7" s="1"/>
  <c r="H61" i="7"/>
  <c r="L60" i="7"/>
  <c r="K59" i="7"/>
  <c r="L59" i="7" s="1"/>
  <c r="H59" i="7"/>
  <c r="K58" i="7"/>
  <c r="L58" i="7" s="1"/>
  <c r="H58" i="7"/>
  <c r="K57" i="7"/>
  <c r="L57" i="7" s="1"/>
  <c r="H57" i="7"/>
  <c r="K56" i="7"/>
  <c r="L56" i="7" s="1"/>
  <c r="H56" i="7"/>
  <c r="K55" i="7"/>
  <c r="L55" i="7" s="1"/>
  <c r="H55" i="7"/>
  <c r="L54" i="7"/>
  <c r="L53" i="7"/>
  <c r="L52" i="7"/>
  <c r="L51" i="7"/>
  <c r="L50" i="7"/>
  <c r="K49" i="7"/>
  <c r="L49" i="7" s="1"/>
  <c r="H49" i="7"/>
  <c r="L48" i="7"/>
  <c r="L46" i="7"/>
  <c r="L47" i="7"/>
  <c r="L45" i="7"/>
  <c r="L44" i="7"/>
  <c r="H175" i="7" l="1"/>
  <c r="L43" i="7"/>
  <c r="K42" i="7"/>
  <c r="L42" i="7" s="1"/>
  <c r="H42" i="7"/>
  <c r="L41" i="7"/>
  <c r="L40" i="7"/>
  <c r="L39" i="7"/>
  <c r="L38" i="7"/>
  <c r="L37" i="7"/>
  <c r="L36" i="7"/>
  <c r="K35" i="7"/>
  <c r="L35" i="7" s="1"/>
  <c r="H35" i="7"/>
  <c r="L34" i="7"/>
  <c r="L33" i="7"/>
  <c r="L32" i="7"/>
  <c r="L31" i="7"/>
  <c r="L30" i="7"/>
  <c r="L29" i="7"/>
  <c r="L28" i="7"/>
  <c r="L27" i="7"/>
  <c r="L26" i="7"/>
  <c r="L25" i="7"/>
  <c r="L21" i="7"/>
  <c r="L24" i="7"/>
  <c r="L23" i="7"/>
  <c r="L22" i="7"/>
  <c r="L20" i="7"/>
  <c r="L19" i="7"/>
  <c r="L18" i="7"/>
  <c r="L17" i="7"/>
  <c r="K16" i="7"/>
  <c r="L16" i="7" s="1"/>
  <c r="H16" i="7"/>
  <c r="K15" i="7"/>
  <c r="L15" i="7" s="1"/>
  <c r="L14" i="7"/>
  <c r="L13" i="7"/>
  <c r="L12" i="7"/>
  <c r="L11" i="7"/>
  <c r="L10" i="7"/>
  <c r="L9" i="7"/>
  <c r="L8" i="7"/>
  <c r="K7" i="7"/>
  <c r="L7" i="7" s="1"/>
  <c r="H6" i="7"/>
  <c r="K6" i="7"/>
  <c r="L6" i="7" s="1"/>
  <c r="L5" i="7"/>
  <c r="L4" i="7"/>
  <c r="K3" i="7"/>
  <c r="L3" i="7" s="1"/>
  <c r="H3" i="7"/>
  <c r="J173" i="7"/>
  <c r="I173" i="7"/>
  <c r="G173" i="7"/>
  <c r="F173" i="7"/>
  <c r="H173" i="7" l="1"/>
  <c r="K173" i="7"/>
  <c r="L173" i="7"/>
  <c r="K171" i="6"/>
  <c r="L171" i="6" s="1"/>
  <c r="H171" i="6"/>
  <c r="L170" i="6"/>
  <c r="K169" i="6"/>
  <c r="L169" i="6" s="1"/>
  <c r="H169" i="6"/>
  <c r="L168" i="6"/>
  <c r="K167" i="6"/>
  <c r="L167" i="6" s="1"/>
  <c r="L166" i="6"/>
  <c r="L165" i="6"/>
  <c r="L164" i="6"/>
  <c r="L163" i="6"/>
  <c r="K162" i="6"/>
  <c r="L162" i="6" s="1"/>
  <c r="L161" i="6"/>
  <c r="H160" i="6"/>
  <c r="K160" i="6"/>
  <c r="L160" i="6" s="1"/>
  <c r="L159" i="6"/>
  <c r="L158" i="6" l="1"/>
  <c r="K157" i="6"/>
  <c r="L157" i="6" s="1"/>
  <c r="H157" i="6"/>
  <c r="L156" i="6"/>
  <c r="K155" i="6"/>
  <c r="L155" i="6" s="1"/>
  <c r="H155" i="6"/>
  <c r="L154" i="6"/>
  <c r="L153" i="6"/>
  <c r="L152" i="6" l="1"/>
  <c r="K151" i="6"/>
  <c r="L151" i="6" s="1"/>
  <c r="H151" i="6"/>
  <c r="L150" i="6"/>
  <c r="L149" i="6"/>
  <c r="L148" i="6"/>
  <c r="L147" i="6"/>
  <c r="L146" i="6"/>
  <c r="L145" i="6"/>
  <c r="L144" i="6" l="1"/>
  <c r="K143" i="6"/>
  <c r="L143" i="6" s="1"/>
  <c r="H143" i="6"/>
  <c r="K142" i="6"/>
  <c r="L142" i="6" s="1"/>
  <c r="H142" i="6"/>
  <c r="L141" i="6"/>
  <c r="L140" i="6"/>
  <c r="L139" i="6"/>
  <c r="K138" i="6"/>
  <c r="L138" i="6" s="1"/>
  <c r="H138" i="6"/>
  <c r="L137" i="6"/>
  <c r="K136" i="6"/>
  <c r="L136" i="6" s="1"/>
  <c r="L135" i="6"/>
  <c r="L134" i="6"/>
  <c r="L133" i="6"/>
  <c r="L132" i="6"/>
  <c r="L131" i="6"/>
  <c r="L130" i="6"/>
  <c r="K129" i="6"/>
  <c r="L129" i="6" s="1"/>
  <c r="L128" i="6"/>
  <c r="K127" i="6"/>
  <c r="L127" i="6" s="1"/>
  <c r="K126" i="6"/>
  <c r="L126" i="6" s="1"/>
  <c r="H126" i="6"/>
  <c r="K125" i="6"/>
  <c r="L125" i="6" s="1"/>
  <c r="H125" i="6"/>
  <c r="L124" i="6"/>
  <c r="L123" i="6"/>
  <c r="L122" i="6" l="1"/>
  <c r="K121" i="6"/>
  <c r="L121" i="6" s="1"/>
  <c r="L120" i="6"/>
  <c r="K119" i="6"/>
  <c r="L119" i="6" s="1"/>
  <c r="K118" i="6"/>
  <c r="L118" i="6" s="1"/>
  <c r="H118" i="6"/>
  <c r="L117" i="6"/>
  <c r="L116" i="6"/>
  <c r="K115" i="6"/>
  <c r="L115" i="6" s="1"/>
  <c r="H115" i="6"/>
  <c r="L114" i="6"/>
  <c r="L113" i="6"/>
  <c r="L112" i="6"/>
  <c r="L111" i="6"/>
  <c r="L110" i="6"/>
  <c r="L109" i="6"/>
  <c r="L108" i="6"/>
  <c r="L107" i="6"/>
  <c r="L106" i="6"/>
  <c r="L100" i="6"/>
  <c r="L105" i="6"/>
  <c r="K104" i="6"/>
  <c r="L104" i="6" s="1"/>
  <c r="K103" i="6"/>
  <c r="L103" i="6" s="1"/>
  <c r="H103" i="6"/>
  <c r="L75" i="6"/>
  <c r="L74" i="6"/>
  <c r="L72" i="6"/>
  <c r="L64" i="6"/>
  <c r="L60" i="6"/>
  <c r="K59" i="6"/>
  <c r="L59" i="6" s="1"/>
  <c r="L56" i="6"/>
  <c r="K55" i="6"/>
  <c r="L55" i="6" s="1"/>
  <c r="L28" i="6"/>
  <c r="K27" i="6"/>
  <c r="L27" i="6" s="1"/>
  <c r="F177" i="6"/>
  <c r="G177" i="6"/>
  <c r="I177" i="6"/>
  <c r="J177" i="6"/>
  <c r="L102" i="6"/>
  <c r="K101" i="6"/>
  <c r="L101" i="6" s="1"/>
  <c r="L99" i="6"/>
  <c r="L98" i="6"/>
  <c r="L97" i="6"/>
  <c r="L96" i="6"/>
  <c r="L95" i="6"/>
  <c r="K94" i="6"/>
  <c r="H94" i="6"/>
  <c r="L93" i="6"/>
  <c r="L84" i="6"/>
  <c r="L92" i="6"/>
  <c r="K91" i="6"/>
  <c r="L91" i="6" s="1"/>
  <c r="H91" i="6"/>
  <c r="L90" i="6"/>
  <c r="K89" i="6"/>
  <c r="L89" i="6" s="1"/>
  <c r="H89" i="6"/>
  <c r="K88" i="6"/>
  <c r="L88" i="6" s="1"/>
  <c r="H88" i="6"/>
  <c r="L87" i="6"/>
  <c r="L86" i="6"/>
  <c r="K85" i="6"/>
  <c r="L85" i="6" s="1"/>
  <c r="H85" i="6"/>
  <c r="L83" i="6"/>
  <c r="K82" i="6"/>
  <c r="L82" i="6" s="1"/>
  <c r="H82" i="6"/>
  <c r="K81" i="6"/>
  <c r="L81" i="6" s="1"/>
  <c r="H81" i="6"/>
  <c r="K80" i="6"/>
  <c r="L80" i="6" s="1"/>
  <c r="H80" i="6"/>
  <c r="L79" i="6"/>
  <c r="K78" i="6"/>
  <c r="L78" i="6" s="1"/>
  <c r="H78" i="6"/>
  <c r="L77" i="6"/>
  <c r="L76" i="6"/>
  <c r="K73" i="6"/>
  <c r="L73" i="6" s="1"/>
  <c r="H73" i="6"/>
  <c r="L71" i="6"/>
  <c r="K70" i="6"/>
  <c r="L70" i="6" s="1"/>
  <c r="H70" i="6"/>
  <c r="L69" i="6"/>
  <c r="L68" i="6"/>
  <c r="L67" i="6"/>
  <c r="L66" i="6"/>
  <c r="L65" i="6"/>
  <c r="L63" i="6"/>
  <c r="L62" i="6"/>
  <c r="L61" i="6"/>
  <c r="K58" i="6"/>
  <c r="L58" i="6" s="1"/>
  <c r="H58" i="6"/>
  <c r="L57" i="6"/>
  <c r="L54" i="6"/>
  <c r="K53" i="6"/>
  <c r="L53" i="6" s="1"/>
  <c r="H53" i="6"/>
  <c r="L52" i="6"/>
  <c r="L51" i="6"/>
  <c r="L50" i="6"/>
  <c r="L49" i="6"/>
  <c r="L48" i="6"/>
  <c r="L47" i="6"/>
  <c r="L46" i="6"/>
  <c r="K45" i="6"/>
  <c r="L45" i="6" s="1"/>
  <c r="H45" i="6"/>
  <c r="L44" i="6"/>
  <c r="L43" i="6"/>
  <c r="L40" i="6"/>
  <c r="K42" i="6"/>
  <c r="L42" i="6" s="1"/>
  <c r="K39" i="6"/>
  <c r="L39" i="6" s="1"/>
  <c r="K41" i="6"/>
  <c r="L41" i="6" s="1"/>
  <c r="H41" i="6"/>
  <c r="L38" i="6"/>
  <c r="L37" i="6"/>
  <c r="L36" i="6"/>
  <c r="K35" i="6"/>
  <c r="L35" i="6" s="1"/>
  <c r="H35" i="6"/>
  <c r="K34" i="6"/>
  <c r="L34" i="6" s="1"/>
  <c r="H34" i="6"/>
  <c r="L33" i="6"/>
  <c r="L32" i="6"/>
  <c r="L31" i="6"/>
  <c r="L30" i="6"/>
  <c r="L29" i="6"/>
  <c r="L26" i="6"/>
  <c r="K25" i="6"/>
  <c r="L25" i="6" s="1"/>
  <c r="H25" i="6"/>
  <c r="L24" i="6"/>
  <c r="L23" i="6"/>
  <c r="L22" i="6"/>
  <c r="L21" i="6"/>
  <c r="L20" i="6"/>
  <c r="L19" i="6"/>
  <c r="K18" i="6"/>
  <c r="L18" i="6" s="1"/>
  <c r="H18" i="6"/>
  <c r="L17" i="6"/>
  <c r="L16" i="6"/>
  <c r="L15" i="6"/>
  <c r="L14" i="6"/>
  <c r="L13" i="6"/>
  <c r="K12" i="6"/>
  <c r="L12" i="6" s="1"/>
  <c r="H12" i="6"/>
  <c r="L11" i="6"/>
  <c r="K10" i="6"/>
  <c r="L10" i="6" s="1"/>
  <c r="H10" i="6"/>
  <c r="L9" i="6"/>
  <c r="K8" i="6"/>
  <c r="L8" i="6" s="1"/>
  <c r="H8" i="6"/>
  <c r="L7" i="6"/>
  <c r="K6" i="6"/>
  <c r="L6" i="6" s="1"/>
  <c r="H6" i="6"/>
  <c r="L5" i="6"/>
  <c r="L4" i="6"/>
  <c r="L3" i="6"/>
  <c r="H179" i="6" l="1"/>
  <c r="H177" i="6"/>
  <c r="K177" i="6"/>
  <c r="L94" i="6"/>
  <c r="L177" i="6" s="1"/>
  <c r="K220" i="5"/>
  <c r="L220" i="5" s="1"/>
  <c r="H220" i="5"/>
  <c r="L219" i="5"/>
  <c r="L218" i="5"/>
  <c r="L217" i="5"/>
  <c r="L216" i="5"/>
  <c r="L215" i="5"/>
  <c r="L214" i="5"/>
  <c r="L213" i="5"/>
  <c r="L212" i="5"/>
  <c r="L211" i="5"/>
  <c r="K210" i="5"/>
  <c r="L210" i="5" s="1"/>
  <c r="H210" i="5"/>
  <c r="L209" i="5"/>
  <c r="L208" i="5"/>
  <c r="L207" i="5"/>
  <c r="L206" i="5"/>
  <c r="L205" i="5"/>
  <c r="L204" i="5"/>
  <c r="L203" i="5"/>
  <c r="L202" i="5"/>
  <c r="L201" i="5"/>
  <c r="K200" i="5"/>
  <c r="L200" i="5" s="1"/>
  <c r="H200" i="5"/>
  <c r="L199" i="5"/>
  <c r="L198" i="5"/>
  <c r="L197" i="5"/>
  <c r="L196" i="5"/>
  <c r="L195" i="5"/>
  <c r="L194" i="5"/>
  <c r="L193" i="5"/>
  <c r="L192" i="5"/>
  <c r="K191" i="5"/>
  <c r="L191" i="5" s="1"/>
  <c r="H191" i="5"/>
  <c r="L190" i="5"/>
  <c r="L189" i="5"/>
  <c r="K188" i="5"/>
  <c r="L188" i="5" s="1"/>
  <c r="H188" i="5"/>
  <c r="L187" i="5"/>
  <c r="L186" i="5" l="1"/>
  <c r="K185" i="5"/>
  <c r="L185" i="5" s="1"/>
  <c r="H185" i="5"/>
  <c r="L184" i="5"/>
  <c r="L183" i="5"/>
  <c r="L182" i="5"/>
  <c r="L181" i="5"/>
  <c r="K180" i="5"/>
  <c r="L180" i="5" s="1"/>
  <c r="H180" i="5"/>
  <c r="L179" i="5"/>
  <c r="L178" i="5"/>
  <c r="L177" i="5"/>
  <c r="L176" i="5"/>
  <c r="L175" i="5"/>
  <c r="L174" i="5"/>
  <c r="K173" i="5"/>
  <c r="L173" i="5" s="1"/>
  <c r="H173" i="5"/>
  <c r="L172" i="5"/>
  <c r="L171" i="5"/>
  <c r="L170" i="5"/>
  <c r="L169" i="5"/>
  <c r="L168" i="5"/>
  <c r="L167" i="5"/>
  <c r="K166" i="5"/>
  <c r="L166" i="5" s="1"/>
  <c r="H166" i="5"/>
  <c r="L165" i="5"/>
  <c r="L164" i="5"/>
  <c r="L163" i="5"/>
  <c r="L162" i="5"/>
  <c r="L161" i="5"/>
  <c r="L160" i="5"/>
  <c r="L159" i="5"/>
  <c r="L158" i="5"/>
  <c r="W41" i="5" l="1"/>
  <c r="L152" i="5" l="1"/>
  <c r="K157" i="5" l="1"/>
  <c r="L157" i="5" s="1"/>
  <c r="H157" i="5"/>
  <c r="L156" i="5"/>
  <c r="L155" i="5"/>
  <c r="L154" i="5"/>
  <c r="L153" i="5"/>
  <c r="L151" i="5"/>
  <c r="L150" i="5"/>
  <c r="L149" i="5"/>
  <c r="L148" i="5"/>
  <c r="L147" i="5"/>
  <c r="L146" i="5"/>
  <c r="L145" i="5"/>
  <c r="L144" i="5"/>
  <c r="L143" i="5"/>
  <c r="K142" i="5"/>
  <c r="L142" i="5" s="1"/>
  <c r="H142" i="5"/>
  <c r="L141" i="5"/>
  <c r="L140" i="5"/>
  <c r="H139" i="5"/>
  <c r="K139" i="5"/>
  <c r="L139" i="5" s="1"/>
  <c r="K138" i="5"/>
  <c r="L138" i="5" s="1"/>
  <c r="H138" i="5"/>
  <c r="L137" i="5"/>
  <c r="L136" i="5"/>
  <c r="K135" i="5"/>
  <c r="L135" i="5" s="1"/>
  <c r="H135" i="5"/>
  <c r="L134" i="5"/>
  <c r="L133" i="5"/>
  <c r="K132" i="5"/>
  <c r="L132" i="5" s="1"/>
  <c r="H132" i="5"/>
  <c r="L131" i="5"/>
  <c r="K130" i="5"/>
  <c r="L130" i="5" s="1"/>
  <c r="H130" i="5"/>
  <c r="L129" i="5"/>
  <c r="K128" i="5"/>
  <c r="L128" i="5" s="1"/>
  <c r="H128" i="5"/>
  <c r="L127" i="5"/>
  <c r="K126" i="5"/>
  <c r="L126" i="5" s="1"/>
  <c r="H126" i="5"/>
  <c r="L125" i="5"/>
  <c r="L124" i="5"/>
  <c r="K123" i="5"/>
  <c r="L123" i="5" s="1"/>
  <c r="H123" i="5"/>
  <c r="K122" i="5"/>
  <c r="L122" i="5" s="1"/>
  <c r="H122" i="5"/>
  <c r="K121" i="5"/>
  <c r="L121" i="5" s="1"/>
  <c r="H121" i="5"/>
  <c r="K120" i="5"/>
  <c r="L120" i="5" s="1"/>
  <c r="H120" i="5"/>
  <c r="L119" i="5"/>
  <c r="L117" i="5"/>
  <c r="L118" i="5" l="1"/>
  <c r="K116" i="5"/>
  <c r="L116" i="5" s="1"/>
  <c r="K115" i="5"/>
  <c r="L115" i="5" s="1"/>
  <c r="H115" i="5"/>
  <c r="K114" i="5"/>
  <c r="L114" i="5" s="1"/>
  <c r="H114" i="5"/>
  <c r="L113" i="5"/>
  <c r="L112" i="5"/>
  <c r="L111" i="5"/>
  <c r="L110" i="5"/>
  <c r="K109" i="5" l="1"/>
  <c r="L109" i="5" s="1"/>
  <c r="H109" i="5"/>
  <c r="K108" i="5"/>
  <c r="L108" i="5" s="1"/>
  <c r="L107" i="5"/>
  <c r="L106" i="5"/>
  <c r="K105" i="5"/>
  <c r="L105" i="5" s="1"/>
  <c r="K104" i="5"/>
  <c r="L104" i="5" s="1"/>
  <c r="H104" i="5"/>
  <c r="L103" i="5"/>
  <c r="L102" i="5"/>
  <c r="L101" i="5"/>
  <c r="L100" i="5"/>
  <c r="H223" i="5" l="1"/>
  <c r="L99" i="5"/>
  <c r="K98" i="5"/>
  <c r="L98" i="5" s="1"/>
  <c r="L97" i="5"/>
  <c r="L96" i="5"/>
  <c r="L95" i="5"/>
  <c r="L94" i="5"/>
  <c r="W33" i="5" l="1"/>
  <c r="W32" i="5"/>
  <c r="W31" i="5"/>
  <c r="W30" i="5"/>
  <c r="W29" i="5"/>
  <c r="W28" i="5"/>
  <c r="W27" i="5"/>
  <c r="L93" i="5" l="1"/>
  <c r="K92" i="5"/>
  <c r="L92" i="5" s="1"/>
  <c r="K91" i="5"/>
  <c r="L91" i="5" s="1"/>
  <c r="H91" i="5"/>
  <c r="L90" i="5"/>
  <c r="L89" i="5"/>
  <c r="K88" i="5"/>
  <c r="L88" i="5" s="1"/>
  <c r="H88" i="5"/>
  <c r="K87" i="5"/>
  <c r="L87" i="5" s="1"/>
  <c r="H87" i="5"/>
  <c r="K84" i="5"/>
  <c r="L84" i="5" s="1"/>
  <c r="L86" i="5"/>
  <c r="L85" i="5"/>
  <c r="K83" i="5"/>
  <c r="L83" i="5" s="1"/>
  <c r="H83" i="5"/>
  <c r="K82" i="5"/>
  <c r="L82" i="5" s="1"/>
  <c r="H82" i="5"/>
  <c r="K81" i="5"/>
  <c r="L81" i="5" s="1"/>
  <c r="H81" i="5"/>
  <c r="L80" i="5"/>
  <c r="K79" i="5"/>
  <c r="L79" i="5" s="1"/>
  <c r="H79" i="5"/>
  <c r="L78" i="5"/>
  <c r="L77" i="5"/>
  <c r="L76" i="5"/>
  <c r="L75" i="5" l="1"/>
  <c r="K74" i="5"/>
  <c r="L74" i="5" s="1"/>
  <c r="H74" i="5"/>
  <c r="L73" i="5"/>
  <c r="L72" i="5"/>
  <c r="L71" i="5"/>
  <c r="K70" i="5"/>
  <c r="L70" i="5" s="1"/>
  <c r="H70" i="5"/>
  <c r="L69" i="5"/>
  <c r="K68" i="5"/>
  <c r="L68" i="5" s="1"/>
  <c r="H68" i="5"/>
  <c r="K67" i="5"/>
  <c r="L67" i="5" s="1"/>
  <c r="H67" i="5"/>
  <c r="L66" i="5"/>
  <c r="L65" i="5"/>
  <c r="L64" i="5"/>
  <c r="L63" i="5"/>
  <c r="L62" i="5"/>
  <c r="K61" i="5"/>
  <c r="L61" i="5" s="1"/>
  <c r="H61" i="5"/>
  <c r="K60" i="5"/>
  <c r="L60" i="5" s="1"/>
  <c r="H60" i="5"/>
  <c r="L59" i="5"/>
  <c r="K58" i="5"/>
  <c r="L58" i="5" s="1"/>
  <c r="H58" i="5"/>
  <c r="L57" i="5"/>
  <c r="L56" i="5"/>
  <c r="L55" i="5"/>
  <c r="K54" i="5"/>
  <c r="L54" i="5" s="1"/>
  <c r="H54" i="5"/>
  <c r="L53" i="5"/>
  <c r="K52" i="5"/>
  <c r="L52" i="5" s="1"/>
  <c r="H52" i="5"/>
  <c r="L51" i="5" l="1"/>
  <c r="K50" i="5" l="1"/>
  <c r="L50" i="5" s="1"/>
  <c r="H50" i="5"/>
  <c r="L49" i="5"/>
  <c r="K48" i="5"/>
  <c r="L48" i="5" s="1"/>
  <c r="L19" i="5"/>
  <c r="L47" i="5"/>
  <c r="L46" i="5"/>
  <c r="L45" i="5"/>
  <c r="K44" i="5"/>
  <c r="L44" i="5" s="1"/>
  <c r="H44" i="5"/>
  <c r="L43" i="5" l="1"/>
  <c r="L42" i="5"/>
  <c r="K41" i="5"/>
  <c r="L41" i="5" s="1"/>
  <c r="L40" i="5"/>
  <c r="L39" i="5"/>
  <c r="L38" i="5"/>
  <c r="L37" i="5"/>
  <c r="L36" i="5"/>
  <c r="L35" i="5"/>
  <c r="L34" i="5"/>
  <c r="L33" i="5"/>
  <c r="K32" i="5"/>
  <c r="L32" i="5" s="1"/>
  <c r="L31" i="5"/>
  <c r="L30" i="5"/>
  <c r="L29" i="5"/>
  <c r="L28" i="5"/>
  <c r="L27" i="5"/>
  <c r="L26" i="5"/>
  <c r="L25" i="5"/>
  <c r="L24" i="5"/>
  <c r="L14" i="5"/>
  <c r="K23" i="5"/>
  <c r="L23" i="5" s="1"/>
  <c r="L22" i="5"/>
  <c r="L21" i="5"/>
  <c r="L20" i="5"/>
  <c r="L18" i="5"/>
  <c r="K17" i="5" l="1"/>
  <c r="L17" i="5" s="1"/>
  <c r="H17" i="5"/>
  <c r="L16" i="5"/>
  <c r="L15" i="5"/>
  <c r="K13" i="5"/>
  <c r="L13" i="5" s="1"/>
  <c r="L12" i="5" l="1"/>
  <c r="L11" i="5"/>
  <c r="L10" i="5"/>
  <c r="L9" i="5"/>
  <c r="L8" i="5" l="1"/>
  <c r="L7" i="5"/>
  <c r="K6" i="5"/>
  <c r="L6" i="5" s="1"/>
  <c r="L5" i="5"/>
  <c r="L4" i="5"/>
  <c r="L3" i="5"/>
  <c r="J221" i="5"/>
  <c r="I221" i="5"/>
  <c r="G221" i="5"/>
  <c r="F221" i="5"/>
  <c r="W23" i="5"/>
  <c r="W22" i="5"/>
  <c r="W21" i="5"/>
  <c r="W18" i="5"/>
  <c r="W17" i="5"/>
  <c r="W16" i="5"/>
  <c r="W15" i="5"/>
  <c r="W14" i="5"/>
  <c r="W13" i="5"/>
  <c r="W12" i="5"/>
  <c r="W11" i="5"/>
  <c r="W10" i="5"/>
  <c r="W9" i="5"/>
  <c r="W43" i="5" l="1"/>
  <c r="K221" i="5"/>
  <c r="H221" i="5"/>
  <c r="L221" i="5"/>
  <c r="L261" i="4" l="1"/>
  <c r="L260" i="4"/>
  <c r="L259" i="4"/>
  <c r="L258" i="4"/>
  <c r="L257" i="4"/>
  <c r="K255" i="4"/>
  <c r="L255" i="4" s="1"/>
  <c r="K254" i="4"/>
  <c r="L254" i="4" s="1"/>
  <c r="L253" i="4"/>
  <c r="L252" i="4"/>
  <c r="L251" i="4"/>
  <c r="L250" i="4"/>
  <c r="L249" i="4"/>
  <c r="L248" i="4"/>
  <c r="L247" i="4"/>
  <c r="L246" i="4"/>
  <c r="L245" i="4"/>
  <c r="L244" i="4"/>
  <c r="L243" i="4"/>
  <c r="L242" i="4"/>
  <c r="K241" i="4"/>
  <c r="L241" i="4" s="1"/>
  <c r="H241" i="4"/>
  <c r="L240" i="4"/>
  <c r="L239" i="4"/>
  <c r="L238" i="4"/>
  <c r="L237" i="4"/>
  <c r="L236" i="4"/>
  <c r="L235" i="4"/>
  <c r="L234" i="4"/>
  <c r="L233" i="4"/>
  <c r="K232" i="4"/>
  <c r="L232" i="4" s="1"/>
  <c r="H232" i="4"/>
  <c r="K231" i="4"/>
  <c r="L231" i="4" s="1"/>
  <c r="H231" i="4"/>
  <c r="L230" i="4"/>
  <c r="L229" i="4"/>
  <c r="L228" i="4"/>
  <c r="K227" i="4"/>
  <c r="L227" i="4" s="1"/>
  <c r="H227" i="4"/>
  <c r="L217" i="4"/>
  <c r="L216" i="4"/>
  <c r="L226" i="4"/>
  <c r="L225" i="4"/>
  <c r="L224" i="4"/>
  <c r="L223" i="4"/>
  <c r="K222" i="4"/>
  <c r="L222" i="4" s="1"/>
  <c r="K221" i="4"/>
  <c r="L221" i="4" s="1"/>
  <c r="H221" i="4"/>
  <c r="L219" i="4"/>
  <c r="L218" i="4"/>
  <c r="L220" i="4"/>
  <c r="K215" i="4"/>
  <c r="L215" i="4" s="1"/>
  <c r="H215" i="4"/>
  <c r="K214" i="4"/>
  <c r="L214" i="4" s="1"/>
  <c r="L213" i="4"/>
  <c r="K212" i="4"/>
  <c r="L212" i="4" s="1"/>
  <c r="K211" i="4"/>
  <c r="L211" i="4" s="1"/>
  <c r="H211" i="4"/>
  <c r="L210" i="4"/>
  <c r="L209" i="4"/>
  <c r="L208" i="4"/>
  <c r="L207" i="4"/>
  <c r="L206" i="4"/>
  <c r="L205" i="4" l="1"/>
  <c r="K204" i="4"/>
  <c r="L204" i="4" s="1"/>
  <c r="K203" i="4" l="1"/>
  <c r="L203" i="4" s="1"/>
  <c r="H203" i="4"/>
  <c r="L202" i="4"/>
  <c r="K201" i="4"/>
  <c r="L201" i="4" s="1"/>
  <c r="H201" i="4"/>
  <c r="K200" i="4"/>
  <c r="L200" i="4" s="1"/>
  <c r="H200" i="4"/>
  <c r="L199" i="4"/>
  <c r="L198" i="4"/>
  <c r="L197" i="4"/>
  <c r="W32" i="4" l="1"/>
  <c r="W31" i="4"/>
  <c r="L196" i="4"/>
  <c r="L195" i="4"/>
  <c r="L194" i="4"/>
  <c r="K193" i="4"/>
  <c r="L193" i="4" s="1"/>
  <c r="H193" i="4"/>
  <c r="K192" i="4"/>
  <c r="L192" i="4" s="1"/>
  <c r="H192" i="4"/>
  <c r="L191" i="4"/>
  <c r="L190" i="4"/>
  <c r="L189" i="4"/>
  <c r="K188" i="4" l="1"/>
  <c r="L188" i="4" s="1"/>
  <c r="H188" i="4"/>
  <c r="L187" i="4"/>
  <c r="W30" i="4"/>
  <c r="L186" i="4"/>
  <c r="L185" i="4"/>
  <c r="L184" i="4"/>
  <c r="L183" i="4"/>
  <c r="L182" i="4"/>
  <c r="K181" i="4"/>
  <c r="L181" i="4" s="1"/>
  <c r="H181" i="4"/>
  <c r="K180" i="4"/>
  <c r="L180" i="4" s="1"/>
  <c r="H180" i="4"/>
  <c r="L179" i="4"/>
  <c r="L178" i="4"/>
  <c r="L177" i="4"/>
  <c r="L176" i="4"/>
  <c r="K175" i="4"/>
  <c r="L175" i="4" s="1"/>
  <c r="H175" i="4"/>
  <c r="K174" i="4"/>
  <c r="L174" i="4" s="1"/>
  <c r="H174" i="4"/>
  <c r="K173" i="4"/>
  <c r="L173" i="4" s="1"/>
  <c r="H173" i="4"/>
  <c r="L172" i="4"/>
  <c r="L171" i="4"/>
  <c r="L170" i="4"/>
  <c r="K169" i="4"/>
  <c r="L169" i="4" s="1"/>
  <c r="H169" i="4"/>
  <c r="K168" i="4"/>
  <c r="L168" i="4" s="1"/>
  <c r="H168" i="4"/>
  <c r="K167" i="4"/>
  <c r="L167" i="4" s="1"/>
  <c r="H167" i="4"/>
  <c r="L166" i="4"/>
  <c r="L165" i="4"/>
  <c r="L164" i="4"/>
  <c r="L163" i="4" l="1"/>
  <c r="L162" i="4"/>
  <c r="L161" i="4"/>
  <c r="L160" i="4"/>
  <c r="K159" i="4"/>
  <c r="L159" i="4" s="1"/>
  <c r="H159" i="4"/>
  <c r="L158" i="4"/>
  <c r="K157" i="4"/>
  <c r="L157" i="4" s="1"/>
  <c r="H157" i="4"/>
  <c r="K156" i="4"/>
  <c r="L156" i="4" s="1"/>
  <c r="H156" i="4"/>
  <c r="K155" i="4" l="1"/>
  <c r="L155" i="4" s="1"/>
  <c r="H155" i="4"/>
  <c r="L154" i="4"/>
  <c r="K153" i="4"/>
  <c r="L153" i="4" s="1"/>
  <c r="H153" i="4"/>
  <c r="L152" i="4"/>
  <c r="L151" i="4"/>
  <c r="L150" i="4"/>
  <c r="K149" i="4"/>
  <c r="L149" i="4" s="1"/>
  <c r="H149" i="4"/>
  <c r="L148" i="4"/>
  <c r="K147" i="4"/>
  <c r="L147" i="4" s="1"/>
  <c r="H147" i="4"/>
  <c r="L146" i="4"/>
  <c r="L145" i="4"/>
  <c r="K144" i="4" l="1"/>
  <c r="L144" i="4" s="1"/>
  <c r="H144" i="4"/>
  <c r="K143" i="4"/>
  <c r="L143" i="4" s="1"/>
  <c r="H143" i="4"/>
  <c r="L142" i="4"/>
  <c r="L141" i="4"/>
  <c r="K140" i="4"/>
  <c r="L140" i="4" s="1"/>
  <c r="H140" i="4"/>
  <c r="K139" i="4"/>
  <c r="L139" i="4" s="1"/>
  <c r="H139" i="4"/>
  <c r="L138" i="4"/>
  <c r="L137" i="4"/>
  <c r="L135" i="4"/>
  <c r="K136" i="4"/>
  <c r="L136" i="4" s="1"/>
  <c r="H136" i="4"/>
  <c r="L134" i="4"/>
  <c r="L133" i="4"/>
  <c r="K132" i="4"/>
  <c r="L132" i="4" s="1"/>
  <c r="H132" i="4"/>
  <c r="K131" i="4"/>
  <c r="L131" i="4" s="1"/>
  <c r="H131" i="4"/>
  <c r="L130" i="4"/>
  <c r="L129" i="4"/>
  <c r="L128" i="4"/>
  <c r="K127" i="4"/>
  <c r="L127" i="4" s="1"/>
  <c r="H127" i="4"/>
  <c r="K126" i="4" l="1"/>
  <c r="L126" i="4" s="1"/>
  <c r="H126" i="4"/>
  <c r="L125" i="4"/>
  <c r="L124" i="4"/>
  <c r="L123" i="4"/>
  <c r="L122" i="4"/>
  <c r="L121" i="4"/>
  <c r="L120" i="4"/>
  <c r="L119" i="4"/>
  <c r="L118" i="4"/>
  <c r="L117" i="4"/>
  <c r="K116" i="4"/>
  <c r="L116" i="4" s="1"/>
  <c r="H116" i="4"/>
  <c r="K113" i="4"/>
  <c r="L113" i="4" s="1"/>
  <c r="L115" i="4" l="1"/>
  <c r="L114" i="4"/>
  <c r="L112" i="4"/>
  <c r="L111" i="4"/>
  <c r="L110" i="4"/>
  <c r="L109" i="4"/>
  <c r="K108" i="4" l="1"/>
  <c r="L108" i="4" s="1"/>
  <c r="L107" i="4" l="1"/>
  <c r="K106" i="4"/>
  <c r="L106" i="4" s="1"/>
  <c r="L105" i="4"/>
  <c r="K104" i="4"/>
  <c r="L104" i="4" s="1"/>
  <c r="H104" i="4"/>
  <c r="H266" i="4" s="1"/>
  <c r="L103" i="4"/>
  <c r="L102" i="4"/>
  <c r="L101" i="4"/>
  <c r="L100" i="4"/>
  <c r="L99" i="4"/>
  <c r="L98" i="4"/>
  <c r="L97" i="4"/>
  <c r="L96" i="4"/>
  <c r="K95" i="4"/>
  <c r="L95" i="4" s="1"/>
  <c r="H95" i="4"/>
  <c r="K93" i="4"/>
  <c r="L93" i="4" s="1"/>
  <c r="L92" i="4"/>
  <c r="L91" i="4"/>
  <c r="L90" i="4"/>
  <c r="K89" i="4"/>
  <c r="L89" i="4" s="1"/>
  <c r="H89" i="4"/>
  <c r="K88" i="4"/>
  <c r="L88" i="4" s="1"/>
  <c r="H88" i="4"/>
  <c r="K86" i="4"/>
  <c r="L86" i="4" s="1"/>
  <c r="L85" i="4"/>
  <c r="K84" i="4"/>
  <c r="L84" i="4" s="1"/>
  <c r="H84" i="4"/>
  <c r="L83" i="4"/>
  <c r="L82" i="4"/>
  <c r="K81" i="4"/>
  <c r="L81" i="4" s="1"/>
  <c r="H81" i="4"/>
  <c r="K80" i="4"/>
  <c r="L80" i="4" s="1"/>
  <c r="H80" i="4"/>
  <c r="H79" i="4"/>
  <c r="K79" i="4"/>
  <c r="L79" i="4" s="1"/>
  <c r="K78" i="4"/>
  <c r="L78" i="4" s="1"/>
  <c r="H78" i="4"/>
  <c r="L77" i="4" l="1"/>
  <c r="K76" i="4"/>
  <c r="L76" i="4" s="1"/>
  <c r="H76" i="4"/>
  <c r="L73" i="4"/>
  <c r="L72" i="4"/>
  <c r="L75" i="4"/>
  <c r="L74" i="4"/>
  <c r="W27" i="4"/>
  <c r="L71" i="4" l="1"/>
  <c r="L70" i="4"/>
  <c r="L69" i="4"/>
  <c r="K68" i="4"/>
  <c r="L68" i="4" s="1"/>
  <c r="H68" i="4"/>
  <c r="K67" i="4" l="1"/>
  <c r="L67" i="4" s="1"/>
  <c r="H67" i="4"/>
  <c r="L66" i="4"/>
  <c r="L65" i="4"/>
  <c r="K64" i="4"/>
  <c r="L64" i="4" s="1"/>
  <c r="H64" i="4"/>
  <c r="L63" i="4"/>
  <c r="L62" i="4"/>
  <c r="L61" i="4"/>
  <c r="K60" i="4" l="1"/>
  <c r="L60" i="4" s="1"/>
  <c r="H60" i="4"/>
  <c r="L59" i="4"/>
  <c r="L58" i="4"/>
  <c r="K57" i="4"/>
  <c r="L57" i="4" s="1"/>
  <c r="H57" i="4"/>
  <c r="L56" i="4"/>
  <c r="L55" i="4"/>
  <c r="W26" i="4"/>
  <c r="W25" i="4" l="1"/>
  <c r="W24" i="4"/>
  <c r="W23" i="4"/>
  <c r="W22" i="4"/>
  <c r="K54" i="4" l="1"/>
  <c r="L54" i="4" s="1"/>
  <c r="H54" i="4"/>
  <c r="L53" i="4"/>
  <c r="L52" i="4"/>
  <c r="K51" i="4"/>
  <c r="L51" i="4" s="1"/>
  <c r="H51" i="4"/>
  <c r="L50" i="4"/>
  <c r="L49" i="4"/>
  <c r="L48" i="4"/>
  <c r="K47" i="4"/>
  <c r="L47" i="4" s="1"/>
  <c r="L46" i="4"/>
  <c r="L45" i="4"/>
  <c r="K44" i="4"/>
  <c r="L44" i="4" s="1"/>
  <c r="H44" i="4"/>
  <c r="L43" i="4"/>
  <c r="L42" i="4"/>
  <c r="L41" i="4"/>
  <c r="K40" i="4"/>
  <c r="L40" i="4" s="1"/>
  <c r="K39" i="4"/>
  <c r="L39" i="4" s="1"/>
  <c r="H39" i="4"/>
  <c r="K38" i="4"/>
  <c r="L38" i="4" s="1"/>
  <c r="H38" i="4"/>
  <c r="L37" i="4"/>
  <c r="L36" i="4"/>
  <c r="L35" i="4"/>
  <c r="K34" i="4"/>
  <c r="L34" i="4" s="1"/>
  <c r="K33" i="4" l="1"/>
  <c r="L33" i="4" s="1"/>
  <c r="H33" i="4"/>
  <c r="L32" i="4"/>
  <c r="L31" i="4"/>
  <c r="L30" i="4"/>
  <c r="L29" i="4"/>
  <c r="L28" i="4"/>
  <c r="K27" i="4"/>
  <c r="L27" i="4" s="1"/>
  <c r="H27" i="4"/>
  <c r="K26" i="4"/>
  <c r="L26" i="4" s="1"/>
  <c r="H26" i="4"/>
  <c r="K25" i="4"/>
  <c r="L25" i="4" s="1"/>
  <c r="H25" i="4"/>
  <c r="L24" i="4"/>
  <c r="L23" i="4"/>
  <c r="L18" i="4"/>
  <c r="K22" i="4"/>
  <c r="L22" i="4" s="1"/>
  <c r="H22" i="4"/>
  <c r="L21" i="4"/>
  <c r="H21" i="4"/>
  <c r="L20" i="4"/>
  <c r="L19" i="4"/>
  <c r="L17" i="4"/>
  <c r="L16" i="4"/>
  <c r="L15" i="4"/>
  <c r="L14" i="4"/>
  <c r="K13" i="4"/>
  <c r="H13" i="4"/>
  <c r="K12" i="4"/>
  <c r="L12" i="4" s="1"/>
  <c r="H12" i="4"/>
  <c r="L6" i="4"/>
  <c r="K11" i="4"/>
  <c r="L11" i="4" s="1"/>
  <c r="H11" i="4"/>
  <c r="L10" i="4"/>
  <c r="L9" i="4"/>
  <c r="L8" i="4"/>
  <c r="K7" i="4"/>
  <c r="L7" i="4" s="1"/>
  <c r="H7" i="4"/>
  <c r="L5" i="4"/>
  <c r="K4" i="4"/>
  <c r="L4" i="4" s="1"/>
  <c r="L3" i="4"/>
  <c r="G264" i="4"/>
  <c r="F264" i="4"/>
  <c r="J264" i="4"/>
  <c r="I264" i="4"/>
  <c r="W21" i="4"/>
  <c r="W20" i="4"/>
  <c r="W19" i="4"/>
  <c r="W18" i="4"/>
  <c r="W39" i="4" l="1"/>
  <c r="K264" i="4"/>
  <c r="H264" i="4"/>
  <c r="L13" i="4"/>
  <c r="L264" i="4" s="1"/>
  <c r="W56" i="3"/>
  <c r="K177" i="3" l="1"/>
  <c r="L177" i="3" s="1"/>
  <c r="H177" i="3"/>
  <c r="L176" i="3"/>
  <c r="L175" i="3"/>
  <c r="L174" i="3"/>
  <c r="L173" i="3"/>
  <c r="L172" i="3"/>
  <c r="L171" i="3"/>
  <c r="W55" i="3" l="1"/>
  <c r="W54" i="3"/>
  <c r="W53" i="3"/>
  <c r="W52" i="3"/>
  <c r="W59" i="3" l="1"/>
  <c r="S6" i="3"/>
  <c r="T8" i="3" s="1"/>
  <c r="T11" i="3" s="1"/>
  <c r="T13" i="3" s="1"/>
  <c r="W48" i="3"/>
  <c r="W47" i="3"/>
  <c r="W46" i="3"/>
  <c r="H165" i="3" l="1"/>
  <c r="K165" i="3"/>
  <c r="L165" i="3" s="1"/>
  <c r="L170" i="3" l="1"/>
  <c r="L169" i="3"/>
  <c r="L168" i="3"/>
  <c r="L167" i="3"/>
  <c r="L166" i="3"/>
  <c r="K164" i="3"/>
  <c r="L164" i="3" s="1"/>
  <c r="H164" i="3"/>
  <c r="L163" i="3"/>
  <c r="L162" i="3"/>
  <c r="L161" i="3"/>
  <c r="L160" i="3" l="1"/>
  <c r="L159" i="3"/>
  <c r="L158" i="3"/>
  <c r="K157" i="3"/>
  <c r="L157" i="3" s="1"/>
  <c r="H157" i="3"/>
  <c r="L156" i="3"/>
  <c r="K155" i="3"/>
  <c r="L155" i="3" s="1"/>
  <c r="H155" i="3"/>
  <c r="L154" i="3"/>
  <c r="L153" i="3"/>
  <c r="L152" i="3"/>
  <c r="K151" i="3"/>
  <c r="L151" i="3" s="1"/>
  <c r="H151" i="3"/>
  <c r="L150" i="3"/>
  <c r="K149" i="3"/>
  <c r="L149" i="3" s="1"/>
  <c r="H149" i="3"/>
  <c r="L148" i="3"/>
  <c r="L147" i="3"/>
  <c r="L146" i="3"/>
  <c r="H145" i="3"/>
  <c r="K145" i="3"/>
  <c r="L145" i="3" s="1"/>
  <c r="K144" i="3"/>
  <c r="L144" i="3" s="1"/>
  <c r="H144" i="3"/>
  <c r="L143" i="3"/>
  <c r="K142" i="3"/>
  <c r="L142" i="3" s="1"/>
  <c r="H142" i="3"/>
  <c r="L141" i="3"/>
  <c r="K140" i="3"/>
  <c r="L140" i="3" s="1"/>
  <c r="H140" i="3"/>
  <c r="L139" i="3"/>
  <c r="L138" i="3"/>
  <c r="K137" i="3" l="1"/>
  <c r="L137" i="3" s="1"/>
  <c r="H137" i="3"/>
  <c r="L136" i="3"/>
  <c r="K135" i="3"/>
  <c r="L135" i="3" s="1"/>
  <c r="H135" i="3"/>
  <c r="L134" i="3"/>
  <c r="L133" i="3"/>
  <c r="L132" i="3"/>
  <c r="K131" i="3"/>
  <c r="L131" i="3" s="1"/>
  <c r="H131" i="3"/>
  <c r="L130" i="3"/>
  <c r="K129" i="3"/>
  <c r="L129" i="3" s="1"/>
  <c r="H129" i="3"/>
  <c r="L128" i="3"/>
  <c r="L127" i="3"/>
  <c r="K126" i="3"/>
  <c r="L126" i="3" s="1"/>
  <c r="H126" i="3"/>
  <c r="L125" i="3"/>
  <c r="L124" i="3"/>
  <c r="K123" i="3"/>
  <c r="L123" i="3" s="1"/>
  <c r="H123" i="3"/>
  <c r="H122" i="3"/>
  <c r="K122" i="3"/>
  <c r="L122" i="3" s="1"/>
  <c r="K121" i="3"/>
  <c r="L121" i="3" s="1"/>
  <c r="H121" i="3"/>
  <c r="W45" i="3" l="1"/>
  <c r="K120" i="3"/>
  <c r="L120" i="3" s="1"/>
  <c r="H120" i="3"/>
  <c r="K119" i="3"/>
  <c r="L119" i="3" s="1"/>
  <c r="H119" i="3"/>
  <c r="L118" i="3"/>
  <c r="O116" i="3"/>
  <c r="L117" i="3"/>
  <c r="L116" i="3"/>
  <c r="W41" i="3" l="1"/>
  <c r="W42" i="3"/>
  <c r="W43" i="3"/>
  <c r="W44" i="3"/>
  <c r="W40" i="3"/>
  <c r="W39" i="3"/>
  <c r="W38" i="3"/>
  <c r="W37" i="3"/>
  <c r="W36" i="3"/>
  <c r="W35" i="3"/>
  <c r="W34" i="3"/>
  <c r="W31" i="3"/>
  <c r="W30" i="3"/>
  <c r="W29" i="3"/>
  <c r="W28" i="3"/>
  <c r="W27" i="3"/>
  <c r="W26" i="3"/>
  <c r="W25" i="3"/>
  <c r="W24" i="3"/>
  <c r="W23" i="3"/>
  <c r="W22" i="3"/>
  <c r="W21" i="3"/>
  <c r="W36" i="2"/>
  <c r="H115" i="3"/>
  <c r="K115" i="3"/>
  <c r="L115" i="3" s="1"/>
  <c r="K114" i="3"/>
  <c r="L114" i="3" s="1"/>
  <c r="L113" i="3"/>
  <c r="L112" i="3"/>
  <c r="L111" i="3"/>
  <c r="K110" i="3"/>
  <c r="L110" i="3" s="1"/>
  <c r="L109" i="3"/>
  <c r="L108" i="3"/>
  <c r="O107" i="3"/>
  <c r="L107" i="3"/>
  <c r="L106" i="3"/>
  <c r="K105" i="3"/>
  <c r="L105" i="3" s="1"/>
  <c r="H105" i="3"/>
  <c r="L104" i="3"/>
  <c r="Q102" i="3"/>
  <c r="K103" i="3"/>
  <c r="L103" i="3" s="1"/>
  <c r="H103" i="3"/>
  <c r="O102" i="3"/>
  <c r="L102" i="3"/>
  <c r="O101" i="3"/>
  <c r="L101" i="3"/>
  <c r="L100" i="3"/>
  <c r="K99" i="3"/>
  <c r="L99" i="3" s="1"/>
  <c r="H99" i="3"/>
  <c r="K98" i="3"/>
  <c r="L98" i="3" s="1"/>
  <c r="H98" i="3"/>
  <c r="L96" i="3"/>
  <c r="L97" i="3"/>
  <c r="L95" i="3"/>
  <c r="L94" i="3"/>
  <c r="H93" i="3"/>
  <c r="H84" i="3"/>
  <c r="K93" i="3"/>
  <c r="L93" i="3" s="1"/>
  <c r="L92" i="3"/>
  <c r="L91" i="3"/>
  <c r="L90" i="3"/>
  <c r="L89" i="3"/>
  <c r="W33" i="3" l="1"/>
  <c r="W50" i="3" s="1"/>
  <c r="K88" i="3"/>
  <c r="L88" i="3" s="1"/>
  <c r="H88" i="3"/>
  <c r="L87" i="3"/>
  <c r="L86" i="3"/>
  <c r="L85" i="3"/>
  <c r="K84" i="3" l="1"/>
  <c r="L84" i="3" s="1"/>
  <c r="L83" i="3"/>
  <c r="L82" i="3"/>
  <c r="L81" i="3"/>
  <c r="I180" i="3"/>
  <c r="L80" i="3"/>
  <c r="L79" i="3" l="1"/>
  <c r="L78" i="3"/>
  <c r="L77" i="3"/>
  <c r="L75" i="3"/>
  <c r="L74" i="3"/>
  <c r="L76" i="3"/>
  <c r="L73" i="3"/>
  <c r="L72" i="3"/>
  <c r="L71" i="3"/>
  <c r="L70" i="3"/>
  <c r="L69" i="3"/>
  <c r="L68" i="3"/>
  <c r="L67" i="3"/>
  <c r="K66" i="3"/>
  <c r="L66" i="3" s="1"/>
  <c r="H66" i="3"/>
  <c r="L65" i="3"/>
  <c r="K64" i="3"/>
  <c r="L64" i="3" s="1"/>
  <c r="H64" i="3"/>
  <c r="L63" i="3"/>
  <c r="L62" i="3"/>
  <c r="L61" i="3"/>
  <c r="K60" i="3"/>
  <c r="L60" i="3" s="1"/>
  <c r="H60" i="3"/>
  <c r="L59" i="3"/>
  <c r="K58" i="3"/>
  <c r="L58" i="3" s="1"/>
  <c r="H58" i="3"/>
  <c r="L57" i="3"/>
  <c r="L56" i="3"/>
  <c r="L55" i="3"/>
  <c r="L54" i="3"/>
  <c r="L53" i="3"/>
  <c r="K52" i="3"/>
  <c r="L52" i="3" s="1"/>
  <c r="H52" i="3"/>
  <c r="H182" i="3" l="1"/>
  <c r="J180" i="3"/>
  <c r="G180" i="3"/>
  <c r="F180" i="3"/>
  <c r="L51" i="3"/>
  <c r="L50" i="3"/>
  <c r="L49" i="3"/>
  <c r="K48" i="3"/>
  <c r="L48" i="3" s="1"/>
  <c r="H48" i="3"/>
  <c r="L47" i="3"/>
  <c r="L46" i="3"/>
  <c r="L45" i="3"/>
  <c r="L44" i="3"/>
  <c r="L43" i="3"/>
  <c r="K42" i="3"/>
  <c r="L42" i="3" s="1"/>
  <c r="L41" i="3"/>
  <c r="H40" i="3"/>
  <c r="L39" i="3"/>
  <c r="L38" i="3"/>
  <c r="L37" i="3"/>
  <c r="L36" i="3"/>
  <c r="L35" i="3"/>
  <c r="K34" i="3"/>
  <c r="L34" i="3" s="1"/>
  <c r="H34" i="3"/>
  <c r="L33" i="3"/>
  <c r="L32" i="3"/>
  <c r="K31" i="3"/>
  <c r="L31" i="3" s="1"/>
  <c r="H31" i="3"/>
  <c r="L30" i="3"/>
  <c r="L29" i="3"/>
  <c r="K28" i="3"/>
  <c r="L28" i="3" s="1"/>
  <c r="H28" i="3"/>
  <c r="L27" i="3"/>
  <c r="K26" i="3"/>
  <c r="L26" i="3" s="1"/>
  <c r="H26" i="3"/>
  <c r="K25" i="3"/>
  <c r="L25" i="3" s="1"/>
  <c r="H25" i="3"/>
  <c r="L24" i="3"/>
  <c r="L23" i="3"/>
  <c r="L22" i="3"/>
  <c r="K21" i="3"/>
  <c r="L21" i="3" s="1"/>
  <c r="H21" i="3"/>
  <c r="L20" i="3"/>
  <c r="L19" i="3"/>
  <c r="L18" i="3"/>
  <c r="L17" i="3"/>
  <c r="L16" i="3"/>
  <c r="L15" i="3"/>
  <c r="K14" i="3"/>
  <c r="L14" i="3" s="1"/>
  <c r="H14" i="3"/>
  <c r="L13" i="3"/>
  <c r="L12" i="3"/>
  <c r="L11" i="3"/>
  <c r="L10" i="3"/>
  <c r="L9" i="3"/>
  <c r="K8" i="3"/>
  <c r="H8" i="3"/>
  <c r="L7" i="3"/>
  <c r="L6" i="3"/>
  <c r="L5" i="3"/>
  <c r="L4" i="3"/>
  <c r="L3" i="3"/>
  <c r="L8" i="3" l="1"/>
  <c r="H42" i="3"/>
  <c r="H180" i="3" s="1"/>
  <c r="K40" i="3"/>
  <c r="L40" i="3" s="1"/>
  <c r="L180" i="2"/>
  <c r="L179" i="2"/>
  <c r="L178" i="2"/>
  <c r="L177" i="2"/>
  <c r="L176" i="2"/>
  <c r="K175" i="2"/>
  <c r="L175" i="2" s="1"/>
  <c r="L174" i="2"/>
  <c r="L173" i="2"/>
  <c r="L172" i="2"/>
  <c r="K171" i="2"/>
  <c r="L171" i="2" s="1"/>
  <c r="H171" i="2"/>
  <c r="L170" i="2"/>
  <c r="L169" i="2"/>
  <c r="L168" i="2"/>
  <c r="L167" i="2"/>
  <c r="H166" i="2"/>
  <c r="K166" i="2"/>
  <c r="L166" i="2" s="1"/>
  <c r="K165" i="2"/>
  <c r="L165" i="2" s="1"/>
  <c r="H165" i="2"/>
  <c r="L164" i="2"/>
  <c r="L163" i="2"/>
  <c r="L162" i="2"/>
  <c r="L161" i="2"/>
  <c r="L180" i="3" l="1"/>
  <c r="K180" i="3"/>
  <c r="F181" i="2"/>
  <c r="K160" i="2"/>
  <c r="L160" i="2" s="1"/>
  <c r="H160" i="2"/>
  <c r="L158" i="2"/>
  <c r="L157" i="2"/>
  <c r="L156" i="2"/>
  <c r="K159" i="2"/>
  <c r="L159" i="2" s="1"/>
  <c r="H159" i="2"/>
  <c r="K155" i="2"/>
  <c r="L155" i="2" s="1"/>
  <c r="K154" i="2"/>
  <c r="L154" i="2" s="1"/>
  <c r="H154" i="2"/>
  <c r="L153" i="2"/>
  <c r="K149" i="2"/>
  <c r="L149" i="2" s="1"/>
  <c r="K146" i="2"/>
  <c r="L146" i="2" s="1"/>
  <c r="H146" i="2"/>
  <c r="K150" i="2"/>
  <c r="L150" i="2" s="1"/>
  <c r="H150" i="2"/>
  <c r="K145" i="2" l="1"/>
  <c r="L145" i="2" s="1"/>
  <c r="H145" i="2"/>
  <c r="L144" i="2"/>
  <c r="K143" i="2"/>
  <c r="L143" i="2" s="1"/>
  <c r="H143" i="2"/>
  <c r="L142" i="2"/>
  <c r="H141" i="2" l="1"/>
  <c r="K141" i="2"/>
  <c r="L141" i="2" s="1"/>
  <c r="K140" i="2"/>
  <c r="L140" i="2" s="1"/>
  <c r="H140" i="2"/>
  <c r="L139" i="2"/>
  <c r="K138" i="2"/>
  <c r="L138" i="2" s="1"/>
  <c r="H138" i="2"/>
  <c r="L137" i="2"/>
  <c r="K136" i="2"/>
  <c r="L136" i="2" s="1"/>
  <c r="H136" i="2"/>
  <c r="K135" i="2"/>
  <c r="L135" i="2" s="1"/>
  <c r="H135" i="2"/>
  <c r="L134" i="2"/>
  <c r="K133" i="2"/>
  <c r="L133" i="2" s="1"/>
  <c r="H133" i="2"/>
  <c r="L132" i="2"/>
  <c r="L131" i="2"/>
  <c r="K130" i="2"/>
  <c r="L130" i="2" s="1"/>
  <c r="H130" i="2"/>
  <c r="L129" i="2"/>
  <c r="L128" i="2"/>
  <c r="L127" i="2"/>
  <c r="L126" i="2" l="1"/>
  <c r="L125" i="2"/>
  <c r="K124" i="2"/>
  <c r="L124" i="2" s="1"/>
  <c r="H124" i="2"/>
  <c r="L123" i="2"/>
  <c r="L122" i="2"/>
  <c r="L121" i="2"/>
  <c r="L120" i="2" l="1"/>
  <c r="H119" i="2"/>
  <c r="K119" i="2"/>
  <c r="L119" i="2" s="1"/>
  <c r="K118" i="2"/>
  <c r="L118" i="2" s="1"/>
  <c r="H118" i="2"/>
  <c r="K117" i="2"/>
  <c r="L117" i="2" s="1"/>
  <c r="H117" i="2"/>
  <c r="L116" i="2"/>
  <c r="L115" i="2"/>
  <c r="L114" i="2"/>
  <c r="L113" i="2"/>
  <c r="K112" i="2"/>
  <c r="L112" i="2" s="1"/>
  <c r="H112" i="2"/>
  <c r="L111" i="2"/>
  <c r="K110" i="2"/>
  <c r="L110" i="2" s="1"/>
  <c r="H110" i="2"/>
  <c r="L109" i="2" l="1"/>
  <c r="L108" i="2"/>
  <c r="K107" i="2"/>
  <c r="L107" i="2" s="1"/>
  <c r="H107" i="2"/>
  <c r="L106" i="2"/>
  <c r="K105" i="2" l="1"/>
  <c r="L105" i="2" s="1"/>
  <c r="H105" i="2"/>
  <c r="L104" i="2"/>
  <c r="L103" i="2"/>
  <c r="K102" i="2"/>
  <c r="L102" i="2" s="1"/>
  <c r="H102" i="2"/>
  <c r="L101" i="2"/>
  <c r="K100" i="2"/>
  <c r="L100" i="2" s="1"/>
  <c r="H100" i="2"/>
  <c r="L99" i="2"/>
  <c r="L98" i="2" l="1"/>
  <c r="L97" i="2"/>
  <c r="K96" i="2"/>
  <c r="L96" i="2" s="1"/>
  <c r="H96" i="2"/>
  <c r="K95" i="2"/>
  <c r="L95" i="2" s="1"/>
  <c r="H95" i="2"/>
  <c r="K94" i="2"/>
  <c r="L94" i="2" s="1"/>
  <c r="H94" i="2"/>
  <c r="L93" i="2"/>
  <c r="L92" i="2"/>
  <c r="L91" i="2"/>
  <c r="L90" i="2"/>
  <c r="K89" i="2"/>
  <c r="L89" i="2" s="1"/>
  <c r="H89" i="2"/>
  <c r="K88" i="2" l="1"/>
  <c r="L88" i="2" s="1"/>
  <c r="H88" i="2"/>
  <c r="L87" i="2"/>
  <c r="L86" i="2"/>
  <c r="L85" i="2"/>
  <c r="L84" i="2"/>
  <c r="L83" i="2"/>
  <c r="L82" i="2"/>
  <c r="L81" i="2"/>
  <c r="K80" i="2"/>
  <c r="L80" i="2" s="1"/>
  <c r="H80" i="2"/>
  <c r="K76" i="2"/>
  <c r="L76" i="2" s="1"/>
  <c r="H76" i="2"/>
  <c r="L79" i="2"/>
  <c r="L78" i="2"/>
  <c r="L77" i="2"/>
  <c r="L75" i="2"/>
  <c r="L74" i="2"/>
  <c r="K73" i="2"/>
  <c r="L73" i="2" s="1"/>
  <c r="H73" i="2"/>
  <c r="K72" i="2"/>
  <c r="L72" i="2" s="1"/>
  <c r="H72" i="2"/>
  <c r="K71" i="2"/>
  <c r="L71" i="2" s="1"/>
  <c r="H71" i="2"/>
  <c r="L70" i="2"/>
  <c r="L69" i="2"/>
  <c r="L68" i="2"/>
  <c r="H183" i="2" l="1"/>
  <c r="W30" i="2"/>
  <c r="W29" i="2"/>
  <c r="W28" i="2"/>
  <c r="W27" i="2"/>
  <c r="L67" i="2"/>
  <c r="L63" i="2"/>
  <c r="L66" i="2" l="1"/>
  <c r="L65" i="2"/>
  <c r="K64" i="2"/>
  <c r="L64" i="2" s="1"/>
  <c r="H64" i="2"/>
  <c r="L62" i="2" l="1"/>
  <c r="L61" i="2"/>
  <c r="L60" i="2"/>
  <c r="L59" i="2"/>
  <c r="K58" i="2"/>
  <c r="L58" i="2" s="1"/>
  <c r="H58" i="2"/>
  <c r="L57" i="2"/>
  <c r="L56" i="2"/>
  <c r="L55" i="2"/>
  <c r="L54" i="2"/>
  <c r="L53" i="2"/>
  <c r="K52" i="2"/>
  <c r="L52" i="2" s="1"/>
  <c r="H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K10" i="2"/>
  <c r="L10" i="2" s="1"/>
  <c r="H10" i="2"/>
  <c r="L9" i="2"/>
  <c r="L8" i="2"/>
  <c r="K7" i="2"/>
  <c r="H7" i="2"/>
  <c r="L6" i="2"/>
  <c r="L5" i="2"/>
  <c r="L4" i="2"/>
  <c r="L3" i="2"/>
  <c r="W21" i="2"/>
  <c r="W26" i="2"/>
  <c r="W25" i="2"/>
  <c r="W24" i="2"/>
  <c r="W23" i="2"/>
  <c r="W22" i="2"/>
  <c r="T6" i="2"/>
  <c r="U8" i="2" s="1"/>
  <c r="U11" i="2" s="1"/>
  <c r="U13" i="2" s="1"/>
  <c r="W84" i="1"/>
  <c r="W83" i="1"/>
  <c r="W82" i="1"/>
  <c r="W81" i="1"/>
  <c r="H181" i="2" l="1"/>
  <c r="L7" i="2"/>
  <c r="L181" i="2" s="1"/>
  <c r="K181" i="2"/>
  <c r="W38" i="2"/>
  <c r="L167" i="1"/>
  <c r="L166" i="1"/>
  <c r="L165" i="1"/>
  <c r="L164" i="1"/>
  <c r="L163" i="1"/>
  <c r="K162" i="1"/>
  <c r="L162" i="1" s="1"/>
  <c r="H162" i="1"/>
  <c r="L161" i="1"/>
  <c r="L160" i="1"/>
  <c r="K159" i="1"/>
  <c r="L159" i="1" s="1"/>
  <c r="H159" i="1"/>
  <c r="L158" i="1"/>
  <c r="K157" i="1"/>
  <c r="L157" i="1" s="1"/>
  <c r="H157" i="1"/>
  <c r="L156" i="1"/>
  <c r="L155" i="1"/>
  <c r="K154" i="1"/>
  <c r="L154" i="1" s="1"/>
  <c r="H154" i="1"/>
  <c r="L153" i="1"/>
  <c r="L152" i="1"/>
  <c r="L151" i="1"/>
  <c r="L150" i="1"/>
  <c r="L149" i="1"/>
  <c r="K148" i="1"/>
  <c r="L148" i="1" s="1"/>
  <c r="H148" i="1"/>
  <c r="W80" i="1"/>
  <c r="L147" i="1"/>
  <c r="L146" i="1"/>
  <c r="L145" i="1"/>
  <c r="L144" i="1"/>
  <c r="L143" i="1"/>
  <c r="K142" i="1"/>
  <c r="L142" i="1" s="1"/>
  <c r="H142" i="1"/>
  <c r="W79" i="1"/>
  <c r="W75" i="1"/>
  <c r="W74" i="1"/>
  <c r="W73" i="1"/>
  <c r="W72" i="1"/>
  <c r="W71" i="1"/>
  <c r="L141" i="1"/>
  <c r="L140" i="1"/>
  <c r="H139" i="1" l="1"/>
  <c r="K139" i="1"/>
  <c r="L139" i="1" s="1"/>
  <c r="K137" i="1"/>
  <c r="L137" i="1" s="1"/>
  <c r="L138" i="1"/>
  <c r="K136" i="1"/>
  <c r="L136" i="1" s="1"/>
  <c r="H135" i="1"/>
  <c r="K135" i="1"/>
  <c r="L135" i="1" s="1"/>
  <c r="K134" i="1"/>
  <c r="L134" i="1" s="1"/>
  <c r="H134" i="1"/>
  <c r="L133" i="1"/>
  <c r="K132" i="1" l="1"/>
  <c r="L132" i="1" s="1"/>
  <c r="L131" i="1"/>
  <c r="K130" i="1"/>
  <c r="L130" i="1" s="1"/>
  <c r="H130" i="1"/>
  <c r="L129" i="1"/>
  <c r="K128" i="1"/>
  <c r="L128" i="1" s="1"/>
  <c r="L127" i="1"/>
  <c r="K126" i="1"/>
  <c r="L126" i="1" s="1"/>
  <c r="H126" i="1"/>
  <c r="L125" i="1" l="1"/>
  <c r="O124" i="1"/>
  <c r="L124" i="1"/>
  <c r="K123" i="1"/>
  <c r="L123" i="1" s="1"/>
  <c r="K122" i="1"/>
  <c r="L122" i="1" s="1"/>
  <c r="H122" i="1"/>
  <c r="L121" i="1"/>
  <c r="L120" i="1"/>
  <c r="O118" i="1"/>
  <c r="L119" i="1"/>
  <c r="L118" i="1"/>
  <c r="O117" i="1"/>
  <c r="L117" i="1"/>
  <c r="L116" i="1"/>
  <c r="K115" i="1"/>
  <c r="L115" i="1" s="1"/>
  <c r="H115" i="1"/>
  <c r="L114" i="1" l="1"/>
  <c r="K113" i="1"/>
  <c r="L113" i="1" s="1"/>
  <c r="O112" i="1" l="1"/>
  <c r="L112" i="1"/>
  <c r="L111" i="1"/>
  <c r="W70" i="1"/>
  <c r="O110" i="1"/>
  <c r="L110" i="1"/>
  <c r="L109" i="1"/>
  <c r="L108" i="1" l="1"/>
  <c r="K107" i="1"/>
  <c r="L107" i="1" s="1"/>
  <c r="L106" i="1" l="1"/>
  <c r="L105" i="1"/>
  <c r="L104" i="1"/>
  <c r="L103" i="1"/>
  <c r="W69" i="1"/>
  <c r="W68" i="1"/>
  <c r="W67" i="1"/>
  <c r="L102" i="1"/>
  <c r="L101" i="1"/>
  <c r="L100" i="1"/>
  <c r="L99" i="1"/>
  <c r="L98" i="1"/>
  <c r="O97" i="1"/>
  <c r="P97" i="1" s="1"/>
  <c r="K97" i="1"/>
  <c r="L97" i="1" s="1"/>
  <c r="H97" i="1"/>
  <c r="L96" i="1"/>
  <c r="L93" i="1"/>
  <c r="O91" i="1"/>
  <c r="L95" i="1"/>
  <c r="L94" i="1"/>
  <c r="L92" i="1"/>
  <c r="L91" i="1"/>
  <c r="L90" i="1"/>
  <c r="L89" i="1"/>
  <c r="L88" i="1" l="1"/>
  <c r="O87" i="1"/>
  <c r="L87" i="1"/>
  <c r="W66" i="1"/>
  <c r="W65" i="1"/>
  <c r="W64" i="1"/>
  <c r="O86" i="1"/>
  <c r="L86" i="1"/>
  <c r="L85" i="1"/>
  <c r="L84" i="1"/>
  <c r="L83" i="1"/>
  <c r="H82" i="1"/>
  <c r="K82" i="1"/>
  <c r="L82" i="1" s="1"/>
  <c r="L38" i="1"/>
  <c r="K81" i="1"/>
  <c r="L81" i="1" s="1"/>
  <c r="H81" i="1"/>
  <c r="H170" i="1" s="1"/>
  <c r="L80" i="1"/>
  <c r="K79" i="1"/>
  <c r="L79" i="1" s="1"/>
  <c r="H79" i="1"/>
  <c r="O78" i="1"/>
  <c r="P78" i="1" s="1"/>
  <c r="K78" i="1"/>
  <c r="L78" i="1" s="1"/>
  <c r="H78" i="1"/>
  <c r="H77" i="1"/>
  <c r="K77" i="1"/>
  <c r="L77" i="1" s="1"/>
  <c r="L76" i="1"/>
  <c r="K75" i="1"/>
  <c r="L75" i="1" s="1"/>
  <c r="H75" i="1"/>
  <c r="L74" i="1"/>
  <c r="K73" i="1"/>
  <c r="L73" i="1" s="1"/>
  <c r="H73" i="1"/>
  <c r="O72" i="1"/>
  <c r="P72" i="1" s="1"/>
  <c r="K72" i="1"/>
  <c r="L72" i="1" s="1"/>
  <c r="H72" i="1"/>
  <c r="L71" i="1" l="1"/>
  <c r="O69" i="1"/>
  <c r="O70" i="1"/>
  <c r="L70" i="1"/>
  <c r="L69" i="1"/>
  <c r="W63" i="1"/>
  <c r="W62" i="1"/>
  <c r="W61" i="1"/>
  <c r="K68" i="1"/>
  <c r="L68" i="1" s="1"/>
  <c r="H68" i="1"/>
  <c r="L67" i="1"/>
  <c r="L59" i="1"/>
  <c r="K66" i="1"/>
  <c r="L66" i="1" s="1"/>
  <c r="H66" i="1"/>
  <c r="O65" i="1"/>
  <c r="L65" i="1"/>
  <c r="O64" i="1"/>
  <c r="L64" i="1"/>
  <c r="L63" i="1"/>
  <c r="L62" i="1"/>
  <c r="O60" i="1"/>
  <c r="O61" i="1"/>
  <c r="L61" i="1"/>
  <c r="L60" i="1"/>
  <c r="K58" i="1"/>
  <c r="L58" i="1" s="1"/>
  <c r="H58" i="1"/>
  <c r="L57" i="1"/>
  <c r="O55" i="1"/>
  <c r="O56" i="1"/>
  <c r="L56" i="1"/>
  <c r="L55" i="1"/>
  <c r="K54" i="1"/>
  <c r="L54" i="1" s="1"/>
  <c r="H54" i="1"/>
  <c r="L53" i="1"/>
  <c r="K52" i="1"/>
  <c r="L52" i="1" s="1"/>
  <c r="H52" i="1"/>
  <c r="O51" i="1"/>
  <c r="L51" i="1"/>
  <c r="K50" i="1"/>
  <c r="L50" i="1" s="1"/>
  <c r="O49" i="1"/>
  <c r="L49" i="1"/>
  <c r="T6" i="1"/>
  <c r="U8" i="1" s="1"/>
  <c r="U11" i="1" s="1"/>
  <c r="U13" i="1" s="1"/>
  <c r="K48" i="1"/>
  <c r="L48" i="1" s="1"/>
  <c r="L47" i="1"/>
  <c r="L46" i="1"/>
  <c r="O45" i="1" l="1"/>
  <c r="P45" i="1" s="1"/>
  <c r="K45" i="1"/>
  <c r="L45" i="1" s="1"/>
  <c r="H45" i="1"/>
  <c r="L44" i="1"/>
  <c r="W60" i="1" l="1"/>
  <c r="W59" i="1"/>
  <c r="W58" i="1"/>
  <c r="W57" i="1"/>
  <c r="K43" i="1"/>
  <c r="L43" i="1" s="1"/>
  <c r="O42" i="1"/>
  <c r="P42" i="1" s="1"/>
  <c r="K42" i="1"/>
  <c r="L42" i="1" s="1"/>
  <c r="H42" i="1"/>
  <c r="O40" i="1"/>
  <c r="L40" i="1"/>
  <c r="L39" i="1"/>
  <c r="F36" i="1"/>
  <c r="H36" i="1" s="1"/>
  <c r="O37" i="1"/>
  <c r="L37" i="1"/>
  <c r="O35" i="1"/>
  <c r="K34" i="1"/>
  <c r="L34" i="1" s="1"/>
  <c r="L35" i="1"/>
  <c r="L33" i="1"/>
  <c r="F31" i="1"/>
  <c r="K31" i="1" s="1"/>
  <c r="L31" i="1" s="1"/>
  <c r="O32" i="1"/>
  <c r="P32" i="1" s="1"/>
  <c r="H32" i="1"/>
  <c r="K32" i="1"/>
  <c r="L32" i="1" s="1"/>
  <c r="O31" i="1"/>
  <c r="K30" i="1"/>
  <c r="L30" i="1" s="1"/>
  <c r="H30" i="1"/>
  <c r="H31" i="1" l="1"/>
  <c r="F41" i="1"/>
  <c r="K41" i="1" s="1"/>
  <c r="L41" i="1" s="1"/>
  <c r="K36" i="1"/>
  <c r="L36" i="1" s="1"/>
  <c r="H41" i="1" l="1"/>
  <c r="O27" i="1"/>
  <c r="O26" i="1"/>
  <c r="L29" i="1"/>
  <c r="L28" i="1" l="1"/>
  <c r="L27" i="1"/>
  <c r="L26" i="1"/>
  <c r="L25" i="1"/>
  <c r="O21" i="1"/>
  <c r="K24" i="1"/>
  <c r="L24" i="1" s="1"/>
  <c r="H24" i="1"/>
  <c r="L23" i="1"/>
  <c r="L22" i="1"/>
  <c r="L21" i="1"/>
  <c r="L20" i="1"/>
  <c r="W56" i="1"/>
  <c r="W55" i="1"/>
  <c r="W54" i="1"/>
  <c r="F168" i="1"/>
  <c r="L19" i="1"/>
  <c r="O18" i="1"/>
  <c r="L18" i="1"/>
  <c r="L17" i="1"/>
  <c r="K16" i="1"/>
  <c r="L16" i="1" s="1"/>
  <c r="H16" i="1"/>
  <c r="O15" i="1"/>
  <c r="P15" i="1" s="1"/>
  <c r="K15" i="1"/>
  <c r="L15" i="1" s="1"/>
  <c r="H15" i="1"/>
  <c r="L14" i="1"/>
  <c r="L13" i="1"/>
  <c r="K12" i="1"/>
  <c r="L12" i="1" s="1"/>
  <c r="H12" i="1"/>
  <c r="L11" i="1"/>
  <c r="L10" i="1"/>
  <c r="O9" i="1"/>
  <c r="P9" i="1" s="1"/>
  <c r="H9" i="1" l="1"/>
  <c r="K9" i="1"/>
  <c r="L9" i="1" s="1"/>
  <c r="K8" i="1"/>
  <c r="L8" i="1" s="1"/>
  <c r="H8" i="1"/>
  <c r="L7" i="1"/>
  <c r="L6" i="1"/>
  <c r="K5" i="1"/>
  <c r="L5" i="1" s="1"/>
  <c r="H5" i="1"/>
  <c r="H4" i="1"/>
  <c r="K4" i="1"/>
  <c r="L4" i="1" s="1"/>
  <c r="K3" i="1"/>
  <c r="H3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52" i="1" l="1"/>
  <c r="W76" i="1" s="1"/>
  <c r="K168" i="1"/>
  <c r="H168" i="1"/>
  <c r="L3" i="1"/>
  <c r="L168" i="1" s="1"/>
</calcChain>
</file>

<file path=xl/sharedStrings.xml><?xml version="1.0" encoding="utf-8"?>
<sst xmlns="http://schemas.openxmlformats.org/spreadsheetml/2006/main" count="15651" uniqueCount="510">
  <si>
    <t>Date</t>
  </si>
  <si>
    <t>Customer</t>
  </si>
  <si>
    <t>Part No.</t>
  </si>
  <si>
    <t>Part Name</t>
  </si>
  <si>
    <t>Process Name</t>
  </si>
  <si>
    <t>No.of Strips</t>
  </si>
  <si>
    <t>scrap wt / Strip</t>
  </si>
  <si>
    <t>Total Scrap wt</t>
  </si>
  <si>
    <t>Stoke/ Strips</t>
  </si>
  <si>
    <t>Cavity</t>
  </si>
  <si>
    <t>Total Strocks</t>
  </si>
  <si>
    <t>No.of Parts</t>
  </si>
  <si>
    <t>Machine</t>
  </si>
  <si>
    <t>Production Record - April ' 2024</t>
  </si>
  <si>
    <t>Maha</t>
  </si>
  <si>
    <t>05036</t>
  </si>
  <si>
    <t>Washer</t>
  </si>
  <si>
    <t>Compound</t>
  </si>
  <si>
    <t>SCW</t>
  </si>
  <si>
    <t>01.04.24</t>
  </si>
  <si>
    <t>Renif 2</t>
  </si>
  <si>
    <t>Blanking</t>
  </si>
  <si>
    <t>Balaji</t>
  </si>
  <si>
    <t>Yathara</t>
  </si>
  <si>
    <t>Renif jackup</t>
  </si>
  <si>
    <t>Forming</t>
  </si>
  <si>
    <t>AIDA 1</t>
  </si>
  <si>
    <t>SKMN</t>
  </si>
  <si>
    <t>SKRMCB0001</t>
  </si>
  <si>
    <t>Coil Brkt</t>
  </si>
  <si>
    <t>Piercing</t>
  </si>
  <si>
    <t>Amada</t>
  </si>
  <si>
    <t>02.04.24</t>
  </si>
  <si>
    <t>6677A</t>
  </si>
  <si>
    <t>SUZ1 Brkt</t>
  </si>
  <si>
    <t>1st Form</t>
  </si>
  <si>
    <t>②</t>
  </si>
  <si>
    <t>NB</t>
  </si>
  <si>
    <t>03.04.24</t>
  </si>
  <si>
    <t>2nd Form</t>
  </si>
  <si>
    <t>04.04.24</t>
  </si>
  <si>
    <t>Santek</t>
  </si>
  <si>
    <t>Brass</t>
  </si>
  <si>
    <t>05.04.24</t>
  </si>
  <si>
    <t>Magha</t>
  </si>
  <si>
    <t>Bell</t>
  </si>
  <si>
    <t>Bell Crank</t>
  </si>
  <si>
    <t>Rivet</t>
  </si>
  <si>
    <t>Amteep</t>
  </si>
  <si>
    <t>21C 2437</t>
  </si>
  <si>
    <t>Stopper</t>
  </si>
  <si>
    <t>F533A</t>
  </si>
  <si>
    <t>Plate Indicator</t>
  </si>
  <si>
    <t>06.04.24</t>
  </si>
  <si>
    <t>07.04.24</t>
  </si>
  <si>
    <t>08.04.24</t>
  </si>
  <si>
    <t>F1749</t>
  </si>
  <si>
    <t>Collar</t>
  </si>
  <si>
    <t>Previous reading</t>
  </si>
  <si>
    <t>Existing reading</t>
  </si>
  <si>
    <t>Total Consumption  Units</t>
  </si>
  <si>
    <t>Consumption Charge</t>
  </si>
  <si>
    <t>Fixed Charge</t>
  </si>
  <si>
    <t>Electricity Tax</t>
  </si>
  <si>
    <t>Govt Subsdery</t>
  </si>
  <si>
    <t>Minus</t>
  </si>
  <si>
    <t>Cost of EB</t>
  </si>
  <si>
    <t>09.04.24</t>
  </si>
  <si>
    <t>10.04.24</t>
  </si>
  <si>
    <t>11.04.24</t>
  </si>
  <si>
    <t>12.04.24</t>
  </si>
  <si>
    <t>F7145</t>
  </si>
  <si>
    <t xml:space="preserve">Renif </t>
  </si>
  <si>
    <t>13.04.24</t>
  </si>
  <si>
    <t>14.04.24</t>
  </si>
  <si>
    <t>SCRAP DISPOSAL</t>
  </si>
  <si>
    <t>15.04.24</t>
  </si>
  <si>
    <t>①</t>
  </si>
  <si>
    <t>③</t>
  </si>
  <si>
    <t>16.04.24</t>
  </si>
  <si>
    <t>17.04.24</t>
  </si>
  <si>
    <t>Picling Materials &amp; 3 Cavity OK</t>
  </si>
  <si>
    <t>18.04.24</t>
  </si>
  <si>
    <t>F1342</t>
  </si>
  <si>
    <t>Brkt</t>
  </si>
  <si>
    <t>20.04.24</t>
  </si>
  <si>
    <t>F1341</t>
  </si>
  <si>
    <t>22.04.24</t>
  </si>
  <si>
    <t>23.04.24</t>
  </si>
  <si>
    <t>F1329</t>
  </si>
  <si>
    <t xml:space="preserve">Plate  </t>
  </si>
  <si>
    <t>Ampteep</t>
  </si>
  <si>
    <t>24.04.24</t>
  </si>
  <si>
    <t>Suction Filter</t>
  </si>
  <si>
    <t>25.04.24</t>
  </si>
  <si>
    <t>RM Completed</t>
  </si>
  <si>
    <t>1st Forming</t>
  </si>
  <si>
    <t>Reading Taken at 25.04.2024 05.30 PM</t>
  </si>
  <si>
    <t>26.02.2024  ~  25.04.2024</t>
  </si>
  <si>
    <t>Last Date of Payment due - 15.05.2024</t>
  </si>
  <si>
    <t>26.04.24</t>
  </si>
  <si>
    <t>27.04.24</t>
  </si>
  <si>
    <t>28.04.24</t>
  </si>
  <si>
    <t>29.04.24</t>
  </si>
  <si>
    <t>30.04.24</t>
  </si>
  <si>
    <t>02.05.24</t>
  </si>
  <si>
    <t>03.05.24</t>
  </si>
  <si>
    <t>04.05.24</t>
  </si>
  <si>
    <t>06.05.24</t>
  </si>
  <si>
    <t>07.05.24</t>
  </si>
  <si>
    <t>08.05.24</t>
  </si>
  <si>
    <t>09.05.24</t>
  </si>
  <si>
    <t>10.05.24</t>
  </si>
  <si>
    <t>3rd lot</t>
  </si>
  <si>
    <t>11.05.24</t>
  </si>
  <si>
    <t>new</t>
  </si>
  <si>
    <t>13.05.24</t>
  </si>
  <si>
    <t>14.05.24</t>
  </si>
  <si>
    <t>15.05.24</t>
  </si>
  <si>
    <t>16.05.24</t>
  </si>
  <si>
    <t>New Lot</t>
  </si>
  <si>
    <t>18.05.24</t>
  </si>
  <si>
    <t>20.05.24</t>
  </si>
  <si>
    <t>Scrap Disposal</t>
  </si>
  <si>
    <t>19.05.24</t>
  </si>
  <si>
    <t>21.05.24</t>
  </si>
  <si>
    <t>22.05.24</t>
  </si>
  <si>
    <t>23.05.24</t>
  </si>
  <si>
    <t>24.05.24</t>
  </si>
  <si>
    <t>25.05.24</t>
  </si>
  <si>
    <t>USUI</t>
  </si>
  <si>
    <t>Alumiium</t>
  </si>
  <si>
    <t>27.05.24</t>
  </si>
  <si>
    <t>28.05.24</t>
  </si>
  <si>
    <t>29.05.24</t>
  </si>
  <si>
    <t>30.05.24</t>
  </si>
  <si>
    <t>Bharathpress</t>
  </si>
  <si>
    <t xml:space="preserve">Fuel Tank </t>
  </si>
  <si>
    <t>31.05.24</t>
  </si>
  <si>
    <t xml:space="preserve"> </t>
  </si>
  <si>
    <t>01.06.24</t>
  </si>
  <si>
    <t>03.06.24</t>
  </si>
  <si>
    <t>04.06.24</t>
  </si>
  <si>
    <t>05.06.24</t>
  </si>
  <si>
    <t>Production Record - June' 2024</t>
  </si>
  <si>
    <t>06.06.24</t>
  </si>
  <si>
    <t>07.06.24</t>
  </si>
  <si>
    <t>08.06.24</t>
  </si>
  <si>
    <t>09.06.24</t>
  </si>
  <si>
    <t>10.06.24</t>
  </si>
  <si>
    <t>11.06.24</t>
  </si>
  <si>
    <t>12.06.24</t>
  </si>
  <si>
    <t>13.06.24</t>
  </si>
  <si>
    <t>Amada 80T</t>
  </si>
  <si>
    <t>14.06.24</t>
  </si>
  <si>
    <t>17.06.24</t>
  </si>
  <si>
    <t>SPEngineers</t>
  </si>
  <si>
    <t>0158</t>
  </si>
  <si>
    <t>18.06.24</t>
  </si>
  <si>
    <t>Pipe</t>
  </si>
  <si>
    <t>19.06.24</t>
  </si>
  <si>
    <t>20.06.24</t>
  </si>
  <si>
    <t>21.06.24</t>
  </si>
  <si>
    <t>22.06.24</t>
  </si>
  <si>
    <t>23.06.24</t>
  </si>
  <si>
    <t>24.06.24</t>
  </si>
  <si>
    <t>25.06.24</t>
  </si>
  <si>
    <t>26.06.24</t>
  </si>
  <si>
    <t>27.06.24</t>
  </si>
  <si>
    <t>Amada 35</t>
  </si>
  <si>
    <t>28.06.24</t>
  </si>
  <si>
    <t>29.06.24</t>
  </si>
  <si>
    <t>25.04.2024  ~  26.06.2024</t>
  </si>
  <si>
    <t>Reading Taken at 26.06.2024 11.30 AM</t>
  </si>
  <si>
    <t>16.07.2024</t>
  </si>
  <si>
    <t>30.06.24</t>
  </si>
  <si>
    <t>Production Record - July' 2024</t>
  </si>
  <si>
    <t>01.07.24</t>
  </si>
  <si>
    <t>02.07.24</t>
  </si>
  <si>
    <t>Ama 80</t>
  </si>
  <si>
    <t>Ama 45</t>
  </si>
  <si>
    <t>Ama 35</t>
  </si>
  <si>
    <t>03.07.24</t>
  </si>
  <si>
    <t>04.07.24</t>
  </si>
  <si>
    <t>05.07.24</t>
  </si>
  <si>
    <t>06.07.24</t>
  </si>
  <si>
    <t>07.07.24</t>
  </si>
  <si>
    <t>08.07.24</t>
  </si>
  <si>
    <t>09.07.24</t>
  </si>
  <si>
    <t>10.07.24</t>
  </si>
  <si>
    <t>11.07.24</t>
  </si>
  <si>
    <t>12.07.24</t>
  </si>
  <si>
    <t>138K</t>
  </si>
  <si>
    <t>13.07.24</t>
  </si>
  <si>
    <t>15.07.24</t>
  </si>
  <si>
    <t>16.07.24</t>
  </si>
  <si>
    <t>17.07.24</t>
  </si>
  <si>
    <t>18.07.24</t>
  </si>
  <si>
    <t>19.07.24</t>
  </si>
  <si>
    <t>Scrap Disposal To Sulthan Boi</t>
  </si>
  <si>
    <t>21.07.24</t>
  </si>
  <si>
    <t>22.07.24</t>
  </si>
  <si>
    <t>23.07.24</t>
  </si>
  <si>
    <t>24.07.24</t>
  </si>
  <si>
    <t>25.07.24</t>
  </si>
  <si>
    <t>26.07.24</t>
  </si>
  <si>
    <t>27.07.24</t>
  </si>
  <si>
    <t>28.07.24</t>
  </si>
  <si>
    <t>29.07.24</t>
  </si>
  <si>
    <t>30.07.24</t>
  </si>
  <si>
    <t>31.07.24</t>
  </si>
  <si>
    <t>Production Record - August' 2024</t>
  </si>
  <si>
    <t>01.08.24</t>
  </si>
  <si>
    <t>02.08.24</t>
  </si>
  <si>
    <t>03.08.24</t>
  </si>
  <si>
    <t>04.08.24</t>
  </si>
  <si>
    <t>05.08.24</t>
  </si>
  <si>
    <t>MEI</t>
  </si>
  <si>
    <t>Link</t>
  </si>
  <si>
    <t>06.08.24</t>
  </si>
  <si>
    <t>07.08.24</t>
  </si>
  <si>
    <t>08.08.24</t>
  </si>
  <si>
    <t>09.08.24</t>
  </si>
  <si>
    <t>10.08.24</t>
  </si>
  <si>
    <t>11.08.24</t>
  </si>
  <si>
    <t>12.08.24</t>
  </si>
  <si>
    <t>13.08.24</t>
  </si>
  <si>
    <t>14.08.24</t>
  </si>
  <si>
    <t>SCRAP DISPOSED</t>
  </si>
  <si>
    <t>16.08.24</t>
  </si>
  <si>
    <t>18.08.24</t>
  </si>
  <si>
    <t>19.08.24</t>
  </si>
  <si>
    <t>20.08.24</t>
  </si>
  <si>
    <t>21.08.24</t>
  </si>
  <si>
    <t>22.08.24</t>
  </si>
  <si>
    <t>24.08.24</t>
  </si>
  <si>
    <t>26.08.24</t>
  </si>
  <si>
    <t>27.08.24</t>
  </si>
  <si>
    <t>28.08.24</t>
  </si>
  <si>
    <t>29.08.24</t>
  </si>
  <si>
    <t>30.08.24</t>
  </si>
  <si>
    <t>31.08.24</t>
  </si>
  <si>
    <t>A</t>
  </si>
  <si>
    <t>Production Record - September 2024</t>
  </si>
  <si>
    <t>02.09.24</t>
  </si>
  <si>
    <t>03.09.24</t>
  </si>
  <si>
    <t>04.09.24</t>
  </si>
  <si>
    <t>05.09.24</t>
  </si>
  <si>
    <t>06.09.24</t>
  </si>
  <si>
    <t>09.09.24</t>
  </si>
  <si>
    <t>10.09.24</t>
  </si>
  <si>
    <t>11.09.24</t>
  </si>
  <si>
    <t>12.09.24</t>
  </si>
  <si>
    <t>13.09.24</t>
  </si>
  <si>
    <t>14.09.24</t>
  </si>
  <si>
    <t>17.09.24</t>
  </si>
  <si>
    <t>16.09.24</t>
  </si>
  <si>
    <t>18.09.24</t>
  </si>
  <si>
    <t>19.09.24</t>
  </si>
  <si>
    <t>20.09.24</t>
  </si>
  <si>
    <t>23.09.24</t>
  </si>
  <si>
    <t>24.09.24</t>
  </si>
  <si>
    <t>25.09.24</t>
  </si>
  <si>
    <t>Scrap Removal</t>
  </si>
  <si>
    <t>26.09.24</t>
  </si>
  <si>
    <t>27.09.24</t>
  </si>
  <si>
    <t>28.09.24</t>
  </si>
  <si>
    <t>30.09.24</t>
  </si>
  <si>
    <t>Production Record - October 2024</t>
  </si>
  <si>
    <t>01.10.24</t>
  </si>
  <si>
    <t>03.10.24</t>
  </si>
  <si>
    <t>04.10.24</t>
  </si>
  <si>
    <t>05.10.24</t>
  </si>
  <si>
    <t>07.10.24</t>
  </si>
  <si>
    <t>08.10.24</t>
  </si>
  <si>
    <t>09.10.24</t>
  </si>
  <si>
    <t>10.10.24</t>
  </si>
  <si>
    <t>SCW 63</t>
  </si>
  <si>
    <t>14.10.24</t>
  </si>
  <si>
    <t>compl</t>
  </si>
  <si>
    <t>15.10.24</t>
  </si>
  <si>
    <t>16.10.24</t>
  </si>
  <si>
    <t>17.10.24</t>
  </si>
  <si>
    <t>18.10.24</t>
  </si>
  <si>
    <t>20.10.24</t>
  </si>
  <si>
    <t>21.10.24</t>
  </si>
  <si>
    <t>22.10.24</t>
  </si>
  <si>
    <t>Form 1</t>
  </si>
  <si>
    <t>Form 2</t>
  </si>
  <si>
    <t>Form 3</t>
  </si>
  <si>
    <t>23.10.24</t>
  </si>
  <si>
    <t>29.09.24</t>
  </si>
  <si>
    <t>30.10.24</t>
  </si>
  <si>
    <t>Production Record - November 2024</t>
  </si>
  <si>
    <t>01.11.24</t>
  </si>
  <si>
    <t>02.11.24</t>
  </si>
  <si>
    <t>04.11.24</t>
  </si>
  <si>
    <t>05.11.24</t>
  </si>
  <si>
    <t>06.11.24</t>
  </si>
  <si>
    <t>07.11.24</t>
  </si>
  <si>
    <t>08.11.24</t>
  </si>
  <si>
    <t>09.11.24</t>
  </si>
  <si>
    <t>10.11.24</t>
  </si>
  <si>
    <t>11.11.24</t>
  </si>
  <si>
    <t>12.11.24</t>
  </si>
  <si>
    <t>13.11.24</t>
  </si>
  <si>
    <t>14.11.24</t>
  </si>
  <si>
    <t>15.11.24</t>
  </si>
  <si>
    <t>18.11.24</t>
  </si>
  <si>
    <t>21.11.24</t>
  </si>
  <si>
    <t>19.11.24</t>
  </si>
  <si>
    <t>20.11.24</t>
  </si>
  <si>
    <t>22.11.24</t>
  </si>
  <si>
    <t>23.11.24</t>
  </si>
  <si>
    <t>25.11.24</t>
  </si>
  <si>
    <t>26.11.24</t>
  </si>
  <si>
    <t>27.11.24</t>
  </si>
  <si>
    <t>28.11.24</t>
  </si>
  <si>
    <t>29.11.24</t>
  </si>
  <si>
    <t>Production Record - December 2024</t>
  </si>
  <si>
    <t>MA</t>
  </si>
  <si>
    <t>002</t>
  </si>
  <si>
    <t>Metal Box</t>
  </si>
  <si>
    <t>000</t>
  </si>
  <si>
    <t>3rd Form</t>
  </si>
  <si>
    <t>003</t>
  </si>
  <si>
    <t>blank</t>
  </si>
  <si>
    <t>06.12.24</t>
  </si>
  <si>
    <t>07.12.24</t>
  </si>
  <si>
    <t>ivet</t>
  </si>
  <si>
    <t>11.02.25</t>
  </si>
  <si>
    <t>10.02.25</t>
  </si>
  <si>
    <t>AIDA 2</t>
  </si>
  <si>
    <t>AIDA 150</t>
  </si>
  <si>
    <t>01.02.25</t>
  </si>
  <si>
    <t>02.02.25</t>
  </si>
  <si>
    <t>03.02.25</t>
  </si>
  <si>
    <t>04.02.25</t>
  </si>
  <si>
    <t>05.02.25</t>
  </si>
  <si>
    <t>06.02.25</t>
  </si>
  <si>
    <t>07.02.25</t>
  </si>
  <si>
    <t>08.02.25</t>
  </si>
  <si>
    <t>12.02.25</t>
  </si>
  <si>
    <t>13.02.25</t>
  </si>
  <si>
    <t xml:space="preserve">Brkt under </t>
  </si>
  <si>
    <t>14.02.25</t>
  </si>
  <si>
    <t>Reniff</t>
  </si>
  <si>
    <t>Production Record - FEBRUARY'2025</t>
  </si>
  <si>
    <t>16.02.25</t>
  </si>
  <si>
    <t>17.02.25</t>
  </si>
  <si>
    <t>18.02.25</t>
  </si>
  <si>
    <t xml:space="preserve">USUI </t>
  </si>
  <si>
    <t xml:space="preserve">AL </t>
  </si>
  <si>
    <t>19.02.25</t>
  </si>
  <si>
    <t>20.02.25</t>
  </si>
  <si>
    <t>21.02.25</t>
  </si>
  <si>
    <t>22.02.25</t>
  </si>
  <si>
    <t>23.02.25</t>
  </si>
  <si>
    <t>24.02.25</t>
  </si>
  <si>
    <t>25.02.25</t>
  </si>
  <si>
    <t>26.02.25</t>
  </si>
  <si>
    <t>27.02.25</t>
  </si>
  <si>
    <t>28.02.25</t>
  </si>
  <si>
    <t>01.03.25</t>
  </si>
  <si>
    <t>02.03.25</t>
  </si>
  <si>
    <t>03.03.25</t>
  </si>
  <si>
    <t>04.03.25</t>
  </si>
  <si>
    <t>Rivetting</t>
  </si>
  <si>
    <t>05.03.25</t>
  </si>
  <si>
    <t>06.03.25</t>
  </si>
  <si>
    <t>07.03.25</t>
  </si>
  <si>
    <t>08.03.25</t>
  </si>
  <si>
    <t>10.03.25</t>
  </si>
  <si>
    <t>Total</t>
  </si>
  <si>
    <t>11.03.25</t>
  </si>
  <si>
    <t>12.03.25</t>
  </si>
  <si>
    <t>13.03.25</t>
  </si>
  <si>
    <t>14.03.25</t>
  </si>
  <si>
    <t>15.03.25</t>
  </si>
  <si>
    <t>17.03.25</t>
  </si>
  <si>
    <t>18.03.25</t>
  </si>
  <si>
    <t>19.03.25</t>
  </si>
  <si>
    <t>20.03.25</t>
  </si>
  <si>
    <t>21.03.25</t>
  </si>
  <si>
    <t>22.03.25</t>
  </si>
  <si>
    <t>23.03.25</t>
  </si>
  <si>
    <t>24.03.25</t>
  </si>
  <si>
    <t>Stay RR Fender</t>
  </si>
  <si>
    <t>25.03.25</t>
  </si>
  <si>
    <t>26.03.25</t>
  </si>
  <si>
    <t>27.03.25</t>
  </si>
  <si>
    <t>28.03.25</t>
  </si>
  <si>
    <t>29.03.25</t>
  </si>
  <si>
    <t>31.03.25</t>
  </si>
  <si>
    <t>Production Record - March'2025</t>
  </si>
  <si>
    <t>Production Record - May'2025</t>
  </si>
  <si>
    <t>02.05.25</t>
  </si>
  <si>
    <t>03.05.25</t>
  </si>
  <si>
    <t>04.05.25</t>
  </si>
  <si>
    <t>05.05.25</t>
  </si>
  <si>
    <t>06.05.25</t>
  </si>
  <si>
    <t>07.05.25</t>
  </si>
  <si>
    <t>08.05.25</t>
  </si>
  <si>
    <t>Production Record - June'2025</t>
  </si>
  <si>
    <t>06.06.25</t>
  </si>
  <si>
    <t>AIDA110-2</t>
  </si>
  <si>
    <t>Holder Wire</t>
  </si>
  <si>
    <t>7452/62</t>
  </si>
  <si>
    <t>F115T</t>
  </si>
  <si>
    <t>Brt Rr Ft Rest</t>
  </si>
  <si>
    <t>113A</t>
  </si>
  <si>
    <t>05.06.25</t>
  </si>
  <si>
    <t>04.06.25</t>
  </si>
  <si>
    <t>AIDA150</t>
  </si>
  <si>
    <t>Brkt Engine</t>
  </si>
  <si>
    <t>07.06.25</t>
  </si>
  <si>
    <t>08.06.25</t>
  </si>
  <si>
    <t>7432/42</t>
  </si>
  <si>
    <t>AIDA110-1</t>
  </si>
  <si>
    <t>03.06.25</t>
  </si>
  <si>
    <t>02.06.25</t>
  </si>
  <si>
    <t>10.05.25</t>
  </si>
  <si>
    <t>12.05.25</t>
  </si>
  <si>
    <t>13.05.25</t>
  </si>
  <si>
    <t>14.05.25</t>
  </si>
  <si>
    <t>15.05.25</t>
  </si>
  <si>
    <t>16.05.25</t>
  </si>
  <si>
    <t>18.05.25</t>
  </si>
  <si>
    <t>19.05.25</t>
  </si>
  <si>
    <t>20.05.25</t>
  </si>
  <si>
    <t>21.05.25</t>
  </si>
  <si>
    <t>22.05.25</t>
  </si>
  <si>
    <t>23.05.25</t>
  </si>
  <si>
    <t>24.05.25</t>
  </si>
  <si>
    <t>26.05.25</t>
  </si>
  <si>
    <t xml:space="preserve">New Tool </t>
  </si>
  <si>
    <t>27.05.25</t>
  </si>
  <si>
    <t>28.05.25</t>
  </si>
  <si>
    <t>1st lot</t>
  </si>
  <si>
    <t>2nd Lot</t>
  </si>
  <si>
    <t>30.05.25</t>
  </si>
  <si>
    <t>Old Tool</t>
  </si>
  <si>
    <t>09.06.25</t>
  </si>
  <si>
    <t>1447/8</t>
  </si>
  <si>
    <t>10.06.25</t>
  </si>
  <si>
    <t>11.06.25</t>
  </si>
  <si>
    <t>12.06.25</t>
  </si>
  <si>
    <t>13.06.25</t>
  </si>
  <si>
    <t>F3317</t>
  </si>
  <si>
    <t>14.06.25</t>
  </si>
  <si>
    <t>15.06.25</t>
  </si>
  <si>
    <t>16.06.25</t>
  </si>
  <si>
    <t>F317 E</t>
  </si>
  <si>
    <t>17.06.25</t>
  </si>
  <si>
    <t>18.06.25</t>
  </si>
  <si>
    <t>19.06.25</t>
  </si>
  <si>
    <t>20.06.25</t>
  </si>
  <si>
    <t>21.06.25</t>
  </si>
  <si>
    <t>22.06.25</t>
  </si>
  <si>
    <t>23.06.25</t>
  </si>
  <si>
    <t>24.06.25</t>
  </si>
  <si>
    <t>25.06.25</t>
  </si>
  <si>
    <t>26.06.25</t>
  </si>
  <si>
    <t>27.06.25</t>
  </si>
  <si>
    <t>today starts</t>
  </si>
  <si>
    <t>28.06.25</t>
  </si>
  <si>
    <t>30.06.25</t>
  </si>
  <si>
    <t>Gusset</t>
  </si>
  <si>
    <t>Production Record - July'2025</t>
  </si>
  <si>
    <t>01.07.25</t>
  </si>
  <si>
    <t>02.07.25</t>
  </si>
  <si>
    <t>03.07.25</t>
  </si>
  <si>
    <t>04.07.25</t>
  </si>
  <si>
    <t>05.07.25</t>
  </si>
  <si>
    <t>Plate</t>
  </si>
  <si>
    <t>07.07.25</t>
  </si>
  <si>
    <t>08.07.25</t>
  </si>
  <si>
    <t>SAI</t>
  </si>
  <si>
    <t>Reniff Brkt</t>
  </si>
  <si>
    <t>09.07.25</t>
  </si>
  <si>
    <t>10.07.25</t>
  </si>
  <si>
    <t>11.07.25</t>
  </si>
  <si>
    <t>12.07.25</t>
  </si>
  <si>
    <t>14.07.25</t>
  </si>
  <si>
    <t>15.07.25</t>
  </si>
  <si>
    <t>3rd Coil</t>
  </si>
  <si>
    <t>Ama  45</t>
  </si>
  <si>
    <t>16.07.25</t>
  </si>
  <si>
    <t>17.07.25</t>
  </si>
  <si>
    <t>18.07.25</t>
  </si>
  <si>
    <t>4th Coil</t>
  </si>
  <si>
    <t>20.07.25</t>
  </si>
  <si>
    <t>21.07.25</t>
  </si>
  <si>
    <t>22.07.25</t>
  </si>
  <si>
    <t>23.07.25</t>
  </si>
  <si>
    <t>24.07.25</t>
  </si>
  <si>
    <t>25.07.25</t>
  </si>
  <si>
    <t>26.07.25</t>
  </si>
  <si>
    <t>28.07.25</t>
  </si>
  <si>
    <t>29.07.25</t>
  </si>
  <si>
    <t>30.07.25</t>
  </si>
  <si>
    <t>31.07.25</t>
  </si>
  <si>
    <t>Production Record - August'2025</t>
  </si>
  <si>
    <t>01.08.25</t>
  </si>
  <si>
    <t>02.08.25</t>
  </si>
  <si>
    <t>04.08.25</t>
  </si>
  <si>
    <t>05.08.25</t>
  </si>
  <si>
    <t>06.08.25</t>
  </si>
  <si>
    <t>07.08.25</t>
  </si>
  <si>
    <t>08.08.25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</si>
</sst>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Ebrima"/>
    </font>
    <font>
      <sz val="10"/>
      <color theme="1"/>
      <name val="Ebrima"/>
    </font>
    <font>
      <b/>
      <sz val="12"/>
      <color rgb="FFC00000"/>
      <name val="Ebrima"/>
    </font>
    <font>
      <sz val="8"/>
      <color theme="1"/>
      <name val="Ebrima"/>
    </font>
    <font>
      <b/>
      <sz val="12"/>
      <color rgb="FFC00000"/>
      <name val="Arial Narrow"/>
      <family val="2"/>
    </font>
    <font>
      <b/>
      <sz val="14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4"/>
      <color rgb="FFFFFF0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color rgb="FFFFC000"/>
      <name val="Arial Narrow"/>
      <family val="2"/>
    </font>
    <font>
      <b/>
      <sz val="18"/>
      <color rgb="FFC00000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Ebrima"/>
    </font>
    <font>
      <b/>
      <sz val="11"/>
      <color theme="1"/>
      <name val="Ebrima"/>
    </font>
    <font>
      <b/>
      <sz val="22"/>
      <color rgb="FFFFC000"/>
      <name val="Ebrima"/>
    </font>
    <font>
      <b/>
      <sz val="10"/>
      <color rgb="FFFFFF00"/>
      <name val="Ebrima"/>
    </font>
    <font>
      <b/>
      <sz val="10"/>
      <color rgb="FFFF0000"/>
      <name val="Ebrima"/>
    </font>
    <font>
      <b/>
      <sz val="10"/>
      <color theme="1"/>
      <name val="Ebrima"/>
    </font>
    <font>
      <b/>
      <sz val="12"/>
      <color rgb="FFFF0000"/>
      <name val="Arial Narrow"/>
      <family val="2"/>
    </font>
    <font>
      <b/>
      <sz val="24"/>
      <color rgb="FFC00000"/>
      <name val="Arial Narrow"/>
      <family val="2"/>
    </font>
    <font>
      <sz val="11"/>
      <color theme="1"/>
      <name val="Arial Narrow"/>
      <family val="2"/>
    </font>
    <font>
      <b/>
      <sz val="10"/>
      <color rgb="FFFFFF00"/>
      <name val="Arial Narrow"/>
      <family val="2"/>
    </font>
    <font>
      <sz val="9"/>
      <color theme="1"/>
      <name val="Arial Narrow"/>
      <family val="2"/>
    </font>
    <font>
      <b/>
      <u/>
      <sz val="11"/>
      <color rgb="FFFF0000"/>
      <name val="Arial Narrow"/>
      <family val="2"/>
    </font>
    <font>
      <b/>
      <sz val="14"/>
      <color theme="1"/>
      <name val="Arial Narrow"/>
      <family val="2"/>
    </font>
    <font>
      <b/>
      <sz val="11"/>
      <color rgb="FFFFC000"/>
      <name val="Arial Narrow"/>
      <family val="2"/>
    </font>
    <font>
      <sz val="11"/>
      <color theme="1"/>
      <name val="Brush Script MT"/>
      <family val="4"/>
    </font>
    <font>
      <b/>
      <sz val="10"/>
      <color rgb="FFFFFF00"/>
      <name val="Monotype Corsiva"/>
      <family val="4"/>
    </font>
    <font>
      <sz val="10"/>
      <color theme="1"/>
      <name val="Monotype Corsiva"/>
      <family val="4"/>
    </font>
    <font>
      <b/>
      <sz val="22"/>
      <color rgb="FF00CC00"/>
      <name val="Monotype Corsiva"/>
      <family val="4"/>
    </font>
    <font>
      <b/>
      <sz val="11"/>
      <color rgb="FFC00000"/>
      <name val="Monotype Corsiva"/>
      <family val="4"/>
    </font>
    <font>
      <b/>
      <sz val="10"/>
      <color rgb="FFC00000"/>
      <name val="Monotype Corsiva"/>
      <family val="4"/>
    </font>
    <font>
      <sz val="10"/>
      <color theme="1"/>
      <name val="Brush Script MT"/>
      <family val="4"/>
    </font>
    <font>
      <b/>
      <sz val="11"/>
      <color rgb="FFC00000"/>
      <name val="Brush Script MT"/>
      <family val="4"/>
    </font>
    <font>
      <b/>
      <sz val="16"/>
      <color rgb="FFFF0000"/>
      <name val="Brush Script MT"/>
      <family val="4"/>
    </font>
    <font>
      <b/>
      <sz val="22"/>
      <color rgb="FF003300"/>
      <name val="Monotype Corsiva"/>
      <family val="4"/>
    </font>
    <font>
      <b/>
      <sz val="10"/>
      <color theme="1"/>
      <name val="Monotype Corsiva"/>
      <family val="4"/>
    </font>
    <font>
      <b/>
      <sz val="10"/>
      <color rgb="FF003300"/>
      <name val="Monotype Corsiva"/>
      <family val="4"/>
    </font>
    <font>
      <sz val="6"/>
      <color theme="1"/>
      <name val="Monotype Corsiva"/>
      <family val="4"/>
    </font>
    <font>
      <b/>
      <sz val="12"/>
      <color rgb="FFC00000"/>
      <name val="Brush Script MT"/>
      <family val="4"/>
    </font>
    <font>
      <b/>
      <sz val="11"/>
      <color theme="1"/>
      <name val="Monotype Corsiva"/>
      <family val="4"/>
    </font>
    <font>
      <b/>
      <sz val="11"/>
      <color rgb="FF003300"/>
      <name val="Monotype Corsiva"/>
      <family val="4"/>
    </font>
    <font>
      <b/>
      <sz val="11"/>
      <color theme="1"/>
      <name val="Calibri"/>
      <family val="2"/>
      <scheme val="minor"/>
    </font>
    <font>
      <b/>
      <sz val="22"/>
      <name val="Monotype Corsiva"/>
      <family val="4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3300"/>
      <name val="Arial"/>
      <family val="2"/>
    </font>
    <font>
      <sz val="9"/>
      <color theme="1"/>
      <name val="Tahoma"/>
      <family val="2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20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003300"/>
      <name val="Segoe UI"/>
      <family val="2"/>
    </font>
    <font>
      <sz val="8"/>
      <color theme="1"/>
      <name val="Segoe UI"/>
      <family val="2"/>
    </font>
    <font>
      <b/>
      <sz val="10"/>
      <color rgb="FFFFFF00"/>
      <name val="Segoe UI"/>
      <family val="2"/>
    </font>
    <font>
      <b/>
      <sz val="20"/>
      <color rgb="FFC00000"/>
      <name val="Segoe UI"/>
      <family val="2"/>
    </font>
    <font>
      <b/>
      <sz val="11"/>
      <color rgb="FFFFFF00"/>
      <name val="Segoe UI"/>
      <family val="2"/>
    </font>
    <font>
      <b/>
      <sz val="11"/>
      <color theme="1"/>
      <name val="Cambria"/>
      <family val="1"/>
    </font>
    <font>
      <sz val="20"/>
      <color rgb="FFFFC000"/>
      <name val="Segoe UI"/>
      <family val="2"/>
    </font>
    <font>
      <sz val="20"/>
      <color rgb="FFC00000"/>
      <name val="Segoe UI"/>
      <family val="2"/>
    </font>
    <font>
      <sz val="10"/>
      <color theme="1"/>
      <name val="Script MT Bold"/>
      <family val="4"/>
    </font>
    <font>
      <sz val="9"/>
      <color theme="1"/>
      <name val="Script MT Bold"/>
      <family val="4"/>
    </font>
    <font>
      <sz val="9"/>
      <color theme="1"/>
      <name val="Arial Unicode MS"/>
      <family val="2"/>
    </font>
    <font>
      <b/>
      <sz val="11"/>
      <color theme="1"/>
      <name val="Arial Unicode MS"/>
      <family val="2"/>
    </font>
    <font>
      <b/>
      <sz val="20"/>
      <name val="Arial Unicode MS"/>
      <family val="2"/>
    </font>
    <font>
      <sz val="11"/>
      <color theme="1"/>
      <name val="Arial Unicode MS"/>
      <family val="2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2" fontId="10" fillId="14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 applyAlignment="1">
      <alignment horizontal="left" vertical="center"/>
    </xf>
    <xf numFmtId="0" fontId="17" fillId="1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19" borderId="0" xfId="0" applyFont="1" applyFill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9" fillId="20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15" fillId="16" borderId="1" xfId="0" applyFont="1" applyFill="1" applyBorder="1"/>
    <xf numFmtId="0" fontId="14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/>
    </xf>
    <xf numFmtId="0" fontId="14" fillId="1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2" fillId="0" borderId="0" xfId="0" applyFont="1"/>
    <xf numFmtId="0" fontId="23" fillId="1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21" borderId="5" xfId="0" applyFont="1" applyFill="1" applyBorder="1" applyAlignment="1">
      <alignment horizontal="center"/>
    </xf>
    <xf numFmtId="0" fontId="10" fillId="21" borderId="0" xfId="0" applyFont="1" applyFill="1" applyBorder="1" applyAlignment="1">
      <alignment horizontal="center"/>
    </xf>
    <xf numFmtId="0" fontId="13" fillId="16" borderId="1" xfId="0" applyFont="1" applyFill="1" applyBorder="1"/>
    <xf numFmtId="0" fontId="26" fillId="16" borderId="1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vertical="center"/>
    </xf>
    <xf numFmtId="0" fontId="26" fillId="1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15" borderId="14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0" fontId="28" fillId="0" borderId="0" xfId="0" applyFont="1"/>
    <xf numFmtId="0" fontId="29" fillId="17" borderId="1" xfId="0" applyFont="1" applyFill="1" applyBorder="1" applyAlignment="1">
      <alignment horizontal="center" vertical="center" wrapText="1"/>
    </xf>
    <xf numFmtId="0" fontId="30" fillId="3" borderId="15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0" fillId="0" borderId="16" xfId="0" applyNumberFormat="1" applyFont="1" applyBorder="1" applyAlignment="1">
      <alignment horizontal="center" vertical="center"/>
    </xf>
    <xf numFmtId="0" fontId="30" fillId="4" borderId="17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 wrapText="1"/>
    </xf>
    <xf numFmtId="0" fontId="30" fillId="6" borderId="19" xfId="0" applyFont="1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 wrapText="1"/>
    </xf>
    <xf numFmtId="0" fontId="30" fillId="7" borderId="19" xfId="0" applyFont="1" applyFill="1" applyBorder="1" applyAlignment="1">
      <alignment horizontal="center" vertical="center" wrapText="1"/>
    </xf>
    <xf numFmtId="164" fontId="30" fillId="0" borderId="19" xfId="0" applyNumberFormat="1" applyFont="1" applyBorder="1" applyAlignment="1">
      <alignment horizontal="center" vertical="center"/>
    </xf>
    <xf numFmtId="0" fontId="30" fillId="3" borderId="20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30" fillId="12" borderId="19" xfId="0" applyFont="1" applyFill="1" applyBorder="1" applyAlignment="1">
      <alignment horizontal="center" vertical="center" wrapText="1"/>
    </xf>
    <xf numFmtId="0" fontId="30" fillId="9" borderId="19" xfId="0" applyFont="1" applyFill="1" applyBorder="1" applyAlignment="1">
      <alignment horizontal="center" vertical="center" wrapText="1"/>
    </xf>
    <xf numFmtId="0" fontId="30" fillId="26" borderId="19" xfId="0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30" fillId="24" borderId="19" xfId="0" applyFont="1" applyFill="1" applyBorder="1" applyAlignment="1">
      <alignment horizontal="center" vertical="center" wrapText="1"/>
    </xf>
    <xf numFmtId="0" fontId="32" fillId="24" borderId="19" xfId="0" applyFont="1" applyFill="1" applyBorder="1" applyAlignment="1">
      <alignment horizontal="center" vertical="center" wrapText="1"/>
    </xf>
    <xf numFmtId="0" fontId="30" fillId="27" borderId="20" xfId="0" applyFont="1" applyFill="1" applyBorder="1" applyAlignment="1">
      <alignment horizontal="center" vertical="center" wrapText="1"/>
    </xf>
    <xf numFmtId="0" fontId="33" fillId="28" borderId="19" xfId="0" applyFont="1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3" borderId="19" xfId="0" quotePrefix="1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4" fillId="0" borderId="0" xfId="0" applyFont="1"/>
    <xf numFmtId="0" fontId="34" fillId="0" borderId="0" xfId="0" applyFont="1" applyAlignment="1">
      <alignment horizontal="center"/>
    </xf>
    <xf numFmtId="164" fontId="34" fillId="0" borderId="0" xfId="0" applyNumberFormat="1" applyFont="1" applyAlignment="1">
      <alignment horizontal="center"/>
    </xf>
    <xf numFmtId="0" fontId="35" fillId="28" borderId="0" xfId="0" applyFont="1" applyFill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38" fillId="30" borderId="1" xfId="0" applyFont="1" applyFill="1" applyBorder="1" applyAlignment="1">
      <alignment horizontal="center" vertical="center" wrapText="1"/>
    </xf>
    <xf numFmtId="0" fontId="39" fillId="30" borderId="19" xfId="0" applyFont="1" applyFill="1" applyBorder="1" applyAlignment="1">
      <alignment horizontal="center" vertical="center" wrapText="1"/>
    </xf>
    <xf numFmtId="0" fontId="38" fillId="6" borderId="19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0" fillId="32" borderId="20" xfId="0" applyFont="1" applyFill="1" applyBorder="1" applyAlignment="1">
      <alignment horizontal="center" vertical="center" wrapText="1"/>
    </xf>
    <xf numFmtId="0" fontId="30" fillId="33" borderId="19" xfId="0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 wrapText="1"/>
    </xf>
    <xf numFmtId="0" fontId="30" fillId="32" borderId="19" xfId="0" applyFont="1" applyFill="1" applyBorder="1" applyAlignment="1">
      <alignment horizontal="center" vertical="center" wrapText="1"/>
    </xf>
    <xf numFmtId="164" fontId="30" fillId="32" borderId="19" xfId="0" applyNumberFormat="1" applyFont="1" applyFill="1" applyBorder="1" applyAlignment="1">
      <alignment horizontal="center" vertical="center"/>
    </xf>
    <xf numFmtId="0" fontId="30" fillId="32" borderId="0" xfId="0" applyFont="1" applyFill="1" applyBorder="1" applyAlignment="1">
      <alignment horizontal="center" vertical="center" wrapText="1"/>
    </xf>
    <xf numFmtId="0" fontId="0" fillId="32" borderId="0" xfId="0" applyFill="1"/>
    <xf numFmtId="0" fontId="30" fillId="32" borderId="18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164" fontId="30" fillId="2" borderId="19" xfId="0" applyNumberFormat="1" applyFont="1" applyFill="1" applyBorder="1" applyAlignment="1">
      <alignment horizontal="center" vertical="center"/>
    </xf>
    <xf numFmtId="0" fontId="38" fillId="2" borderId="19" xfId="0" applyFont="1" applyFill="1" applyBorder="1" applyAlignment="1">
      <alignment horizontal="center" vertical="center" wrapText="1"/>
    </xf>
    <xf numFmtId="0" fontId="30" fillId="34" borderId="19" xfId="0" applyFont="1" applyFill="1" applyBorder="1" applyAlignment="1">
      <alignment horizontal="center" vertical="center" wrapText="1"/>
    </xf>
    <xf numFmtId="0" fontId="30" fillId="35" borderId="19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0" fontId="30" fillId="4" borderId="19" xfId="0" applyFont="1" applyFill="1" applyBorder="1" applyAlignment="1">
      <alignment horizontal="center" vertical="center" wrapText="1"/>
    </xf>
    <xf numFmtId="0" fontId="41" fillId="28" borderId="0" xfId="0" applyFont="1" applyFill="1" applyAlignment="1">
      <alignment horizontal="center"/>
    </xf>
    <xf numFmtId="0" fontId="42" fillId="6" borderId="19" xfId="0" applyFont="1" applyFill="1" applyBorder="1" applyAlignment="1">
      <alignment horizontal="center" vertical="center" wrapText="1"/>
    </xf>
    <xf numFmtId="0" fontId="43" fillId="30" borderId="19" xfId="0" applyFont="1" applyFill="1" applyBorder="1" applyAlignment="1">
      <alignment horizontal="center" vertical="center" wrapText="1"/>
    </xf>
    <xf numFmtId="0" fontId="42" fillId="31" borderId="19" xfId="0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30" fillId="36" borderId="19" xfId="0" applyFont="1" applyFill="1" applyBorder="1" applyAlignment="1">
      <alignment horizontal="center" vertical="center" wrapText="1"/>
    </xf>
    <xf numFmtId="0" fontId="0" fillId="2" borderId="0" xfId="0" applyFill="1"/>
    <xf numFmtId="0" fontId="44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46" fillId="0" borderId="0" xfId="0" applyFont="1"/>
    <xf numFmtId="0" fontId="48" fillId="3" borderId="18" xfId="0" applyFont="1" applyFill="1" applyBorder="1" applyAlignment="1">
      <alignment horizontal="center" vertical="center" wrapText="1"/>
    </xf>
    <xf numFmtId="0" fontId="48" fillId="3" borderId="19" xfId="0" applyFont="1" applyFill="1" applyBorder="1" applyAlignment="1">
      <alignment horizontal="center" vertical="center" wrapText="1"/>
    </xf>
    <xf numFmtId="0" fontId="48" fillId="6" borderId="19" xfId="0" applyFont="1" applyFill="1" applyBorder="1" applyAlignment="1">
      <alignment horizontal="center" vertical="center" wrapText="1"/>
    </xf>
    <xf numFmtId="0" fontId="49" fillId="30" borderId="19" xfId="0" applyFont="1" applyFill="1" applyBorder="1" applyAlignment="1">
      <alignment horizontal="center" vertical="center" wrapText="1"/>
    </xf>
    <xf numFmtId="0" fontId="48" fillId="31" borderId="19" xfId="0" applyFont="1" applyFill="1" applyBorder="1" applyAlignment="1">
      <alignment horizontal="center" vertical="center" wrapText="1"/>
    </xf>
    <xf numFmtId="0" fontId="48" fillId="3" borderId="20" xfId="0" applyFont="1" applyFill="1" applyBorder="1" applyAlignment="1">
      <alignment horizontal="center" vertical="center" wrapText="1"/>
    </xf>
    <xf numFmtId="0" fontId="47" fillId="2" borderId="19" xfId="0" applyFont="1" applyFill="1" applyBorder="1" applyAlignment="1">
      <alignment horizontal="center" vertical="center" wrapText="1"/>
    </xf>
    <xf numFmtId="0" fontId="50" fillId="32" borderId="18" xfId="0" applyFont="1" applyFill="1" applyBorder="1" applyAlignment="1">
      <alignment horizontal="center" vertical="center" wrapText="1"/>
    </xf>
    <xf numFmtId="0" fontId="51" fillId="32" borderId="18" xfId="0" applyFont="1" applyFill="1" applyBorder="1" applyAlignment="1">
      <alignment horizontal="center" vertical="center" wrapText="1"/>
    </xf>
    <xf numFmtId="0" fontId="51" fillId="6" borderId="19" xfId="0" applyFont="1" applyFill="1" applyBorder="1" applyAlignment="1">
      <alignment horizontal="center" vertical="center" wrapText="1"/>
    </xf>
    <xf numFmtId="0" fontId="51" fillId="32" borderId="19" xfId="0" applyFont="1" applyFill="1" applyBorder="1" applyAlignment="1">
      <alignment horizontal="center" vertical="center" wrapText="1"/>
    </xf>
    <xf numFmtId="0" fontId="51" fillId="3" borderId="19" xfId="0" applyFont="1" applyFill="1" applyBorder="1" applyAlignment="1">
      <alignment horizontal="center" vertical="center" wrapText="1"/>
    </xf>
    <xf numFmtId="0" fontId="51" fillId="9" borderId="19" xfId="0" applyFont="1" applyFill="1" applyBorder="1" applyAlignment="1">
      <alignment horizontal="center" vertical="center" wrapText="1"/>
    </xf>
    <xf numFmtId="164" fontId="51" fillId="32" borderId="19" xfId="0" applyNumberFormat="1" applyFont="1" applyFill="1" applyBorder="1" applyAlignment="1">
      <alignment horizontal="center" vertical="center"/>
    </xf>
    <xf numFmtId="0" fontId="51" fillId="32" borderId="20" xfId="0" applyFont="1" applyFill="1" applyBorder="1" applyAlignment="1">
      <alignment horizontal="center" vertical="center" wrapText="1"/>
    </xf>
    <xf numFmtId="0" fontId="51" fillId="12" borderId="19" xfId="0" applyFont="1" applyFill="1" applyBorder="1" applyAlignment="1">
      <alignment horizontal="center" vertical="center" wrapText="1"/>
    </xf>
    <xf numFmtId="0" fontId="51" fillId="7" borderId="19" xfId="0" applyFont="1" applyFill="1" applyBorder="1" applyAlignment="1">
      <alignment horizontal="center" vertical="center" wrapText="1"/>
    </xf>
    <xf numFmtId="0" fontId="51" fillId="4" borderId="19" xfId="0" applyFont="1" applyFill="1" applyBorder="1" applyAlignment="1">
      <alignment horizontal="center" vertical="center" wrapText="1"/>
    </xf>
    <xf numFmtId="0" fontId="51" fillId="3" borderId="20" xfId="0" applyFont="1" applyFill="1" applyBorder="1" applyAlignment="1">
      <alignment horizontal="center" vertical="center" wrapText="1"/>
    </xf>
    <xf numFmtId="0" fontId="51" fillId="24" borderId="19" xfId="0" applyFont="1" applyFill="1" applyBorder="1" applyAlignment="1">
      <alignment horizontal="center" vertical="center" wrapText="1"/>
    </xf>
    <xf numFmtId="0" fontId="51" fillId="26" borderId="19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164" fontId="48" fillId="3" borderId="19" xfId="0" applyNumberFormat="1" applyFont="1" applyFill="1" applyBorder="1" applyAlignment="1">
      <alignment horizontal="center" vertical="center" wrapText="1"/>
    </xf>
    <xf numFmtId="0" fontId="54" fillId="2" borderId="0" xfId="0" applyFont="1" applyFill="1"/>
    <xf numFmtId="0" fontId="51" fillId="2" borderId="19" xfId="0" applyFont="1" applyFill="1" applyBorder="1" applyAlignment="1">
      <alignment horizontal="center" vertical="center" wrapText="1"/>
    </xf>
    <xf numFmtId="0" fontId="55" fillId="32" borderId="19" xfId="0" applyFont="1" applyFill="1" applyBorder="1" applyAlignment="1">
      <alignment horizontal="center" vertical="center" wrapText="1"/>
    </xf>
    <xf numFmtId="0" fontId="51" fillId="37" borderId="19" xfId="0" applyFont="1" applyFill="1" applyBorder="1" applyAlignment="1">
      <alignment horizontal="center" vertical="center" wrapText="1"/>
    </xf>
    <xf numFmtId="0" fontId="53" fillId="35" borderId="1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1" fillId="3" borderId="0" xfId="0" applyFont="1" applyFill="1" applyBorder="1" applyAlignment="1">
      <alignment horizontal="center" vertical="center" wrapText="1"/>
    </xf>
    <xf numFmtId="0" fontId="51" fillId="32" borderId="0" xfId="0" applyFont="1" applyFill="1" applyBorder="1" applyAlignment="1">
      <alignment horizontal="center" vertical="center" wrapText="1"/>
    </xf>
    <xf numFmtId="0" fontId="51" fillId="5" borderId="19" xfId="0" applyFont="1" applyFill="1" applyBorder="1" applyAlignment="1">
      <alignment horizontal="center" vertical="center" wrapText="1"/>
    </xf>
    <xf numFmtId="0" fontId="56" fillId="5" borderId="0" xfId="0" applyFont="1" applyFill="1" applyAlignment="1">
      <alignment horizontal="center" wrapText="1"/>
    </xf>
    <xf numFmtId="0" fontId="51" fillId="2" borderId="0" xfId="0" applyFont="1" applyFill="1" applyBorder="1" applyAlignment="1">
      <alignment horizontal="center" vertical="center" wrapText="1"/>
    </xf>
    <xf numFmtId="0" fontId="59" fillId="0" borderId="0" xfId="0" applyFont="1"/>
    <xf numFmtId="0" fontId="61" fillId="32" borderId="18" xfId="0" applyFont="1" applyFill="1" applyBorder="1" applyAlignment="1">
      <alignment horizontal="center" vertical="center" wrapText="1"/>
    </xf>
    <xf numFmtId="0" fontId="61" fillId="3" borderId="19" xfId="0" applyFont="1" applyFill="1" applyBorder="1" applyAlignment="1">
      <alignment horizontal="center" vertical="center" wrapText="1"/>
    </xf>
    <xf numFmtId="0" fontId="61" fillId="32" borderId="19" xfId="0" applyFont="1" applyFill="1" applyBorder="1" applyAlignment="1">
      <alignment horizontal="center" vertical="center" wrapText="1"/>
    </xf>
    <xf numFmtId="0" fontId="61" fillId="32" borderId="20" xfId="0" applyFont="1" applyFill="1" applyBorder="1" applyAlignment="1">
      <alignment horizontal="center" vertical="center" wrapText="1"/>
    </xf>
    <xf numFmtId="0" fontId="61" fillId="7" borderId="19" xfId="0" applyFont="1" applyFill="1" applyBorder="1" applyAlignment="1">
      <alignment horizontal="center" vertical="center" wrapText="1"/>
    </xf>
    <xf numFmtId="164" fontId="61" fillId="32" borderId="19" xfId="0" applyNumberFormat="1" applyFont="1" applyFill="1" applyBorder="1" applyAlignment="1">
      <alignment horizontal="center" vertical="center"/>
    </xf>
    <xf numFmtId="0" fontId="61" fillId="37" borderId="19" xfId="0" applyFont="1" applyFill="1" applyBorder="1" applyAlignment="1">
      <alignment horizontal="center" vertical="center" wrapText="1"/>
    </xf>
    <xf numFmtId="0" fontId="62" fillId="3" borderId="18" xfId="0" applyFont="1" applyFill="1" applyBorder="1" applyAlignment="1">
      <alignment horizontal="center" vertical="center" wrapText="1"/>
    </xf>
    <xf numFmtId="0" fontId="62" fillId="3" borderId="19" xfId="0" applyFont="1" applyFill="1" applyBorder="1" applyAlignment="1">
      <alignment horizontal="center" vertical="center" wrapText="1"/>
    </xf>
    <xf numFmtId="164" fontId="62" fillId="3" borderId="19" xfId="0" applyNumberFormat="1" applyFont="1" applyFill="1" applyBorder="1" applyAlignment="1">
      <alignment horizontal="center" vertical="center" wrapText="1"/>
    </xf>
    <xf numFmtId="0" fontId="62" fillId="6" borderId="19" xfId="0" applyFont="1" applyFill="1" applyBorder="1" applyAlignment="1">
      <alignment horizontal="center" vertical="center" wrapText="1"/>
    </xf>
    <xf numFmtId="0" fontId="63" fillId="30" borderId="19" xfId="0" applyFont="1" applyFill="1" applyBorder="1" applyAlignment="1">
      <alignment horizontal="center" vertical="center" wrapText="1"/>
    </xf>
    <xf numFmtId="0" fontId="62" fillId="31" borderId="19" xfId="0" applyFont="1" applyFill="1" applyBorder="1" applyAlignment="1">
      <alignment horizontal="center" vertical="center" wrapText="1"/>
    </xf>
    <xf numFmtId="0" fontId="62" fillId="3" borderId="20" xfId="0" applyFont="1" applyFill="1" applyBorder="1" applyAlignment="1">
      <alignment horizontal="center" vertical="center" wrapText="1"/>
    </xf>
    <xf numFmtId="0" fontId="60" fillId="2" borderId="19" xfId="0" applyFont="1" applyFill="1" applyBorder="1" applyAlignment="1">
      <alignment horizontal="center" vertical="center" wrapText="1"/>
    </xf>
    <xf numFmtId="0" fontId="57" fillId="2" borderId="19" xfId="0" applyFont="1" applyFill="1" applyBorder="1" applyAlignment="1">
      <alignment horizontal="center" vertical="center" wrapText="1"/>
    </xf>
    <xf numFmtId="0" fontId="57" fillId="32" borderId="19" xfId="0" applyFont="1" applyFill="1" applyBorder="1" applyAlignment="1">
      <alignment horizontal="center" vertical="center" wrapText="1"/>
    </xf>
    <xf numFmtId="0" fontId="57" fillId="3" borderId="19" xfId="0" applyFont="1" applyFill="1" applyBorder="1" applyAlignment="1">
      <alignment horizontal="center" vertical="center" wrapText="1"/>
    </xf>
    <xf numFmtId="0" fontId="57" fillId="32" borderId="20" xfId="0" applyFont="1" applyFill="1" applyBorder="1" applyAlignment="1">
      <alignment horizontal="center" vertical="center" wrapText="1"/>
    </xf>
    <xf numFmtId="0" fontId="61" fillId="3" borderId="20" xfId="0" applyFont="1" applyFill="1" applyBorder="1" applyAlignment="1">
      <alignment horizontal="center" vertical="center" wrapText="1"/>
    </xf>
    <xf numFmtId="0" fontId="61" fillId="39" borderId="19" xfId="0" applyFont="1" applyFill="1" applyBorder="1" applyAlignment="1">
      <alignment horizontal="center" vertical="center" wrapText="1"/>
    </xf>
    <xf numFmtId="0" fontId="61" fillId="40" borderId="19" xfId="0" applyFont="1" applyFill="1" applyBorder="1" applyAlignment="1">
      <alignment horizontal="center" vertical="center" wrapText="1"/>
    </xf>
    <xf numFmtId="0" fontId="61" fillId="41" borderId="19" xfId="0" applyFont="1" applyFill="1" applyBorder="1" applyAlignment="1">
      <alignment horizontal="center" vertical="center" wrapText="1"/>
    </xf>
    <xf numFmtId="0" fontId="57" fillId="41" borderId="19" xfId="0" applyFont="1" applyFill="1" applyBorder="1" applyAlignment="1">
      <alignment horizontal="center" vertical="center" wrapText="1"/>
    </xf>
    <xf numFmtId="0" fontId="61" fillId="42" borderId="19" xfId="0" applyFont="1" applyFill="1" applyBorder="1" applyAlignment="1">
      <alignment horizontal="center" vertical="center" wrapText="1"/>
    </xf>
    <xf numFmtId="0" fontId="61" fillId="43" borderId="19" xfId="0" applyFont="1" applyFill="1" applyBorder="1" applyAlignment="1">
      <alignment horizontal="center" vertical="center" wrapText="1"/>
    </xf>
    <xf numFmtId="0" fontId="61" fillId="44" borderId="19" xfId="0" applyFont="1" applyFill="1" applyBorder="1" applyAlignment="1">
      <alignment horizontal="center" vertical="center" wrapText="1"/>
    </xf>
    <xf numFmtId="0" fontId="61" fillId="45" borderId="19" xfId="0" applyFont="1" applyFill="1" applyBorder="1" applyAlignment="1">
      <alignment horizontal="center" vertical="center" wrapText="1"/>
    </xf>
    <xf numFmtId="0" fontId="61" fillId="30" borderId="19" xfId="0" applyFont="1" applyFill="1" applyBorder="1" applyAlignment="1">
      <alignment horizontal="center" vertical="center" wrapText="1"/>
    </xf>
    <xf numFmtId="0" fontId="61" fillId="46" borderId="19" xfId="0" applyFont="1" applyFill="1" applyBorder="1" applyAlignment="1">
      <alignment horizontal="center" vertical="center" wrapText="1"/>
    </xf>
    <xf numFmtId="0" fontId="61" fillId="46" borderId="19" xfId="0" quotePrefix="1" applyFont="1" applyFill="1" applyBorder="1" applyAlignment="1">
      <alignment horizontal="center" vertical="center" wrapText="1"/>
    </xf>
    <xf numFmtId="0" fontId="60" fillId="33" borderId="1" xfId="0" applyFont="1" applyFill="1" applyBorder="1" applyAlignment="1">
      <alignment horizontal="center" vertical="center" wrapText="1"/>
    </xf>
    <xf numFmtId="0" fontId="64" fillId="3" borderId="19" xfId="0" applyFont="1" applyFill="1" applyBorder="1" applyAlignment="1">
      <alignment horizontal="center" vertical="center" wrapText="1"/>
    </xf>
    <xf numFmtId="0" fontId="65" fillId="27" borderId="1" xfId="0" applyFont="1" applyFill="1" applyBorder="1" applyAlignment="1">
      <alignment horizontal="center" vertical="center" wrapText="1"/>
    </xf>
    <xf numFmtId="0" fontId="67" fillId="31" borderId="19" xfId="0" applyFont="1" applyFill="1" applyBorder="1" applyAlignment="1">
      <alignment horizontal="center" vertical="center" wrapText="1"/>
    </xf>
    <xf numFmtId="0" fontId="67" fillId="31" borderId="20" xfId="0" applyFont="1" applyFill="1" applyBorder="1" applyAlignment="1">
      <alignment horizontal="center" vertical="center" wrapText="1"/>
    </xf>
    <xf numFmtId="0" fontId="61" fillId="48" borderId="19" xfId="0" applyFont="1" applyFill="1" applyBorder="1" applyAlignment="1">
      <alignment horizontal="center" vertical="center" wrapText="1"/>
    </xf>
    <xf numFmtId="0" fontId="68" fillId="47" borderId="19" xfId="0" applyFont="1" applyFill="1" applyBorder="1" applyAlignment="1">
      <alignment horizontal="center" vertical="center" wrapText="1"/>
    </xf>
    <xf numFmtId="0" fontId="61" fillId="29" borderId="1" xfId="0" applyFont="1" applyFill="1" applyBorder="1" applyAlignment="1">
      <alignment horizontal="center" vertical="center" wrapText="1"/>
    </xf>
    <xf numFmtId="0" fontId="61" fillId="2" borderId="18" xfId="0" applyFont="1" applyFill="1" applyBorder="1" applyAlignment="1">
      <alignment horizontal="center" vertical="center" wrapText="1"/>
    </xf>
    <xf numFmtId="0" fontId="61" fillId="2" borderId="19" xfId="0" applyFont="1" applyFill="1" applyBorder="1" applyAlignment="1">
      <alignment horizontal="center" vertical="center" wrapText="1"/>
    </xf>
    <xf numFmtId="0" fontId="61" fillId="2" borderId="20" xfId="0" applyFont="1" applyFill="1" applyBorder="1" applyAlignment="1">
      <alignment horizontal="center" vertical="center" wrapText="1"/>
    </xf>
    <xf numFmtId="0" fontId="61" fillId="50" borderId="19" xfId="0" applyFont="1" applyFill="1" applyBorder="1" applyAlignment="1">
      <alignment horizontal="center" vertical="center" wrapText="1"/>
    </xf>
    <xf numFmtId="0" fontId="61" fillId="50" borderId="20" xfId="0" applyFont="1" applyFill="1" applyBorder="1" applyAlignment="1">
      <alignment horizontal="center" vertical="center" wrapText="1"/>
    </xf>
    <xf numFmtId="0" fontId="13" fillId="0" borderId="26" xfId="0" quotePrefix="1" applyFont="1" applyFill="1" applyBorder="1" applyAlignment="1">
      <alignment horizontal="center" vertical="center"/>
    </xf>
    <xf numFmtId="164" fontId="13" fillId="0" borderId="1" xfId="0" quotePrefix="1" applyNumberFormat="1" applyFont="1" applyFill="1" applyBorder="1" applyAlignment="1">
      <alignment horizontal="center" vertical="center"/>
    </xf>
    <xf numFmtId="0" fontId="13" fillId="0" borderId="1" xfId="0" quotePrefix="1" applyFont="1" applyFill="1" applyBorder="1" applyAlignment="1">
      <alignment horizontal="center" vertical="center"/>
    </xf>
    <xf numFmtId="0" fontId="68" fillId="50" borderId="19" xfId="0" applyFont="1" applyFill="1" applyBorder="1" applyAlignment="1">
      <alignment horizontal="center" vertical="center" wrapText="1"/>
    </xf>
    <xf numFmtId="0" fontId="68" fillId="6" borderId="19" xfId="0" applyFont="1" applyFill="1" applyBorder="1" applyAlignment="1">
      <alignment horizontal="center" vertical="center" wrapText="1"/>
    </xf>
    <xf numFmtId="2" fontId="61" fillId="32" borderId="19" xfId="0" applyNumberFormat="1" applyFont="1" applyFill="1" applyBorder="1" applyAlignment="1">
      <alignment horizontal="center" vertical="center" wrapText="1"/>
    </xf>
    <xf numFmtId="2" fontId="57" fillId="32" borderId="19" xfId="0" applyNumberFormat="1" applyFont="1" applyFill="1" applyBorder="1" applyAlignment="1">
      <alignment horizontal="center" vertical="center" wrapText="1"/>
    </xf>
    <xf numFmtId="0" fontId="71" fillId="24" borderId="19" xfId="0" applyFont="1" applyFill="1" applyBorder="1" applyAlignment="1">
      <alignment horizontal="center" vertical="center" wrapText="1"/>
    </xf>
    <xf numFmtId="0" fontId="72" fillId="3" borderId="19" xfId="0" applyFont="1" applyFill="1" applyBorder="1" applyAlignment="1">
      <alignment horizontal="center" vertical="center" wrapText="1"/>
    </xf>
    <xf numFmtId="0" fontId="73" fillId="32" borderId="18" xfId="0" applyFont="1" applyFill="1" applyBorder="1" applyAlignment="1">
      <alignment horizontal="center" vertical="center" wrapText="1"/>
    </xf>
    <xf numFmtId="0" fontId="73" fillId="3" borderId="19" xfId="0" applyFont="1" applyFill="1" applyBorder="1" applyAlignment="1">
      <alignment horizontal="center" vertical="center" wrapText="1"/>
    </xf>
    <xf numFmtId="0" fontId="73" fillId="32" borderId="19" xfId="0" applyFont="1" applyFill="1" applyBorder="1" applyAlignment="1">
      <alignment horizontal="center" vertical="center" wrapText="1"/>
    </xf>
    <xf numFmtId="2" fontId="73" fillId="32" borderId="19" xfId="0" applyNumberFormat="1" applyFont="1" applyFill="1" applyBorder="1" applyAlignment="1">
      <alignment horizontal="center" vertical="center" wrapText="1"/>
    </xf>
    <xf numFmtId="0" fontId="73" fillId="32" borderId="20" xfId="0" applyFont="1" applyFill="1" applyBorder="1" applyAlignment="1">
      <alignment horizontal="center" vertical="center" wrapText="1"/>
    </xf>
    <xf numFmtId="164" fontId="73" fillId="32" borderId="19" xfId="0" applyNumberFormat="1" applyFont="1" applyFill="1" applyBorder="1" applyAlignment="1">
      <alignment horizontal="center" vertical="center" wrapText="1"/>
    </xf>
    <xf numFmtId="0" fontId="73" fillId="53" borderId="1" xfId="0" applyFont="1" applyFill="1" applyBorder="1" applyAlignment="1">
      <alignment horizontal="center" vertical="center" wrapText="1"/>
    </xf>
    <xf numFmtId="0" fontId="73" fillId="54" borderId="19" xfId="0" applyFont="1" applyFill="1" applyBorder="1" applyAlignment="1">
      <alignment horizontal="center" vertical="center" wrapText="1"/>
    </xf>
    <xf numFmtId="0" fontId="73" fillId="55" borderId="19" xfId="0" applyFont="1" applyFill="1" applyBorder="1" applyAlignment="1">
      <alignment horizontal="center" vertical="center" wrapText="1"/>
    </xf>
    <xf numFmtId="0" fontId="73" fillId="56" borderId="19" xfId="0" applyFont="1" applyFill="1" applyBorder="1" applyAlignment="1">
      <alignment horizontal="center" vertical="center" wrapText="1"/>
    </xf>
    <xf numFmtId="2" fontId="74" fillId="50" borderId="19" xfId="0" applyNumberFormat="1" applyFont="1" applyFill="1" applyBorder="1" applyAlignment="1">
      <alignment horizontal="center" vertical="center" wrapText="1"/>
    </xf>
    <xf numFmtId="0" fontId="76" fillId="0" borderId="0" xfId="0" applyFont="1"/>
    <xf numFmtId="0" fontId="74" fillId="51" borderId="19" xfId="0" applyFont="1" applyFill="1" applyBorder="1" applyAlignment="1">
      <alignment horizontal="center" vertical="center" wrapText="1"/>
    </xf>
    <xf numFmtId="2" fontId="74" fillId="57" borderId="19" xfId="0" applyNumberFormat="1" applyFont="1" applyFill="1" applyBorder="1" applyAlignment="1">
      <alignment horizontal="center" vertical="center" wrapText="1"/>
    </xf>
    <xf numFmtId="0" fontId="74" fillId="11" borderId="19" xfId="0" applyFont="1" applyFill="1" applyBorder="1" applyAlignment="1">
      <alignment horizontal="center" vertical="center" wrapText="1"/>
    </xf>
    <xf numFmtId="0" fontId="73" fillId="58" borderId="19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11" fillId="15" borderId="7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12" fillId="2" borderId="7" xfId="0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9" fontId="20" fillId="0" borderId="9" xfId="0" applyNumberFormat="1" applyFont="1" applyBorder="1" applyAlignment="1">
      <alignment horizontal="center" vertical="center"/>
    </xf>
    <xf numFmtId="9" fontId="20" fillId="0" borderId="10" xfId="0" applyNumberFormat="1" applyFont="1" applyBorder="1" applyAlignment="1">
      <alignment horizontal="center" vertical="center"/>
    </xf>
    <xf numFmtId="9" fontId="20" fillId="0" borderId="1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9" fillId="21" borderId="5" xfId="0" applyFont="1" applyFill="1" applyBorder="1" applyAlignment="1">
      <alignment horizontal="center"/>
    </xf>
    <xf numFmtId="0" fontId="19" fillId="21" borderId="0" xfId="0" applyFont="1" applyFill="1" applyAlignment="1">
      <alignment horizontal="center"/>
    </xf>
    <xf numFmtId="0" fontId="18" fillId="2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7" fillId="22" borderId="5" xfId="0" applyFont="1" applyFill="1" applyBorder="1" applyAlignment="1">
      <alignment horizontal="center"/>
    </xf>
    <xf numFmtId="0" fontId="27" fillId="22" borderId="0" xfId="0" applyFont="1" applyFill="1" applyAlignment="1">
      <alignment horizontal="center"/>
    </xf>
    <xf numFmtId="0" fontId="21" fillId="18" borderId="1" xfId="0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0" fontId="37" fillId="29" borderId="1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left" vertical="center" wrapText="1"/>
    </xf>
    <xf numFmtId="0" fontId="30" fillId="2" borderId="0" xfId="0" applyFont="1" applyFill="1" applyBorder="1" applyAlignment="1">
      <alignment horizontal="left" vertical="center" wrapText="1"/>
    </xf>
    <xf numFmtId="0" fontId="45" fillId="28" borderId="1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52" fillId="38" borderId="1" xfId="0" applyFont="1" applyFill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7" fillId="31" borderId="22" xfId="0" applyFont="1" applyFill="1" applyBorder="1" applyAlignment="1">
      <alignment horizontal="center" vertical="center" wrapText="1"/>
    </xf>
    <xf numFmtId="0" fontId="67" fillId="31" borderId="23" xfId="0" applyFont="1" applyFill="1" applyBorder="1" applyAlignment="1">
      <alignment horizontal="center" vertical="center" wrapText="1"/>
    </xf>
    <xf numFmtId="0" fontId="67" fillId="31" borderId="24" xfId="0" applyFont="1" applyFill="1" applyBorder="1" applyAlignment="1">
      <alignment horizontal="center" vertical="center" wrapText="1"/>
    </xf>
    <xf numFmtId="0" fontId="66" fillId="31" borderId="1" xfId="0" applyFont="1" applyFill="1" applyBorder="1" applyAlignment="1">
      <alignment horizontal="center" vertical="center"/>
    </xf>
    <xf numFmtId="0" fontId="69" fillId="47" borderId="1" xfId="0" applyFont="1" applyFill="1" applyBorder="1" applyAlignment="1">
      <alignment horizontal="center" vertical="center"/>
    </xf>
    <xf numFmtId="0" fontId="68" fillId="43" borderId="25" xfId="0" applyFont="1" applyFill="1" applyBorder="1" applyAlignment="1">
      <alignment horizontal="center" vertical="center" wrapText="1"/>
    </xf>
    <xf numFmtId="0" fontId="68" fillId="43" borderId="23" xfId="0" applyFont="1" applyFill="1" applyBorder="1" applyAlignment="1">
      <alignment horizontal="center" vertical="center" wrapText="1"/>
    </xf>
    <xf numFmtId="0" fontId="68" fillId="43" borderId="24" xfId="0" applyFont="1" applyFill="1" applyBorder="1" applyAlignment="1">
      <alignment horizontal="center" vertical="center" wrapText="1"/>
    </xf>
    <xf numFmtId="0" fontId="70" fillId="49" borderId="1" xfId="0" applyFont="1" applyFill="1" applyBorder="1" applyAlignment="1">
      <alignment horizontal="center" vertical="center"/>
    </xf>
    <xf numFmtId="0" fontId="75" fillId="52" borderId="1" xfId="0" applyFont="1" applyFill="1" applyBorder="1" applyAlignment="1">
      <alignment horizontal="center" vertical="center"/>
    </xf>
    <xf numFmtId="0" fontId="74" fillId="56" borderId="25" xfId="0" applyFont="1" applyFill="1" applyBorder="1" applyAlignment="1">
      <alignment horizontal="center" vertical="center" wrapText="1"/>
    </xf>
    <xf numFmtId="0" fontId="74" fillId="56" borderId="23" xfId="0" applyFont="1" applyFill="1" applyBorder="1" applyAlignment="1">
      <alignment horizontal="center" vertical="center" wrapText="1"/>
    </xf>
    <xf numFmtId="0" fontId="74" fillId="56" borderId="24" xfId="0" applyFont="1" applyFill="1" applyBorder="1" applyAlignment="1">
      <alignment horizontal="center" vertical="center" wrapText="1"/>
    </xf>
    <xf numFmtId="0" fontId="73" fillId="32" borderId="0" xfId="0" applyFont="1" applyFill="1" applyBorder="1" applyAlignment="1">
      <alignment horizontal="center" vertical="center" wrapText="1"/>
    </xf>
    <xf numFmtId="0" fontId="73" fillId="3" borderId="0" xfId="0" applyFont="1" applyFill="1" applyBorder="1" applyAlignment="1">
      <alignment horizontal="center" vertical="center" wrapText="1"/>
    </xf>
    <xf numFmtId="164" fontId="73" fillId="32" borderId="0" xfId="0" applyNumberFormat="1" applyFont="1" applyFill="1" applyBorder="1" applyAlignment="1">
      <alignment horizontal="center" vertical="center" wrapText="1"/>
    </xf>
    <xf numFmtId="2" fontId="73" fillId="3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  <color rgb="FFFF00FF"/>
      <color rgb="FF0099FF"/>
      <color rgb="FF006666"/>
      <color rgb="FFCCCC00"/>
      <color rgb="FF99FF99"/>
      <color rgb="FFFF9900"/>
      <color rgb="FFCC99FF"/>
      <color rgb="FFCCFF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133351</xdr:colOff>
      <xdr:row>0</xdr:row>
      <xdr:rowOff>38099</xdr:rowOff>
    </xdr:from>
    <xdr:ext cx="6257924" cy="561975"/>
    <xdr:sp macro="" textlink="">
      <xdr:nvSpPr>
        <xdr:cNvPr id="4" name="Rectangle 3"/>
        <xdr:cNvSpPr/>
      </xdr:nvSpPr>
      <xdr:spPr>
        <a:xfrm>
          <a:off x="742951" y="38099"/>
          <a:ext cx="6257924" cy="5619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3600" b="1" cap="none" spc="0">
              <a:ln w="13462">
                <a:solidFill>
                  <a:srgbClr val="FFC000"/>
                </a:solidFill>
                <a:prstDash val="solid"/>
              </a:ln>
              <a:solidFill>
                <a:srgbClr val="C00000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Narrow" panose="020B0606020202030204" pitchFamily="34" charset="0"/>
            </a:rPr>
            <a:t>Production Record - May'24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6"/>
  <sheetViews>
    <sheetView workbookViewId="0">
      <selection activeCell="A139" sqref="A139:M165"/>
    </sheetView>
  </sheetViews>
  <sheetFormatPr defaultRowHeight="16.5" x14ac:dyDescent="0.3"/>
  <cols>
    <col min="1" max="1" width="9.140625" style="1"/>
    <col min="2" max="2" width="9.85546875" style="1" customWidth="1"/>
    <col min="3" max="3" width="12.140625" style="1" bestFit="1" customWidth="1"/>
    <col min="4" max="4" width="13.140625" style="1" customWidth="1"/>
    <col min="5" max="5" width="11" style="1" customWidth="1"/>
    <col min="6" max="9" width="8.42578125" style="1" customWidth="1"/>
    <col min="10" max="10" width="6.42578125" style="1" customWidth="1"/>
    <col min="11" max="11" width="12.140625" style="1" customWidth="1"/>
    <col min="12" max="12" width="10.85546875" style="1" bestFit="1" customWidth="1"/>
    <col min="13" max="16" width="9.140625" style="1"/>
    <col min="17" max="19" width="10.85546875" style="1" bestFit="1" customWidth="1"/>
    <col min="20" max="20" width="10" style="1" bestFit="1" customWidth="1"/>
    <col min="21" max="22" width="11.85546875" style="1" bestFit="1" customWidth="1"/>
    <col min="23" max="23" width="11.5703125" style="1" bestFit="1" customWidth="1"/>
    <col min="24" max="16384" width="9.140625" style="1"/>
  </cols>
  <sheetData>
    <row r="1" spans="1:29" ht="37.5" customHeight="1" x14ac:dyDescent="0.3">
      <c r="A1" s="245" t="s">
        <v>13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</row>
    <row r="2" spans="1:29" ht="28.5" customHeight="1" x14ac:dyDescent="0.3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R2" s="260" t="s">
        <v>97</v>
      </c>
      <c r="S2" s="261"/>
      <c r="T2" s="261"/>
      <c r="U2" s="262"/>
    </row>
    <row r="3" spans="1:29" ht="15" customHeight="1" x14ac:dyDescent="0.3">
      <c r="A3" s="7" t="s">
        <v>19</v>
      </c>
      <c r="B3" s="7" t="s">
        <v>14</v>
      </c>
      <c r="C3" s="7" t="s">
        <v>15</v>
      </c>
      <c r="D3" s="7" t="s">
        <v>16</v>
      </c>
      <c r="E3" s="7" t="s">
        <v>17</v>
      </c>
      <c r="F3" s="7">
        <v>25</v>
      </c>
      <c r="G3" s="7">
        <v>0.32500000000000001</v>
      </c>
      <c r="H3" s="7">
        <f t="shared" ref="H3" si="0">F3*G3</f>
        <v>8.125</v>
      </c>
      <c r="I3" s="7">
        <v>62</v>
      </c>
      <c r="J3" s="7">
        <v>4</v>
      </c>
      <c r="K3" s="7">
        <f t="shared" ref="K3" si="1">F3*I3</f>
        <v>1550</v>
      </c>
      <c r="L3" s="7">
        <f>K3*J3</f>
        <v>6200</v>
      </c>
      <c r="M3" s="7" t="s">
        <v>18</v>
      </c>
      <c r="R3" s="263" t="s">
        <v>98</v>
      </c>
      <c r="S3" s="264"/>
      <c r="T3" s="264"/>
      <c r="U3" s="265"/>
    </row>
    <row r="4" spans="1:29" ht="15" customHeight="1" x14ac:dyDescent="0.3">
      <c r="A4" s="7" t="s">
        <v>19</v>
      </c>
      <c r="B4" s="7" t="s">
        <v>14</v>
      </c>
      <c r="C4" s="7">
        <v>6078</v>
      </c>
      <c r="D4" s="7" t="s">
        <v>16</v>
      </c>
      <c r="E4" s="7" t="s">
        <v>17</v>
      </c>
      <c r="F4" s="7">
        <v>60</v>
      </c>
      <c r="G4" s="7">
        <v>0.32500000000000001</v>
      </c>
      <c r="H4" s="7">
        <f t="shared" ref="H4" si="2">F4*G4</f>
        <v>19.5</v>
      </c>
      <c r="I4" s="7">
        <v>62</v>
      </c>
      <c r="J4" s="7">
        <v>4</v>
      </c>
      <c r="K4" s="7">
        <f t="shared" ref="K4" si="3">F4*I4</f>
        <v>3720</v>
      </c>
      <c r="L4" s="7">
        <f>K4*J4</f>
        <v>14880</v>
      </c>
      <c r="M4" s="7" t="s">
        <v>18</v>
      </c>
      <c r="R4" s="270" t="s">
        <v>58</v>
      </c>
      <c r="S4" s="270" t="s">
        <v>59</v>
      </c>
      <c r="T4" s="266" t="s">
        <v>60</v>
      </c>
      <c r="U4" s="267"/>
    </row>
    <row r="5" spans="1:29" ht="15" customHeight="1" x14ac:dyDescent="0.3">
      <c r="A5" s="7" t="s">
        <v>19</v>
      </c>
      <c r="B5" s="7" t="s">
        <v>14</v>
      </c>
      <c r="C5" s="7">
        <v>7479</v>
      </c>
      <c r="D5" s="7" t="s">
        <v>20</v>
      </c>
      <c r="E5" s="7" t="s">
        <v>21</v>
      </c>
      <c r="F5" s="7">
        <v>138</v>
      </c>
      <c r="G5" s="7">
        <v>0.15</v>
      </c>
      <c r="H5" s="7">
        <f>G5*F5</f>
        <v>20.7</v>
      </c>
      <c r="I5" s="7">
        <v>80</v>
      </c>
      <c r="J5" s="7">
        <v>1</v>
      </c>
      <c r="K5" s="7">
        <f>F5*I5</f>
        <v>11040</v>
      </c>
      <c r="L5" s="7">
        <f>K5*J5</f>
        <v>11040</v>
      </c>
      <c r="M5" s="7" t="s">
        <v>22</v>
      </c>
      <c r="R5" s="271"/>
      <c r="S5" s="271"/>
      <c r="T5" s="268"/>
      <c r="U5" s="269"/>
    </row>
    <row r="6" spans="1:29" ht="15" customHeight="1" x14ac:dyDescent="0.3">
      <c r="A6" s="7" t="s">
        <v>19</v>
      </c>
      <c r="B6" s="11" t="s">
        <v>23</v>
      </c>
      <c r="C6" s="7">
        <v>65548</v>
      </c>
      <c r="D6" s="18" t="s">
        <v>24</v>
      </c>
      <c r="E6" s="7" t="s">
        <v>25</v>
      </c>
      <c r="F6" s="7"/>
      <c r="G6" s="7"/>
      <c r="H6" s="7"/>
      <c r="I6" s="7"/>
      <c r="J6" s="7"/>
      <c r="K6" s="7">
        <v>1125</v>
      </c>
      <c r="L6" s="7">
        <f t="shared" ref="L6:L7" si="4">K6</f>
        <v>1125</v>
      </c>
      <c r="M6" s="8" t="s">
        <v>26</v>
      </c>
      <c r="R6" s="246">
        <v>43312</v>
      </c>
      <c r="S6" s="246">
        <v>50168</v>
      </c>
      <c r="T6" s="248">
        <f>S6-R6</f>
        <v>6856</v>
      </c>
      <c r="U6" s="249"/>
    </row>
    <row r="7" spans="1:29" ht="15" customHeight="1" x14ac:dyDescent="0.3">
      <c r="A7" s="7" t="s">
        <v>19</v>
      </c>
      <c r="B7" s="9" t="s">
        <v>27</v>
      </c>
      <c r="C7" s="7" t="s">
        <v>28</v>
      </c>
      <c r="D7" s="7" t="s">
        <v>29</v>
      </c>
      <c r="E7" s="7" t="s">
        <v>30</v>
      </c>
      <c r="F7" s="7"/>
      <c r="G7" s="7"/>
      <c r="H7" s="7"/>
      <c r="I7" s="7"/>
      <c r="J7" s="7"/>
      <c r="K7" s="7">
        <v>2600</v>
      </c>
      <c r="L7" s="7">
        <f t="shared" si="4"/>
        <v>2600</v>
      </c>
      <c r="M7" s="10" t="s">
        <v>31</v>
      </c>
      <c r="R7" s="247"/>
      <c r="S7" s="247"/>
      <c r="T7" s="250"/>
      <c r="U7" s="251"/>
    </row>
    <row r="8" spans="1:29" ht="15" customHeight="1" x14ac:dyDescent="0.3">
      <c r="A8" s="7" t="s">
        <v>32</v>
      </c>
      <c r="B8" s="7" t="s">
        <v>14</v>
      </c>
      <c r="C8" s="7">
        <v>2028</v>
      </c>
      <c r="D8" s="7" t="s">
        <v>16</v>
      </c>
      <c r="E8" s="7" t="s">
        <v>17</v>
      </c>
      <c r="F8" s="7">
        <v>44</v>
      </c>
      <c r="G8" s="7">
        <v>0.67500000000000004</v>
      </c>
      <c r="H8" s="7">
        <f>G8*F8</f>
        <v>29.700000000000003</v>
      </c>
      <c r="I8" s="7">
        <v>42</v>
      </c>
      <c r="J8" s="7">
        <v>4</v>
      </c>
      <c r="K8" s="7">
        <f t="shared" ref="K8" si="5">F8*I8</f>
        <v>1848</v>
      </c>
      <c r="L8" s="7">
        <f>K8*J8</f>
        <v>7392</v>
      </c>
      <c r="M8" s="7" t="s">
        <v>18</v>
      </c>
      <c r="N8" s="2">
        <v>7199871</v>
      </c>
      <c r="R8" s="27" t="s">
        <v>61</v>
      </c>
      <c r="S8" s="27"/>
      <c r="T8" s="19">
        <v>8.0325989999999994</v>
      </c>
      <c r="U8" s="20">
        <f>T6*T8</f>
        <v>55071.498743999997</v>
      </c>
    </row>
    <row r="9" spans="1:29" ht="15" customHeight="1" x14ac:dyDescent="0.3">
      <c r="A9" s="7" t="s">
        <v>32</v>
      </c>
      <c r="B9" s="7" t="s">
        <v>14</v>
      </c>
      <c r="C9" s="7">
        <v>10065</v>
      </c>
      <c r="D9" s="7" t="s">
        <v>16</v>
      </c>
      <c r="E9" s="7" t="s">
        <v>17</v>
      </c>
      <c r="F9" s="7">
        <v>118</v>
      </c>
      <c r="G9" s="7">
        <v>0.67500000000000004</v>
      </c>
      <c r="H9" s="7">
        <f>G9*F9</f>
        <v>79.650000000000006</v>
      </c>
      <c r="I9" s="7">
        <v>42</v>
      </c>
      <c r="J9" s="7">
        <v>4</v>
      </c>
      <c r="K9" s="7">
        <f t="shared" ref="K9" si="6">F9*I9</f>
        <v>4956</v>
      </c>
      <c r="L9" s="7">
        <f>K9*J9</f>
        <v>19824</v>
      </c>
      <c r="M9" s="7" t="s">
        <v>18</v>
      </c>
      <c r="N9" s="2">
        <v>7204715</v>
      </c>
      <c r="O9" s="2">
        <f>N9-N8</f>
        <v>4844</v>
      </c>
      <c r="P9" s="2">
        <f>O9/41</f>
        <v>118.14634146341463</v>
      </c>
      <c r="R9" s="27" t="s">
        <v>62</v>
      </c>
      <c r="S9" s="27"/>
      <c r="T9" s="19"/>
      <c r="U9" s="20">
        <v>4620</v>
      </c>
    </row>
    <row r="10" spans="1:29" ht="15" customHeight="1" x14ac:dyDescent="0.3">
      <c r="A10" s="7" t="s">
        <v>32</v>
      </c>
      <c r="B10" s="9" t="s">
        <v>27</v>
      </c>
      <c r="C10" s="7" t="s">
        <v>28</v>
      </c>
      <c r="D10" s="7" t="s">
        <v>29</v>
      </c>
      <c r="E10" s="7" t="s">
        <v>30</v>
      </c>
      <c r="F10" s="7"/>
      <c r="G10" s="7"/>
      <c r="H10" s="7"/>
      <c r="I10" s="7"/>
      <c r="J10" s="7"/>
      <c r="K10" s="7">
        <v>3000</v>
      </c>
      <c r="L10" s="7">
        <f t="shared" ref="L10:L11" si="7">K10</f>
        <v>3000</v>
      </c>
      <c r="M10" s="10" t="s">
        <v>31</v>
      </c>
      <c r="R10" s="27" t="s">
        <v>63</v>
      </c>
      <c r="S10" s="27"/>
      <c r="T10" s="19"/>
      <c r="U10" s="20">
        <v>2146.8000000000002</v>
      </c>
    </row>
    <row r="11" spans="1:29" ht="15" customHeight="1" x14ac:dyDescent="0.3">
      <c r="A11" s="7" t="s">
        <v>32</v>
      </c>
      <c r="B11" s="11" t="s">
        <v>23</v>
      </c>
      <c r="C11" s="7" t="s">
        <v>33</v>
      </c>
      <c r="D11" s="7" t="s">
        <v>34</v>
      </c>
      <c r="E11" s="12" t="s">
        <v>35</v>
      </c>
      <c r="F11" s="7"/>
      <c r="G11" s="31" t="s">
        <v>77</v>
      </c>
      <c r="H11" s="7"/>
      <c r="I11" s="7"/>
      <c r="J11" s="7"/>
      <c r="K11" s="7">
        <v>5000</v>
      </c>
      <c r="L11" s="7">
        <f t="shared" si="7"/>
        <v>5000</v>
      </c>
      <c r="M11" s="8" t="s">
        <v>26</v>
      </c>
      <c r="R11" s="27"/>
      <c r="S11" s="27"/>
      <c r="T11" s="19"/>
      <c r="U11" s="21">
        <f>SUM(U8:U10)</f>
        <v>61838.298744</v>
      </c>
    </row>
    <row r="12" spans="1:29" ht="15" customHeight="1" x14ac:dyDescent="0.3">
      <c r="A12" s="7" t="s">
        <v>32</v>
      </c>
      <c r="B12" s="7" t="s">
        <v>14</v>
      </c>
      <c r="C12" s="7">
        <v>6871</v>
      </c>
      <c r="D12" s="7" t="s">
        <v>16</v>
      </c>
      <c r="E12" s="7" t="s">
        <v>17</v>
      </c>
      <c r="F12" s="7">
        <v>39</v>
      </c>
      <c r="G12" s="7">
        <v>0.64</v>
      </c>
      <c r="H12" s="7">
        <f>G12*F12</f>
        <v>24.96</v>
      </c>
      <c r="I12" s="7">
        <v>70</v>
      </c>
      <c r="J12" s="7">
        <v>2</v>
      </c>
      <c r="K12" s="7">
        <f t="shared" ref="K12" si="8">F12*I12</f>
        <v>2730</v>
      </c>
      <c r="L12" s="7">
        <f t="shared" ref="L12" si="9">K12*J12</f>
        <v>5460</v>
      </c>
      <c r="M12" s="7" t="s">
        <v>22</v>
      </c>
      <c r="R12" s="27" t="s">
        <v>64</v>
      </c>
      <c r="S12" s="27"/>
      <c r="T12" s="22" t="s">
        <v>65</v>
      </c>
      <c r="U12" s="23">
        <v>0</v>
      </c>
    </row>
    <row r="13" spans="1:29" ht="15" customHeight="1" x14ac:dyDescent="0.3">
      <c r="A13" s="7" t="s">
        <v>32</v>
      </c>
      <c r="B13" s="7" t="s">
        <v>14</v>
      </c>
      <c r="C13" s="7">
        <v>7479</v>
      </c>
      <c r="D13" s="7" t="s">
        <v>20</v>
      </c>
      <c r="E13" s="7" t="s">
        <v>25</v>
      </c>
      <c r="F13" s="7"/>
      <c r="G13" s="7"/>
      <c r="H13" s="7"/>
      <c r="I13" s="7"/>
      <c r="J13" s="7">
        <v>1</v>
      </c>
      <c r="K13" s="7">
        <v>1425</v>
      </c>
      <c r="L13" s="7">
        <f t="shared" ref="L13:L14" si="10">K13</f>
        <v>1425</v>
      </c>
      <c r="M13" s="7" t="s">
        <v>37</v>
      </c>
      <c r="R13" s="280"/>
      <c r="S13" s="280"/>
      <c r="T13" s="24"/>
      <c r="U13" s="25">
        <f>U11-U12</f>
        <v>61838.298744</v>
      </c>
    </row>
    <row r="14" spans="1:29" ht="15" customHeight="1" x14ac:dyDescent="0.3">
      <c r="A14" s="7" t="s">
        <v>38</v>
      </c>
      <c r="B14" s="11" t="s">
        <v>23</v>
      </c>
      <c r="C14" s="7" t="s">
        <v>33</v>
      </c>
      <c r="D14" s="7" t="s">
        <v>34</v>
      </c>
      <c r="E14" s="12" t="s">
        <v>35</v>
      </c>
      <c r="F14" s="7"/>
      <c r="G14" s="31" t="s">
        <v>77</v>
      </c>
      <c r="H14" s="7"/>
      <c r="I14" s="7"/>
      <c r="J14" s="7"/>
      <c r="K14" s="7">
        <v>5500</v>
      </c>
      <c r="L14" s="7">
        <f t="shared" si="10"/>
        <v>5500</v>
      </c>
      <c r="M14" s="8" t="s">
        <v>26</v>
      </c>
    </row>
    <row r="15" spans="1:29" ht="15" customHeight="1" x14ac:dyDescent="0.3">
      <c r="A15" s="7" t="s">
        <v>38</v>
      </c>
      <c r="B15" s="7" t="s">
        <v>14</v>
      </c>
      <c r="C15" s="7">
        <v>10065</v>
      </c>
      <c r="D15" s="7" t="s">
        <v>16</v>
      </c>
      <c r="E15" s="7" t="s">
        <v>17</v>
      </c>
      <c r="F15" s="7">
        <v>60</v>
      </c>
      <c r="G15" s="7">
        <v>0.67500000000000004</v>
      </c>
      <c r="H15" s="7">
        <f>G15*F15</f>
        <v>40.5</v>
      </c>
      <c r="I15" s="7">
        <v>42</v>
      </c>
      <c r="J15" s="7">
        <v>4</v>
      </c>
      <c r="K15" s="7">
        <f t="shared" ref="K15:K16" si="11">F15*I15</f>
        <v>2520</v>
      </c>
      <c r="L15" s="7">
        <f>K15*J15</f>
        <v>10080</v>
      </c>
      <c r="M15" s="7" t="s">
        <v>18</v>
      </c>
      <c r="N15" s="2">
        <v>7207206</v>
      </c>
      <c r="O15" s="2">
        <f>N15-N9</f>
        <v>2491</v>
      </c>
      <c r="P15" s="2">
        <f>O15/41</f>
        <v>60.756097560975611</v>
      </c>
      <c r="R15" s="252" t="s">
        <v>66</v>
      </c>
      <c r="S15" s="253"/>
      <c r="T15" s="256"/>
      <c r="U15" s="257"/>
    </row>
    <row r="16" spans="1:29" ht="15" customHeight="1" x14ac:dyDescent="0.3">
      <c r="A16" s="7" t="s">
        <v>38</v>
      </c>
      <c r="B16" s="7" t="s">
        <v>14</v>
      </c>
      <c r="C16" s="7">
        <v>6871</v>
      </c>
      <c r="D16" s="7" t="s">
        <v>16</v>
      </c>
      <c r="E16" s="7" t="s">
        <v>17</v>
      </c>
      <c r="F16" s="7">
        <v>84</v>
      </c>
      <c r="G16" s="7">
        <v>0.64</v>
      </c>
      <c r="H16" s="7">
        <f>G16*F16</f>
        <v>53.76</v>
      </c>
      <c r="I16" s="7">
        <v>70</v>
      </c>
      <c r="J16" s="7">
        <v>2</v>
      </c>
      <c r="K16" s="7">
        <f t="shared" si="11"/>
        <v>5880</v>
      </c>
      <c r="L16" s="7">
        <f t="shared" ref="L16" si="12">K16*J16</f>
        <v>11760</v>
      </c>
      <c r="M16" s="7" t="s">
        <v>22</v>
      </c>
      <c r="R16" s="254"/>
      <c r="S16" s="255"/>
      <c r="T16" s="258"/>
      <c r="U16" s="259"/>
      <c r="Z16"/>
      <c r="AA16"/>
      <c r="AB16"/>
      <c r="AC16"/>
    </row>
    <row r="17" spans="1:29" ht="15" customHeight="1" x14ac:dyDescent="0.3">
      <c r="A17" s="7" t="s">
        <v>38</v>
      </c>
      <c r="B17" s="7" t="s">
        <v>14</v>
      </c>
      <c r="C17" s="7">
        <v>7479</v>
      </c>
      <c r="D17" s="7" t="s">
        <v>20</v>
      </c>
      <c r="E17" s="7" t="s">
        <v>25</v>
      </c>
      <c r="F17" s="7"/>
      <c r="G17" s="7"/>
      <c r="H17" s="7"/>
      <c r="I17" s="7"/>
      <c r="J17" s="7">
        <v>1</v>
      </c>
      <c r="K17" s="7">
        <v>1425</v>
      </c>
      <c r="L17" s="7">
        <f t="shared" ref="L17:L18" si="13">K17</f>
        <v>1425</v>
      </c>
      <c r="M17" s="7" t="s">
        <v>37</v>
      </c>
      <c r="R17" s="276" t="s">
        <v>99</v>
      </c>
      <c r="S17" s="277"/>
      <c r="T17" s="276"/>
      <c r="U17" s="277"/>
    </row>
    <row r="18" spans="1:29" ht="15" customHeight="1" x14ac:dyDescent="0.3">
      <c r="A18" s="7" t="s">
        <v>38</v>
      </c>
      <c r="B18" s="11" t="s">
        <v>23</v>
      </c>
      <c r="C18" s="7" t="s">
        <v>33</v>
      </c>
      <c r="D18" s="7" t="s">
        <v>34</v>
      </c>
      <c r="E18" s="13" t="s">
        <v>39</v>
      </c>
      <c r="F18" s="7"/>
      <c r="G18" s="7" t="s">
        <v>36</v>
      </c>
      <c r="H18" s="7"/>
      <c r="I18" s="7"/>
      <c r="J18" s="7"/>
      <c r="K18" s="7">
        <v>5294</v>
      </c>
      <c r="L18" s="7">
        <f t="shared" si="13"/>
        <v>5294</v>
      </c>
      <c r="M18" s="7" t="s">
        <v>18</v>
      </c>
      <c r="N18" s="2">
        <v>7212500</v>
      </c>
      <c r="O18" s="2">
        <f>N18-N15</f>
        <v>5294</v>
      </c>
      <c r="R18" s="278"/>
      <c r="S18" s="279"/>
      <c r="T18" s="278"/>
      <c r="U18" s="279"/>
    </row>
    <row r="19" spans="1:29" ht="15" customHeight="1" x14ac:dyDescent="0.3">
      <c r="A19" s="7" t="s">
        <v>38</v>
      </c>
      <c r="B19" s="11" t="s">
        <v>23</v>
      </c>
      <c r="C19" s="7" t="s">
        <v>33</v>
      </c>
      <c r="D19" s="7" t="s">
        <v>34</v>
      </c>
      <c r="E19" s="14" t="s">
        <v>30</v>
      </c>
      <c r="F19" s="7"/>
      <c r="G19" s="32" t="s">
        <v>78</v>
      </c>
      <c r="H19" s="7"/>
      <c r="I19" s="7"/>
      <c r="J19" s="7"/>
      <c r="K19" s="7">
        <v>2500</v>
      </c>
      <c r="L19" s="7">
        <f t="shared" ref="L19:L21" si="14">K19</f>
        <v>2500</v>
      </c>
      <c r="M19" s="7" t="s">
        <v>31</v>
      </c>
    </row>
    <row r="20" spans="1:29" ht="15" customHeight="1" x14ac:dyDescent="0.3">
      <c r="A20" s="7" t="s">
        <v>40</v>
      </c>
      <c r="B20" s="11" t="s">
        <v>23</v>
      </c>
      <c r="C20" s="7" t="s">
        <v>33</v>
      </c>
      <c r="D20" s="7" t="s">
        <v>34</v>
      </c>
      <c r="E20" s="12" t="s">
        <v>35</v>
      </c>
      <c r="F20" s="7"/>
      <c r="G20" s="31" t="s">
        <v>77</v>
      </c>
      <c r="H20" s="7"/>
      <c r="I20" s="7"/>
      <c r="J20" s="7"/>
      <c r="K20" s="7">
        <v>4500</v>
      </c>
      <c r="L20" s="7">
        <f t="shared" si="14"/>
        <v>4500</v>
      </c>
      <c r="M20" s="8" t="s">
        <v>26</v>
      </c>
    </row>
    <row r="21" spans="1:29" ht="15" customHeight="1" x14ac:dyDescent="0.3">
      <c r="A21" s="7" t="s">
        <v>40</v>
      </c>
      <c r="B21" s="11" t="s">
        <v>23</v>
      </c>
      <c r="C21" s="7" t="s">
        <v>33</v>
      </c>
      <c r="D21" s="7" t="s">
        <v>34</v>
      </c>
      <c r="E21" s="13" t="s">
        <v>39</v>
      </c>
      <c r="F21" s="7"/>
      <c r="G21" s="7" t="s">
        <v>36</v>
      </c>
      <c r="H21" s="7"/>
      <c r="I21" s="7"/>
      <c r="J21" s="7"/>
      <c r="K21" s="7">
        <v>9331</v>
      </c>
      <c r="L21" s="7">
        <f t="shared" si="14"/>
        <v>9331</v>
      </c>
      <c r="M21" s="7" t="s">
        <v>18</v>
      </c>
      <c r="N21" s="2">
        <v>7221831</v>
      </c>
      <c r="O21" s="2">
        <f>N21-N18</f>
        <v>9331</v>
      </c>
    </row>
    <row r="22" spans="1:29" ht="15" customHeight="1" x14ac:dyDescent="0.3">
      <c r="A22" s="7" t="s">
        <v>40</v>
      </c>
      <c r="B22" s="11" t="s">
        <v>23</v>
      </c>
      <c r="C22" s="7" t="s">
        <v>33</v>
      </c>
      <c r="D22" s="7" t="s">
        <v>34</v>
      </c>
      <c r="E22" s="14" t="s">
        <v>30</v>
      </c>
      <c r="F22" s="7"/>
      <c r="G22" s="32" t="s">
        <v>78</v>
      </c>
      <c r="H22" s="7"/>
      <c r="I22" s="7"/>
      <c r="J22" s="7"/>
      <c r="K22" s="7">
        <v>7850</v>
      </c>
      <c r="L22" s="7">
        <f t="shared" ref="L22:L23" si="15">K22</f>
        <v>7850</v>
      </c>
      <c r="M22" s="7" t="s">
        <v>31</v>
      </c>
      <c r="N22" s="2">
        <v>10350</v>
      </c>
      <c r="Q22" s="2">
        <v>26.02</v>
      </c>
      <c r="R22" s="2">
        <v>43356</v>
      </c>
      <c r="S22" s="2">
        <v>47115</v>
      </c>
      <c r="T22" s="2">
        <v>0.93899999999999995</v>
      </c>
      <c r="U22" s="3">
        <v>15.61</v>
      </c>
      <c r="V22" s="4">
        <v>17.149999999999999</v>
      </c>
      <c r="W22" s="2">
        <v>44</v>
      </c>
    </row>
    <row r="23" spans="1:29" ht="15" customHeight="1" x14ac:dyDescent="0.3">
      <c r="A23" s="7" t="s">
        <v>40</v>
      </c>
      <c r="B23" s="7" t="s">
        <v>14</v>
      </c>
      <c r="C23" s="7">
        <v>7479</v>
      </c>
      <c r="D23" s="7" t="s">
        <v>20</v>
      </c>
      <c r="E23" s="7" t="s">
        <v>25</v>
      </c>
      <c r="F23" s="7"/>
      <c r="G23" s="7"/>
      <c r="H23" s="7"/>
      <c r="I23" s="7"/>
      <c r="J23" s="7">
        <v>1</v>
      </c>
      <c r="K23" s="7">
        <v>6800</v>
      </c>
      <c r="L23" s="7">
        <f t="shared" si="15"/>
        <v>6800</v>
      </c>
      <c r="M23" s="7" t="s">
        <v>37</v>
      </c>
      <c r="Q23" s="2">
        <v>27.02</v>
      </c>
      <c r="R23" s="2">
        <v>43498</v>
      </c>
      <c r="S23" s="2">
        <v>47267</v>
      </c>
      <c r="T23" s="2">
        <v>0.93899999999999995</v>
      </c>
      <c r="U23" s="3">
        <v>15.61</v>
      </c>
      <c r="V23" s="4">
        <v>17.149999999999999</v>
      </c>
      <c r="W23" s="2">
        <f t="shared" ref="W23:W51" si="16">R23-R22</f>
        <v>142</v>
      </c>
      <c r="Z23"/>
      <c r="AA23"/>
      <c r="AB23"/>
      <c r="AC23" s="26"/>
    </row>
    <row r="24" spans="1:29" ht="15" customHeight="1" x14ac:dyDescent="0.3">
      <c r="A24" s="7" t="s">
        <v>40</v>
      </c>
      <c r="B24" s="15" t="s">
        <v>41</v>
      </c>
      <c r="C24" s="7" t="s">
        <v>42</v>
      </c>
      <c r="D24" s="7" t="s">
        <v>93</v>
      </c>
      <c r="E24" s="7" t="s">
        <v>21</v>
      </c>
      <c r="F24" s="7">
        <v>69</v>
      </c>
      <c r="G24" s="7">
        <v>0</v>
      </c>
      <c r="H24" s="7">
        <f>G24*F24</f>
        <v>0</v>
      </c>
      <c r="I24" s="7">
        <v>42</v>
      </c>
      <c r="J24" s="7">
        <v>4</v>
      </c>
      <c r="K24" s="7">
        <f>F24*I24</f>
        <v>2898</v>
      </c>
      <c r="L24" s="7">
        <f>K24*J24</f>
        <v>11592</v>
      </c>
      <c r="M24" s="7" t="s">
        <v>37</v>
      </c>
      <c r="Q24" s="2">
        <v>28.02</v>
      </c>
      <c r="R24" s="2">
        <v>43627</v>
      </c>
      <c r="S24" s="2">
        <v>47409</v>
      </c>
      <c r="T24" s="2">
        <v>0.93700000000000006</v>
      </c>
      <c r="U24" s="2">
        <v>16.224</v>
      </c>
      <c r="V24" s="4">
        <v>17.149999999999999</v>
      </c>
      <c r="W24" s="2">
        <f t="shared" si="16"/>
        <v>129</v>
      </c>
    </row>
    <row r="25" spans="1:29" ht="15" customHeight="1" x14ac:dyDescent="0.3">
      <c r="A25" s="7" t="s">
        <v>43</v>
      </c>
      <c r="B25" s="11" t="s">
        <v>23</v>
      </c>
      <c r="C25" s="7" t="s">
        <v>33</v>
      </c>
      <c r="D25" s="7" t="s">
        <v>34</v>
      </c>
      <c r="E25" s="12" t="s">
        <v>35</v>
      </c>
      <c r="F25" s="7"/>
      <c r="G25" s="31" t="s">
        <v>77</v>
      </c>
      <c r="H25" s="7"/>
      <c r="I25" s="7"/>
      <c r="J25" s="7"/>
      <c r="K25" s="7">
        <v>5040</v>
      </c>
      <c r="L25" s="7">
        <f t="shared" ref="L25:L29" si="17">K25</f>
        <v>5040</v>
      </c>
      <c r="M25" s="8" t="s">
        <v>26</v>
      </c>
      <c r="Q25" s="2">
        <v>29.02</v>
      </c>
      <c r="R25" s="2">
        <v>43772</v>
      </c>
      <c r="S25" s="2">
        <v>47567</v>
      </c>
      <c r="T25" s="2">
        <v>0.93700000000000006</v>
      </c>
      <c r="U25" s="2">
        <v>16.224</v>
      </c>
      <c r="V25" s="4">
        <v>17.149999999999999</v>
      </c>
      <c r="W25" s="2">
        <f t="shared" si="16"/>
        <v>145</v>
      </c>
    </row>
    <row r="26" spans="1:29" ht="15" customHeight="1" x14ac:dyDescent="0.3">
      <c r="A26" s="7" t="s">
        <v>43</v>
      </c>
      <c r="B26" s="11" t="s">
        <v>23</v>
      </c>
      <c r="C26" s="7" t="s">
        <v>33</v>
      </c>
      <c r="D26" s="7" t="s">
        <v>34</v>
      </c>
      <c r="E26" s="13" t="s">
        <v>39</v>
      </c>
      <c r="F26" s="7"/>
      <c r="G26" s="7" t="s">
        <v>36</v>
      </c>
      <c r="H26" s="7"/>
      <c r="I26" s="7"/>
      <c r="J26" s="7"/>
      <c r="K26" s="7">
        <v>4769</v>
      </c>
      <c r="L26" s="7">
        <f t="shared" si="17"/>
        <v>4769</v>
      </c>
      <c r="M26" s="7" t="s">
        <v>18</v>
      </c>
      <c r="N26" s="2">
        <v>7226600</v>
      </c>
      <c r="O26" s="2">
        <f>N26-N21</f>
        <v>4769</v>
      </c>
      <c r="Q26" s="2">
        <v>1.03</v>
      </c>
      <c r="R26" s="2">
        <v>43898</v>
      </c>
      <c r="S26" s="2">
        <v>47706</v>
      </c>
      <c r="T26" s="2">
        <v>0.93400000000000005</v>
      </c>
      <c r="U26" s="2">
        <v>16.274999999999999</v>
      </c>
      <c r="V26" s="4">
        <v>17.149999999999999</v>
      </c>
      <c r="W26" s="2">
        <f t="shared" si="16"/>
        <v>126</v>
      </c>
    </row>
    <row r="27" spans="1:29" ht="15" customHeight="1" x14ac:dyDescent="0.3">
      <c r="A27" s="7" t="s">
        <v>43</v>
      </c>
      <c r="B27" s="11" t="s">
        <v>23</v>
      </c>
      <c r="C27" s="7" t="s">
        <v>33</v>
      </c>
      <c r="D27" s="7" t="s">
        <v>34</v>
      </c>
      <c r="E27" s="14" t="s">
        <v>30</v>
      </c>
      <c r="F27" s="7"/>
      <c r="G27" s="32" t="s">
        <v>78</v>
      </c>
      <c r="H27" s="7"/>
      <c r="I27" s="7"/>
      <c r="J27" s="7"/>
      <c r="K27" s="7">
        <v>6950</v>
      </c>
      <c r="L27" s="7">
        <f t="shared" si="17"/>
        <v>6950</v>
      </c>
      <c r="M27" s="7" t="s">
        <v>31</v>
      </c>
      <c r="N27" s="2">
        <v>17300</v>
      </c>
      <c r="O27" s="2">
        <f>N27-10350</f>
        <v>6950</v>
      </c>
      <c r="Q27" s="2">
        <v>2.0299999999999998</v>
      </c>
      <c r="R27" s="2">
        <v>44016</v>
      </c>
      <c r="S27" s="2">
        <v>47832</v>
      </c>
      <c r="T27" s="2">
        <v>0.93400000000000005</v>
      </c>
      <c r="U27" s="2">
        <v>16.274999999999999</v>
      </c>
      <c r="V27" s="4">
        <v>17.149999999999999</v>
      </c>
      <c r="W27" s="2">
        <f t="shared" si="16"/>
        <v>118</v>
      </c>
    </row>
    <row r="28" spans="1:29" ht="15" customHeight="1" x14ac:dyDescent="0.3">
      <c r="A28" s="7" t="s">
        <v>43</v>
      </c>
      <c r="B28" s="7" t="s">
        <v>14</v>
      </c>
      <c r="C28" s="7">
        <v>7479</v>
      </c>
      <c r="D28" s="7" t="s">
        <v>20</v>
      </c>
      <c r="E28" s="7" t="s">
        <v>25</v>
      </c>
      <c r="F28" s="7"/>
      <c r="G28" s="7"/>
      <c r="H28" s="7"/>
      <c r="I28" s="7"/>
      <c r="J28" s="7">
        <v>1</v>
      </c>
      <c r="K28" s="7">
        <v>1500</v>
      </c>
      <c r="L28" s="7">
        <f t="shared" si="17"/>
        <v>1500</v>
      </c>
      <c r="M28" s="7" t="s">
        <v>37</v>
      </c>
      <c r="N28" s="2"/>
      <c r="O28" s="2"/>
      <c r="Q28" s="2">
        <v>5.03</v>
      </c>
      <c r="R28" s="2">
        <v>44228</v>
      </c>
      <c r="S28" s="2">
        <v>48048</v>
      </c>
      <c r="T28" s="3">
        <v>0.93</v>
      </c>
      <c r="U28" s="2">
        <v>16.274999999999999</v>
      </c>
      <c r="V28" s="4">
        <v>17.149999999999999</v>
      </c>
      <c r="W28" s="2">
        <f t="shared" si="16"/>
        <v>212</v>
      </c>
    </row>
    <row r="29" spans="1:29" ht="15" customHeight="1" x14ac:dyDescent="0.3">
      <c r="A29" s="7" t="s">
        <v>43</v>
      </c>
      <c r="B29" s="16" t="s">
        <v>44</v>
      </c>
      <c r="C29" s="7" t="s">
        <v>45</v>
      </c>
      <c r="D29" s="7" t="s">
        <v>46</v>
      </c>
      <c r="E29" s="7" t="s">
        <v>47</v>
      </c>
      <c r="F29" s="7"/>
      <c r="G29" s="7"/>
      <c r="H29" s="7"/>
      <c r="I29" s="7"/>
      <c r="J29" s="7"/>
      <c r="K29" s="7">
        <v>3000</v>
      </c>
      <c r="L29" s="7">
        <f t="shared" si="17"/>
        <v>3000</v>
      </c>
      <c r="M29" s="7" t="s">
        <v>48</v>
      </c>
      <c r="N29" s="2"/>
      <c r="O29" s="2"/>
      <c r="Q29" s="2">
        <v>6.03</v>
      </c>
      <c r="R29" s="2">
        <v>44360</v>
      </c>
      <c r="S29" s="2">
        <v>48215</v>
      </c>
      <c r="T29" s="3">
        <v>0.93</v>
      </c>
      <c r="U29" s="2">
        <v>16.274999999999999</v>
      </c>
      <c r="V29" s="4">
        <v>17.149999999999999</v>
      </c>
      <c r="W29" s="2">
        <f t="shared" si="16"/>
        <v>132</v>
      </c>
    </row>
    <row r="30" spans="1:29" ht="15" customHeight="1" x14ac:dyDescent="0.3">
      <c r="A30" s="7" t="s">
        <v>43</v>
      </c>
      <c r="B30" s="7" t="s">
        <v>14</v>
      </c>
      <c r="C30" s="7" t="s">
        <v>49</v>
      </c>
      <c r="D30" s="7" t="s">
        <v>50</v>
      </c>
      <c r="E30" s="7" t="s">
        <v>17</v>
      </c>
      <c r="F30" s="7">
        <v>19</v>
      </c>
      <c r="G30" s="7">
        <v>0.26</v>
      </c>
      <c r="H30" s="7">
        <f>F30*G30</f>
        <v>4.9400000000000004</v>
      </c>
      <c r="I30" s="7">
        <v>28</v>
      </c>
      <c r="J30" s="7">
        <v>1</v>
      </c>
      <c r="K30" s="7">
        <f t="shared" ref="K30" si="18">F30*I30</f>
        <v>532</v>
      </c>
      <c r="L30" s="7">
        <f t="shared" ref="L30:L31" si="19">K30*J30</f>
        <v>532</v>
      </c>
      <c r="M30" s="7" t="s">
        <v>22</v>
      </c>
      <c r="N30" s="2"/>
      <c r="O30" s="2"/>
      <c r="Q30" s="2">
        <v>7.03</v>
      </c>
      <c r="R30" s="2">
        <v>44487</v>
      </c>
      <c r="S30" s="2">
        <v>48357</v>
      </c>
      <c r="T30" s="3">
        <v>0.93</v>
      </c>
      <c r="U30" s="2">
        <v>16.274999999999999</v>
      </c>
      <c r="V30" s="4">
        <v>17.149999999999999</v>
      </c>
      <c r="W30" s="2">
        <f t="shared" si="16"/>
        <v>127</v>
      </c>
    </row>
    <row r="31" spans="1:29" ht="15" customHeight="1" x14ac:dyDescent="0.3">
      <c r="A31" s="7" t="s">
        <v>43</v>
      </c>
      <c r="B31" s="7" t="s">
        <v>14</v>
      </c>
      <c r="C31" s="7" t="s">
        <v>51</v>
      </c>
      <c r="D31" s="17" t="s">
        <v>52</v>
      </c>
      <c r="E31" s="7" t="s">
        <v>17</v>
      </c>
      <c r="F31" s="7">
        <f>150-F32</f>
        <v>88</v>
      </c>
      <c r="G31" s="7">
        <v>0.20499999999999999</v>
      </c>
      <c r="H31" s="7">
        <f t="shared" ref="H31" si="20">F31*G31</f>
        <v>18.04</v>
      </c>
      <c r="I31" s="7">
        <v>26</v>
      </c>
      <c r="J31" s="7">
        <v>4</v>
      </c>
      <c r="K31" s="7">
        <f>F31*I31</f>
        <v>2288</v>
      </c>
      <c r="L31" s="7">
        <f t="shared" si="19"/>
        <v>9152</v>
      </c>
      <c r="M31" s="7" t="s">
        <v>18</v>
      </c>
      <c r="N31" s="2">
        <v>7226946</v>
      </c>
      <c r="O31" s="2">
        <f>N31-N26</f>
        <v>346</v>
      </c>
      <c r="Q31" s="2">
        <v>8.0299999999999994</v>
      </c>
      <c r="R31" s="2">
        <v>44621</v>
      </c>
      <c r="S31" s="2">
        <v>48516</v>
      </c>
      <c r="T31" s="2">
        <v>0.92800000000000005</v>
      </c>
      <c r="U31" s="2">
        <v>16.274999999999999</v>
      </c>
      <c r="V31" s="4">
        <v>17.149999999999999</v>
      </c>
      <c r="W31" s="2">
        <f t="shared" si="16"/>
        <v>134</v>
      </c>
    </row>
    <row r="32" spans="1:29" ht="15" customHeight="1" x14ac:dyDescent="0.3">
      <c r="A32" s="7" t="s">
        <v>53</v>
      </c>
      <c r="B32" s="7" t="s">
        <v>14</v>
      </c>
      <c r="C32" s="7" t="s">
        <v>51</v>
      </c>
      <c r="D32" s="17" t="s">
        <v>52</v>
      </c>
      <c r="E32" s="7" t="s">
        <v>17</v>
      </c>
      <c r="F32" s="7">
        <v>62</v>
      </c>
      <c r="G32" s="7">
        <v>0.20499999999999999</v>
      </c>
      <c r="H32" s="7">
        <f t="shared" ref="H32" si="21">F32*G32</f>
        <v>12.709999999999999</v>
      </c>
      <c r="I32" s="7">
        <v>26</v>
      </c>
      <c r="J32" s="7">
        <v>4</v>
      </c>
      <c r="K32" s="7">
        <f>F32*I32</f>
        <v>1612</v>
      </c>
      <c r="L32" s="7">
        <f t="shared" ref="L32" si="22">K32*J32</f>
        <v>6448</v>
      </c>
      <c r="M32" s="7" t="s">
        <v>18</v>
      </c>
      <c r="N32" s="2">
        <v>7228494</v>
      </c>
      <c r="O32" s="2">
        <f>N32-N31</f>
        <v>1548</v>
      </c>
      <c r="P32" s="2">
        <f>O32/25</f>
        <v>61.92</v>
      </c>
      <c r="Q32" s="2">
        <v>9.0299999999999994</v>
      </c>
      <c r="R32" s="2">
        <v>44754</v>
      </c>
      <c r="S32" s="2">
        <v>48652</v>
      </c>
      <c r="T32" s="2">
        <v>0.92800000000000005</v>
      </c>
      <c r="U32" s="2">
        <v>16.274999999999999</v>
      </c>
      <c r="V32" s="4">
        <v>17.149999999999999</v>
      </c>
      <c r="W32" s="2">
        <f>R32-R31</f>
        <v>133</v>
      </c>
    </row>
    <row r="33" spans="1:23" ht="15" customHeight="1" x14ac:dyDescent="0.3">
      <c r="A33" s="7" t="s">
        <v>53</v>
      </c>
      <c r="B33" s="11" t="s">
        <v>23</v>
      </c>
      <c r="C33" s="7" t="s">
        <v>33</v>
      </c>
      <c r="D33" s="7" t="s">
        <v>34</v>
      </c>
      <c r="E33" s="12" t="s">
        <v>35</v>
      </c>
      <c r="F33" s="7"/>
      <c r="G33" s="31" t="s">
        <v>77</v>
      </c>
      <c r="H33" s="7"/>
      <c r="I33" s="7"/>
      <c r="J33" s="7"/>
      <c r="K33" s="7">
        <v>500</v>
      </c>
      <c r="L33" s="7">
        <f t="shared" ref="L33:L35" si="23">K33</f>
        <v>500</v>
      </c>
      <c r="M33" s="8" t="s">
        <v>26</v>
      </c>
      <c r="N33" s="2"/>
      <c r="O33" s="2"/>
      <c r="Q33" s="2">
        <v>11.03</v>
      </c>
      <c r="R33" s="2">
        <v>44863</v>
      </c>
      <c r="S33" s="2">
        <v>48780</v>
      </c>
      <c r="T33" s="2">
        <v>0.92800000000000005</v>
      </c>
      <c r="U33" s="2">
        <v>16.274999999999999</v>
      </c>
      <c r="V33" s="4">
        <v>17.149999999999999</v>
      </c>
      <c r="W33" s="2">
        <f t="shared" si="16"/>
        <v>109</v>
      </c>
    </row>
    <row r="34" spans="1:23" ht="15" customHeight="1" x14ac:dyDescent="0.3">
      <c r="A34" s="7" t="s">
        <v>53</v>
      </c>
      <c r="B34" s="11" t="s">
        <v>23</v>
      </c>
      <c r="C34" s="7">
        <v>65548</v>
      </c>
      <c r="D34" s="18" t="s">
        <v>24</v>
      </c>
      <c r="E34" s="7" t="s">
        <v>25</v>
      </c>
      <c r="F34" s="7"/>
      <c r="G34" s="7"/>
      <c r="H34" s="7"/>
      <c r="I34" s="7"/>
      <c r="J34" s="7"/>
      <c r="K34" s="7">
        <f>3360+500</f>
        <v>3860</v>
      </c>
      <c r="L34" s="7">
        <f t="shared" si="23"/>
        <v>3860</v>
      </c>
      <c r="M34" s="8" t="s">
        <v>26</v>
      </c>
      <c r="N34" s="2"/>
      <c r="O34" s="2"/>
      <c r="Q34" s="2">
        <v>12.03</v>
      </c>
      <c r="R34" s="2">
        <v>44987</v>
      </c>
      <c r="S34" s="2">
        <v>48917</v>
      </c>
      <c r="T34" s="2">
        <v>0.92800000000000005</v>
      </c>
      <c r="U34" s="2">
        <v>16.274999999999999</v>
      </c>
      <c r="V34" s="4">
        <v>17.149999999999999</v>
      </c>
      <c r="W34" s="2">
        <f t="shared" si="16"/>
        <v>124</v>
      </c>
    </row>
    <row r="35" spans="1:23" ht="15" customHeight="1" x14ac:dyDescent="0.3">
      <c r="A35" s="7" t="s">
        <v>53</v>
      </c>
      <c r="B35" s="11" t="s">
        <v>23</v>
      </c>
      <c r="C35" s="7">
        <v>65548</v>
      </c>
      <c r="D35" s="18" t="s">
        <v>24</v>
      </c>
      <c r="E35" s="7" t="s">
        <v>30</v>
      </c>
      <c r="F35" s="7"/>
      <c r="G35" s="7" t="s">
        <v>36</v>
      </c>
      <c r="H35" s="7"/>
      <c r="I35" s="7"/>
      <c r="J35" s="7"/>
      <c r="K35" s="7">
        <v>6039</v>
      </c>
      <c r="L35" s="7">
        <f t="shared" si="23"/>
        <v>6039</v>
      </c>
      <c r="M35" s="7" t="s">
        <v>18</v>
      </c>
      <c r="N35" s="2">
        <v>7234533</v>
      </c>
      <c r="O35" s="2">
        <f>N35-N32</f>
        <v>6039</v>
      </c>
      <c r="Q35" s="2">
        <v>13.03</v>
      </c>
      <c r="R35" s="2">
        <v>45125</v>
      </c>
      <c r="S35" s="2">
        <v>49067</v>
      </c>
      <c r="T35" s="2">
        <v>0.92500000000000004</v>
      </c>
      <c r="U35" s="2">
        <v>16.314</v>
      </c>
      <c r="V35" s="4">
        <v>17.149999999999999</v>
      </c>
      <c r="W35" s="2">
        <f t="shared" si="16"/>
        <v>138</v>
      </c>
    </row>
    <row r="36" spans="1:23" ht="15" customHeight="1" x14ac:dyDescent="0.3">
      <c r="A36" s="7" t="s">
        <v>53</v>
      </c>
      <c r="B36" s="7" t="s">
        <v>14</v>
      </c>
      <c r="C36" s="7" t="s">
        <v>49</v>
      </c>
      <c r="D36" s="7" t="s">
        <v>50</v>
      </c>
      <c r="E36" s="7" t="s">
        <v>17</v>
      </c>
      <c r="F36" s="7">
        <f>345-F30</f>
        <v>326</v>
      </c>
      <c r="G36" s="7">
        <v>0.26</v>
      </c>
      <c r="H36" s="7">
        <f>F36*G36</f>
        <v>84.76</v>
      </c>
      <c r="I36" s="7">
        <v>28</v>
      </c>
      <c r="J36" s="7">
        <v>1</v>
      </c>
      <c r="K36" s="7">
        <f t="shared" ref="K36" si="24">F36*I36</f>
        <v>9128</v>
      </c>
      <c r="L36" s="7">
        <f t="shared" ref="L36" si="25">K36*J36</f>
        <v>9128</v>
      </c>
      <c r="M36" s="7" t="s">
        <v>22</v>
      </c>
      <c r="N36" s="2"/>
      <c r="O36" s="2"/>
      <c r="Q36" s="2">
        <v>14.03</v>
      </c>
      <c r="R36" s="2">
        <v>45260</v>
      </c>
      <c r="S36" s="2">
        <v>49215</v>
      </c>
      <c r="T36" s="2">
        <v>0.92500000000000004</v>
      </c>
      <c r="U36" s="2">
        <v>16.314</v>
      </c>
      <c r="V36" s="4">
        <v>17.149999999999999</v>
      </c>
      <c r="W36" s="2">
        <f t="shared" si="16"/>
        <v>135</v>
      </c>
    </row>
    <row r="37" spans="1:23" ht="15" customHeight="1" x14ac:dyDescent="0.3">
      <c r="A37" s="7" t="s">
        <v>53</v>
      </c>
      <c r="B37" s="11" t="s">
        <v>23</v>
      </c>
      <c r="C37" s="7" t="s">
        <v>33</v>
      </c>
      <c r="D37" s="7" t="s">
        <v>34</v>
      </c>
      <c r="E37" s="14" t="s">
        <v>30</v>
      </c>
      <c r="F37" s="7"/>
      <c r="G37" s="32" t="s">
        <v>78</v>
      </c>
      <c r="H37" s="7"/>
      <c r="I37" s="7"/>
      <c r="J37" s="7"/>
      <c r="K37" s="7">
        <v>522</v>
      </c>
      <c r="L37" s="7">
        <f t="shared" ref="L37:L40" si="26">K37</f>
        <v>522</v>
      </c>
      <c r="M37" s="7" t="s">
        <v>31</v>
      </c>
      <c r="N37" s="2">
        <v>17300</v>
      </c>
      <c r="O37" s="2">
        <f>N37-10350</f>
        <v>6950</v>
      </c>
      <c r="Q37" s="2">
        <v>18.03</v>
      </c>
      <c r="R37" s="2">
        <v>45620</v>
      </c>
      <c r="S37" s="2">
        <v>49620</v>
      </c>
      <c r="T37" s="2">
        <v>0.92500000000000004</v>
      </c>
      <c r="U37" s="2">
        <v>16.314</v>
      </c>
      <c r="V37" s="4">
        <v>17.149999999999999</v>
      </c>
      <c r="W37" s="2">
        <f t="shared" si="16"/>
        <v>360</v>
      </c>
    </row>
    <row r="38" spans="1:23" ht="15" customHeight="1" x14ac:dyDescent="0.3">
      <c r="A38" s="7" t="s">
        <v>53</v>
      </c>
      <c r="B38" s="16" t="s">
        <v>44</v>
      </c>
      <c r="C38" s="7" t="s">
        <v>45</v>
      </c>
      <c r="D38" s="7" t="s">
        <v>46</v>
      </c>
      <c r="E38" s="7" t="s">
        <v>47</v>
      </c>
      <c r="F38" s="7"/>
      <c r="G38" s="7"/>
      <c r="H38" s="7"/>
      <c r="I38" s="7"/>
      <c r="J38" s="7"/>
      <c r="K38" s="7">
        <v>3000</v>
      </c>
      <c r="L38" s="7">
        <f t="shared" si="26"/>
        <v>3000</v>
      </c>
      <c r="M38" s="7" t="s">
        <v>48</v>
      </c>
      <c r="N38" s="2"/>
      <c r="O38" s="2"/>
      <c r="Q38" s="2"/>
      <c r="R38" s="2"/>
      <c r="S38" s="2"/>
      <c r="T38" s="2"/>
      <c r="U38" s="2"/>
      <c r="V38" s="4"/>
      <c r="W38" s="2"/>
    </row>
    <row r="39" spans="1:23" ht="15" customHeight="1" x14ac:dyDescent="0.3">
      <c r="A39" s="7" t="s">
        <v>54</v>
      </c>
      <c r="B39" s="11" t="s">
        <v>23</v>
      </c>
      <c r="C39" s="7">
        <v>65548</v>
      </c>
      <c r="D39" s="18" t="s">
        <v>24</v>
      </c>
      <c r="E39" s="7" t="s">
        <v>25</v>
      </c>
      <c r="F39" s="7"/>
      <c r="G39" s="7"/>
      <c r="H39" s="7"/>
      <c r="I39" s="7"/>
      <c r="J39" s="7"/>
      <c r="K39" s="7">
        <v>3000</v>
      </c>
      <c r="L39" s="7">
        <f t="shared" si="26"/>
        <v>3000</v>
      </c>
      <c r="M39" s="8" t="s">
        <v>26</v>
      </c>
      <c r="N39" s="2"/>
      <c r="O39" s="2"/>
      <c r="Q39" s="2">
        <v>19.03</v>
      </c>
      <c r="R39" s="2">
        <v>45766</v>
      </c>
      <c r="S39" s="2">
        <v>49777</v>
      </c>
      <c r="T39" s="2">
        <v>0.92500000000000004</v>
      </c>
      <c r="U39" s="2">
        <v>16.314</v>
      </c>
      <c r="V39" s="4">
        <v>17.149999999999999</v>
      </c>
      <c r="W39" s="2">
        <f>R39-R37</f>
        <v>146</v>
      </c>
    </row>
    <row r="40" spans="1:23" ht="15" customHeight="1" x14ac:dyDescent="0.3">
      <c r="A40" s="7" t="s">
        <v>54</v>
      </c>
      <c r="B40" s="11" t="s">
        <v>23</v>
      </c>
      <c r="C40" s="7">
        <v>65548</v>
      </c>
      <c r="D40" s="18" t="s">
        <v>24</v>
      </c>
      <c r="E40" s="7" t="s">
        <v>30</v>
      </c>
      <c r="F40" s="7"/>
      <c r="G40" s="7" t="s">
        <v>36</v>
      </c>
      <c r="H40" s="7"/>
      <c r="I40" s="7"/>
      <c r="J40" s="7"/>
      <c r="K40" s="7">
        <v>2038</v>
      </c>
      <c r="L40" s="7">
        <f t="shared" si="26"/>
        <v>2038</v>
      </c>
      <c r="M40" s="7" t="s">
        <v>18</v>
      </c>
      <c r="N40" s="2">
        <v>7236571</v>
      </c>
      <c r="O40" s="2">
        <f>N40-N35</f>
        <v>2038</v>
      </c>
      <c r="Q40" s="2">
        <v>20.03</v>
      </c>
      <c r="R40" s="2">
        <v>45923</v>
      </c>
      <c r="S40" s="2">
        <v>49955</v>
      </c>
      <c r="T40" s="2">
        <v>0.92500000000000004</v>
      </c>
      <c r="U40" s="2">
        <v>16.314</v>
      </c>
      <c r="V40" s="4">
        <v>17.149999999999999</v>
      </c>
      <c r="W40" s="2">
        <f t="shared" si="16"/>
        <v>157</v>
      </c>
    </row>
    <row r="41" spans="1:23" ht="15" customHeight="1" x14ac:dyDescent="0.3">
      <c r="A41" s="7" t="s">
        <v>54</v>
      </c>
      <c r="B41" s="7" t="s">
        <v>14</v>
      </c>
      <c r="C41" s="7" t="s">
        <v>49</v>
      </c>
      <c r="D41" s="7" t="s">
        <v>50</v>
      </c>
      <c r="E41" s="7" t="s">
        <v>17</v>
      </c>
      <c r="F41" s="7">
        <f>365-F36-F30</f>
        <v>20</v>
      </c>
      <c r="G41" s="7">
        <v>0.26</v>
      </c>
      <c r="H41" s="7">
        <f>F41*G41</f>
        <v>5.2</v>
      </c>
      <c r="I41" s="7">
        <v>28</v>
      </c>
      <c r="J41" s="7">
        <v>1</v>
      </c>
      <c r="K41" s="7">
        <f t="shared" ref="K41:K42" si="27">F41*I41</f>
        <v>560</v>
      </c>
      <c r="L41" s="7">
        <f t="shared" ref="L41:L42" si="28">K41*J41</f>
        <v>560</v>
      </c>
      <c r="M41" s="7" t="s">
        <v>22</v>
      </c>
      <c r="N41" s="2"/>
      <c r="O41" s="2"/>
      <c r="Q41" s="2">
        <v>21.03</v>
      </c>
      <c r="R41" s="2">
        <v>46055</v>
      </c>
      <c r="S41" s="2">
        <v>50096</v>
      </c>
      <c r="T41" s="2">
        <v>0.92500000000000004</v>
      </c>
      <c r="U41" s="2">
        <v>16.314</v>
      </c>
      <c r="V41" s="4">
        <v>17.149999999999999</v>
      </c>
      <c r="W41" s="2">
        <f t="shared" si="16"/>
        <v>132</v>
      </c>
    </row>
    <row r="42" spans="1:23" ht="15" customHeight="1" x14ac:dyDescent="0.3">
      <c r="A42" s="7" t="s">
        <v>54</v>
      </c>
      <c r="B42" s="7" t="s">
        <v>14</v>
      </c>
      <c r="C42" s="7">
        <v>6380</v>
      </c>
      <c r="D42" s="7" t="s">
        <v>16</v>
      </c>
      <c r="E42" s="7" t="s">
        <v>17</v>
      </c>
      <c r="F42" s="7">
        <v>22</v>
      </c>
      <c r="G42" s="7">
        <v>0.42499999999999999</v>
      </c>
      <c r="H42" s="7">
        <f t="shared" ref="H42" si="29">F42*G42</f>
        <v>9.35</v>
      </c>
      <c r="I42" s="7">
        <v>56</v>
      </c>
      <c r="J42" s="7">
        <v>4</v>
      </c>
      <c r="K42" s="7">
        <f t="shared" si="27"/>
        <v>1232</v>
      </c>
      <c r="L42" s="7">
        <f t="shared" si="28"/>
        <v>4928</v>
      </c>
      <c r="M42" s="7" t="s">
        <v>18</v>
      </c>
      <c r="N42" s="2">
        <v>7237779</v>
      </c>
      <c r="O42" s="2">
        <f>N42-N40</f>
        <v>1208</v>
      </c>
      <c r="P42" s="2">
        <f>O42/55</f>
        <v>21.963636363636365</v>
      </c>
      <c r="Q42" s="2">
        <v>22.03</v>
      </c>
      <c r="R42" s="2">
        <v>46189</v>
      </c>
      <c r="S42" s="2">
        <v>50248</v>
      </c>
      <c r="T42" s="2">
        <v>0.92</v>
      </c>
      <c r="U42" s="2">
        <v>16.922000000000001</v>
      </c>
      <c r="V42" s="4">
        <v>17.149999999999999</v>
      </c>
      <c r="W42" s="2">
        <f t="shared" si="16"/>
        <v>134</v>
      </c>
    </row>
    <row r="43" spans="1:23" ht="15" customHeight="1" x14ac:dyDescent="0.3">
      <c r="A43" s="7" t="s">
        <v>54</v>
      </c>
      <c r="B43" s="9" t="s">
        <v>27</v>
      </c>
      <c r="C43" s="7" t="s">
        <v>28</v>
      </c>
      <c r="D43" s="7" t="s">
        <v>29</v>
      </c>
      <c r="E43" s="7" t="s">
        <v>21</v>
      </c>
      <c r="F43" s="7">
        <v>139</v>
      </c>
      <c r="G43" s="7"/>
      <c r="H43" s="7"/>
      <c r="I43" s="7">
        <v>16</v>
      </c>
      <c r="J43" s="7">
        <v>1</v>
      </c>
      <c r="K43" s="7">
        <f t="shared" ref="K43" si="30">F43*I43</f>
        <v>2224</v>
      </c>
      <c r="L43" s="7">
        <f t="shared" ref="L43" si="31">K43*J43</f>
        <v>2224</v>
      </c>
      <c r="M43" s="7" t="s">
        <v>22</v>
      </c>
      <c r="N43" s="2"/>
      <c r="O43" s="2"/>
      <c r="Q43" s="2">
        <v>23.03</v>
      </c>
      <c r="R43" s="2">
        <v>46327</v>
      </c>
      <c r="S43" s="2">
        <v>50396</v>
      </c>
      <c r="T43" s="2">
        <v>0.92</v>
      </c>
      <c r="U43" s="2">
        <v>16.922000000000001</v>
      </c>
      <c r="V43" s="4">
        <v>17.149999999999999</v>
      </c>
      <c r="W43" s="2">
        <f t="shared" si="16"/>
        <v>138</v>
      </c>
    </row>
    <row r="44" spans="1:23" ht="15" customHeight="1" x14ac:dyDescent="0.3">
      <c r="A44" s="7" t="s">
        <v>55</v>
      </c>
      <c r="B44" s="11" t="s">
        <v>23</v>
      </c>
      <c r="C44" s="7">
        <v>65548</v>
      </c>
      <c r="D44" s="18" t="s">
        <v>24</v>
      </c>
      <c r="E44" s="7" t="s">
        <v>25</v>
      </c>
      <c r="F44" s="7"/>
      <c r="G44" s="7"/>
      <c r="H44" s="7"/>
      <c r="I44" s="7"/>
      <c r="J44" s="7"/>
      <c r="K44" s="7">
        <v>5100</v>
      </c>
      <c r="L44" s="7">
        <f t="shared" ref="L44" si="32">K44</f>
        <v>5100</v>
      </c>
      <c r="M44" s="8" t="s">
        <v>26</v>
      </c>
      <c r="N44" s="2"/>
      <c r="O44" s="2"/>
      <c r="Q44" s="2">
        <v>24.03</v>
      </c>
      <c r="R44" s="2">
        <v>46404</v>
      </c>
      <c r="S44" s="2">
        <v>50481</v>
      </c>
      <c r="T44" s="2">
        <v>0.92</v>
      </c>
      <c r="U44" s="2">
        <v>16.922000000000001</v>
      </c>
      <c r="V44" s="4">
        <v>17.149999999999999</v>
      </c>
      <c r="W44" s="2">
        <f t="shared" si="16"/>
        <v>77</v>
      </c>
    </row>
    <row r="45" spans="1:23" ht="15" customHeight="1" x14ac:dyDescent="0.3">
      <c r="A45" s="7" t="s">
        <v>55</v>
      </c>
      <c r="B45" s="7" t="s">
        <v>14</v>
      </c>
      <c r="C45" s="7">
        <v>6380</v>
      </c>
      <c r="D45" s="7" t="s">
        <v>16</v>
      </c>
      <c r="E45" s="7" t="s">
        <v>17</v>
      </c>
      <c r="F45" s="7">
        <v>158</v>
      </c>
      <c r="G45" s="7">
        <v>0.42499999999999999</v>
      </c>
      <c r="H45" s="7">
        <f t="shared" ref="H45" si="33">F45*G45</f>
        <v>67.149999999999991</v>
      </c>
      <c r="I45" s="7">
        <v>56</v>
      </c>
      <c r="J45" s="7">
        <v>4</v>
      </c>
      <c r="K45" s="7">
        <f t="shared" ref="K45" si="34">F45*I45</f>
        <v>8848</v>
      </c>
      <c r="L45" s="7">
        <f t="shared" ref="L45" si="35">K45*J45</f>
        <v>35392</v>
      </c>
      <c r="M45" s="7" t="s">
        <v>18</v>
      </c>
      <c r="N45" s="2">
        <v>7246465</v>
      </c>
      <c r="O45" s="2">
        <f>N45-N42</f>
        <v>8686</v>
      </c>
      <c r="P45" s="2">
        <f>O45/55</f>
        <v>157.92727272727274</v>
      </c>
      <c r="Q45" s="2">
        <v>25.03</v>
      </c>
      <c r="R45" s="2">
        <v>46538</v>
      </c>
      <c r="S45" s="2">
        <v>50632</v>
      </c>
      <c r="T45" s="2">
        <v>0.91900000000000004</v>
      </c>
      <c r="U45" s="2">
        <v>16.922000000000001</v>
      </c>
      <c r="V45" s="4">
        <v>17.149999999999999</v>
      </c>
      <c r="W45" s="2">
        <f t="shared" si="16"/>
        <v>134</v>
      </c>
    </row>
    <row r="46" spans="1:23" ht="15" customHeight="1" x14ac:dyDescent="0.3">
      <c r="A46" s="7" t="s">
        <v>55</v>
      </c>
      <c r="B46" s="7" t="s">
        <v>14</v>
      </c>
      <c r="C46" s="7" t="s">
        <v>49</v>
      </c>
      <c r="D46" s="7" t="s">
        <v>50</v>
      </c>
      <c r="E46" s="7" t="s">
        <v>25</v>
      </c>
      <c r="F46" s="7"/>
      <c r="G46" s="7"/>
      <c r="H46" s="7"/>
      <c r="I46" s="7"/>
      <c r="J46" s="7"/>
      <c r="K46" s="7">
        <v>4850</v>
      </c>
      <c r="L46" s="7">
        <f t="shared" ref="L46" si="36">K46</f>
        <v>4850</v>
      </c>
      <c r="M46" s="7" t="s">
        <v>31</v>
      </c>
      <c r="N46" s="2"/>
      <c r="O46" s="2"/>
      <c r="Q46" s="2">
        <v>26.03</v>
      </c>
      <c r="R46" s="2">
        <v>46675</v>
      </c>
      <c r="S46" s="2">
        <v>50777</v>
      </c>
      <c r="T46" s="2">
        <v>0.91900000000000004</v>
      </c>
      <c r="U46" s="2">
        <v>16.922000000000001</v>
      </c>
      <c r="V46" s="4">
        <v>17.149999999999999</v>
      </c>
      <c r="W46" s="2">
        <f t="shared" si="16"/>
        <v>137</v>
      </c>
    </row>
    <row r="47" spans="1:23" ht="15" customHeight="1" x14ac:dyDescent="0.3">
      <c r="A47" s="7" t="s">
        <v>55</v>
      </c>
      <c r="B47" s="7" t="s">
        <v>14</v>
      </c>
      <c r="C47" s="7" t="s">
        <v>56</v>
      </c>
      <c r="D47" s="7" t="s">
        <v>57</v>
      </c>
      <c r="E47" s="7" t="s">
        <v>39</v>
      </c>
      <c r="F47" s="7"/>
      <c r="G47" s="7" t="s">
        <v>36</v>
      </c>
      <c r="H47" s="7"/>
      <c r="I47" s="7"/>
      <c r="J47" s="7">
        <v>2</v>
      </c>
      <c r="K47" s="7">
        <v>6500</v>
      </c>
      <c r="L47" s="7">
        <f t="shared" ref="L47:L48" si="37">K47*J47</f>
        <v>13000</v>
      </c>
      <c r="M47" s="7" t="s">
        <v>37</v>
      </c>
      <c r="N47" s="2"/>
      <c r="O47" s="2"/>
      <c r="Q47" s="2">
        <v>27.03</v>
      </c>
      <c r="R47" s="2">
        <v>46821</v>
      </c>
      <c r="S47" s="2">
        <v>50940</v>
      </c>
      <c r="T47" s="2">
        <v>0.91900000000000004</v>
      </c>
      <c r="U47" s="2">
        <v>16.922000000000001</v>
      </c>
      <c r="V47" s="4">
        <v>17.149999999999999</v>
      </c>
      <c r="W47" s="2">
        <f t="shared" si="16"/>
        <v>146</v>
      </c>
    </row>
    <row r="48" spans="1:23" ht="15" customHeight="1" x14ac:dyDescent="0.3">
      <c r="A48" s="7" t="s">
        <v>55</v>
      </c>
      <c r="B48" s="9" t="s">
        <v>27</v>
      </c>
      <c r="C48" s="7" t="s">
        <v>28</v>
      </c>
      <c r="D48" s="7" t="s">
        <v>29</v>
      </c>
      <c r="E48" s="7" t="s">
        <v>21</v>
      </c>
      <c r="F48" s="7">
        <v>262</v>
      </c>
      <c r="G48" s="7"/>
      <c r="H48" s="7"/>
      <c r="I48" s="7">
        <v>16</v>
      </c>
      <c r="J48" s="7">
        <v>1</v>
      </c>
      <c r="K48" s="7">
        <f t="shared" ref="K48" si="38">F48*I48</f>
        <v>4192</v>
      </c>
      <c r="L48" s="7">
        <f t="shared" si="37"/>
        <v>4192</v>
      </c>
      <c r="M48" s="7" t="s">
        <v>22</v>
      </c>
      <c r="N48" s="2"/>
      <c r="O48" s="2"/>
      <c r="Q48" s="2">
        <v>28.03</v>
      </c>
      <c r="R48" s="2">
        <v>46946</v>
      </c>
      <c r="S48" s="2">
        <v>51100</v>
      </c>
      <c r="T48" s="2">
        <v>0.91900000000000004</v>
      </c>
      <c r="U48" s="2">
        <v>16.922000000000001</v>
      </c>
      <c r="V48" s="4">
        <v>17.149999999999999</v>
      </c>
      <c r="W48" s="2">
        <f t="shared" si="16"/>
        <v>125</v>
      </c>
    </row>
    <row r="49" spans="1:23" ht="15" customHeight="1" x14ac:dyDescent="0.3">
      <c r="A49" s="7" t="s">
        <v>67</v>
      </c>
      <c r="B49" s="7" t="s">
        <v>14</v>
      </c>
      <c r="C49" s="7" t="s">
        <v>49</v>
      </c>
      <c r="D49" s="7" t="s">
        <v>50</v>
      </c>
      <c r="E49" s="7" t="s">
        <v>25</v>
      </c>
      <c r="F49" s="7"/>
      <c r="G49" s="7"/>
      <c r="H49" s="7"/>
      <c r="I49" s="7"/>
      <c r="J49" s="7"/>
      <c r="K49" s="7">
        <v>5293</v>
      </c>
      <c r="L49" s="7">
        <f t="shared" ref="L49" si="39">K49</f>
        <v>5293</v>
      </c>
      <c r="M49" s="7" t="s">
        <v>31</v>
      </c>
      <c r="N49" s="2">
        <v>10143</v>
      </c>
      <c r="O49" s="2">
        <f>N49-4850</f>
        <v>5293</v>
      </c>
      <c r="Q49" s="2">
        <v>29.03</v>
      </c>
      <c r="R49" s="2">
        <v>47108</v>
      </c>
      <c r="S49" s="2">
        <v>51257</v>
      </c>
      <c r="T49" s="2">
        <v>0.91900000000000004</v>
      </c>
      <c r="U49" s="2">
        <v>16.922000000000001</v>
      </c>
      <c r="V49" s="4">
        <v>17.149999999999999</v>
      </c>
      <c r="W49" s="2">
        <f t="shared" si="16"/>
        <v>162</v>
      </c>
    </row>
    <row r="50" spans="1:23" ht="15" customHeight="1" x14ac:dyDescent="0.3">
      <c r="A50" s="7" t="s">
        <v>67</v>
      </c>
      <c r="B50" s="9" t="s">
        <v>27</v>
      </c>
      <c r="C50" s="7" t="s">
        <v>28</v>
      </c>
      <c r="D50" s="7" t="s">
        <v>29</v>
      </c>
      <c r="E50" s="7" t="s">
        <v>21</v>
      </c>
      <c r="F50" s="7">
        <v>28</v>
      </c>
      <c r="G50" s="7"/>
      <c r="H50" s="7"/>
      <c r="I50" s="7">
        <v>16</v>
      </c>
      <c r="J50" s="7">
        <v>1</v>
      </c>
      <c r="K50" s="7">
        <f t="shared" ref="K50" si="40">F50*I50</f>
        <v>448</v>
      </c>
      <c r="L50" s="7">
        <f t="shared" ref="L50" si="41">K50*J50</f>
        <v>448</v>
      </c>
      <c r="M50" s="7" t="s">
        <v>22</v>
      </c>
      <c r="N50" s="2"/>
      <c r="O50" s="2"/>
      <c r="Q50" s="2">
        <v>30.03</v>
      </c>
      <c r="R50" s="2">
        <v>47250</v>
      </c>
      <c r="S50" s="2">
        <v>51411</v>
      </c>
      <c r="T50" s="2">
        <v>0.91900000000000004</v>
      </c>
      <c r="U50" s="2">
        <v>16.922000000000001</v>
      </c>
      <c r="V50" s="4">
        <v>17.149999999999999</v>
      </c>
      <c r="W50" s="2">
        <f t="shared" si="16"/>
        <v>142</v>
      </c>
    </row>
    <row r="51" spans="1:23" ht="15" customHeight="1" x14ac:dyDescent="0.3">
      <c r="A51" s="7" t="s">
        <v>67</v>
      </c>
      <c r="B51" s="11" t="s">
        <v>23</v>
      </c>
      <c r="C51" s="7" t="s">
        <v>33</v>
      </c>
      <c r="D51" s="7" t="s">
        <v>34</v>
      </c>
      <c r="E51" s="12" t="s">
        <v>35</v>
      </c>
      <c r="F51" s="7"/>
      <c r="G51" s="31" t="s">
        <v>77</v>
      </c>
      <c r="H51" s="7"/>
      <c r="I51" s="7"/>
      <c r="J51" s="7"/>
      <c r="K51" s="7">
        <v>9694</v>
      </c>
      <c r="L51" s="7">
        <f t="shared" ref="L51" si="42">K51</f>
        <v>9694</v>
      </c>
      <c r="M51" s="10" t="s">
        <v>18</v>
      </c>
      <c r="N51" s="2">
        <v>7256159</v>
      </c>
      <c r="O51" s="2">
        <f>N51-N45</f>
        <v>9694</v>
      </c>
      <c r="P51" s="2"/>
      <c r="Q51" s="2">
        <v>31.03</v>
      </c>
      <c r="R51" s="2">
        <v>47299</v>
      </c>
      <c r="S51" s="2">
        <v>51466</v>
      </c>
      <c r="T51" s="2">
        <v>0.91900000000000004</v>
      </c>
      <c r="U51" s="2">
        <v>16.922000000000001</v>
      </c>
      <c r="V51" s="4">
        <v>17.149999999999999</v>
      </c>
      <c r="W51" s="2">
        <f t="shared" si="16"/>
        <v>49</v>
      </c>
    </row>
    <row r="52" spans="1:23" ht="15" customHeight="1" x14ac:dyDescent="0.3">
      <c r="A52" s="7" t="s">
        <v>67</v>
      </c>
      <c r="B52" s="7" t="s">
        <v>14</v>
      </c>
      <c r="C52" s="7">
        <v>7479</v>
      </c>
      <c r="D52" s="7" t="s">
        <v>20</v>
      </c>
      <c r="E52" s="7" t="s">
        <v>21</v>
      </c>
      <c r="F52" s="7">
        <v>36</v>
      </c>
      <c r="G52" s="7">
        <v>0.15</v>
      </c>
      <c r="H52" s="7">
        <f>G52*F52</f>
        <v>5.3999999999999995</v>
      </c>
      <c r="I52" s="7">
        <v>80</v>
      </c>
      <c r="J52" s="7">
        <v>1</v>
      </c>
      <c r="K52" s="7">
        <f>F52*I52</f>
        <v>2880</v>
      </c>
      <c r="L52" s="7">
        <f>K52*J52</f>
        <v>2880</v>
      </c>
      <c r="M52" s="7" t="s">
        <v>48</v>
      </c>
      <c r="N52" s="2"/>
      <c r="O52" s="2"/>
      <c r="Q52" s="2"/>
      <c r="R52" s="2"/>
      <c r="S52" s="2"/>
      <c r="T52" s="2"/>
      <c r="U52" s="2"/>
      <c r="V52" s="5"/>
      <c r="W52" s="6">
        <f>SUM(W22:W51)</f>
        <v>3987</v>
      </c>
    </row>
    <row r="53" spans="1:23" ht="15" customHeight="1" x14ac:dyDescent="0.3">
      <c r="A53" s="7" t="s">
        <v>67</v>
      </c>
      <c r="B53" s="11" t="s">
        <v>23</v>
      </c>
      <c r="C53" s="7">
        <v>65548</v>
      </c>
      <c r="D53" s="18" t="s">
        <v>24</v>
      </c>
      <c r="E53" s="7" t="s">
        <v>25</v>
      </c>
      <c r="F53" s="7"/>
      <c r="G53" s="7"/>
      <c r="H53" s="7"/>
      <c r="I53" s="7"/>
      <c r="J53" s="7"/>
      <c r="K53" s="7">
        <v>5131</v>
      </c>
      <c r="L53" s="7">
        <f t="shared" ref="L53" si="43">K53</f>
        <v>5131</v>
      </c>
      <c r="M53" s="8" t="s">
        <v>26</v>
      </c>
      <c r="N53" s="2"/>
      <c r="O53" s="2"/>
      <c r="Q53" s="2"/>
      <c r="R53" s="2"/>
      <c r="S53" s="2"/>
      <c r="T53" s="2"/>
      <c r="U53" s="2"/>
      <c r="V53" s="5"/>
      <c r="W53" s="2"/>
    </row>
    <row r="54" spans="1:23" ht="15" customHeight="1" x14ac:dyDescent="0.3">
      <c r="A54" s="7" t="s">
        <v>67</v>
      </c>
      <c r="B54" s="7" t="s">
        <v>14</v>
      </c>
      <c r="C54" s="7" t="s">
        <v>56</v>
      </c>
      <c r="D54" s="7" t="s">
        <v>57</v>
      </c>
      <c r="E54" s="7" t="s">
        <v>21</v>
      </c>
      <c r="F54" s="7">
        <v>55</v>
      </c>
      <c r="G54" s="7">
        <v>0.105</v>
      </c>
      <c r="H54" s="7">
        <f>G54*F54</f>
        <v>5.7749999999999995</v>
      </c>
      <c r="I54" s="7">
        <v>111</v>
      </c>
      <c r="J54" s="7">
        <v>1</v>
      </c>
      <c r="K54" s="7">
        <f t="shared" ref="K54" si="44">F54*I54</f>
        <v>6105</v>
      </c>
      <c r="L54" s="7">
        <f t="shared" ref="L54" si="45">K54*J54</f>
        <v>6105</v>
      </c>
      <c r="M54" s="7" t="s">
        <v>22</v>
      </c>
      <c r="N54" s="2"/>
      <c r="O54" s="2"/>
      <c r="Q54" s="2">
        <v>1.04</v>
      </c>
      <c r="R54" s="2">
        <v>47437</v>
      </c>
      <c r="S54" s="2">
        <v>51614</v>
      </c>
      <c r="T54" s="2">
        <v>0.93300000000000005</v>
      </c>
      <c r="U54" s="2">
        <v>16.245999999999999</v>
      </c>
      <c r="V54" s="4">
        <v>16.922000000000001</v>
      </c>
      <c r="W54" s="2">
        <f>R54-R51</f>
        <v>138</v>
      </c>
    </row>
    <row r="55" spans="1:23" ht="15" customHeight="1" x14ac:dyDescent="0.3">
      <c r="A55" s="7" t="s">
        <v>68</v>
      </c>
      <c r="B55" s="11" t="s">
        <v>23</v>
      </c>
      <c r="C55" s="7" t="s">
        <v>33</v>
      </c>
      <c r="D55" s="7" t="s">
        <v>34</v>
      </c>
      <c r="E55" s="13" t="s">
        <v>39</v>
      </c>
      <c r="F55" s="7"/>
      <c r="G55" s="7" t="s">
        <v>36</v>
      </c>
      <c r="H55" s="7"/>
      <c r="I55" s="7"/>
      <c r="J55" s="7"/>
      <c r="K55" s="7">
        <v>9841</v>
      </c>
      <c r="L55" s="7">
        <f t="shared" ref="L55:L57" si="46">K55</f>
        <v>9841</v>
      </c>
      <c r="M55" s="7" t="s">
        <v>18</v>
      </c>
      <c r="N55" s="2">
        <v>7266000</v>
      </c>
      <c r="O55" s="2">
        <f>N55-N51</f>
        <v>9841</v>
      </c>
      <c r="Q55" s="2">
        <v>2.04</v>
      </c>
      <c r="R55" s="2">
        <v>47562</v>
      </c>
      <c r="S55" s="2">
        <v>51747</v>
      </c>
      <c r="T55" s="2">
        <v>0.93300000000000005</v>
      </c>
      <c r="U55" s="2">
        <v>16.245999999999999</v>
      </c>
      <c r="V55" s="4">
        <v>16.922000000000001</v>
      </c>
      <c r="W55" s="2">
        <f t="shared" ref="W55:W60" si="47">R55-R54</f>
        <v>125</v>
      </c>
    </row>
    <row r="56" spans="1:23" ht="15" customHeight="1" x14ac:dyDescent="0.3">
      <c r="A56" s="7" t="s">
        <v>68</v>
      </c>
      <c r="B56" s="11" t="s">
        <v>23</v>
      </c>
      <c r="C56" s="7" t="s">
        <v>33</v>
      </c>
      <c r="D56" s="7" t="s">
        <v>34</v>
      </c>
      <c r="E56" s="14" t="s">
        <v>30</v>
      </c>
      <c r="F56" s="7"/>
      <c r="G56" s="32" t="s">
        <v>78</v>
      </c>
      <c r="H56" s="7"/>
      <c r="I56" s="7"/>
      <c r="J56" s="7"/>
      <c r="K56" s="7">
        <v>7250</v>
      </c>
      <c r="L56" s="7">
        <f t="shared" si="46"/>
        <v>7250</v>
      </c>
      <c r="M56" s="7" t="s">
        <v>31</v>
      </c>
      <c r="N56" s="2">
        <v>17300</v>
      </c>
      <c r="O56" s="2">
        <f>N56-10350</f>
        <v>6950</v>
      </c>
      <c r="Q56" s="2">
        <v>3.04</v>
      </c>
      <c r="R56" s="2">
        <v>47681</v>
      </c>
      <c r="S56" s="2">
        <v>51881</v>
      </c>
      <c r="T56" s="2">
        <v>0.93600000000000005</v>
      </c>
      <c r="U56" s="2">
        <v>16.245999999999999</v>
      </c>
      <c r="V56" s="4">
        <v>16.922000000000001</v>
      </c>
      <c r="W56" s="2">
        <f t="shared" si="47"/>
        <v>119</v>
      </c>
    </row>
    <row r="57" spans="1:23" ht="15" customHeight="1" x14ac:dyDescent="0.3">
      <c r="A57" s="7" t="s">
        <v>68</v>
      </c>
      <c r="B57" s="11" t="s">
        <v>23</v>
      </c>
      <c r="C57" s="7">
        <v>65548</v>
      </c>
      <c r="D57" s="18" t="s">
        <v>24</v>
      </c>
      <c r="E57" s="7" t="s">
        <v>25</v>
      </c>
      <c r="F57" s="7"/>
      <c r="G57" s="7"/>
      <c r="H57" s="7"/>
      <c r="I57" s="7"/>
      <c r="J57" s="7"/>
      <c r="K57" s="7">
        <v>4630</v>
      </c>
      <c r="L57" s="7">
        <f t="shared" si="46"/>
        <v>4630</v>
      </c>
      <c r="M57" s="8" t="s">
        <v>26</v>
      </c>
      <c r="N57" s="2"/>
      <c r="O57" s="2"/>
      <c r="Q57" s="2">
        <v>4.04</v>
      </c>
      <c r="R57" s="2">
        <v>47826</v>
      </c>
      <c r="S57" s="2">
        <v>52030</v>
      </c>
      <c r="T57" s="2">
        <v>0.93600000000000005</v>
      </c>
      <c r="U57" s="2">
        <v>16.245999999999999</v>
      </c>
      <c r="V57" s="4">
        <v>16.922000000000001</v>
      </c>
      <c r="W57" s="2">
        <f t="shared" si="47"/>
        <v>145</v>
      </c>
    </row>
    <row r="58" spans="1:23" ht="15" customHeight="1" x14ac:dyDescent="0.3">
      <c r="A58" s="7" t="s">
        <v>68</v>
      </c>
      <c r="B58" s="7" t="s">
        <v>14</v>
      </c>
      <c r="C58" s="7">
        <v>7479</v>
      </c>
      <c r="D58" s="7" t="s">
        <v>20</v>
      </c>
      <c r="E58" s="7" t="s">
        <v>21</v>
      </c>
      <c r="F58" s="7">
        <v>120</v>
      </c>
      <c r="G58" s="7">
        <v>0.15</v>
      </c>
      <c r="H58" s="7">
        <f>G58*F58</f>
        <v>18</v>
      </c>
      <c r="I58" s="7">
        <v>80</v>
      </c>
      <c r="J58" s="7">
        <v>1</v>
      </c>
      <c r="K58" s="7">
        <f>F58*I58</f>
        <v>9600</v>
      </c>
      <c r="L58" s="7">
        <f>K58*J58</f>
        <v>9600</v>
      </c>
      <c r="M58" s="7" t="s">
        <v>48</v>
      </c>
      <c r="N58" s="2"/>
      <c r="O58" s="2"/>
      <c r="Q58" s="2">
        <v>5.04</v>
      </c>
      <c r="R58" s="2">
        <v>47961</v>
      </c>
      <c r="S58" s="2">
        <v>52119</v>
      </c>
      <c r="T58" s="2">
        <v>0.93600000000000005</v>
      </c>
      <c r="U58" s="2">
        <v>16.245999999999999</v>
      </c>
      <c r="V58" s="4">
        <v>16.922000000000001</v>
      </c>
      <c r="W58" s="2">
        <f t="shared" si="47"/>
        <v>135</v>
      </c>
    </row>
    <row r="59" spans="1:23" ht="15" customHeight="1" x14ac:dyDescent="0.3">
      <c r="A59" s="7" t="s">
        <v>68</v>
      </c>
      <c r="B59" s="7" t="s">
        <v>14</v>
      </c>
      <c r="C59" s="7">
        <v>7479</v>
      </c>
      <c r="D59" s="7" t="s">
        <v>20</v>
      </c>
      <c r="E59" s="7" t="s">
        <v>25</v>
      </c>
      <c r="F59" s="7"/>
      <c r="G59" s="7"/>
      <c r="H59" s="7"/>
      <c r="I59" s="7"/>
      <c r="J59" s="7">
        <v>1</v>
      </c>
      <c r="K59" s="7">
        <v>5600</v>
      </c>
      <c r="L59" s="7">
        <f t="shared" ref="L59" si="48">K59</f>
        <v>5600</v>
      </c>
      <c r="M59" s="7" t="s">
        <v>22</v>
      </c>
      <c r="N59" s="2"/>
      <c r="O59" s="2"/>
      <c r="Q59" s="2">
        <v>6.04</v>
      </c>
      <c r="R59" s="2">
        <v>48081</v>
      </c>
      <c r="S59" s="2">
        <v>52303</v>
      </c>
      <c r="T59" s="2">
        <v>0.93600000000000005</v>
      </c>
      <c r="U59" s="2">
        <v>16.245999999999999</v>
      </c>
      <c r="V59" s="4">
        <v>16.922000000000001</v>
      </c>
      <c r="W59" s="2">
        <f t="shared" si="47"/>
        <v>120</v>
      </c>
    </row>
    <row r="60" spans="1:23" ht="15" customHeight="1" x14ac:dyDescent="0.3">
      <c r="A60" s="7" t="s">
        <v>69</v>
      </c>
      <c r="B60" s="11" t="s">
        <v>23</v>
      </c>
      <c r="C60" s="7" t="s">
        <v>33</v>
      </c>
      <c r="D60" s="7" t="s">
        <v>34</v>
      </c>
      <c r="E60" s="13" t="s">
        <v>39</v>
      </c>
      <c r="F60" s="7"/>
      <c r="G60" s="7" t="s">
        <v>36</v>
      </c>
      <c r="H60" s="7"/>
      <c r="I60" s="7"/>
      <c r="J60" s="7"/>
      <c r="K60" s="7">
        <v>2543</v>
      </c>
      <c r="L60" s="7">
        <f t="shared" ref="L60:L62" si="49">K60</f>
        <v>2543</v>
      </c>
      <c r="M60" s="7" t="s">
        <v>18</v>
      </c>
      <c r="N60" s="2">
        <v>7268543</v>
      </c>
      <c r="O60" s="2">
        <f>N60-N55</f>
        <v>2543</v>
      </c>
      <c r="Q60" s="2">
        <v>7.04</v>
      </c>
      <c r="R60" s="2">
        <v>48151</v>
      </c>
      <c r="S60" s="2">
        <v>52378</v>
      </c>
      <c r="T60" s="2">
        <v>0.93600000000000005</v>
      </c>
      <c r="U60" s="2">
        <v>16.245999999999999</v>
      </c>
      <c r="V60" s="4">
        <v>16.922000000000001</v>
      </c>
      <c r="W60" s="2">
        <f t="shared" si="47"/>
        <v>70</v>
      </c>
    </row>
    <row r="61" spans="1:23" ht="15" customHeight="1" x14ac:dyDescent="0.3">
      <c r="A61" s="7" t="s">
        <v>69</v>
      </c>
      <c r="B61" s="11" t="s">
        <v>23</v>
      </c>
      <c r="C61" s="7" t="s">
        <v>33</v>
      </c>
      <c r="D61" s="7" t="s">
        <v>34</v>
      </c>
      <c r="E61" s="14" t="s">
        <v>30</v>
      </c>
      <c r="F61" s="7"/>
      <c r="G61" s="32" t="s">
        <v>78</v>
      </c>
      <c r="H61" s="7"/>
      <c r="I61" s="7"/>
      <c r="J61" s="7"/>
      <c r="K61" s="7">
        <v>7750</v>
      </c>
      <c r="L61" s="7">
        <f t="shared" si="49"/>
        <v>7750</v>
      </c>
      <c r="M61" s="7" t="s">
        <v>31</v>
      </c>
      <c r="N61" s="2">
        <v>15000</v>
      </c>
      <c r="O61" s="2">
        <f>N61-10350</f>
        <v>4650</v>
      </c>
      <c r="Q61" s="2">
        <v>8.0399999999999991</v>
      </c>
      <c r="R61" s="2">
        <v>48297</v>
      </c>
      <c r="S61" s="2">
        <v>52535</v>
      </c>
      <c r="T61" s="2">
        <v>0.93400000000000005</v>
      </c>
      <c r="U61" s="2">
        <v>16.454999999999998</v>
      </c>
      <c r="V61" s="4">
        <v>16.922000000000001</v>
      </c>
      <c r="W61" s="2">
        <f t="shared" ref="W61" si="50">R61-R60</f>
        <v>146</v>
      </c>
    </row>
    <row r="62" spans="1:23" ht="15" customHeight="1" x14ac:dyDescent="0.3">
      <c r="A62" s="7" t="s">
        <v>69</v>
      </c>
      <c r="B62" s="11" t="s">
        <v>23</v>
      </c>
      <c r="C62" s="7">
        <v>65548</v>
      </c>
      <c r="D62" s="18" t="s">
        <v>24</v>
      </c>
      <c r="E62" s="7" t="s">
        <v>25</v>
      </c>
      <c r="F62" s="7"/>
      <c r="G62" s="7"/>
      <c r="H62" s="7"/>
      <c r="I62" s="7"/>
      <c r="J62" s="7"/>
      <c r="K62" s="7">
        <v>2106</v>
      </c>
      <c r="L62" s="7">
        <f t="shared" si="49"/>
        <v>2106</v>
      </c>
      <c r="M62" s="8" t="s">
        <v>26</v>
      </c>
      <c r="N62" s="2"/>
      <c r="O62" s="2"/>
      <c r="Q62" s="2">
        <v>9.0399999999999991</v>
      </c>
      <c r="R62" s="2">
        <v>48444</v>
      </c>
      <c r="S62" s="2">
        <v>52695</v>
      </c>
      <c r="T62" s="2">
        <v>0.93200000000000005</v>
      </c>
      <c r="U62" s="2">
        <v>17.324000000000002</v>
      </c>
      <c r="V62" s="4">
        <v>16.922000000000001</v>
      </c>
      <c r="W62" s="2">
        <f t="shared" ref="W62" si="51">R62-R61</f>
        <v>147</v>
      </c>
    </row>
    <row r="63" spans="1:23" ht="15" customHeight="1" x14ac:dyDescent="0.3">
      <c r="A63" s="7" t="s">
        <v>69</v>
      </c>
      <c r="B63" s="11" t="s">
        <v>23</v>
      </c>
      <c r="C63" s="7">
        <v>65548</v>
      </c>
      <c r="D63" s="18" t="s">
        <v>24</v>
      </c>
      <c r="E63" s="7" t="s">
        <v>30</v>
      </c>
      <c r="F63" s="7"/>
      <c r="G63" s="7" t="s">
        <v>36</v>
      </c>
      <c r="H63" s="7"/>
      <c r="I63" s="7"/>
      <c r="J63" s="7"/>
      <c r="K63" s="7">
        <v>3030</v>
      </c>
      <c r="L63" s="7">
        <f t="shared" ref="L63:L65" si="52">K63</f>
        <v>3030</v>
      </c>
      <c r="M63" s="8" t="s">
        <v>26</v>
      </c>
      <c r="N63" s="2"/>
      <c r="O63" s="2"/>
      <c r="Q63" s="2">
        <v>11.04</v>
      </c>
      <c r="R63" s="2">
        <v>48721</v>
      </c>
      <c r="S63" s="2">
        <v>52995</v>
      </c>
      <c r="T63" s="3">
        <v>0.93</v>
      </c>
      <c r="U63" s="2">
        <v>17.324000000000002</v>
      </c>
      <c r="V63" s="4">
        <v>16.922000000000001</v>
      </c>
      <c r="W63" s="2">
        <f t="shared" ref="W63" si="53">R63-R62</f>
        <v>277</v>
      </c>
    </row>
    <row r="64" spans="1:23" ht="15" customHeight="1" x14ac:dyDescent="0.3">
      <c r="A64" s="7" t="s">
        <v>69</v>
      </c>
      <c r="B64" s="11" t="s">
        <v>23</v>
      </c>
      <c r="C64" s="7" t="s">
        <v>33</v>
      </c>
      <c r="D64" s="7" t="s">
        <v>34</v>
      </c>
      <c r="E64" s="12" t="s">
        <v>35</v>
      </c>
      <c r="F64" s="7"/>
      <c r="G64" s="31" t="s">
        <v>77</v>
      </c>
      <c r="H64" s="7"/>
      <c r="I64" s="7"/>
      <c r="J64" s="7"/>
      <c r="K64" s="7">
        <v>4765</v>
      </c>
      <c r="L64" s="7">
        <f t="shared" si="52"/>
        <v>4765</v>
      </c>
      <c r="M64" s="10" t="s">
        <v>18</v>
      </c>
      <c r="N64" s="2">
        <v>7273308</v>
      </c>
      <c r="O64" s="2">
        <f>N64-N60</f>
        <v>4765</v>
      </c>
      <c r="Q64" s="2">
        <v>12.04</v>
      </c>
      <c r="R64" s="2">
        <v>48854</v>
      </c>
      <c r="S64" s="2">
        <v>53138</v>
      </c>
      <c r="T64" s="3">
        <v>0.93</v>
      </c>
      <c r="U64" s="2">
        <v>17.324000000000002</v>
      </c>
      <c r="V64" s="4">
        <v>16.922000000000001</v>
      </c>
      <c r="W64" s="2">
        <f t="shared" ref="W64" si="54">R64-R63</f>
        <v>133</v>
      </c>
    </row>
    <row r="65" spans="1:23" ht="15" customHeight="1" x14ac:dyDescent="0.3">
      <c r="A65" s="7" t="s">
        <v>69</v>
      </c>
      <c r="B65" s="11" t="s">
        <v>23</v>
      </c>
      <c r="C65" s="7" t="s">
        <v>33</v>
      </c>
      <c r="D65" s="7" t="s">
        <v>34</v>
      </c>
      <c r="E65" s="13" t="s">
        <v>39</v>
      </c>
      <c r="F65" s="7"/>
      <c r="G65" s="7" t="s">
        <v>36</v>
      </c>
      <c r="H65" s="7"/>
      <c r="I65" s="7"/>
      <c r="J65" s="7"/>
      <c r="K65" s="7">
        <v>3605</v>
      </c>
      <c r="L65" s="7">
        <f t="shared" si="52"/>
        <v>3605</v>
      </c>
      <c r="M65" s="7" t="s">
        <v>18</v>
      </c>
      <c r="N65" s="2">
        <v>7276913</v>
      </c>
      <c r="O65" s="2">
        <f>N65-N64</f>
        <v>3605</v>
      </c>
      <c r="Q65" s="2">
        <v>13.04</v>
      </c>
      <c r="R65" s="2">
        <v>48970</v>
      </c>
      <c r="S65" s="2">
        <v>53263</v>
      </c>
      <c r="T65" s="3">
        <v>0.93</v>
      </c>
      <c r="U65" s="2">
        <v>17.324000000000002</v>
      </c>
      <c r="V65" s="4">
        <v>16.922000000000001</v>
      </c>
      <c r="W65" s="2">
        <f t="shared" ref="W65" si="55">R65-R64</f>
        <v>116</v>
      </c>
    </row>
    <row r="66" spans="1:23" ht="15" customHeight="1" x14ac:dyDescent="0.3">
      <c r="A66" s="7" t="s">
        <v>69</v>
      </c>
      <c r="B66" s="7" t="s">
        <v>14</v>
      </c>
      <c r="C66" s="7">
        <v>7479</v>
      </c>
      <c r="D66" s="7" t="s">
        <v>20</v>
      </c>
      <c r="E66" s="7" t="s">
        <v>21</v>
      </c>
      <c r="F66" s="7">
        <v>43</v>
      </c>
      <c r="G66" s="7">
        <v>0.15</v>
      </c>
      <c r="H66" s="7">
        <f>G66*F66</f>
        <v>6.45</v>
      </c>
      <c r="I66" s="7">
        <v>80</v>
      </c>
      <c r="J66" s="7">
        <v>1</v>
      </c>
      <c r="K66" s="7">
        <f>F66*I66</f>
        <v>3440</v>
      </c>
      <c r="L66" s="7">
        <f>K66*J66</f>
        <v>3440</v>
      </c>
      <c r="M66" s="7" t="s">
        <v>48</v>
      </c>
      <c r="N66" s="2"/>
      <c r="O66" s="2"/>
      <c r="Q66" s="2">
        <v>14.04</v>
      </c>
      <c r="R66" s="2">
        <v>49056</v>
      </c>
      <c r="S66" s="2">
        <v>53356</v>
      </c>
      <c r="T66" s="3">
        <v>0.93</v>
      </c>
      <c r="U66" s="2">
        <v>17.324000000000002</v>
      </c>
      <c r="V66" s="4">
        <v>16.922000000000001</v>
      </c>
      <c r="W66" s="2">
        <f t="shared" ref="W66" si="56">R66-R65</f>
        <v>86</v>
      </c>
    </row>
    <row r="67" spans="1:23" ht="15" customHeight="1" x14ac:dyDescent="0.3">
      <c r="A67" s="7" t="s">
        <v>69</v>
      </c>
      <c r="B67" s="7" t="s">
        <v>14</v>
      </c>
      <c r="C67" s="7">
        <v>7479</v>
      </c>
      <c r="D67" s="7" t="s">
        <v>20</v>
      </c>
      <c r="E67" s="7" t="s">
        <v>25</v>
      </c>
      <c r="F67" s="7"/>
      <c r="G67" s="7"/>
      <c r="H67" s="7"/>
      <c r="I67" s="7"/>
      <c r="J67" s="7">
        <v>1</v>
      </c>
      <c r="K67" s="7">
        <v>3400</v>
      </c>
      <c r="L67" s="7">
        <f t="shared" ref="L67" si="57">K67</f>
        <v>3400</v>
      </c>
      <c r="M67" s="7" t="s">
        <v>22</v>
      </c>
      <c r="N67" s="2"/>
      <c r="O67" s="2"/>
      <c r="Q67" s="2">
        <v>15.04</v>
      </c>
      <c r="R67" s="2">
        <v>49186</v>
      </c>
      <c r="S67" s="2">
        <v>53498</v>
      </c>
      <c r="T67" s="3">
        <v>0.92800000000000005</v>
      </c>
      <c r="U67" s="2">
        <v>17.324000000000002</v>
      </c>
      <c r="V67" s="4">
        <v>16.922000000000001</v>
      </c>
      <c r="W67" s="2">
        <f t="shared" ref="W67" si="58">R67-R66</f>
        <v>130</v>
      </c>
    </row>
    <row r="68" spans="1:23" ht="15" customHeight="1" x14ac:dyDescent="0.3">
      <c r="A68" s="7" t="s">
        <v>69</v>
      </c>
      <c r="B68" s="7" t="s">
        <v>14</v>
      </c>
      <c r="C68" s="7">
        <v>6078</v>
      </c>
      <c r="D68" s="7" t="s">
        <v>16</v>
      </c>
      <c r="E68" s="7" t="s">
        <v>17</v>
      </c>
      <c r="F68" s="7">
        <v>30</v>
      </c>
      <c r="G68" s="7">
        <v>0.32500000000000001</v>
      </c>
      <c r="H68" s="7">
        <f t="shared" ref="H68" si="59">F68*G68</f>
        <v>9.75</v>
      </c>
      <c r="I68" s="7">
        <v>62</v>
      </c>
      <c r="J68" s="7">
        <v>4</v>
      </c>
      <c r="K68" s="7">
        <f t="shared" ref="K68" si="60">F68*I68</f>
        <v>1860</v>
      </c>
      <c r="L68" s="7">
        <f>K68*J68</f>
        <v>7440</v>
      </c>
      <c r="M68" s="7" t="s">
        <v>22</v>
      </c>
      <c r="N68" s="2"/>
      <c r="O68" s="2"/>
      <c r="Q68" s="2">
        <v>16.04</v>
      </c>
      <c r="R68" s="2">
        <v>49302</v>
      </c>
      <c r="S68" s="2">
        <v>53620</v>
      </c>
      <c r="T68" s="3">
        <v>0.92800000000000005</v>
      </c>
      <c r="U68" s="2">
        <v>17.324000000000002</v>
      </c>
      <c r="V68" s="4">
        <v>16.922000000000001</v>
      </c>
      <c r="W68" s="2">
        <f t="shared" ref="W68" si="61">R68-R67</f>
        <v>116</v>
      </c>
    </row>
    <row r="69" spans="1:23" ht="15" customHeight="1" x14ac:dyDescent="0.3">
      <c r="A69" s="7" t="s">
        <v>70</v>
      </c>
      <c r="B69" s="11" t="s">
        <v>23</v>
      </c>
      <c r="C69" s="7" t="s">
        <v>33</v>
      </c>
      <c r="D69" s="7" t="s">
        <v>34</v>
      </c>
      <c r="E69" s="13" t="s">
        <v>39</v>
      </c>
      <c r="F69" s="7"/>
      <c r="G69" s="7" t="s">
        <v>36</v>
      </c>
      <c r="H69" s="7"/>
      <c r="I69" s="7"/>
      <c r="J69" s="7"/>
      <c r="K69" s="7">
        <v>1166</v>
      </c>
      <c r="L69" s="7">
        <f t="shared" ref="L69:L71" si="62">K69</f>
        <v>1166</v>
      </c>
      <c r="M69" s="7" t="s">
        <v>18</v>
      </c>
      <c r="N69" s="2">
        <v>7278079</v>
      </c>
      <c r="O69" s="2">
        <f>N69-N65</f>
        <v>1166</v>
      </c>
      <c r="Q69" s="2">
        <v>17.04</v>
      </c>
      <c r="R69" s="2">
        <v>49440</v>
      </c>
      <c r="S69" s="2">
        <v>53768</v>
      </c>
      <c r="T69" s="3">
        <v>0.93</v>
      </c>
      <c r="U69" s="2">
        <v>17.324000000000002</v>
      </c>
      <c r="V69" s="4">
        <v>16.922000000000001</v>
      </c>
      <c r="W69" s="2">
        <f t="shared" ref="W69" si="63">R69-R68</f>
        <v>138</v>
      </c>
    </row>
    <row r="70" spans="1:23" ht="15" customHeight="1" x14ac:dyDescent="0.3">
      <c r="A70" s="7" t="s">
        <v>70</v>
      </c>
      <c r="B70" s="11" t="s">
        <v>23</v>
      </c>
      <c r="C70" s="7" t="s">
        <v>33</v>
      </c>
      <c r="D70" s="7" t="s">
        <v>34</v>
      </c>
      <c r="E70" s="14" t="s">
        <v>30</v>
      </c>
      <c r="F70" s="7"/>
      <c r="G70" s="32" t="s">
        <v>78</v>
      </c>
      <c r="H70" s="7"/>
      <c r="I70" s="7"/>
      <c r="J70" s="7"/>
      <c r="K70" s="7">
        <v>2165</v>
      </c>
      <c r="L70" s="7">
        <f t="shared" si="62"/>
        <v>2165</v>
      </c>
      <c r="M70" s="7" t="s">
        <v>31</v>
      </c>
      <c r="N70" s="2">
        <v>15000</v>
      </c>
      <c r="O70" s="2">
        <f>N70-10350</f>
        <v>4650</v>
      </c>
      <c r="Q70" s="2">
        <v>18.04</v>
      </c>
      <c r="R70" s="2">
        <v>49553</v>
      </c>
      <c r="S70" s="2">
        <v>53889</v>
      </c>
      <c r="T70" s="3">
        <v>0.93</v>
      </c>
      <c r="U70" s="2">
        <v>17.324000000000002</v>
      </c>
      <c r="V70" s="4">
        <v>16.922000000000001</v>
      </c>
      <c r="W70" s="2">
        <f t="shared" ref="W70:W71" si="64">R70-R69</f>
        <v>113</v>
      </c>
    </row>
    <row r="71" spans="1:23" ht="15" customHeight="1" x14ac:dyDescent="0.3">
      <c r="A71" s="7" t="s">
        <v>70</v>
      </c>
      <c r="B71" s="11" t="s">
        <v>23</v>
      </c>
      <c r="C71" s="7">
        <v>65548</v>
      </c>
      <c r="D71" s="18" t="s">
        <v>24</v>
      </c>
      <c r="E71" s="7" t="s">
        <v>30</v>
      </c>
      <c r="F71" s="7"/>
      <c r="G71" s="7" t="s">
        <v>36</v>
      </c>
      <c r="H71" s="7"/>
      <c r="I71" s="7"/>
      <c r="J71" s="7"/>
      <c r="K71" s="7">
        <v>5735</v>
      </c>
      <c r="L71" s="7">
        <f t="shared" si="62"/>
        <v>5735</v>
      </c>
      <c r="M71" s="8" t="s">
        <v>26</v>
      </c>
      <c r="N71" s="2"/>
      <c r="O71" s="2"/>
      <c r="Q71" s="2">
        <v>20.04</v>
      </c>
      <c r="R71" s="2">
        <v>49702</v>
      </c>
      <c r="S71" s="2">
        <v>54051</v>
      </c>
      <c r="T71" s="3">
        <v>0.93</v>
      </c>
      <c r="U71" s="2">
        <v>17.908999999999999</v>
      </c>
      <c r="V71" s="4">
        <v>16.922000000000001</v>
      </c>
      <c r="W71" s="2">
        <f t="shared" si="64"/>
        <v>149</v>
      </c>
    </row>
    <row r="72" spans="1:23" ht="15" customHeight="1" x14ac:dyDescent="0.3">
      <c r="A72" s="7" t="s">
        <v>70</v>
      </c>
      <c r="B72" s="7" t="s">
        <v>14</v>
      </c>
      <c r="C72" s="7" t="s">
        <v>71</v>
      </c>
      <c r="D72" s="7" t="s">
        <v>72</v>
      </c>
      <c r="E72" s="7" t="s">
        <v>21</v>
      </c>
      <c r="F72" s="7">
        <v>34</v>
      </c>
      <c r="G72" s="7">
        <v>1.095</v>
      </c>
      <c r="H72" s="7">
        <f>F72*G72</f>
        <v>37.229999999999997</v>
      </c>
      <c r="I72" s="7">
        <v>58</v>
      </c>
      <c r="J72" s="7">
        <v>1</v>
      </c>
      <c r="K72" s="7">
        <f t="shared" ref="K72:K73" si="65">F72*I72</f>
        <v>1972</v>
      </c>
      <c r="L72" s="7">
        <f t="shared" ref="L72" si="66">K72*J72</f>
        <v>1972</v>
      </c>
      <c r="M72" s="7" t="s">
        <v>18</v>
      </c>
      <c r="N72" s="2">
        <v>7280053</v>
      </c>
      <c r="O72" s="2">
        <f>N72-N69</f>
        <v>1974</v>
      </c>
      <c r="P72" s="2">
        <f>O72/58</f>
        <v>34.03448275862069</v>
      </c>
      <c r="Q72" s="2">
        <v>22.04</v>
      </c>
      <c r="R72" s="2">
        <v>49841</v>
      </c>
      <c r="S72" s="2">
        <v>54200</v>
      </c>
      <c r="T72" s="3">
        <v>0.93</v>
      </c>
      <c r="U72" s="2">
        <v>17.908999999999999</v>
      </c>
      <c r="V72" s="4">
        <v>16.922000000000001</v>
      </c>
      <c r="W72" s="2">
        <f t="shared" ref="W72" si="67">R72-R71</f>
        <v>139</v>
      </c>
    </row>
    <row r="73" spans="1:23" ht="15" customHeight="1" x14ac:dyDescent="0.3">
      <c r="A73" s="7" t="s">
        <v>70</v>
      </c>
      <c r="B73" s="7" t="s">
        <v>14</v>
      </c>
      <c r="C73" s="7">
        <v>6078</v>
      </c>
      <c r="D73" s="7" t="s">
        <v>16</v>
      </c>
      <c r="E73" s="7" t="s">
        <v>17</v>
      </c>
      <c r="F73" s="7">
        <v>122</v>
      </c>
      <c r="G73" s="7">
        <v>0.32500000000000001</v>
      </c>
      <c r="H73" s="7">
        <f t="shared" ref="H73" si="68">F73*G73</f>
        <v>39.65</v>
      </c>
      <c r="I73" s="7">
        <v>62</v>
      </c>
      <c r="J73" s="7">
        <v>4</v>
      </c>
      <c r="K73" s="7">
        <f t="shared" si="65"/>
        <v>7564</v>
      </c>
      <c r="L73" s="7">
        <f>K73*J73</f>
        <v>30256</v>
      </c>
      <c r="M73" s="7" t="s">
        <v>22</v>
      </c>
      <c r="N73" s="2"/>
      <c r="O73" s="2"/>
      <c r="Q73" s="2">
        <v>23.04</v>
      </c>
      <c r="R73" s="2">
        <v>49972</v>
      </c>
      <c r="S73" s="2">
        <v>54339</v>
      </c>
      <c r="T73" s="3">
        <v>0.93</v>
      </c>
      <c r="U73" s="2">
        <v>17.908999999999999</v>
      </c>
      <c r="V73" s="4">
        <v>16.922000000000001</v>
      </c>
      <c r="W73" s="2">
        <f t="shared" ref="W73" si="69">R73-R72</f>
        <v>131</v>
      </c>
    </row>
    <row r="74" spans="1:23" ht="15" customHeight="1" x14ac:dyDescent="0.3">
      <c r="A74" s="7" t="s">
        <v>70</v>
      </c>
      <c r="B74" s="9" t="s">
        <v>27</v>
      </c>
      <c r="C74" s="7" t="s">
        <v>28</v>
      </c>
      <c r="D74" s="7" t="s">
        <v>29</v>
      </c>
      <c r="E74" s="7" t="s">
        <v>30</v>
      </c>
      <c r="F74" s="7"/>
      <c r="G74" s="7"/>
      <c r="H74" s="7"/>
      <c r="I74" s="7"/>
      <c r="J74" s="7"/>
      <c r="K74" s="7">
        <v>2200</v>
      </c>
      <c r="L74" s="7">
        <f t="shared" ref="L74" si="70">K74*J74</f>
        <v>0</v>
      </c>
      <c r="M74" s="7" t="s">
        <v>31</v>
      </c>
      <c r="N74" s="2"/>
      <c r="O74" s="2"/>
      <c r="Q74" s="2">
        <v>24.04</v>
      </c>
      <c r="R74" s="2">
        <v>50084</v>
      </c>
      <c r="S74" s="2">
        <v>54457</v>
      </c>
      <c r="T74" s="3">
        <v>0.93100000000000005</v>
      </c>
      <c r="U74" s="2">
        <v>17.908999999999999</v>
      </c>
      <c r="V74" s="4">
        <v>16.922000000000001</v>
      </c>
      <c r="W74" s="2">
        <f t="shared" ref="W74" si="71">R74-R73</f>
        <v>112</v>
      </c>
    </row>
    <row r="75" spans="1:23" ht="15" customHeight="1" x14ac:dyDescent="0.3">
      <c r="A75" s="7" t="s">
        <v>70</v>
      </c>
      <c r="B75" s="7" t="s">
        <v>14</v>
      </c>
      <c r="C75" s="7">
        <v>7479</v>
      </c>
      <c r="D75" s="7" t="s">
        <v>20</v>
      </c>
      <c r="E75" s="7" t="s">
        <v>21</v>
      </c>
      <c r="F75" s="7">
        <v>113</v>
      </c>
      <c r="G75" s="7">
        <v>0.15</v>
      </c>
      <c r="H75" s="7">
        <f>G75*F75</f>
        <v>16.95</v>
      </c>
      <c r="I75" s="7">
        <v>80</v>
      </c>
      <c r="J75" s="7">
        <v>1</v>
      </c>
      <c r="K75" s="7">
        <f>F75*I75</f>
        <v>9040</v>
      </c>
      <c r="L75" s="7">
        <f>K75*J75</f>
        <v>9040</v>
      </c>
      <c r="M75" s="7" t="s">
        <v>48</v>
      </c>
      <c r="N75" s="2"/>
      <c r="O75" s="2"/>
      <c r="Q75" s="2">
        <v>25.04</v>
      </c>
      <c r="R75" s="2">
        <v>50168</v>
      </c>
      <c r="S75" s="2"/>
      <c r="T75" s="3">
        <v>0.93100000000000005</v>
      </c>
      <c r="U75" s="2">
        <v>17.908999999999999</v>
      </c>
      <c r="V75" s="4">
        <v>16.922000000000001</v>
      </c>
      <c r="W75" s="2">
        <f t="shared" ref="W75" si="72">R75-R74</f>
        <v>84</v>
      </c>
    </row>
    <row r="76" spans="1:23" ht="15" customHeight="1" x14ac:dyDescent="0.3">
      <c r="A76" s="7" t="s">
        <v>73</v>
      </c>
      <c r="B76" s="11" t="s">
        <v>23</v>
      </c>
      <c r="C76" s="7">
        <v>65548</v>
      </c>
      <c r="D76" s="18" t="s">
        <v>24</v>
      </c>
      <c r="E76" s="7" t="s">
        <v>30</v>
      </c>
      <c r="F76" s="7"/>
      <c r="G76" s="7" t="s">
        <v>36</v>
      </c>
      <c r="H76" s="7"/>
      <c r="I76" s="7"/>
      <c r="J76" s="7"/>
      <c r="K76" s="7">
        <v>5320</v>
      </c>
      <c r="L76" s="7">
        <f t="shared" ref="L76" si="73">K76</f>
        <v>5320</v>
      </c>
      <c r="M76" s="8" t="s">
        <v>26</v>
      </c>
      <c r="N76" s="2"/>
      <c r="O76" s="2"/>
      <c r="W76" s="6">
        <f>SUM(W52:W75)</f>
        <v>6856</v>
      </c>
    </row>
    <row r="77" spans="1:23" ht="15" customHeight="1" x14ac:dyDescent="0.3">
      <c r="A77" s="7" t="s">
        <v>73</v>
      </c>
      <c r="B77" s="7" t="s">
        <v>14</v>
      </c>
      <c r="C77" s="7">
        <v>6078</v>
      </c>
      <c r="D77" s="7" t="s">
        <v>16</v>
      </c>
      <c r="E77" s="7" t="s">
        <v>17</v>
      </c>
      <c r="F77" s="7">
        <v>28</v>
      </c>
      <c r="G77" s="7">
        <v>0.32500000000000001</v>
      </c>
      <c r="H77" s="7">
        <f t="shared" ref="H77" si="74">F77*G77</f>
        <v>9.1</v>
      </c>
      <c r="I77" s="7">
        <v>62</v>
      </c>
      <c r="J77" s="7">
        <v>4</v>
      </c>
      <c r="K77" s="7">
        <f t="shared" ref="K77:K78" si="75">F77*I77</f>
        <v>1736</v>
      </c>
      <c r="L77" s="7">
        <f>K77*J77</f>
        <v>6944</v>
      </c>
      <c r="M77" s="7" t="s">
        <v>22</v>
      </c>
      <c r="N77" s="2"/>
      <c r="O77" s="2"/>
    </row>
    <row r="78" spans="1:23" ht="15" customHeight="1" x14ac:dyDescent="0.3">
      <c r="A78" s="7" t="s">
        <v>73</v>
      </c>
      <c r="B78" s="7" t="s">
        <v>14</v>
      </c>
      <c r="C78" s="7" t="s">
        <v>71</v>
      </c>
      <c r="D78" s="7" t="s">
        <v>72</v>
      </c>
      <c r="E78" s="7" t="s">
        <v>21</v>
      </c>
      <c r="F78" s="7">
        <v>91</v>
      </c>
      <c r="G78" s="7">
        <v>1.095</v>
      </c>
      <c r="H78" s="7">
        <f>F78*G78</f>
        <v>99.644999999999996</v>
      </c>
      <c r="I78" s="7">
        <v>58</v>
      </c>
      <c r="J78" s="7">
        <v>1</v>
      </c>
      <c r="K78" s="7">
        <f t="shared" si="75"/>
        <v>5278</v>
      </c>
      <c r="L78" s="7">
        <f t="shared" ref="L78" si="76">K78*J78</f>
        <v>5278</v>
      </c>
      <c r="M78" s="7" t="s">
        <v>18</v>
      </c>
      <c r="N78" s="2">
        <v>7285290</v>
      </c>
      <c r="O78" s="2">
        <f>N78-N72</f>
        <v>5237</v>
      </c>
      <c r="P78" s="2">
        <f>O78/58</f>
        <v>90.293103448275858</v>
      </c>
    </row>
    <row r="79" spans="1:23" ht="15" customHeight="1" x14ac:dyDescent="0.3">
      <c r="A79" s="29" t="s">
        <v>73</v>
      </c>
      <c r="B79" s="29" t="s">
        <v>14</v>
      </c>
      <c r="C79" s="29">
        <v>7479</v>
      </c>
      <c r="D79" s="29" t="s">
        <v>20</v>
      </c>
      <c r="E79" s="29" t="s">
        <v>21</v>
      </c>
      <c r="F79" s="29">
        <v>28</v>
      </c>
      <c r="G79" s="29">
        <v>0.15</v>
      </c>
      <c r="H79" s="29">
        <f>G79*F79</f>
        <v>4.2</v>
      </c>
      <c r="I79" s="29">
        <v>80</v>
      </c>
      <c r="J79" s="29">
        <v>1</v>
      </c>
      <c r="K79" s="29">
        <f>F79*I79</f>
        <v>2240</v>
      </c>
      <c r="L79" s="29">
        <f>K79*J79</f>
        <v>2240</v>
      </c>
      <c r="M79" s="29" t="s">
        <v>48</v>
      </c>
      <c r="N79" s="274" t="s">
        <v>75</v>
      </c>
      <c r="O79" s="275"/>
      <c r="P79" s="275"/>
      <c r="Q79" s="2">
        <v>25.04</v>
      </c>
      <c r="R79" s="2">
        <v>50188</v>
      </c>
      <c r="S79" s="2">
        <v>54566</v>
      </c>
      <c r="T79" s="3">
        <v>0.93200000000000005</v>
      </c>
      <c r="U79" s="2">
        <v>17.908999999999999</v>
      </c>
      <c r="V79" s="4">
        <v>16.922000000000001</v>
      </c>
      <c r="W79" s="2">
        <f>R79-R75</f>
        <v>20</v>
      </c>
    </row>
    <row r="80" spans="1:23" ht="15" customHeight="1" x14ac:dyDescent="0.3">
      <c r="A80" s="7" t="s">
        <v>73</v>
      </c>
      <c r="B80" s="7" t="s">
        <v>14</v>
      </c>
      <c r="C80" s="7">
        <v>7479</v>
      </c>
      <c r="D80" s="7" t="s">
        <v>20</v>
      </c>
      <c r="E80" s="7" t="s">
        <v>25</v>
      </c>
      <c r="F80" s="7"/>
      <c r="G80" s="7"/>
      <c r="H80" s="7"/>
      <c r="I80" s="7"/>
      <c r="J80" s="7">
        <v>1</v>
      </c>
      <c r="K80" s="7">
        <v>6160</v>
      </c>
      <c r="L80" s="7">
        <f t="shared" ref="L80" si="77">K80</f>
        <v>6160</v>
      </c>
      <c r="M80" s="7" t="s">
        <v>22</v>
      </c>
      <c r="N80" s="2"/>
      <c r="O80" s="2"/>
      <c r="Q80" s="2">
        <v>26.04</v>
      </c>
      <c r="R80" s="2">
        <v>50304</v>
      </c>
      <c r="S80" s="2">
        <v>54690</v>
      </c>
      <c r="T80" s="3">
        <v>0.93200000000000005</v>
      </c>
      <c r="U80" s="2">
        <v>17.908999999999999</v>
      </c>
      <c r="V80" s="4">
        <v>16.922000000000001</v>
      </c>
      <c r="W80" s="2">
        <f>R80-R79</f>
        <v>116</v>
      </c>
    </row>
    <row r="81" spans="1:23" ht="15" customHeight="1" x14ac:dyDescent="0.3">
      <c r="A81" s="7" t="s">
        <v>73</v>
      </c>
      <c r="B81" s="16" t="s">
        <v>44</v>
      </c>
      <c r="C81" s="7" t="s">
        <v>45</v>
      </c>
      <c r="D81" s="7" t="s">
        <v>46</v>
      </c>
      <c r="E81" s="7" t="s">
        <v>21</v>
      </c>
      <c r="F81" s="7">
        <v>100</v>
      </c>
      <c r="G81" s="7">
        <v>0.46</v>
      </c>
      <c r="H81" s="7">
        <f t="shared" ref="H81" si="78">F81*G81</f>
        <v>46</v>
      </c>
      <c r="I81" s="7">
        <v>22</v>
      </c>
      <c r="J81" s="7">
        <v>2</v>
      </c>
      <c r="K81" s="7">
        <f t="shared" ref="K81" si="79">F81*I81</f>
        <v>2200</v>
      </c>
      <c r="L81" s="7">
        <f t="shared" ref="L81" si="80">K81*J81</f>
        <v>4400</v>
      </c>
      <c r="M81" s="7" t="s">
        <v>22</v>
      </c>
      <c r="N81" s="2"/>
      <c r="O81" s="2"/>
      <c r="Q81" s="2">
        <v>27.04</v>
      </c>
      <c r="R81" s="2">
        <v>50435</v>
      </c>
      <c r="S81" s="2">
        <v>54828</v>
      </c>
      <c r="T81" s="3">
        <v>0.93200000000000005</v>
      </c>
      <c r="U81" s="2">
        <v>17.908999999999999</v>
      </c>
      <c r="V81" s="4">
        <v>16.922000000000001</v>
      </c>
      <c r="W81" s="2">
        <f>R81-R80</f>
        <v>131</v>
      </c>
    </row>
    <row r="82" spans="1:23" ht="15" customHeight="1" x14ac:dyDescent="0.3">
      <c r="A82" s="7" t="s">
        <v>74</v>
      </c>
      <c r="B82" s="16" t="s">
        <v>44</v>
      </c>
      <c r="C82" s="7" t="s">
        <v>45</v>
      </c>
      <c r="D82" s="7" t="s">
        <v>46</v>
      </c>
      <c r="E82" s="7" t="s">
        <v>21</v>
      </c>
      <c r="F82" s="7">
        <v>250</v>
      </c>
      <c r="G82" s="7">
        <v>0.46</v>
      </c>
      <c r="H82" s="7">
        <f t="shared" ref="H82" si="81">F82*G82</f>
        <v>115</v>
      </c>
      <c r="I82" s="7">
        <v>22</v>
      </c>
      <c r="J82" s="7">
        <v>2</v>
      </c>
      <c r="K82" s="7">
        <f t="shared" ref="K82" si="82">F82*I82</f>
        <v>5500</v>
      </c>
      <c r="L82" s="7">
        <f t="shared" ref="L82" si="83">K82*J82</f>
        <v>11000</v>
      </c>
      <c r="M82" s="7" t="s">
        <v>22</v>
      </c>
      <c r="N82" s="2"/>
      <c r="O82" s="2"/>
      <c r="Q82" s="2">
        <v>28.04</v>
      </c>
      <c r="R82" s="2">
        <v>50511</v>
      </c>
      <c r="S82" s="2">
        <v>54909</v>
      </c>
      <c r="T82" s="3">
        <v>0.93200000000000005</v>
      </c>
      <c r="U82" s="2">
        <v>17.908999999999999</v>
      </c>
      <c r="V82" s="4">
        <v>16.922000000000001</v>
      </c>
      <c r="W82" s="2">
        <f>R82-R81</f>
        <v>76</v>
      </c>
    </row>
    <row r="83" spans="1:23" ht="15" customHeight="1" x14ac:dyDescent="0.3">
      <c r="A83" s="7" t="s">
        <v>74</v>
      </c>
      <c r="B83" s="16" t="s">
        <v>44</v>
      </c>
      <c r="C83" s="7" t="s">
        <v>45</v>
      </c>
      <c r="D83" s="7" t="s">
        <v>46</v>
      </c>
      <c r="E83" s="7" t="s">
        <v>25</v>
      </c>
      <c r="F83" s="7"/>
      <c r="G83" s="7"/>
      <c r="H83" s="7"/>
      <c r="I83" s="7"/>
      <c r="J83" s="7"/>
      <c r="K83" s="7">
        <v>450</v>
      </c>
      <c r="L83" s="7">
        <f t="shared" ref="L83:L86" si="84">K83</f>
        <v>450</v>
      </c>
      <c r="M83" s="7" t="s">
        <v>22</v>
      </c>
      <c r="N83" s="2"/>
      <c r="O83" s="2"/>
      <c r="Q83" s="2">
        <v>29.04</v>
      </c>
      <c r="R83" s="2">
        <v>50627</v>
      </c>
      <c r="S83" s="2">
        <v>55032</v>
      </c>
      <c r="T83" s="3">
        <v>0.93300000000000005</v>
      </c>
      <c r="U83" s="2">
        <v>17.908999999999999</v>
      </c>
      <c r="V83" s="4">
        <v>16.922000000000001</v>
      </c>
      <c r="W83" s="2">
        <f>R83-R82</f>
        <v>116</v>
      </c>
    </row>
    <row r="84" spans="1:23" ht="15" customHeight="1" x14ac:dyDescent="0.3">
      <c r="A84" s="7" t="s">
        <v>74</v>
      </c>
      <c r="B84" s="7" t="s">
        <v>14</v>
      </c>
      <c r="C84" s="7">
        <v>7479</v>
      </c>
      <c r="D84" s="7" t="s">
        <v>20</v>
      </c>
      <c r="E84" s="7" t="s">
        <v>25</v>
      </c>
      <c r="F84" s="7"/>
      <c r="G84" s="7"/>
      <c r="H84" s="7"/>
      <c r="I84" s="7"/>
      <c r="J84" s="7">
        <v>1</v>
      </c>
      <c r="K84" s="7">
        <v>3725</v>
      </c>
      <c r="L84" s="7">
        <f t="shared" si="84"/>
        <v>3725</v>
      </c>
      <c r="M84" s="7" t="s">
        <v>31</v>
      </c>
      <c r="N84" s="2"/>
      <c r="O84" s="2"/>
      <c r="Q84" s="2">
        <v>30.04</v>
      </c>
      <c r="R84" s="2">
        <v>50758</v>
      </c>
      <c r="S84" s="2">
        <v>55171</v>
      </c>
      <c r="T84" s="3">
        <v>0.93300000000000005</v>
      </c>
      <c r="U84" s="2">
        <v>17.908999999999999</v>
      </c>
      <c r="V84" s="4">
        <v>16.922000000000001</v>
      </c>
      <c r="W84" s="2">
        <f>R84-R83</f>
        <v>131</v>
      </c>
    </row>
    <row r="85" spans="1:23" ht="15" customHeight="1" x14ac:dyDescent="0.3">
      <c r="A85" s="7" t="s">
        <v>74</v>
      </c>
      <c r="B85" s="11" t="s">
        <v>23</v>
      </c>
      <c r="C85" s="7">
        <v>65548</v>
      </c>
      <c r="D85" s="18" t="s">
        <v>24</v>
      </c>
      <c r="E85" s="7" t="s">
        <v>30</v>
      </c>
      <c r="F85" s="7"/>
      <c r="G85" s="7" t="s">
        <v>36</v>
      </c>
      <c r="H85" s="7"/>
      <c r="I85" s="7"/>
      <c r="J85" s="7"/>
      <c r="K85" s="7">
        <v>3875</v>
      </c>
      <c r="L85" s="7">
        <f t="shared" si="84"/>
        <v>3875</v>
      </c>
      <c r="M85" s="8" t="s">
        <v>26</v>
      </c>
      <c r="N85" s="2"/>
      <c r="O85" s="2"/>
    </row>
    <row r="86" spans="1:23" ht="15" customHeight="1" x14ac:dyDescent="0.3">
      <c r="A86" s="7" t="s">
        <v>74</v>
      </c>
      <c r="B86" s="11" t="s">
        <v>23</v>
      </c>
      <c r="C86" s="7" t="s">
        <v>33</v>
      </c>
      <c r="D86" s="7" t="s">
        <v>34</v>
      </c>
      <c r="E86" s="12" t="s">
        <v>35</v>
      </c>
      <c r="F86" s="7"/>
      <c r="G86" s="31" t="s">
        <v>77</v>
      </c>
      <c r="H86" s="7"/>
      <c r="I86" s="7"/>
      <c r="J86" s="7"/>
      <c r="K86" s="7">
        <v>3421</v>
      </c>
      <c r="L86" s="7">
        <f t="shared" si="84"/>
        <v>3421</v>
      </c>
      <c r="M86" s="7" t="s">
        <v>18</v>
      </c>
      <c r="N86" s="2">
        <v>7288711</v>
      </c>
      <c r="O86" s="2">
        <f>N86-N78</f>
        <v>3421</v>
      </c>
    </row>
    <row r="87" spans="1:23" ht="15" customHeight="1" x14ac:dyDescent="0.3">
      <c r="A87" s="7" t="s">
        <v>76</v>
      </c>
      <c r="B87" s="11" t="s">
        <v>23</v>
      </c>
      <c r="C87" s="7" t="s">
        <v>33</v>
      </c>
      <c r="D87" s="7" t="s">
        <v>34</v>
      </c>
      <c r="E87" s="12" t="s">
        <v>35</v>
      </c>
      <c r="F87" s="7"/>
      <c r="G87" s="31" t="s">
        <v>77</v>
      </c>
      <c r="H87" s="7"/>
      <c r="I87" s="7"/>
      <c r="J87" s="7"/>
      <c r="K87" s="7">
        <v>7189</v>
      </c>
      <c r="L87" s="7">
        <f t="shared" ref="L87" si="85">K87</f>
        <v>7189</v>
      </c>
      <c r="M87" s="7" t="s">
        <v>18</v>
      </c>
      <c r="N87" s="2">
        <v>7295900</v>
      </c>
      <c r="O87" s="2">
        <f>N87-N86</f>
        <v>7189</v>
      </c>
    </row>
    <row r="88" spans="1:23" ht="15" customHeight="1" x14ac:dyDescent="0.3">
      <c r="A88" s="7" t="s">
        <v>76</v>
      </c>
      <c r="B88" s="11" t="s">
        <v>23</v>
      </c>
      <c r="C88" s="7" t="s">
        <v>33</v>
      </c>
      <c r="D88" s="7" t="s">
        <v>34</v>
      </c>
      <c r="E88" s="13" t="s">
        <v>39</v>
      </c>
      <c r="F88" s="7"/>
      <c r="G88" s="7" t="s">
        <v>36</v>
      </c>
      <c r="H88" s="7"/>
      <c r="I88" s="7"/>
      <c r="J88" s="7"/>
      <c r="K88" s="7">
        <v>3200</v>
      </c>
      <c r="L88" s="7">
        <f t="shared" ref="L88:L91" si="86">K88</f>
        <v>3200</v>
      </c>
      <c r="M88" s="8" t="s">
        <v>26</v>
      </c>
      <c r="N88" s="2"/>
      <c r="O88" s="2"/>
    </row>
    <row r="89" spans="1:23" ht="15" customHeight="1" x14ac:dyDescent="0.3">
      <c r="A89" s="7" t="s">
        <v>76</v>
      </c>
      <c r="B89" s="7" t="s">
        <v>14</v>
      </c>
      <c r="C89" s="7">
        <v>7479</v>
      </c>
      <c r="D89" s="7" t="s">
        <v>20</v>
      </c>
      <c r="E89" s="7" t="s">
        <v>25</v>
      </c>
      <c r="F89" s="7"/>
      <c r="G89" s="7"/>
      <c r="H89" s="7"/>
      <c r="I89" s="7"/>
      <c r="J89" s="7">
        <v>1</v>
      </c>
      <c r="K89" s="7">
        <v>7800</v>
      </c>
      <c r="L89" s="7">
        <f t="shared" si="86"/>
        <v>7800</v>
      </c>
      <c r="M89" s="7" t="s">
        <v>31</v>
      </c>
      <c r="N89" s="2"/>
      <c r="O89" s="2"/>
    </row>
    <row r="90" spans="1:23" ht="15" customHeight="1" x14ac:dyDescent="0.3">
      <c r="A90" s="7" t="s">
        <v>76</v>
      </c>
      <c r="B90" s="16" t="s">
        <v>44</v>
      </c>
      <c r="C90" s="7" t="s">
        <v>45</v>
      </c>
      <c r="D90" s="7" t="s">
        <v>46</v>
      </c>
      <c r="E90" s="7" t="s">
        <v>25</v>
      </c>
      <c r="F90" s="7"/>
      <c r="G90" s="7"/>
      <c r="H90" s="7"/>
      <c r="I90" s="7"/>
      <c r="J90" s="7"/>
      <c r="K90" s="7">
        <v>3000</v>
      </c>
      <c r="L90" s="7">
        <f t="shared" si="86"/>
        <v>3000</v>
      </c>
      <c r="M90" s="7" t="s">
        <v>22</v>
      </c>
      <c r="N90" s="2"/>
      <c r="O90" s="2"/>
    </row>
    <row r="91" spans="1:23" ht="15" customHeight="1" x14ac:dyDescent="0.3">
      <c r="A91" s="7" t="s">
        <v>79</v>
      </c>
      <c r="B91" s="11" t="s">
        <v>23</v>
      </c>
      <c r="C91" s="7" t="s">
        <v>33</v>
      </c>
      <c r="D91" s="7" t="s">
        <v>34</v>
      </c>
      <c r="E91" s="12" t="s">
        <v>35</v>
      </c>
      <c r="F91" s="7"/>
      <c r="G91" s="31" t="s">
        <v>77</v>
      </c>
      <c r="H91" s="7"/>
      <c r="I91" s="7"/>
      <c r="J91" s="7"/>
      <c r="K91" s="7">
        <v>4839</v>
      </c>
      <c r="L91" s="7">
        <f t="shared" si="86"/>
        <v>4839</v>
      </c>
      <c r="M91" s="7" t="s">
        <v>18</v>
      </c>
      <c r="N91" s="2">
        <v>7300739</v>
      </c>
      <c r="O91" s="2">
        <f>N91-N87</f>
        <v>4839</v>
      </c>
    </row>
    <row r="92" spans="1:23" ht="15" customHeight="1" x14ac:dyDescent="0.3">
      <c r="A92" s="7" t="s">
        <v>79</v>
      </c>
      <c r="B92" s="11" t="s">
        <v>23</v>
      </c>
      <c r="C92" s="7" t="s">
        <v>33</v>
      </c>
      <c r="D92" s="7" t="s">
        <v>34</v>
      </c>
      <c r="E92" s="13" t="s">
        <v>39</v>
      </c>
      <c r="F92" s="7"/>
      <c r="G92" s="7" t="s">
        <v>36</v>
      </c>
      <c r="H92" s="7"/>
      <c r="I92" s="7"/>
      <c r="J92" s="7"/>
      <c r="K92" s="7">
        <v>5110</v>
      </c>
      <c r="L92" s="7">
        <f t="shared" ref="L92:L95" si="87">K92</f>
        <v>5110</v>
      </c>
      <c r="M92" s="8" t="s">
        <v>26</v>
      </c>
      <c r="N92" s="2"/>
      <c r="O92" s="2"/>
    </row>
    <row r="93" spans="1:23" ht="15" customHeight="1" x14ac:dyDescent="0.3">
      <c r="A93" s="7" t="s">
        <v>79</v>
      </c>
      <c r="B93" s="11" t="s">
        <v>23</v>
      </c>
      <c r="C93" s="7" t="s">
        <v>33</v>
      </c>
      <c r="D93" s="7" t="s">
        <v>34</v>
      </c>
      <c r="E93" s="14" t="s">
        <v>30</v>
      </c>
      <c r="F93" s="7"/>
      <c r="G93" s="32" t="s">
        <v>78</v>
      </c>
      <c r="H93" s="7"/>
      <c r="I93" s="7"/>
      <c r="J93" s="7"/>
      <c r="K93" s="7">
        <v>5000</v>
      </c>
      <c r="L93" s="7">
        <f>K93</f>
        <v>5000</v>
      </c>
      <c r="M93" s="7" t="s">
        <v>31</v>
      </c>
      <c r="N93" s="2"/>
      <c r="O93" s="2"/>
    </row>
    <row r="94" spans="1:23" ht="15" customHeight="1" x14ac:dyDescent="0.3">
      <c r="A94" s="7" t="s">
        <v>79</v>
      </c>
      <c r="B94" s="7" t="s">
        <v>14</v>
      </c>
      <c r="C94" s="7">
        <v>7479</v>
      </c>
      <c r="D94" s="7" t="s">
        <v>20</v>
      </c>
      <c r="E94" s="7" t="s">
        <v>25</v>
      </c>
      <c r="F94" s="7"/>
      <c r="G94" s="7"/>
      <c r="H94" s="7"/>
      <c r="I94" s="7"/>
      <c r="J94" s="7">
        <v>1</v>
      </c>
      <c r="K94" s="7">
        <v>1750</v>
      </c>
      <c r="L94" s="7">
        <f t="shared" si="87"/>
        <v>1750</v>
      </c>
      <c r="M94" s="7" t="s">
        <v>31</v>
      </c>
      <c r="N94" s="2"/>
      <c r="O94" s="2"/>
    </row>
    <row r="95" spans="1:23" ht="15" customHeight="1" x14ac:dyDescent="0.3">
      <c r="A95" s="7" t="s">
        <v>79</v>
      </c>
      <c r="B95" s="16" t="s">
        <v>44</v>
      </c>
      <c r="C95" s="7" t="s">
        <v>45</v>
      </c>
      <c r="D95" s="7" t="s">
        <v>46</v>
      </c>
      <c r="E95" s="7" t="s">
        <v>25</v>
      </c>
      <c r="F95" s="7"/>
      <c r="G95" s="7"/>
      <c r="H95" s="7"/>
      <c r="I95" s="7"/>
      <c r="J95" s="7"/>
      <c r="K95" s="7">
        <v>1650</v>
      </c>
      <c r="L95" s="7">
        <f t="shared" si="87"/>
        <v>1650</v>
      </c>
      <c r="M95" s="7" t="s">
        <v>22</v>
      </c>
      <c r="N95" s="2"/>
      <c r="O95" s="2"/>
    </row>
    <row r="96" spans="1:23" ht="15" customHeight="1" x14ac:dyDescent="0.3">
      <c r="A96" s="7" t="s">
        <v>79</v>
      </c>
      <c r="B96" s="16" t="s">
        <v>44</v>
      </c>
      <c r="C96" s="7" t="s">
        <v>45</v>
      </c>
      <c r="D96" s="7" t="s">
        <v>46</v>
      </c>
      <c r="E96" s="7" t="s">
        <v>30</v>
      </c>
      <c r="F96" s="7"/>
      <c r="G96" s="7"/>
      <c r="H96" s="7"/>
      <c r="I96" s="7"/>
      <c r="J96" s="7"/>
      <c r="K96" s="7">
        <v>1000</v>
      </c>
      <c r="L96" s="7">
        <f t="shared" ref="L96" si="88">K96</f>
        <v>1000</v>
      </c>
      <c r="M96" s="7" t="s">
        <v>48</v>
      </c>
      <c r="N96" s="2"/>
      <c r="O96" s="2"/>
    </row>
    <row r="97" spans="1:17" ht="15" customHeight="1" x14ac:dyDescent="0.3">
      <c r="A97" s="29" t="s">
        <v>80</v>
      </c>
      <c r="B97" s="29" t="s">
        <v>14</v>
      </c>
      <c r="C97" s="29">
        <v>10065</v>
      </c>
      <c r="D97" s="29" t="s">
        <v>16</v>
      </c>
      <c r="E97" s="29" t="s">
        <v>17</v>
      </c>
      <c r="F97" s="29">
        <v>88</v>
      </c>
      <c r="G97" s="29">
        <v>0.67500000000000004</v>
      </c>
      <c r="H97" s="29">
        <f>G97*F97</f>
        <v>59.400000000000006</v>
      </c>
      <c r="I97" s="29">
        <v>42</v>
      </c>
      <c r="J97" s="29">
        <v>4</v>
      </c>
      <c r="K97" s="29">
        <f t="shared" ref="K97" si="89">F97*I97</f>
        <v>3696</v>
      </c>
      <c r="L97" s="29">
        <f>K97*J97</f>
        <v>14784</v>
      </c>
      <c r="M97" s="29" t="s">
        <v>18</v>
      </c>
      <c r="N97" s="33">
        <v>7304341</v>
      </c>
      <c r="O97" s="33">
        <f>N97-N91</f>
        <v>3602</v>
      </c>
      <c r="P97" s="33">
        <f>O97/41</f>
        <v>87.853658536585371</v>
      </c>
      <c r="Q97" s="1" t="s">
        <v>81</v>
      </c>
    </row>
    <row r="98" spans="1:17" ht="15" customHeight="1" x14ac:dyDescent="0.3">
      <c r="A98" s="7" t="s">
        <v>80</v>
      </c>
      <c r="B98" s="11" t="s">
        <v>23</v>
      </c>
      <c r="C98" s="7" t="s">
        <v>33</v>
      </c>
      <c r="D98" s="7" t="s">
        <v>34</v>
      </c>
      <c r="E98" s="13" t="s">
        <v>39</v>
      </c>
      <c r="F98" s="7"/>
      <c r="G98" s="7" t="s">
        <v>36</v>
      </c>
      <c r="H98" s="7"/>
      <c r="I98" s="7"/>
      <c r="J98" s="7"/>
      <c r="K98" s="7">
        <v>6660</v>
      </c>
      <c r="L98" s="7">
        <f t="shared" ref="L98" si="90">K98</f>
        <v>6660</v>
      </c>
      <c r="M98" s="8" t="s">
        <v>26</v>
      </c>
      <c r="N98" s="2"/>
      <c r="O98" s="2"/>
    </row>
    <row r="99" spans="1:17" ht="15" customHeight="1" x14ac:dyDescent="0.3">
      <c r="A99" s="7" t="s">
        <v>80</v>
      </c>
      <c r="B99" s="11" t="s">
        <v>23</v>
      </c>
      <c r="C99" s="7" t="s">
        <v>33</v>
      </c>
      <c r="D99" s="7" t="s">
        <v>34</v>
      </c>
      <c r="E99" s="14" t="s">
        <v>30</v>
      </c>
      <c r="F99" s="7"/>
      <c r="G99" s="32" t="s">
        <v>78</v>
      </c>
      <c r="H99" s="7"/>
      <c r="I99" s="7"/>
      <c r="J99" s="7"/>
      <c r="K99" s="7">
        <v>9871</v>
      </c>
      <c r="L99" s="7">
        <f>K99</f>
        <v>9871</v>
      </c>
      <c r="M99" s="7" t="s">
        <v>31</v>
      </c>
      <c r="N99" s="2"/>
      <c r="O99" s="2"/>
    </row>
    <row r="100" spans="1:17" ht="15" customHeight="1" x14ac:dyDescent="0.3">
      <c r="A100" s="7" t="s">
        <v>80</v>
      </c>
      <c r="B100" s="16" t="s">
        <v>44</v>
      </c>
      <c r="C100" s="7" t="s">
        <v>45</v>
      </c>
      <c r="D100" s="7" t="s">
        <v>46</v>
      </c>
      <c r="E100" s="7" t="s">
        <v>25</v>
      </c>
      <c r="F100" s="7"/>
      <c r="G100" s="7"/>
      <c r="H100" s="7"/>
      <c r="I100" s="7"/>
      <c r="J100" s="7"/>
      <c r="K100" s="7">
        <v>2500</v>
      </c>
      <c r="L100" s="7">
        <f t="shared" ref="L100:L101" si="91">K100</f>
        <v>2500</v>
      </c>
      <c r="M100" s="7" t="s">
        <v>22</v>
      </c>
      <c r="N100" s="2"/>
      <c r="O100" s="2"/>
    </row>
    <row r="101" spans="1:17" ht="15" customHeight="1" x14ac:dyDescent="0.3">
      <c r="A101" s="7" t="s">
        <v>80</v>
      </c>
      <c r="B101" s="16" t="s">
        <v>44</v>
      </c>
      <c r="C101" s="7" t="s">
        <v>45</v>
      </c>
      <c r="D101" s="7" t="s">
        <v>46</v>
      </c>
      <c r="E101" s="7" t="s">
        <v>30</v>
      </c>
      <c r="F101" s="7"/>
      <c r="G101" s="7"/>
      <c r="H101" s="7"/>
      <c r="I101" s="7"/>
      <c r="J101" s="7"/>
      <c r="K101" s="7">
        <v>3000</v>
      </c>
      <c r="L101" s="7">
        <f t="shared" si="91"/>
        <v>3000</v>
      </c>
      <c r="M101" s="7" t="s">
        <v>48</v>
      </c>
      <c r="N101" s="2"/>
      <c r="O101" s="2"/>
    </row>
    <row r="102" spans="1:17" ht="15" customHeight="1" x14ac:dyDescent="0.3">
      <c r="A102" s="7" t="s">
        <v>80</v>
      </c>
      <c r="B102" s="16" t="s">
        <v>44</v>
      </c>
      <c r="C102" s="7" t="s">
        <v>45</v>
      </c>
      <c r="D102" s="7" t="s">
        <v>46</v>
      </c>
      <c r="E102" s="7" t="s">
        <v>47</v>
      </c>
      <c r="F102" s="7"/>
      <c r="G102" s="7"/>
      <c r="H102" s="7"/>
      <c r="I102" s="7"/>
      <c r="J102" s="7"/>
      <c r="K102" s="7">
        <v>2500</v>
      </c>
      <c r="L102" s="7">
        <f t="shared" ref="L102:L103" si="92">K102</f>
        <v>2500</v>
      </c>
      <c r="M102" s="7" t="s">
        <v>48</v>
      </c>
      <c r="N102" s="2"/>
      <c r="O102" s="2"/>
    </row>
    <row r="103" spans="1:17" ht="15" customHeight="1" x14ac:dyDescent="0.3">
      <c r="A103" s="7" t="s">
        <v>82</v>
      </c>
      <c r="B103" s="11" t="s">
        <v>23</v>
      </c>
      <c r="C103" s="7" t="s">
        <v>33</v>
      </c>
      <c r="D103" s="7" t="s">
        <v>34</v>
      </c>
      <c r="E103" s="13" t="s">
        <v>39</v>
      </c>
      <c r="F103" s="7"/>
      <c r="G103" s="7" t="s">
        <v>36</v>
      </c>
      <c r="H103" s="7"/>
      <c r="I103" s="7"/>
      <c r="J103" s="7"/>
      <c r="K103" s="7">
        <v>500</v>
      </c>
      <c r="L103" s="7">
        <f t="shared" si="92"/>
        <v>500</v>
      </c>
      <c r="M103" s="8" t="s">
        <v>26</v>
      </c>
      <c r="N103" s="2"/>
      <c r="O103" s="2"/>
    </row>
    <row r="104" spans="1:17" ht="15" customHeight="1" x14ac:dyDescent="0.3">
      <c r="A104" s="7" t="s">
        <v>82</v>
      </c>
      <c r="B104" s="11" t="s">
        <v>23</v>
      </c>
      <c r="C104" s="7" t="s">
        <v>33</v>
      </c>
      <c r="D104" s="7" t="s">
        <v>34</v>
      </c>
      <c r="E104" s="14" t="s">
        <v>30</v>
      </c>
      <c r="F104" s="7"/>
      <c r="G104" s="32" t="s">
        <v>78</v>
      </c>
      <c r="H104" s="7"/>
      <c r="I104" s="7"/>
      <c r="J104" s="7"/>
      <c r="K104" s="7">
        <v>550</v>
      </c>
      <c r="L104" s="7">
        <f>K104</f>
        <v>550</v>
      </c>
      <c r="M104" s="7" t="s">
        <v>31</v>
      </c>
      <c r="N104" s="2"/>
      <c r="O104" s="2"/>
    </row>
    <row r="105" spans="1:17" ht="15" customHeight="1" x14ac:dyDescent="0.3">
      <c r="A105" s="7" t="s">
        <v>82</v>
      </c>
      <c r="B105" s="16" t="s">
        <v>44</v>
      </c>
      <c r="C105" s="7" t="s">
        <v>45</v>
      </c>
      <c r="D105" s="7" t="s">
        <v>46</v>
      </c>
      <c r="E105" s="7" t="s">
        <v>30</v>
      </c>
      <c r="F105" s="7"/>
      <c r="G105" s="7"/>
      <c r="H105" s="7"/>
      <c r="I105" s="7"/>
      <c r="J105" s="7"/>
      <c r="K105" s="7">
        <v>2000</v>
      </c>
      <c r="L105" s="7">
        <f t="shared" ref="L105:L106" si="93">K105</f>
        <v>2000</v>
      </c>
      <c r="M105" s="7" t="s">
        <v>48</v>
      </c>
      <c r="N105" s="2"/>
      <c r="O105" s="2"/>
    </row>
    <row r="106" spans="1:17" ht="15" customHeight="1" x14ac:dyDescent="0.3">
      <c r="A106" s="7" t="s">
        <v>82</v>
      </c>
      <c r="B106" s="16" t="s">
        <v>44</v>
      </c>
      <c r="C106" s="7" t="s">
        <v>45</v>
      </c>
      <c r="D106" s="7" t="s">
        <v>46</v>
      </c>
      <c r="E106" s="7" t="s">
        <v>47</v>
      </c>
      <c r="F106" s="7"/>
      <c r="G106" s="7"/>
      <c r="H106" s="7"/>
      <c r="I106" s="7"/>
      <c r="J106" s="7"/>
      <c r="K106" s="7">
        <v>3500</v>
      </c>
      <c r="L106" s="7">
        <f t="shared" si="93"/>
        <v>3500</v>
      </c>
      <c r="M106" s="7" t="s">
        <v>48</v>
      </c>
      <c r="N106" s="2"/>
      <c r="O106" s="2"/>
    </row>
    <row r="107" spans="1:17" ht="15" customHeight="1" x14ac:dyDescent="0.3">
      <c r="A107" s="7" t="s">
        <v>82</v>
      </c>
      <c r="B107" s="7" t="s">
        <v>14</v>
      </c>
      <c r="C107" s="7" t="s">
        <v>83</v>
      </c>
      <c r="D107" s="7" t="s">
        <v>84</v>
      </c>
      <c r="E107" s="7" t="s">
        <v>17</v>
      </c>
      <c r="F107" s="7">
        <v>144</v>
      </c>
      <c r="G107" s="7">
        <v>0.44</v>
      </c>
      <c r="H107" s="7">
        <v>22</v>
      </c>
      <c r="I107" s="7">
        <v>50</v>
      </c>
      <c r="J107" s="7">
        <v>1</v>
      </c>
      <c r="K107" s="7">
        <f>F107*I107</f>
        <v>7200</v>
      </c>
      <c r="L107" s="7">
        <f>K107*J107</f>
        <v>7200</v>
      </c>
      <c r="M107" s="7" t="s">
        <v>22</v>
      </c>
      <c r="N107" s="2"/>
      <c r="O107" s="2"/>
    </row>
    <row r="108" spans="1:17" ht="15" customHeight="1" x14ac:dyDescent="0.3">
      <c r="A108" s="7" t="s">
        <v>82</v>
      </c>
      <c r="B108" s="7" t="s">
        <v>14</v>
      </c>
      <c r="C108" s="7" t="s">
        <v>83</v>
      </c>
      <c r="D108" s="7" t="s">
        <v>84</v>
      </c>
      <c r="E108" s="7" t="s">
        <v>25</v>
      </c>
      <c r="F108" s="7"/>
      <c r="G108" s="7"/>
      <c r="H108" s="7"/>
      <c r="I108" s="7"/>
      <c r="J108" s="7"/>
      <c r="K108" s="7">
        <v>7200</v>
      </c>
      <c r="L108" s="7">
        <f>K108</f>
        <v>7200</v>
      </c>
      <c r="M108" s="7" t="s">
        <v>22</v>
      </c>
      <c r="N108" s="2"/>
      <c r="O108" s="2"/>
    </row>
    <row r="109" spans="1:17" ht="15" customHeight="1" x14ac:dyDescent="0.3">
      <c r="A109" s="7" t="s">
        <v>82</v>
      </c>
      <c r="B109" s="11" t="s">
        <v>23</v>
      </c>
      <c r="C109" s="7">
        <v>65548</v>
      </c>
      <c r="D109" s="18" t="s">
        <v>24</v>
      </c>
      <c r="E109" s="7" t="s">
        <v>25</v>
      </c>
      <c r="F109" s="7"/>
      <c r="G109" s="7"/>
      <c r="H109" s="7"/>
      <c r="I109" s="7"/>
      <c r="J109" s="7"/>
      <c r="K109" s="7">
        <v>2100</v>
      </c>
      <c r="L109" s="7">
        <f t="shared" ref="L109:L110" si="94">K109</f>
        <v>2100</v>
      </c>
      <c r="M109" s="8" t="s">
        <v>26</v>
      </c>
      <c r="N109" s="2"/>
      <c r="O109" s="2"/>
    </row>
    <row r="110" spans="1:17" ht="15" customHeight="1" x14ac:dyDescent="0.3">
      <c r="A110" s="7" t="s">
        <v>82</v>
      </c>
      <c r="B110" s="11" t="s">
        <v>23</v>
      </c>
      <c r="C110" s="7" t="s">
        <v>33</v>
      </c>
      <c r="D110" s="7" t="s">
        <v>34</v>
      </c>
      <c r="E110" s="12" t="s">
        <v>35</v>
      </c>
      <c r="F110" s="7"/>
      <c r="G110" s="31" t="s">
        <v>77</v>
      </c>
      <c r="H110" s="7"/>
      <c r="I110" s="7"/>
      <c r="J110" s="7"/>
      <c r="K110" s="7">
        <v>1869</v>
      </c>
      <c r="L110" s="7">
        <f t="shared" si="94"/>
        <v>1869</v>
      </c>
      <c r="M110" s="7" t="s">
        <v>18</v>
      </c>
      <c r="N110" s="2">
        <v>7306210</v>
      </c>
      <c r="O110" s="2">
        <f>N110-N97</f>
        <v>1869</v>
      </c>
    </row>
    <row r="111" spans="1:17" ht="15" customHeight="1" x14ac:dyDescent="0.3">
      <c r="A111" s="7" t="s">
        <v>85</v>
      </c>
      <c r="B111" s="11" t="s">
        <v>23</v>
      </c>
      <c r="C111" s="7">
        <v>65548</v>
      </c>
      <c r="D111" s="18" t="s">
        <v>24</v>
      </c>
      <c r="E111" s="7" t="s">
        <v>25</v>
      </c>
      <c r="F111" s="7"/>
      <c r="G111" s="7"/>
      <c r="H111" s="7"/>
      <c r="I111" s="7"/>
      <c r="J111" s="7"/>
      <c r="K111" s="7">
        <v>5278</v>
      </c>
      <c r="L111" s="7">
        <f t="shared" ref="L111:L112" si="95">K111</f>
        <v>5278</v>
      </c>
      <c r="M111" s="8" t="s">
        <v>26</v>
      </c>
      <c r="N111" s="2"/>
      <c r="O111" s="2"/>
    </row>
    <row r="112" spans="1:17" ht="15" customHeight="1" x14ac:dyDescent="0.3">
      <c r="A112" s="7" t="s">
        <v>85</v>
      </c>
      <c r="B112" s="11" t="s">
        <v>23</v>
      </c>
      <c r="C112" s="7" t="s">
        <v>33</v>
      </c>
      <c r="D112" s="7" t="s">
        <v>34</v>
      </c>
      <c r="E112" s="12" t="s">
        <v>35</v>
      </c>
      <c r="F112" s="7"/>
      <c r="G112" s="31" t="s">
        <v>77</v>
      </c>
      <c r="H112" s="7"/>
      <c r="I112" s="7"/>
      <c r="J112" s="7"/>
      <c r="K112" s="7">
        <v>10890</v>
      </c>
      <c r="L112" s="7">
        <f t="shared" si="95"/>
        <v>10890</v>
      </c>
      <c r="M112" s="7" t="s">
        <v>18</v>
      </c>
      <c r="N112" s="2">
        <v>7317100</v>
      </c>
      <c r="O112" s="2">
        <f>N112-N110</f>
        <v>10890</v>
      </c>
    </row>
    <row r="113" spans="1:15" ht="15" customHeight="1" x14ac:dyDescent="0.3">
      <c r="A113" s="7" t="s">
        <v>85</v>
      </c>
      <c r="B113" s="7" t="s">
        <v>14</v>
      </c>
      <c r="C113" s="7" t="s">
        <v>86</v>
      </c>
      <c r="D113" s="7" t="s">
        <v>84</v>
      </c>
      <c r="E113" s="7" t="s">
        <v>17</v>
      </c>
      <c r="F113" s="7">
        <v>171</v>
      </c>
      <c r="G113" s="7">
        <v>0.46</v>
      </c>
      <c r="H113" s="7">
        <v>36.340000000000003</v>
      </c>
      <c r="I113" s="7">
        <v>38</v>
      </c>
      <c r="J113" s="7">
        <v>1</v>
      </c>
      <c r="K113" s="7">
        <f t="shared" ref="K113" si="96">F113*I113</f>
        <v>6498</v>
      </c>
      <c r="L113" s="7">
        <f>K113*J113</f>
        <v>6498</v>
      </c>
      <c r="M113" s="7" t="s">
        <v>22</v>
      </c>
      <c r="N113" s="2"/>
      <c r="O113" s="2"/>
    </row>
    <row r="114" spans="1:15" ht="15" customHeight="1" x14ac:dyDescent="0.3">
      <c r="A114" s="7" t="s">
        <v>85</v>
      </c>
      <c r="B114" s="7" t="s">
        <v>14</v>
      </c>
      <c r="C114" s="7" t="s">
        <v>86</v>
      </c>
      <c r="D114" s="7" t="s">
        <v>84</v>
      </c>
      <c r="E114" s="7" t="s">
        <v>25</v>
      </c>
      <c r="F114" s="7"/>
      <c r="G114" s="7"/>
      <c r="H114" s="7"/>
      <c r="I114" s="7"/>
      <c r="J114" s="7"/>
      <c r="K114" s="7">
        <v>3765</v>
      </c>
      <c r="L114" s="7">
        <f t="shared" ref="L114" si="97">K114</f>
        <v>3765</v>
      </c>
      <c r="M114" s="7" t="s">
        <v>22</v>
      </c>
      <c r="N114" s="2"/>
      <c r="O114" s="2"/>
    </row>
    <row r="115" spans="1:15" ht="15" customHeight="1" x14ac:dyDescent="0.3">
      <c r="A115" s="7" t="s">
        <v>85</v>
      </c>
      <c r="B115" s="7" t="s">
        <v>14</v>
      </c>
      <c r="C115" s="7">
        <v>7479</v>
      </c>
      <c r="D115" s="7" t="s">
        <v>20</v>
      </c>
      <c r="E115" s="7" t="s">
        <v>21</v>
      </c>
      <c r="F115" s="7">
        <v>65</v>
      </c>
      <c r="G115" s="7">
        <v>0.15</v>
      </c>
      <c r="H115" s="7">
        <f>G115*F115</f>
        <v>9.75</v>
      </c>
      <c r="I115" s="7">
        <v>80</v>
      </c>
      <c r="J115" s="7">
        <v>1</v>
      </c>
      <c r="K115" s="7">
        <f>F115*I115</f>
        <v>5200</v>
      </c>
      <c r="L115" s="7">
        <f>K115*J115</f>
        <v>5200</v>
      </c>
      <c r="M115" s="7" t="s">
        <v>37</v>
      </c>
      <c r="N115" s="2"/>
      <c r="O115" s="2"/>
    </row>
    <row r="116" spans="1:15" ht="15" customHeight="1" x14ac:dyDescent="0.3">
      <c r="A116" s="7" t="s">
        <v>85</v>
      </c>
      <c r="B116" s="16" t="s">
        <v>44</v>
      </c>
      <c r="C116" s="7" t="s">
        <v>45</v>
      </c>
      <c r="D116" s="7" t="s">
        <v>46</v>
      </c>
      <c r="E116" s="7" t="s">
        <v>30</v>
      </c>
      <c r="F116" s="7"/>
      <c r="G116" s="7"/>
      <c r="H116" s="7"/>
      <c r="I116" s="7"/>
      <c r="J116" s="7"/>
      <c r="K116" s="7">
        <v>1600</v>
      </c>
      <c r="L116" s="7">
        <f t="shared" ref="L116:L118" si="98">K116</f>
        <v>1600</v>
      </c>
      <c r="M116" s="7" t="s">
        <v>48</v>
      </c>
      <c r="N116" s="2"/>
      <c r="O116" s="2"/>
    </row>
    <row r="117" spans="1:15" ht="15" customHeight="1" x14ac:dyDescent="0.3">
      <c r="A117" s="7" t="s">
        <v>87</v>
      </c>
      <c r="B117" s="11" t="s">
        <v>23</v>
      </c>
      <c r="C117" s="7" t="s">
        <v>33</v>
      </c>
      <c r="D117" s="7" t="s">
        <v>34</v>
      </c>
      <c r="E117" s="12" t="s">
        <v>35</v>
      </c>
      <c r="F117" s="7"/>
      <c r="G117" s="31" t="s">
        <v>77</v>
      </c>
      <c r="H117" s="7"/>
      <c r="I117" s="7"/>
      <c r="J117" s="7"/>
      <c r="K117" s="7">
        <v>2200</v>
      </c>
      <c r="L117" s="7">
        <f t="shared" si="98"/>
        <v>2200</v>
      </c>
      <c r="M117" s="7" t="s">
        <v>18</v>
      </c>
      <c r="N117" s="2">
        <v>7319300</v>
      </c>
      <c r="O117" s="2">
        <f>N117-N112</f>
        <v>2200</v>
      </c>
    </row>
    <row r="118" spans="1:15" ht="15" customHeight="1" x14ac:dyDescent="0.3">
      <c r="A118" s="7" t="s">
        <v>87</v>
      </c>
      <c r="B118" s="11" t="s">
        <v>23</v>
      </c>
      <c r="C118" s="7" t="s">
        <v>33</v>
      </c>
      <c r="D118" s="7" t="s">
        <v>34</v>
      </c>
      <c r="E118" s="13" t="s">
        <v>39</v>
      </c>
      <c r="F118" s="7"/>
      <c r="G118" s="7" t="s">
        <v>36</v>
      </c>
      <c r="H118" s="7"/>
      <c r="I118" s="7"/>
      <c r="J118" s="7"/>
      <c r="K118" s="7">
        <v>8400</v>
      </c>
      <c r="L118" s="7">
        <f t="shared" si="98"/>
        <v>8400</v>
      </c>
      <c r="M118" s="7" t="s">
        <v>18</v>
      </c>
      <c r="N118" s="2">
        <v>7327700</v>
      </c>
      <c r="O118" s="2">
        <f>N118-N117</f>
        <v>8400</v>
      </c>
    </row>
    <row r="119" spans="1:15" ht="15" customHeight="1" x14ac:dyDescent="0.3">
      <c r="A119" s="7" t="s">
        <v>87</v>
      </c>
      <c r="B119" s="11" t="s">
        <v>23</v>
      </c>
      <c r="C119" s="7" t="s">
        <v>33</v>
      </c>
      <c r="D119" s="7" t="s">
        <v>34</v>
      </c>
      <c r="E119" s="14" t="s">
        <v>30</v>
      </c>
      <c r="F119" s="7"/>
      <c r="G119" s="32" t="s">
        <v>78</v>
      </c>
      <c r="H119" s="7"/>
      <c r="I119" s="7"/>
      <c r="J119" s="7"/>
      <c r="K119" s="7">
        <v>3100</v>
      </c>
      <c r="L119" s="7">
        <f>K119</f>
        <v>3100</v>
      </c>
      <c r="M119" s="7" t="s">
        <v>31</v>
      </c>
      <c r="N119" s="2"/>
      <c r="O119" s="2"/>
    </row>
    <row r="120" spans="1:15" ht="15" customHeight="1" x14ac:dyDescent="0.3">
      <c r="A120" s="7" t="s">
        <v>87</v>
      </c>
      <c r="B120" s="11" t="s">
        <v>23</v>
      </c>
      <c r="C120" s="7">
        <v>65548</v>
      </c>
      <c r="D120" s="18" t="s">
        <v>24</v>
      </c>
      <c r="E120" s="7" t="s">
        <v>25</v>
      </c>
      <c r="F120" s="7"/>
      <c r="G120" s="7"/>
      <c r="H120" s="7"/>
      <c r="I120" s="7"/>
      <c r="J120" s="7"/>
      <c r="K120" s="7">
        <v>4800</v>
      </c>
      <c r="L120" s="7">
        <f t="shared" ref="L120:L121" si="99">K120</f>
        <v>4800</v>
      </c>
      <c r="M120" s="8" t="s">
        <v>26</v>
      </c>
      <c r="N120" s="2"/>
      <c r="O120" s="2"/>
    </row>
    <row r="121" spans="1:15" ht="15" customHeight="1" x14ac:dyDescent="0.3">
      <c r="A121" s="7" t="s">
        <v>87</v>
      </c>
      <c r="B121" s="7" t="s">
        <v>14</v>
      </c>
      <c r="C121" s="7" t="s">
        <v>86</v>
      </c>
      <c r="D121" s="7" t="s">
        <v>84</v>
      </c>
      <c r="E121" s="7" t="s">
        <v>25</v>
      </c>
      <c r="F121" s="7"/>
      <c r="G121" s="7"/>
      <c r="H121" s="7"/>
      <c r="I121" s="7"/>
      <c r="J121" s="7"/>
      <c r="K121" s="7">
        <v>2535</v>
      </c>
      <c r="L121" s="7">
        <f t="shared" si="99"/>
        <v>2535</v>
      </c>
      <c r="M121" s="7" t="s">
        <v>22</v>
      </c>
      <c r="N121" s="2"/>
      <c r="O121" s="2"/>
    </row>
    <row r="122" spans="1:15" ht="15" customHeight="1" x14ac:dyDescent="0.3">
      <c r="A122" s="7" t="s">
        <v>87</v>
      </c>
      <c r="B122" s="7" t="s">
        <v>14</v>
      </c>
      <c r="C122" s="7">
        <v>7479</v>
      </c>
      <c r="D122" s="7" t="s">
        <v>20</v>
      </c>
      <c r="E122" s="7" t="s">
        <v>21</v>
      </c>
      <c r="F122" s="7">
        <v>200</v>
      </c>
      <c r="G122" s="7">
        <v>0.15</v>
      </c>
      <c r="H122" s="7">
        <f>G122*F122</f>
        <v>30</v>
      </c>
      <c r="I122" s="7">
        <v>80</v>
      </c>
      <c r="J122" s="7">
        <v>1</v>
      </c>
      <c r="K122" s="7">
        <f>F122*I122</f>
        <v>16000</v>
      </c>
      <c r="L122" s="7">
        <f>K122*J122</f>
        <v>16000</v>
      </c>
      <c r="M122" s="7" t="s">
        <v>37</v>
      </c>
      <c r="N122" s="2"/>
      <c r="O122" s="2"/>
    </row>
    <row r="123" spans="1:15" ht="15" customHeight="1" x14ac:dyDescent="0.3">
      <c r="A123" s="7" t="s">
        <v>87</v>
      </c>
      <c r="B123" s="9" t="s">
        <v>27</v>
      </c>
      <c r="C123" s="7" t="s">
        <v>28</v>
      </c>
      <c r="D123" s="7" t="s">
        <v>29</v>
      </c>
      <c r="E123" s="7" t="s">
        <v>21</v>
      </c>
      <c r="F123" s="7">
        <v>50</v>
      </c>
      <c r="G123" s="7"/>
      <c r="H123" s="7"/>
      <c r="I123" s="7">
        <v>16</v>
      </c>
      <c r="J123" s="7">
        <v>1</v>
      </c>
      <c r="K123" s="7">
        <f t="shared" ref="K123" si="100">F123*I123</f>
        <v>800</v>
      </c>
      <c r="L123" s="7">
        <f t="shared" ref="L123" si="101">K123*J123</f>
        <v>800</v>
      </c>
      <c r="M123" s="7" t="s">
        <v>22</v>
      </c>
      <c r="N123" s="2"/>
      <c r="O123" s="2"/>
    </row>
    <row r="124" spans="1:15" ht="15" customHeight="1" x14ac:dyDescent="0.3">
      <c r="A124" s="7" t="s">
        <v>88</v>
      </c>
      <c r="B124" s="11" t="s">
        <v>23</v>
      </c>
      <c r="C124" s="7" t="s">
        <v>33</v>
      </c>
      <c r="D124" s="7" t="s">
        <v>34</v>
      </c>
      <c r="E124" s="13" t="s">
        <v>39</v>
      </c>
      <c r="F124" s="7"/>
      <c r="G124" s="7" t="s">
        <v>36</v>
      </c>
      <c r="H124" s="7"/>
      <c r="I124" s="7"/>
      <c r="J124" s="7"/>
      <c r="K124" s="7">
        <v>6594</v>
      </c>
      <c r="L124" s="7">
        <f t="shared" ref="L124:L125" si="102">K124</f>
        <v>6594</v>
      </c>
      <c r="M124" s="7" t="s">
        <v>18</v>
      </c>
      <c r="N124" s="2">
        <v>7334294</v>
      </c>
      <c r="O124" s="2">
        <f>N124-N118</f>
        <v>6594</v>
      </c>
    </row>
    <row r="125" spans="1:15" ht="15" customHeight="1" x14ac:dyDescent="0.3">
      <c r="A125" s="7" t="s">
        <v>88</v>
      </c>
      <c r="B125" s="11" t="s">
        <v>23</v>
      </c>
      <c r="C125" s="7">
        <v>65548</v>
      </c>
      <c r="D125" s="18" t="s">
        <v>24</v>
      </c>
      <c r="E125" s="7" t="s">
        <v>30</v>
      </c>
      <c r="F125" s="7"/>
      <c r="G125" s="7" t="s">
        <v>36</v>
      </c>
      <c r="H125" s="7"/>
      <c r="I125" s="7"/>
      <c r="J125" s="7"/>
      <c r="K125" s="7">
        <v>5050</v>
      </c>
      <c r="L125" s="7">
        <f t="shared" si="102"/>
        <v>5050</v>
      </c>
      <c r="M125" s="8" t="s">
        <v>26</v>
      </c>
      <c r="N125" s="2"/>
      <c r="O125" s="2"/>
    </row>
    <row r="126" spans="1:15" ht="15" customHeight="1" x14ac:dyDescent="0.3">
      <c r="A126" s="7" t="s">
        <v>88</v>
      </c>
      <c r="B126" s="7" t="s">
        <v>14</v>
      </c>
      <c r="C126" s="7" t="s">
        <v>89</v>
      </c>
      <c r="D126" s="7" t="s">
        <v>90</v>
      </c>
      <c r="E126" s="7" t="s">
        <v>21</v>
      </c>
      <c r="F126" s="7">
        <v>70</v>
      </c>
      <c r="G126" s="7">
        <v>0.13500000000000001</v>
      </c>
      <c r="H126" s="7">
        <f t="shared" ref="H126" si="103">F126*G126</f>
        <v>9.4500000000000011</v>
      </c>
      <c r="I126" s="7">
        <v>77</v>
      </c>
      <c r="J126" s="7">
        <v>1</v>
      </c>
      <c r="K126" s="7">
        <f t="shared" ref="K126" si="104">F126*I126</f>
        <v>5390</v>
      </c>
      <c r="L126" s="7">
        <f t="shared" ref="L126" si="105">K126*J126</f>
        <v>5390</v>
      </c>
      <c r="M126" s="7" t="s">
        <v>37</v>
      </c>
      <c r="N126" s="2"/>
      <c r="O126" s="2"/>
    </row>
    <row r="127" spans="1:15" ht="15" customHeight="1" x14ac:dyDescent="0.3">
      <c r="A127" s="7" t="s">
        <v>88</v>
      </c>
      <c r="B127" s="7" t="s">
        <v>14</v>
      </c>
      <c r="C127" s="7" t="s">
        <v>89</v>
      </c>
      <c r="D127" s="7" t="s">
        <v>90</v>
      </c>
      <c r="E127" s="7" t="s">
        <v>25</v>
      </c>
      <c r="F127" s="7"/>
      <c r="G127" s="7"/>
      <c r="H127" s="7"/>
      <c r="I127" s="7"/>
      <c r="J127" s="7"/>
      <c r="K127" s="7">
        <v>5000</v>
      </c>
      <c r="L127" s="7">
        <f t="shared" ref="L127" si="106">K127</f>
        <v>5000</v>
      </c>
      <c r="M127" s="7" t="s">
        <v>31</v>
      </c>
      <c r="N127" s="2"/>
      <c r="O127" s="2"/>
    </row>
    <row r="128" spans="1:15" ht="15" customHeight="1" x14ac:dyDescent="0.3">
      <c r="A128" s="7" t="s">
        <v>88</v>
      </c>
      <c r="B128" s="9" t="s">
        <v>27</v>
      </c>
      <c r="C128" s="7" t="s">
        <v>28</v>
      </c>
      <c r="D128" s="7" t="s">
        <v>29</v>
      </c>
      <c r="E128" s="7" t="s">
        <v>21</v>
      </c>
      <c r="F128" s="7">
        <v>263</v>
      </c>
      <c r="G128" s="7"/>
      <c r="H128" s="7"/>
      <c r="I128" s="7">
        <v>16</v>
      </c>
      <c r="J128" s="7">
        <v>1</v>
      </c>
      <c r="K128" s="7">
        <f t="shared" ref="K128" si="107">F128*I128</f>
        <v>4208</v>
      </c>
      <c r="L128" s="7">
        <f t="shared" ref="L128" si="108">K128*J128</f>
        <v>4208</v>
      </c>
      <c r="M128" s="7" t="s">
        <v>22</v>
      </c>
      <c r="N128" s="2"/>
      <c r="O128" s="2"/>
    </row>
    <row r="129" spans="1:15" ht="15" customHeight="1" x14ac:dyDescent="0.3">
      <c r="A129" s="7" t="s">
        <v>92</v>
      </c>
      <c r="B129" s="11" t="s">
        <v>23</v>
      </c>
      <c r="C129" s="7">
        <v>65548</v>
      </c>
      <c r="D129" s="18" t="s">
        <v>24</v>
      </c>
      <c r="E129" s="7" t="s">
        <v>30</v>
      </c>
      <c r="F129" s="7"/>
      <c r="G129" s="7" t="s">
        <v>36</v>
      </c>
      <c r="H129" s="7"/>
      <c r="I129" s="7"/>
      <c r="J129" s="7"/>
      <c r="K129" s="7">
        <v>5015</v>
      </c>
      <c r="L129" s="7">
        <f t="shared" ref="L129" si="109">K129</f>
        <v>5015</v>
      </c>
      <c r="M129" s="8" t="s">
        <v>26</v>
      </c>
      <c r="N129" s="2"/>
      <c r="O129" s="2"/>
    </row>
    <row r="130" spans="1:15" ht="15" customHeight="1" x14ac:dyDescent="0.3">
      <c r="A130" s="7" t="s">
        <v>92</v>
      </c>
      <c r="B130" s="7" t="s">
        <v>14</v>
      </c>
      <c r="C130" s="7" t="s">
        <v>89</v>
      </c>
      <c r="D130" s="7" t="s">
        <v>90</v>
      </c>
      <c r="E130" s="7" t="s">
        <v>21</v>
      </c>
      <c r="F130" s="7">
        <v>143</v>
      </c>
      <c r="G130" s="7">
        <v>0.13500000000000001</v>
      </c>
      <c r="H130" s="7">
        <f t="shared" ref="H130" si="110">F130*G130</f>
        <v>19.305</v>
      </c>
      <c r="I130" s="7">
        <v>77</v>
      </c>
      <c r="J130" s="7">
        <v>1</v>
      </c>
      <c r="K130" s="7">
        <f t="shared" ref="K130" si="111">F130*I130</f>
        <v>11011</v>
      </c>
      <c r="L130" s="7">
        <f t="shared" ref="L130" si="112">K130*J130</f>
        <v>11011</v>
      </c>
      <c r="M130" s="7" t="s">
        <v>37</v>
      </c>
      <c r="N130" s="2"/>
      <c r="O130" s="2"/>
    </row>
    <row r="131" spans="1:15" ht="15" customHeight="1" x14ac:dyDescent="0.3">
      <c r="A131" s="7" t="s">
        <v>92</v>
      </c>
      <c r="B131" s="7" t="s">
        <v>14</v>
      </c>
      <c r="C131" s="7" t="s">
        <v>89</v>
      </c>
      <c r="D131" s="7" t="s">
        <v>90</v>
      </c>
      <c r="E131" s="7" t="s">
        <v>25</v>
      </c>
      <c r="F131" s="7"/>
      <c r="G131" s="7"/>
      <c r="H131" s="7"/>
      <c r="I131" s="7"/>
      <c r="J131" s="7"/>
      <c r="K131" s="7">
        <v>1520</v>
      </c>
      <c r="L131" s="7">
        <f t="shared" ref="L131" si="113">K131</f>
        <v>1520</v>
      </c>
      <c r="M131" s="7" t="s">
        <v>31</v>
      </c>
      <c r="N131" s="2"/>
      <c r="O131" s="2"/>
    </row>
    <row r="132" spans="1:15" ht="15" customHeight="1" x14ac:dyDescent="0.3">
      <c r="A132" s="7" t="s">
        <v>92</v>
      </c>
      <c r="B132" s="9" t="s">
        <v>27</v>
      </c>
      <c r="C132" s="7" t="s">
        <v>28</v>
      </c>
      <c r="D132" s="7" t="s">
        <v>29</v>
      </c>
      <c r="E132" s="7" t="s">
        <v>21</v>
      </c>
      <c r="F132" s="7">
        <v>202</v>
      </c>
      <c r="G132" s="7"/>
      <c r="H132" s="7"/>
      <c r="I132" s="7">
        <v>16</v>
      </c>
      <c r="J132" s="7">
        <v>1</v>
      </c>
      <c r="K132" s="7">
        <f t="shared" ref="K132" si="114">F132*I132</f>
        <v>3232</v>
      </c>
      <c r="L132" s="7">
        <f t="shared" ref="L132" si="115">K132*J132</f>
        <v>3232</v>
      </c>
      <c r="M132" s="7" t="s">
        <v>22</v>
      </c>
    </row>
    <row r="133" spans="1:15" ht="15" customHeight="1" x14ac:dyDescent="0.3">
      <c r="A133" s="7" t="s">
        <v>92</v>
      </c>
      <c r="B133" s="9" t="s">
        <v>27</v>
      </c>
      <c r="C133" s="7" t="s">
        <v>28</v>
      </c>
      <c r="D133" s="7" t="s">
        <v>29</v>
      </c>
      <c r="E133" s="7" t="s">
        <v>30</v>
      </c>
      <c r="F133" s="7"/>
      <c r="G133" s="7"/>
      <c r="H133" s="7"/>
      <c r="I133" s="7"/>
      <c r="J133" s="7"/>
      <c r="K133" s="7">
        <v>2000</v>
      </c>
      <c r="L133" s="7">
        <f t="shared" ref="L133" si="116">K133</f>
        <v>2000</v>
      </c>
      <c r="M133" s="10" t="s">
        <v>31</v>
      </c>
    </row>
    <row r="134" spans="1:15" ht="15" customHeight="1" x14ac:dyDescent="0.3">
      <c r="A134" s="7" t="s">
        <v>92</v>
      </c>
      <c r="B134" s="15" t="s">
        <v>41</v>
      </c>
      <c r="C134" s="7" t="s">
        <v>42</v>
      </c>
      <c r="D134" s="7" t="s">
        <v>93</v>
      </c>
      <c r="E134" s="7" t="s">
        <v>21</v>
      </c>
      <c r="F134" s="7">
        <v>70</v>
      </c>
      <c r="G134" s="7">
        <v>0</v>
      </c>
      <c r="H134" s="7">
        <f>G134*F134</f>
        <v>0</v>
      </c>
      <c r="I134" s="7">
        <v>42</v>
      </c>
      <c r="J134" s="7">
        <v>4</v>
      </c>
      <c r="K134" s="7">
        <f>F134*I134</f>
        <v>2940</v>
      </c>
      <c r="L134" s="7">
        <f>K134*J134</f>
        <v>11760</v>
      </c>
      <c r="M134" s="7" t="s">
        <v>91</v>
      </c>
    </row>
    <row r="135" spans="1:15" ht="15" customHeight="1" x14ac:dyDescent="0.3">
      <c r="A135" s="7" t="s">
        <v>94</v>
      </c>
      <c r="B135" s="15" t="s">
        <v>41</v>
      </c>
      <c r="C135" s="7" t="s">
        <v>42</v>
      </c>
      <c r="D135" s="7" t="s">
        <v>93</v>
      </c>
      <c r="E135" s="7" t="s">
        <v>21</v>
      </c>
      <c r="F135" s="7">
        <v>32</v>
      </c>
      <c r="G135" s="7">
        <v>0</v>
      </c>
      <c r="H135" s="7">
        <f>G135*F135</f>
        <v>0</v>
      </c>
      <c r="I135" s="7">
        <v>42</v>
      </c>
      <c r="J135" s="7">
        <v>4</v>
      </c>
      <c r="K135" s="7">
        <f>F135*I135</f>
        <v>1344</v>
      </c>
      <c r="L135" s="7">
        <f>K135*J135</f>
        <v>5376</v>
      </c>
      <c r="M135" s="7" t="s">
        <v>91</v>
      </c>
    </row>
    <row r="136" spans="1:15" ht="15" customHeight="1" x14ac:dyDescent="0.3">
      <c r="A136" s="7" t="s">
        <v>94</v>
      </c>
      <c r="B136" s="9" t="s">
        <v>27</v>
      </c>
      <c r="C136" s="7" t="s">
        <v>28</v>
      </c>
      <c r="D136" s="7" t="s">
        <v>29</v>
      </c>
      <c r="E136" s="7" t="s">
        <v>21</v>
      </c>
      <c r="F136" s="7">
        <v>152</v>
      </c>
      <c r="G136" s="7"/>
      <c r="H136" s="7"/>
      <c r="I136" s="7">
        <v>16</v>
      </c>
      <c r="J136" s="7">
        <v>1</v>
      </c>
      <c r="K136" s="7">
        <f t="shared" ref="K136" si="117">F136*I136</f>
        <v>2432</v>
      </c>
      <c r="L136" s="7">
        <f t="shared" ref="L136" si="118">K136*J136</f>
        <v>2432</v>
      </c>
      <c r="M136" s="7" t="s">
        <v>22</v>
      </c>
    </row>
    <row r="137" spans="1:15" ht="15" customHeight="1" x14ac:dyDescent="0.3">
      <c r="A137" s="7" t="s">
        <v>94</v>
      </c>
      <c r="B137" s="9" t="s">
        <v>27</v>
      </c>
      <c r="C137" s="7" t="s">
        <v>28</v>
      </c>
      <c r="D137" s="7" t="s">
        <v>29</v>
      </c>
      <c r="E137" s="7" t="s">
        <v>21</v>
      </c>
      <c r="F137" s="7">
        <v>83</v>
      </c>
      <c r="G137" s="7"/>
      <c r="H137" s="7"/>
      <c r="I137" s="34">
        <v>9</v>
      </c>
      <c r="J137" s="7">
        <v>1</v>
      </c>
      <c r="K137" s="7">
        <f t="shared" ref="K137" si="119">F137*I137</f>
        <v>747</v>
      </c>
      <c r="L137" s="7">
        <f t="shared" ref="L137" si="120">K137*J137</f>
        <v>747</v>
      </c>
      <c r="M137" s="7" t="s">
        <v>22</v>
      </c>
      <c r="N137" s="272" t="s">
        <v>95</v>
      </c>
      <c r="O137" s="273"/>
    </row>
    <row r="138" spans="1:15" ht="15" customHeight="1" x14ac:dyDescent="0.3">
      <c r="A138" s="7" t="s">
        <v>94</v>
      </c>
      <c r="B138" s="9" t="s">
        <v>27</v>
      </c>
      <c r="C138" s="7" t="s">
        <v>28</v>
      </c>
      <c r="D138" s="7" t="s">
        <v>29</v>
      </c>
      <c r="E138" s="7" t="s">
        <v>30</v>
      </c>
      <c r="F138" s="7"/>
      <c r="G138" s="7"/>
      <c r="H138" s="7"/>
      <c r="I138" s="7"/>
      <c r="J138" s="7"/>
      <c r="K138" s="7">
        <v>4000</v>
      </c>
      <c r="L138" s="7">
        <f t="shared" ref="L138" si="121">K138</f>
        <v>4000</v>
      </c>
      <c r="M138" s="10" t="s">
        <v>31</v>
      </c>
    </row>
    <row r="139" spans="1:15" ht="15" customHeight="1" x14ac:dyDescent="0.3">
      <c r="A139" s="7" t="s">
        <v>94</v>
      </c>
      <c r="B139" s="7" t="s">
        <v>14</v>
      </c>
      <c r="C139" s="7" t="s">
        <v>89</v>
      </c>
      <c r="D139" s="7" t="s">
        <v>90</v>
      </c>
      <c r="E139" s="7" t="s">
        <v>21</v>
      </c>
      <c r="F139" s="7">
        <v>68</v>
      </c>
      <c r="G139" s="7">
        <v>0.13500000000000001</v>
      </c>
      <c r="H139" s="7">
        <f t="shared" ref="H139" si="122">F139*G139</f>
        <v>9.18</v>
      </c>
      <c r="I139" s="7">
        <v>77</v>
      </c>
      <c r="J139" s="7">
        <v>1</v>
      </c>
      <c r="K139" s="7">
        <f t="shared" ref="K139" si="123">F139*I139</f>
        <v>5236</v>
      </c>
      <c r="L139" s="7">
        <f t="shared" ref="L139" si="124">K139*J139</f>
        <v>5236</v>
      </c>
      <c r="M139" s="7" t="s">
        <v>37</v>
      </c>
    </row>
    <row r="140" spans="1:15" ht="15" customHeight="1" x14ac:dyDescent="0.3">
      <c r="A140" s="7" t="s">
        <v>94</v>
      </c>
      <c r="B140" s="7" t="s">
        <v>14</v>
      </c>
      <c r="C140" s="7" t="s">
        <v>56</v>
      </c>
      <c r="D140" s="7" t="s">
        <v>57</v>
      </c>
      <c r="E140" s="7" t="s">
        <v>96</v>
      </c>
      <c r="F140" s="7"/>
      <c r="G140" s="7" t="s">
        <v>77</v>
      </c>
      <c r="H140" s="7"/>
      <c r="I140" s="7"/>
      <c r="J140" s="7">
        <v>1</v>
      </c>
      <c r="K140" s="7">
        <v>3800</v>
      </c>
      <c r="L140" s="7">
        <f t="shared" ref="L140" si="125">K140</f>
        <v>3800</v>
      </c>
      <c r="M140" s="7" t="s">
        <v>91</v>
      </c>
    </row>
    <row r="141" spans="1:15" ht="15" customHeight="1" x14ac:dyDescent="0.3">
      <c r="A141" s="7" t="s">
        <v>94</v>
      </c>
      <c r="B141" s="7" t="s">
        <v>14</v>
      </c>
      <c r="C141" s="7" t="s">
        <v>56</v>
      </c>
      <c r="D141" s="7" t="s">
        <v>57</v>
      </c>
      <c r="E141" s="7" t="s">
        <v>39</v>
      </c>
      <c r="F141" s="7"/>
      <c r="G141" s="7" t="s">
        <v>36</v>
      </c>
      <c r="H141" s="7"/>
      <c r="I141" s="7"/>
      <c r="J141" s="7">
        <v>2</v>
      </c>
      <c r="K141" s="7">
        <v>3800</v>
      </c>
      <c r="L141" s="7">
        <f>K141*2</f>
        <v>7600</v>
      </c>
      <c r="M141" s="7" t="s">
        <v>37</v>
      </c>
    </row>
    <row r="142" spans="1:15" ht="15" customHeight="1" x14ac:dyDescent="0.3">
      <c r="A142" s="7" t="s">
        <v>100</v>
      </c>
      <c r="B142" s="7" t="s">
        <v>14</v>
      </c>
      <c r="C142" s="7" t="s">
        <v>56</v>
      </c>
      <c r="D142" s="7" t="s">
        <v>57</v>
      </c>
      <c r="E142" s="7" t="s">
        <v>21</v>
      </c>
      <c r="F142" s="7">
        <v>135</v>
      </c>
      <c r="G142" s="7">
        <v>0.105</v>
      </c>
      <c r="H142" s="7">
        <f>G142*F142</f>
        <v>14.174999999999999</v>
      </c>
      <c r="I142" s="7">
        <v>111</v>
      </c>
      <c r="J142" s="7">
        <v>1</v>
      </c>
      <c r="K142" s="7">
        <f t="shared" ref="K142" si="126">F142*I142</f>
        <v>14985</v>
      </c>
      <c r="L142" s="7">
        <f t="shared" ref="L142" si="127">K142*J142</f>
        <v>14985</v>
      </c>
      <c r="M142" s="7" t="s">
        <v>22</v>
      </c>
    </row>
    <row r="143" spans="1:15" ht="15" customHeight="1" x14ac:dyDescent="0.3">
      <c r="A143" s="7" t="s">
        <v>100</v>
      </c>
      <c r="B143" s="7" t="s">
        <v>14</v>
      </c>
      <c r="C143" s="7" t="s">
        <v>56</v>
      </c>
      <c r="D143" s="7" t="s">
        <v>57</v>
      </c>
      <c r="E143" s="7" t="s">
        <v>96</v>
      </c>
      <c r="F143" s="7"/>
      <c r="G143" s="7" t="s">
        <v>77</v>
      </c>
      <c r="H143" s="7"/>
      <c r="I143" s="7"/>
      <c r="J143" s="7">
        <v>1</v>
      </c>
      <c r="K143" s="7">
        <v>8200</v>
      </c>
      <c r="L143" s="7">
        <f t="shared" ref="L143" si="128">K143</f>
        <v>8200</v>
      </c>
      <c r="M143" s="7" t="s">
        <v>91</v>
      </c>
    </row>
    <row r="144" spans="1:15" ht="15" customHeight="1" x14ac:dyDescent="0.3">
      <c r="A144" s="7" t="s">
        <v>100</v>
      </c>
      <c r="B144" s="7" t="s">
        <v>14</v>
      </c>
      <c r="C144" s="7" t="s">
        <v>56</v>
      </c>
      <c r="D144" s="7" t="s">
        <v>57</v>
      </c>
      <c r="E144" s="7" t="s">
        <v>39</v>
      </c>
      <c r="F144" s="7"/>
      <c r="G144" s="7" t="s">
        <v>36</v>
      </c>
      <c r="H144" s="7"/>
      <c r="I144" s="7"/>
      <c r="J144" s="7">
        <v>2</v>
      </c>
      <c r="K144" s="7">
        <v>4100</v>
      </c>
      <c r="L144" s="7">
        <f>K144*2</f>
        <v>8200</v>
      </c>
      <c r="M144" s="7" t="s">
        <v>37</v>
      </c>
    </row>
    <row r="145" spans="1:13" ht="15" customHeight="1" x14ac:dyDescent="0.3">
      <c r="A145" s="7" t="s">
        <v>100</v>
      </c>
      <c r="B145" s="11" t="s">
        <v>23</v>
      </c>
      <c r="C145" s="7" t="s">
        <v>33</v>
      </c>
      <c r="D145" s="7" t="s">
        <v>34</v>
      </c>
      <c r="E145" s="14" t="s">
        <v>30</v>
      </c>
      <c r="F145" s="7"/>
      <c r="G145" s="32" t="s">
        <v>78</v>
      </c>
      <c r="H145" s="7"/>
      <c r="I145" s="7"/>
      <c r="J145" s="7"/>
      <c r="K145" s="7">
        <v>3500</v>
      </c>
      <c r="L145" s="7">
        <f>K145</f>
        <v>3500</v>
      </c>
      <c r="M145" s="7" t="s">
        <v>31</v>
      </c>
    </row>
    <row r="146" spans="1:13" ht="15" customHeight="1" x14ac:dyDescent="0.3">
      <c r="A146" s="7" t="s">
        <v>100</v>
      </c>
      <c r="B146" s="9" t="s">
        <v>27</v>
      </c>
      <c r="C146" s="7" t="s">
        <v>28</v>
      </c>
      <c r="D146" s="7" t="s">
        <v>29</v>
      </c>
      <c r="E146" s="7" t="s">
        <v>30</v>
      </c>
      <c r="F146" s="7"/>
      <c r="G146" s="7"/>
      <c r="H146" s="7"/>
      <c r="I146" s="7"/>
      <c r="J146" s="7"/>
      <c r="K146" s="7">
        <v>2000</v>
      </c>
      <c r="L146" s="7">
        <f t="shared" ref="L146" si="129">K146</f>
        <v>2000</v>
      </c>
      <c r="M146" s="10" t="s">
        <v>31</v>
      </c>
    </row>
    <row r="147" spans="1:13" ht="15" customHeight="1" x14ac:dyDescent="0.3">
      <c r="A147" s="7" t="s">
        <v>100</v>
      </c>
      <c r="B147" s="9" t="s">
        <v>27</v>
      </c>
      <c r="C147" s="7" t="s">
        <v>28</v>
      </c>
      <c r="D147" s="7" t="s">
        <v>29</v>
      </c>
      <c r="E147" s="7" t="s">
        <v>30</v>
      </c>
      <c r="F147" s="7"/>
      <c r="G147" s="7"/>
      <c r="H147" s="7"/>
      <c r="I147" s="7"/>
      <c r="J147" s="7"/>
      <c r="K147" s="7">
        <v>500</v>
      </c>
      <c r="L147" s="7">
        <f t="shared" ref="L147" si="130">K147</f>
        <v>500</v>
      </c>
      <c r="M147" s="10" t="s">
        <v>18</v>
      </c>
    </row>
    <row r="148" spans="1:13" ht="15" customHeight="1" x14ac:dyDescent="0.3">
      <c r="A148" s="7" t="s">
        <v>101</v>
      </c>
      <c r="B148" s="7" t="s">
        <v>14</v>
      </c>
      <c r="C148" s="7" t="s">
        <v>56</v>
      </c>
      <c r="D148" s="7" t="s">
        <v>57</v>
      </c>
      <c r="E148" s="7" t="s">
        <v>21</v>
      </c>
      <c r="F148" s="7">
        <v>156</v>
      </c>
      <c r="G148" s="7">
        <v>0.105</v>
      </c>
      <c r="H148" s="7">
        <f>G148*F148</f>
        <v>16.38</v>
      </c>
      <c r="I148" s="7">
        <v>111</v>
      </c>
      <c r="J148" s="7">
        <v>1</v>
      </c>
      <c r="K148" s="7">
        <f t="shared" ref="K148" si="131">F148*I148</f>
        <v>17316</v>
      </c>
      <c r="L148" s="7">
        <f t="shared" ref="L148" si="132">K148*J148</f>
        <v>17316</v>
      </c>
      <c r="M148" s="7" t="s">
        <v>22</v>
      </c>
    </row>
    <row r="149" spans="1:13" ht="15" customHeight="1" x14ac:dyDescent="0.3">
      <c r="A149" s="7" t="s">
        <v>139</v>
      </c>
      <c r="B149" s="7" t="s">
        <v>14</v>
      </c>
      <c r="C149" s="7" t="s">
        <v>56</v>
      </c>
      <c r="D149" s="7" t="s">
        <v>57</v>
      </c>
      <c r="E149" s="7" t="s">
        <v>96</v>
      </c>
      <c r="F149" s="7"/>
      <c r="G149" s="7" t="s">
        <v>77</v>
      </c>
      <c r="H149" s="7"/>
      <c r="I149" s="7"/>
      <c r="J149" s="7">
        <v>1</v>
      </c>
      <c r="K149" s="7">
        <v>6000</v>
      </c>
      <c r="L149" s="7">
        <f t="shared" ref="L149" si="133">K149</f>
        <v>6000</v>
      </c>
      <c r="M149" s="7" t="s">
        <v>91</v>
      </c>
    </row>
    <row r="150" spans="1:13" ht="15" customHeight="1" x14ac:dyDescent="0.3">
      <c r="A150" s="7" t="s">
        <v>101</v>
      </c>
      <c r="B150" s="7" t="s">
        <v>14</v>
      </c>
      <c r="C150" s="7" t="s">
        <v>56</v>
      </c>
      <c r="D150" s="7" t="s">
        <v>57</v>
      </c>
      <c r="E150" s="7" t="s">
        <v>39</v>
      </c>
      <c r="F150" s="7"/>
      <c r="G150" s="7" t="s">
        <v>36</v>
      </c>
      <c r="H150" s="7"/>
      <c r="I150" s="7"/>
      <c r="J150" s="7">
        <v>2</v>
      </c>
      <c r="K150" s="7">
        <v>1500</v>
      </c>
      <c r="L150" s="7">
        <f>K150*2</f>
        <v>3000</v>
      </c>
      <c r="M150" s="7" t="s">
        <v>37</v>
      </c>
    </row>
    <row r="151" spans="1:13" ht="15" customHeight="1" x14ac:dyDescent="0.3">
      <c r="A151" s="7" t="s">
        <v>101</v>
      </c>
      <c r="B151" s="11" t="s">
        <v>23</v>
      </c>
      <c r="C151" s="7" t="s">
        <v>33</v>
      </c>
      <c r="D151" s="7" t="s">
        <v>34</v>
      </c>
      <c r="E151" s="14" t="s">
        <v>30</v>
      </c>
      <c r="F151" s="7"/>
      <c r="G151" s="32" t="s">
        <v>78</v>
      </c>
      <c r="H151" s="7"/>
      <c r="I151" s="7"/>
      <c r="J151" s="7"/>
      <c r="K151" s="7">
        <v>8350</v>
      </c>
      <c r="L151" s="7">
        <f>K151</f>
        <v>8350</v>
      </c>
      <c r="M151" s="7" t="s">
        <v>31</v>
      </c>
    </row>
    <row r="152" spans="1:13" ht="15" customHeight="1" x14ac:dyDescent="0.3">
      <c r="A152" s="7" t="s">
        <v>101</v>
      </c>
      <c r="B152" s="7" t="s">
        <v>14</v>
      </c>
      <c r="C152" s="7">
        <v>7479</v>
      </c>
      <c r="D152" s="7" t="s">
        <v>20</v>
      </c>
      <c r="E152" s="7" t="s">
        <v>25</v>
      </c>
      <c r="F152" s="7"/>
      <c r="G152" s="7"/>
      <c r="H152" s="7"/>
      <c r="I152" s="7"/>
      <c r="J152" s="7">
        <v>1</v>
      </c>
      <c r="K152" s="7">
        <v>1760</v>
      </c>
      <c r="L152" s="7">
        <f t="shared" ref="L152:L153" si="134">K152</f>
        <v>1760</v>
      </c>
      <c r="M152" s="7" t="s">
        <v>31</v>
      </c>
    </row>
    <row r="153" spans="1:13" ht="15" customHeight="1" x14ac:dyDescent="0.3">
      <c r="A153" s="7" t="s">
        <v>101</v>
      </c>
      <c r="B153" s="9" t="s">
        <v>27</v>
      </c>
      <c r="C153" s="7" t="s">
        <v>28</v>
      </c>
      <c r="D153" s="7" t="s">
        <v>29</v>
      </c>
      <c r="E153" s="7" t="s">
        <v>30</v>
      </c>
      <c r="F153" s="7"/>
      <c r="G153" s="7"/>
      <c r="H153" s="7"/>
      <c r="I153" s="7"/>
      <c r="J153" s="7"/>
      <c r="K153" s="7">
        <v>2500</v>
      </c>
      <c r="L153" s="7">
        <f t="shared" si="134"/>
        <v>2500</v>
      </c>
      <c r="M153" s="10" t="s">
        <v>18</v>
      </c>
    </row>
    <row r="154" spans="1:13" ht="15" customHeight="1" x14ac:dyDescent="0.3">
      <c r="A154" s="7" t="s">
        <v>102</v>
      </c>
      <c r="B154" s="7" t="s">
        <v>14</v>
      </c>
      <c r="C154" s="7">
        <v>6078</v>
      </c>
      <c r="D154" s="7" t="s">
        <v>16</v>
      </c>
      <c r="E154" s="7" t="s">
        <v>17</v>
      </c>
      <c r="F154" s="7">
        <v>102</v>
      </c>
      <c r="G154" s="7">
        <v>0.32500000000000001</v>
      </c>
      <c r="H154" s="7">
        <f t="shared" ref="H154" si="135">F154*G154</f>
        <v>33.15</v>
      </c>
      <c r="I154" s="7">
        <v>62</v>
      </c>
      <c r="J154" s="7">
        <v>4</v>
      </c>
      <c r="K154" s="7">
        <f t="shared" ref="K154" si="136">F154*I154</f>
        <v>6324</v>
      </c>
      <c r="L154" s="7">
        <f>K154*J154</f>
        <v>25296</v>
      </c>
      <c r="M154" s="7" t="s">
        <v>18</v>
      </c>
    </row>
    <row r="155" spans="1:13" ht="15" customHeight="1" x14ac:dyDescent="0.3">
      <c r="A155" s="7" t="s">
        <v>102</v>
      </c>
      <c r="B155" s="7" t="s">
        <v>14</v>
      </c>
      <c r="C155" s="7">
        <v>7479</v>
      </c>
      <c r="D155" s="7" t="s">
        <v>20</v>
      </c>
      <c r="E155" s="7" t="s">
        <v>25</v>
      </c>
      <c r="F155" s="7"/>
      <c r="G155" s="7"/>
      <c r="H155" s="7"/>
      <c r="I155" s="7"/>
      <c r="J155" s="7">
        <v>1</v>
      </c>
      <c r="K155" s="7">
        <v>3500</v>
      </c>
      <c r="L155" s="7">
        <f t="shared" ref="L155:L156" si="137">K155</f>
        <v>3500</v>
      </c>
      <c r="M155" s="7" t="s">
        <v>31</v>
      </c>
    </row>
    <row r="156" spans="1:13" ht="15" customHeight="1" x14ac:dyDescent="0.3">
      <c r="A156" s="7" t="s">
        <v>102</v>
      </c>
      <c r="B156" s="16" t="s">
        <v>44</v>
      </c>
      <c r="C156" s="7" t="s">
        <v>45</v>
      </c>
      <c r="D156" s="7" t="s">
        <v>46</v>
      </c>
      <c r="E156" s="7" t="s">
        <v>47</v>
      </c>
      <c r="F156" s="7"/>
      <c r="G156" s="7"/>
      <c r="H156" s="7"/>
      <c r="I156" s="7"/>
      <c r="J156" s="7"/>
      <c r="K156" s="7">
        <v>2600</v>
      </c>
      <c r="L156" s="7">
        <f t="shared" si="137"/>
        <v>2600</v>
      </c>
      <c r="M156" s="7" t="s">
        <v>37</v>
      </c>
    </row>
    <row r="157" spans="1:13" ht="15" customHeight="1" x14ac:dyDescent="0.3">
      <c r="A157" s="7" t="s">
        <v>103</v>
      </c>
      <c r="B157" s="7" t="s">
        <v>14</v>
      </c>
      <c r="C157" s="7" t="s">
        <v>56</v>
      </c>
      <c r="D157" s="7" t="s">
        <v>57</v>
      </c>
      <c r="E157" s="7" t="s">
        <v>21</v>
      </c>
      <c r="F157" s="7">
        <v>140</v>
      </c>
      <c r="G157" s="7">
        <v>0.105</v>
      </c>
      <c r="H157" s="7">
        <f>G157*F157</f>
        <v>14.7</v>
      </c>
      <c r="I157" s="7">
        <v>111</v>
      </c>
      <c r="J157" s="7">
        <v>1</v>
      </c>
      <c r="K157" s="7">
        <f t="shared" ref="K157" si="138">F157*I157</f>
        <v>15540</v>
      </c>
      <c r="L157" s="7">
        <f t="shared" ref="L157" si="139">K157*J157</f>
        <v>15540</v>
      </c>
      <c r="M157" s="7" t="s">
        <v>22</v>
      </c>
    </row>
    <row r="158" spans="1:13" ht="15" customHeight="1" x14ac:dyDescent="0.3">
      <c r="A158" s="7" t="s">
        <v>103</v>
      </c>
      <c r="B158" s="7" t="s">
        <v>14</v>
      </c>
      <c r="C158" s="7">
        <v>7479</v>
      </c>
      <c r="D158" s="7" t="s">
        <v>20</v>
      </c>
      <c r="E158" s="7" t="s">
        <v>25</v>
      </c>
      <c r="F158" s="7"/>
      <c r="G158" s="7"/>
      <c r="H158" s="7"/>
      <c r="I158" s="7"/>
      <c r="J158" s="7">
        <v>1</v>
      </c>
      <c r="K158" s="7">
        <v>5560</v>
      </c>
      <c r="L158" s="7">
        <f t="shared" ref="L158" si="140">K158</f>
        <v>5560</v>
      </c>
      <c r="M158" s="7" t="s">
        <v>31</v>
      </c>
    </row>
    <row r="159" spans="1:13" ht="15" customHeight="1" x14ac:dyDescent="0.3">
      <c r="A159" s="7" t="s">
        <v>103</v>
      </c>
      <c r="B159" s="7" t="s">
        <v>14</v>
      </c>
      <c r="C159" s="7">
        <v>2028</v>
      </c>
      <c r="D159" s="7" t="s">
        <v>16</v>
      </c>
      <c r="E159" s="7" t="s">
        <v>17</v>
      </c>
      <c r="F159" s="7">
        <v>16</v>
      </c>
      <c r="G159" s="7">
        <v>0.67500000000000004</v>
      </c>
      <c r="H159" s="7">
        <f>G159*F159</f>
        <v>10.8</v>
      </c>
      <c r="I159" s="7">
        <v>42</v>
      </c>
      <c r="J159" s="7">
        <v>4</v>
      </c>
      <c r="K159" s="7">
        <f t="shared" ref="K159" si="141">F159*I159</f>
        <v>672</v>
      </c>
      <c r="L159" s="7">
        <f>K159*J159</f>
        <v>2688</v>
      </c>
      <c r="M159" s="7" t="s">
        <v>18</v>
      </c>
    </row>
    <row r="160" spans="1:13" ht="15" customHeight="1" x14ac:dyDescent="0.3">
      <c r="A160" s="7" t="s">
        <v>103</v>
      </c>
      <c r="B160" s="16" t="s">
        <v>44</v>
      </c>
      <c r="C160" s="7" t="s">
        <v>45</v>
      </c>
      <c r="D160" s="7" t="s">
        <v>46</v>
      </c>
      <c r="E160" s="7" t="s">
        <v>47</v>
      </c>
      <c r="F160" s="7"/>
      <c r="G160" s="7"/>
      <c r="H160" s="7"/>
      <c r="I160" s="7"/>
      <c r="J160" s="7"/>
      <c r="K160" s="7">
        <v>1250</v>
      </c>
      <c r="L160" s="7">
        <f t="shared" ref="L160:L161" si="142">K160</f>
        <v>1250</v>
      </c>
      <c r="M160" s="7" t="s">
        <v>37</v>
      </c>
    </row>
    <row r="161" spans="1:13" ht="15" customHeight="1" x14ac:dyDescent="0.3">
      <c r="A161" s="7" t="s">
        <v>103</v>
      </c>
      <c r="B161" s="11" t="s">
        <v>23</v>
      </c>
      <c r="C161" s="7">
        <v>65548</v>
      </c>
      <c r="D161" s="18" t="s">
        <v>24</v>
      </c>
      <c r="E161" s="7" t="s">
        <v>25</v>
      </c>
      <c r="F161" s="7"/>
      <c r="G161" s="7"/>
      <c r="H161" s="7"/>
      <c r="I161" s="7"/>
      <c r="J161" s="7"/>
      <c r="K161" s="7">
        <v>4100</v>
      </c>
      <c r="L161" s="7">
        <f t="shared" si="142"/>
        <v>4100</v>
      </c>
      <c r="M161" s="8" t="s">
        <v>26</v>
      </c>
    </row>
    <row r="162" spans="1:13" ht="15" customHeight="1" x14ac:dyDescent="0.3">
      <c r="A162" s="7" t="s">
        <v>104</v>
      </c>
      <c r="B162" s="7" t="s">
        <v>14</v>
      </c>
      <c r="C162" s="7" t="s">
        <v>56</v>
      </c>
      <c r="D162" s="7" t="s">
        <v>57</v>
      </c>
      <c r="E162" s="7" t="s">
        <v>21</v>
      </c>
      <c r="F162" s="7">
        <v>27</v>
      </c>
      <c r="G162" s="7">
        <v>0.105</v>
      </c>
      <c r="H162" s="7">
        <f>G162*F162</f>
        <v>2.835</v>
      </c>
      <c r="I162" s="7">
        <v>111</v>
      </c>
      <c r="J162" s="7">
        <v>1</v>
      </c>
      <c r="K162" s="7">
        <f t="shared" ref="K162" si="143">F162*I162</f>
        <v>2997</v>
      </c>
      <c r="L162" s="7">
        <f t="shared" ref="L162" si="144">K162*J162</f>
        <v>2997</v>
      </c>
      <c r="M162" s="7" t="s">
        <v>22</v>
      </c>
    </row>
    <row r="163" spans="1:13" ht="15" customHeight="1" x14ac:dyDescent="0.3">
      <c r="A163" s="7" t="s">
        <v>104</v>
      </c>
      <c r="B163" s="16" t="s">
        <v>44</v>
      </c>
      <c r="C163" s="7" t="s">
        <v>45</v>
      </c>
      <c r="D163" s="7" t="s">
        <v>46</v>
      </c>
      <c r="E163" s="7" t="s">
        <v>47</v>
      </c>
      <c r="F163" s="7"/>
      <c r="G163" s="7"/>
      <c r="H163" s="7"/>
      <c r="I163" s="7"/>
      <c r="J163" s="7"/>
      <c r="K163" s="7">
        <v>650</v>
      </c>
      <c r="L163" s="7">
        <f t="shared" ref="L163:L167" si="145">K163</f>
        <v>650</v>
      </c>
      <c r="M163" s="7" t="s">
        <v>37</v>
      </c>
    </row>
    <row r="164" spans="1:13" ht="15" customHeight="1" x14ac:dyDescent="0.3">
      <c r="A164" s="7" t="s">
        <v>104</v>
      </c>
      <c r="B164" s="7" t="s">
        <v>14</v>
      </c>
      <c r="C164" s="7">
        <v>7479</v>
      </c>
      <c r="D164" s="7" t="s">
        <v>20</v>
      </c>
      <c r="E164" s="7" t="s">
        <v>25</v>
      </c>
      <c r="F164" s="7"/>
      <c r="G164" s="7"/>
      <c r="H164" s="7"/>
      <c r="I164" s="7"/>
      <c r="J164" s="7">
        <v>1</v>
      </c>
      <c r="K164" s="7">
        <v>10750</v>
      </c>
      <c r="L164" s="7">
        <f t="shared" si="145"/>
        <v>10750</v>
      </c>
      <c r="M164" s="7" t="s">
        <v>31</v>
      </c>
    </row>
    <row r="165" spans="1:13" ht="15" customHeight="1" x14ac:dyDescent="0.3">
      <c r="A165" s="7" t="s">
        <v>104</v>
      </c>
      <c r="B165" s="7" t="s">
        <v>14</v>
      </c>
      <c r="C165" s="7" t="s">
        <v>89</v>
      </c>
      <c r="D165" s="7" t="s">
        <v>90</v>
      </c>
      <c r="E165" s="7" t="s">
        <v>25</v>
      </c>
      <c r="F165" s="7"/>
      <c r="G165" s="7"/>
      <c r="H165" s="7"/>
      <c r="I165" s="7"/>
      <c r="J165" s="7"/>
      <c r="K165" s="7">
        <v>6250</v>
      </c>
      <c r="L165" s="7">
        <f t="shared" si="145"/>
        <v>6250</v>
      </c>
      <c r="M165" s="7" t="s">
        <v>31</v>
      </c>
    </row>
    <row r="166" spans="1:13" ht="15" customHeight="1" x14ac:dyDescent="0.3">
      <c r="A166" s="7" t="s">
        <v>104</v>
      </c>
      <c r="B166" s="11" t="s">
        <v>23</v>
      </c>
      <c r="C166" s="7">
        <v>65548</v>
      </c>
      <c r="D166" s="18" t="s">
        <v>24</v>
      </c>
      <c r="E166" s="7" t="s">
        <v>25</v>
      </c>
      <c r="F166" s="7"/>
      <c r="G166" s="7"/>
      <c r="H166" s="7"/>
      <c r="I166" s="7"/>
      <c r="J166" s="7"/>
      <c r="K166" s="7">
        <v>4900</v>
      </c>
      <c r="L166" s="7">
        <f t="shared" si="145"/>
        <v>4900</v>
      </c>
      <c r="M166" s="8" t="s">
        <v>26</v>
      </c>
    </row>
    <row r="167" spans="1:13" ht="15" customHeight="1" x14ac:dyDescent="0.3">
      <c r="A167" s="7" t="s">
        <v>104</v>
      </c>
      <c r="B167" s="11" t="s">
        <v>23</v>
      </c>
      <c r="C167" s="7">
        <v>65548</v>
      </c>
      <c r="D167" s="18" t="s">
        <v>24</v>
      </c>
      <c r="E167" s="7" t="s">
        <v>30</v>
      </c>
      <c r="F167" s="7"/>
      <c r="G167" s="7" t="s">
        <v>36</v>
      </c>
      <c r="H167" s="7"/>
      <c r="I167" s="7"/>
      <c r="J167" s="7"/>
      <c r="K167" s="7">
        <v>4130</v>
      </c>
      <c r="L167" s="7">
        <f t="shared" si="145"/>
        <v>4130</v>
      </c>
      <c r="M167" s="7" t="s">
        <v>18</v>
      </c>
    </row>
    <row r="168" spans="1:13" ht="22.5" customHeight="1" x14ac:dyDescent="0.3">
      <c r="A168" s="35"/>
      <c r="B168" s="35"/>
      <c r="C168" s="35"/>
      <c r="D168" s="35"/>
      <c r="E168" s="35"/>
      <c r="F168" s="36">
        <f>SUM(F3:F167)</f>
        <v>5188</v>
      </c>
      <c r="G168" s="37"/>
      <c r="H168" s="38">
        <f>SUM(H3:H167)</f>
        <v>1179.6600000000003</v>
      </c>
      <c r="I168" s="37"/>
      <c r="J168" s="37"/>
      <c r="K168" s="39">
        <f>SUM(K3:K167)</f>
        <v>727497</v>
      </c>
      <c r="L168" s="36">
        <f>SUM(L3:L167)</f>
        <v>930331</v>
      </c>
      <c r="M168" s="37"/>
    </row>
    <row r="169" spans="1:13" ht="18" customHeight="1" x14ac:dyDescent="0.3"/>
    <row r="170" spans="1:13" ht="18" customHeight="1" x14ac:dyDescent="0.3">
      <c r="H170" s="30">
        <f>SUM(H80:H167)</f>
        <v>448.46499999999997</v>
      </c>
    </row>
    <row r="171" spans="1:13" ht="18" customHeight="1" x14ac:dyDescent="0.3"/>
    <row r="172" spans="1:13" ht="18" customHeight="1" x14ac:dyDescent="0.3"/>
    <row r="173" spans="1:13" ht="18" customHeight="1" x14ac:dyDescent="0.3"/>
    <row r="174" spans="1:13" ht="18" customHeight="1" x14ac:dyDescent="0.3"/>
    <row r="175" spans="1:13" ht="18" customHeight="1" x14ac:dyDescent="0.3"/>
    <row r="176" spans="1:13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</sheetData>
  <autoFilter ref="A2:M168"/>
  <mergeCells count="16">
    <mergeCell ref="N137:O137"/>
    <mergeCell ref="N79:P79"/>
    <mergeCell ref="R17:S18"/>
    <mergeCell ref="R13:S13"/>
    <mergeCell ref="T17:U18"/>
    <mergeCell ref="A1:M1"/>
    <mergeCell ref="R6:R7"/>
    <mergeCell ref="S6:S7"/>
    <mergeCell ref="T6:U7"/>
    <mergeCell ref="R15:S16"/>
    <mergeCell ref="T15:U16"/>
    <mergeCell ref="R2:U2"/>
    <mergeCell ref="R3:U3"/>
    <mergeCell ref="T4:U5"/>
    <mergeCell ref="S4:S5"/>
    <mergeCell ref="R4:R5"/>
  </mergeCells>
  <pageMargins left="0.7" right="0.7" top="0.75" bottom="0.75" header="0.3" footer="0.3"/>
  <pageSetup orientation="portrait" horizontalDpi="0" verticalDpi="0" r:id="rId1"/>
  <ignoredErrors>
    <ignoredError sqref="L24 L36 L44 L46 L66 L154 L150 L148 L144 L15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59"/>
  <sheetViews>
    <sheetView workbookViewId="0">
      <selection activeCell="A147" sqref="A147:M148"/>
    </sheetView>
  </sheetViews>
  <sheetFormatPr defaultRowHeight="16.5" x14ac:dyDescent="0.3"/>
  <cols>
    <col min="1" max="1" width="9.140625" style="41"/>
    <col min="2" max="2" width="10.7109375" style="41" customWidth="1"/>
    <col min="3" max="3" width="11.5703125" style="41" bestFit="1" customWidth="1"/>
    <col min="4" max="4" width="11" style="41" customWidth="1"/>
    <col min="5" max="5" width="10.85546875" style="41" customWidth="1"/>
    <col min="6" max="9" width="7.7109375" style="41" customWidth="1"/>
    <col min="10" max="10" width="6.42578125" style="41" customWidth="1"/>
    <col min="11" max="12" width="9.42578125" style="41" customWidth="1"/>
    <col min="13" max="13" width="8.42578125" style="41" customWidth="1"/>
    <col min="14" max="16" width="9.140625" style="41"/>
    <col min="17" max="19" width="10.85546875" style="41" bestFit="1" customWidth="1"/>
    <col min="20" max="20" width="10" style="41" bestFit="1" customWidth="1"/>
    <col min="21" max="22" width="11.85546875" style="41" bestFit="1" customWidth="1"/>
    <col min="23" max="23" width="11.5703125" style="41" bestFit="1" customWidth="1"/>
    <col min="24" max="16384" width="9.140625" style="41"/>
  </cols>
  <sheetData>
    <row r="1" spans="1:21" ht="49.5" customHeight="1" x14ac:dyDescent="0.3">
      <c r="A1" s="283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spans="1:21" ht="28.5" customHeight="1" x14ac:dyDescent="0.3">
      <c r="A2" s="42" t="s">
        <v>0</v>
      </c>
      <c r="B2" s="42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R2" s="260" t="s">
        <v>97</v>
      </c>
      <c r="S2" s="261"/>
      <c r="T2" s="261"/>
      <c r="U2" s="262"/>
    </row>
    <row r="3" spans="1:21" ht="15" hidden="1" customHeight="1" x14ac:dyDescent="0.3">
      <c r="A3" s="43" t="s">
        <v>105</v>
      </c>
      <c r="B3" s="44" t="s">
        <v>23</v>
      </c>
      <c r="C3" s="43">
        <v>65548</v>
      </c>
      <c r="D3" s="45" t="s">
        <v>24</v>
      </c>
      <c r="E3" s="43" t="s">
        <v>25</v>
      </c>
      <c r="F3" s="43"/>
      <c r="G3" s="43"/>
      <c r="H3" s="43"/>
      <c r="I3" s="43"/>
      <c r="J3" s="43"/>
      <c r="K3" s="43">
        <v>2847</v>
      </c>
      <c r="L3" s="43">
        <f t="shared" ref="L3:L6" si="0">K3</f>
        <v>2847</v>
      </c>
      <c r="M3" s="46" t="s">
        <v>26</v>
      </c>
      <c r="R3" s="263" t="s">
        <v>98</v>
      </c>
      <c r="S3" s="264"/>
      <c r="T3" s="264"/>
      <c r="U3" s="265"/>
    </row>
    <row r="4" spans="1:21" ht="15" hidden="1" customHeight="1" x14ac:dyDescent="0.3">
      <c r="A4" s="43" t="s">
        <v>105</v>
      </c>
      <c r="B4" s="44" t="s">
        <v>23</v>
      </c>
      <c r="C4" s="43">
        <v>65548</v>
      </c>
      <c r="D4" s="45" t="s">
        <v>24</v>
      </c>
      <c r="E4" s="43" t="s">
        <v>30</v>
      </c>
      <c r="F4" s="43"/>
      <c r="G4" s="43" t="s">
        <v>36</v>
      </c>
      <c r="H4" s="43"/>
      <c r="I4" s="43"/>
      <c r="J4" s="43"/>
      <c r="K4" s="43">
        <v>7250</v>
      </c>
      <c r="L4" s="43">
        <f t="shared" si="0"/>
        <v>7250</v>
      </c>
      <c r="M4" s="43" t="s">
        <v>18</v>
      </c>
      <c r="R4" s="270" t="s">
        <v>58</v>
      </c>
      <c r="S4" s="270" t="s">
        <v>59</v>
      </c>
      <c r="T4" s="266" t="s">
        <v>60</v>
      </c>
      <c r="U4" s="267"/>
    </row>
    <row r="5" spans="1:21" ht="15" hidden="1" customHeight="1" x14ac:dyDescent="0.3">
      <c r="A5" s="43" t="s">
        <v>105</v>
      </c>
      <c r="B5" s="43" t="s">
        <v>14</v>
      </c>
      <c r="C5" s="43" t="s">
        <v>89</v>
      </c>
      <c r="D5" s="43" t="s">
        <v>90</v>
      </c>
      <c r="E5" s="43" t="s">
        <v>25</v>
      </c>
      <c r="F5" s="43"/>
      <c r="G5" s="43"/>
      <c r="H5" s="43"/>
      <c r="I5" s="43"/>
      <c r="J5" s="43"/>
      <c r="K5" s="43">
        <v>8350</v>
      </c>
      <c r="L5" s="43">
        <f t="shared" si="0"/>
        <v>8350</v>
      </c>
      <c r="M5" s="43" t="s">
        <v>31</v>
      </c>
      <c r="R5" s="271"/>
      <c r="S5" s="271"/>
      <c r="T5" s="268"/>
      <c r="U5" s="269"/>
    </row>
    <row r="6" spans="1:21" ht="15" hidden="1" customHeight="1" x14ac:dyDescent="0.3">
      <c r="A6" s="43" t="s">
        <v>105</v>
      </c>
      <c r="B6" s="43" t="s">
        <v>14</v>
      </c>
      <c r="C6" s="43" t="s">
        <v>56</v>
      </c>
      <c r="D6" s="43" t="s">
        <v>57</v>
      </c>
      <c r="E6" s="43" t="s">
        <v>35</v>
      </c>
      <c r="F6" s="43"/>
      <c r="G6" s="43" t="s">
        <v>77</v>
      </c>
      <c r="H6" s="43"/>
      <c r="I6" s="43"/>
      <c r="J6" s="43">
        <v>1</v>
      </c>
      <c r="K6" s="43">
        <v>4000</v>
      </c>
      <c r="L6" s="43">
        <f t="shared" si="0"/>
        <v>4000</v>
      </c>
      <c r="M6" s="43" t="s">
        <v>91</v>
      </c>
      <c r="R6" s="246">
        <v>43312</v>
      </c>
      <c r="S6" s="246">
        <v>50168</v>
      </c>
      <c r="T6" s="248">
        <f>S6-R6</f>
        <v>6856</v>
      </c>
      <c r="U6" s="249"/>
    </row>
    <row r="7" spans="1:21" ht="15" hidden="1" customHeight="1" x14ac:dyDescent="0.3">
      <c r="A7" s="43" t="s">
        <v>105</v>
      </c>
      <c r="B7" s="43" t="s">
        <v>14</v>
      </c>
      <c r="C7" s="43">
        <v>7479</v>
      </c>
      <c r="D7" s="43" t="s">
        <v>20</v>
      </c>
      <c r="E7" s="43" t="s">
        <v>21</v>
      </c>
      <c r="F7" s="43">
        <v>94</v>
      </c>
      <c r="G7" s="43">
        <v>0.15</v>
      </c>
      <c r="H7" s="43">
        <f>G7*F7</f>
        <v>14.1</v>
      </c>
      <c r="I7" s="43">
        <v>80</v>
      </c>
      <c r="J7" s="43">
        <v>1</v>
      </c>
      <c r="K7" s="43">
        <f>F7*I7</f>
        <v>7520</v>
      </c>
      <c r="L7" s="43">
        <f>K7*J7</f>
        <v>7520</v>
      </c>
      <c r="M7" s="43" t="s">
        <v>22</v>
      </c>
      <c r="R7" s="247"/>
      <c r="S7" s="247"/>
      <c r="T7" s="250"/>
      <c r="U7" s="251"/>
    </row>
    <row r="8" spans="1:21" ht="15" hidden="1" customHeight="1" x14ac:dyDescent="0.3">
      <c r="A8" s="43" t="s">
        <v>105</v>
      </c>
      <c r="B8" s="43" t="s">
        <v>14</v>
      </c>
      <c r="C8" s="43">
        <v>7479</v>
      </c>
      <c r="D8" s="43" t="s">
        <v>20</v>
      </c>
      <c r="E8" s="43" t="s">
        <v>25</v>
      </c>
      <c r="F8" s="43"/>
      <c r="G8" s="43"/>
      <c r="H8" s="43"/>
      <c r="I8" s="43"/>
      <c r="J8" s="43">
        <v>1</v>
      </c>
      <c r="K8" s="43">
        <v>4000</v>
      </c>
      <c r="L8" s="43">
        <f t="shared" ref="L8:L9" si="1">K8</f>
        <v>4000</v>
      </c>
      <c r="M8" s="43" t="s">
        <v>31</v>
      </c>
      <c r="N8" s="47"/>
      <c r="O8" s="47"/>
      <c r="P8" s="47"/>
      <c r="R8" s="40" t="s">
        <v>61</v>
      </c>
      <c r="S8" s="40"/>
      <c r="T8" s="19">
        <v>8.0325989999999994</v>
      </c>
      <c r="U8" s="20">
        <f>T6*T8</f>
        <v>55071.498743999997</v>
      </c>
    </row>
    <row r="9" spans="1:21" ht="15" hidden="1" customHeight="1" x14ac:dyDescent="0.3">
      <c r="A9" s="43" t="s">
        <v>105</v>
      </c>
      <c r="B9" s="44" t="s">
        <v>23</v>
      </c>
      <c r="C9" s="43" t="s">
        <v>33</v>
      </c>
      <c r="D9" s="43" t="s">
        <v>34</v>
      </c>
      <c r="E9" s="48" t="s">
        <v>35</v>
      </c>
      <c r="F9" s="43"/>
      <c r="G9" s="31" t="s">
        <v>77</v>
      </c>
      <c r="H9" s="43"/>
      <c r="I9" s="43"/>
      <c r="J9" s="43"/>
      <c r="K9" s="43">
        <v>860</v>
      </c>
      <c r="L9" s="43">
        <f t="shared" si="1"/>
        <v>860</v>
      </c>
      <c r="M9" s="46" t="s">
        <v>26</v>
      </c>
      <c r="N9" s="47"/>
      <c r="O9" s="47"/>
      <c r="P9" s="47"/>
      <c r="R9" s="40" t="s">
        <v>62</v>
      </c>
      <c r="S9" s="40"/>
      <c r="T9" s="19"/>
      <c r="U9" s="20">
        <v>4620</v>
      </c>
    </row>
    <row r="10" spans="1:21" ht="15" hidden="1" customHeight="1" x14ac:dyDescent="0.3">
      <c r="A10" s="43" t="s">
        <v>106</v>
      </c>
      <c r="B10" s="43" t="s">
        <v>14</v>
      </c>
      <c r="C10" s="43">
        <v>7479</v>
      </c>
      <c r="D10" s="43" t="s">
        <v>20</v>
      </c>
      <c r="E10" s="43" t="s">
        <v>21</v>
      </c>
      <c r="F10" s="43">
        <v>92</v>
      </c>
      <c r="G10" s="43">
        <v>0.15</v>
      </c>
      <c r="H10" s="43">
        <f>G10*F10</f>
        <v>13.799999999999999</v>
      </c>
      <c r="I10" s="43">
        <v>80</v>
      </c>
      <c r="J10" s="43">
        <v>1</v>
      </c>
      <c r="K10" s="43">
        <f>F10*I10</f>
        <v>7360</v>
      </c>
      <c r="L10" s="43">
        <f>K10*J10</f>
        <v>7360</v>
      </c>
      <c r="M10" s="43" t="s">
        <v>22</v>
      </c>
      <c r="R10" s="40" t="s">
        <v>63</v>
      </c>
      <c r="S10" s="40"/>
      <c r="T10" s="19"/>
      <c r="U10" s="20">
        <v>2146.8000000000002</v>
      </c>
    </row>
    <row r="11" spans="1:21" ht="15" hidden="1" customHeight="1" x14ac:dyDescent="0.3">
      <c r="A11" s="43" t="s">
        <v>106</v>
      </c>
      <c r="B11" s="43" t="s">
        <v>14</v>
      </c>
      <c r="C11" s="43">
        <v>7479</v>
      </c>
      <c r="D11" s="43" t="s">
        <v>20</v>
      </c>
      <c r="E11" s="43" t="s">
        <v>25</v>
      </c>
      <c r="F11" s="43"/>
      <c r="G11" s="43"/>
      <c r="H11" s="43"/>
      <c r="I11" s="43"/>
      <c r="J11" s="43">
        <v>1</v>
      </c>
      <c r="K11" s="43">
        <v>1500</v>
      </c>
      <c r="L11" s="43">
        <f t="shared" ref="L11:L12" si="2">K11</f>
        <v>1500</v>
      </c>
      <c r="M11" s="43" t="s">
        <v>31</v>
      </c>
      <c r="R11" s="40"/>
      <c r="S11" s="40"/>
      <c r="T11" s="19"/>
      <c r="U11" s="21">
        <f>SUM(U8:U10)</f>
        <v>61838.298744</v>
      </c>
    </row>
    <row r="12" spans="1:21" ht="15" hidden="1" customHeight="1" x14ac:dyDescent="0.3">
      <c r="A12" s="43" t="s">
        <v>106</v>
      </c>
      <c r="B12" s="43" t="s">
        <v>14</v>
      </c>
      <c r="C12" s="43" t="s">
        <v>56</v>
      </c>
      <c r="D12" s="43" t="s">
        <v>57</v>
      </c>
      <c r="E12" s="43" t="s">
        <v>35</v>
      </c>
      <c r="F12" s="43"/>
      <c r="G12" s="43" t="s">
        <v>77</v>
      </c>
      <c r="H12" s="43"/>
      <c r="I12" s="43"/>
      <c r="J12" s="43">
        <v>1</v>
      </c>
      <c r="K12" s="43">
        <v>6500</v>
      </c>
      <c r="L12" s="43">
        <f t="shared" si="2"/>
        <v>6500</v>
      </c>
      <c r="M12" s="43" t="s">
        <v>91</v>
      </c>
      <c r="R12" s="40" t="s">
        <v>64</v>
      </c>
      <c r="S12" s="40"/>
      <c r="T12" s="22" t="s">
        <v>65</v>
      </c>
      <c r="U12" s="23">
        <v>0</v>
      </c>
    </row>
    <row r="13" spans="1:21" ht="15" hidden="1" customHeight="1" x14ac:dyDescent="0.3">
      <c r="A13" s="43" t="s">
        <v>106</v>
      </c>
      <c r="B13" s="43" t="s">
        <v>14</v>
      </c>
      <c r="C13" s="43" t="s">
        <v>56</v>
      </c>
      <c r="D13" s="43" t="s">
        <v>57</v>
      </c>
      <c r="E13" s="43" t="s">
        <v>39</v>
      </c>
      <c r="F13" s="43"/>
      <c r="G13" s="43" t="s">
        <v>36</v>
      </c>
      <c r="H13" s="43"/>
      <c r="I13" s="43"/>
      <c r="J13" s="43">
        <v>2</v>
      </c>
      <c r="K13" s="43">
        <v>4900</v>
      </c>
      <c r="L13" s="43">
        <f>K13*2</f>
        <v>9800</v>
      </c>
      <c r="M13" s="43" t="s">
        <v>37</v>
      </c>
      <c r="R13" s="280"/>
      <c r="S13" s="280"/>
      <c r="T13" s="24"/>
      <c r="U13" s="25">
        <f>U11-U12</f>
        <v>61838.298744</v>
      </c>
    </row>
    <row r="14" spans="1:21" ht="15" hidden="1" customHeight="1" x14ac:dyDescent="0.3">
      <c r="A14" s="43" t="s">
        <v>106</v>
      </c>
      <c r="B14" s="44" t="s">
        <v>23</v>
      </c>
      <c r="C14" s="43">
        <v>65548</v>
      </c>
      <c r="D14" s="45" t="s">
        <v>24</v>
      </c>
      <c r="E14" s="43" t="s">
        <v>30</v>
      </c>
      <c r="F14" s="43"/>
      <c r="G14" s="43" t="s">
        <v>36</v>
      </c>
      <c r="H14" s="43"/>
      <c r="I14" s="43"/>
      <c r="J14" s="43"/>
      <c r="K14" s="43">
        <v>3000</v>
      </c>
      <c r="L14" s="43">
        <f t="shared" ref="L14:L16" si="3">K14</f>
        <v>3000</v>
      </c>
      <c r="M14" s="43" t="s">
        <v>18</v>
      </c>
    </row>
    <row r="15" spans="1:21" ht="15" hidden="1" customHeight="1" x14ac:dyDescent="0.3">
      <c r="A15" s="43" t="s">
        <v>106</v>
      </c>
      <c r="B15" s="44" t="s">
        <v>23</v>
      </c>
      <c r="C15" s="43" t="s">
        <v>33</v>
      </c>
      <c r="D15" s="43" t="s">
        <v>34</v>
      </c>
      <c r="E15" s="48" t="s">
        <v>35</v>
      </c>
      <c r="F15" s="43"/>
      <c r="G15" s="31" t="s">
        <v>77</v>
      </c>
      <c r="H15" s="43"/>
      <c r="I15" s="43"/>
      <c r="J15" s="43"/>
      <c r="K15" s="43">
        <v>5145</v>
      </c>
      <c r="L15" s="43">
        <f t="shared" si="3"/>
        <v>5145</v>
      </c>
      <c r="M15" s="46" t="s">
        <v>26</v>
      </c>
      <c r="N15" s="47"/>
      <c r="O15" s="47"/>
      <c r="P15" s="47"/>
      <c r="R15" s="252" t="s">
        <v>66</v>
      </c>
      <c r="S15" s="253"/>
      <c r="T15" s="256"/>
      <c r="U15" s="257"/>
    </row>
    <row r="16" spans="1:21" ht="15" hidden="1" customHeight="1" x14ac:dyDescent="0.3">
      <c r="A16" s="43" t="s">
        <v>106</v>
      </c>
      <c r="B16" s="44" t="s">
        <v>23</v>
      </c>
      <c r="C16" s="43" t="s">
        <v>33</v>
      </c>
      <c r="D16" s="43" t="s">
        <v>34</v>
      </c>
      <c r="E16" s="49" t="s">
        <v>39</v>
      </c>
      <c r="F16" s="43"/>
      <c r="G16" s="43" t="s">
        <v>36</v>
      </c>
      <c r="H16" s="43"/>
      <c r="I16" s="43"/>
      <c r="J16" s="43"/>
      <c r="K16" s="43">
        <v>2000</v>
      </c>
      <c r="L16" s="43">
        <f t="shared" si="3"/>
        <v>2000</v>
      </c>
      <c r="M16" s="46" t="s">
        <v>26</v>
      </c>
      <c r="R16" s="254"/>
      <c r="S16" s="255"/>
      <c r="T16" s="258"/>
      <c r="U16" s="259"/>
    </row>
    <row r="17" spans="1:23" ht="15" hidden="1" customHeight="1" x14ac:dyDescent="0.3">
      <c r="A17" s="43" t="s">
        <v>106</v>
      </c>
      <c r="B17" s="44" t="s">
        <v>23</v>
      </c>
      <c r="C17" s="43" t="s">
        <v>33</v>
      </c>
      <c r="D17" s="43" t="s">
        <v>34</v>
      </c>
      <c r="E17" s="50" t="s">
        <v>30</v>
      </c>
      <c r="F17" s="43"/>
      <c r="G17" s="32" t="s">
        <v>78</v>
      </c>
      <c r="H17" s="43"/>
      <c r="I17" s="43"/>
      <c r="J17" s="43"/>
      <c r="K17" s="43">
        <v>2000</v>
      </c>
      <c r="L17" s="43">
        <f>K17</f>
        <v>2000</v>
      </c>
      <c r="M17" s="43" t="s">
        <v>31</v>
      </c>
      <c r="R17" s="276" t="s">
        <v>99</v>
      </c>
      <c r="S17" s="277"/>
      <c r="T17" s="276"/>
      <c r="U17" s="277"/>
    </row>
    <row r="18" spans="1:23" ht="15" hidden="1" customHeight="1" x14ac:dyDescent="0.3">
      <c r="A18" s="43" t="s">
        <v>106</v>
      </c>
      <c r="B18" s="51" t="s">
        <v>27</v>
      </c>
      <c r="C18" s="52" t="s">
        <v>28</v>
      </c>
      <c r="D18" s="43" t="s">
        <v>29</v>
      </c>
      <c r="E18" s="43" t="s">
        <v>30</v>
      </c>
      <c r="F18" s="43"/>
      <c r="G18" s="43"/>
      <c r="H18" s="43"/>
      <c r="I18" s="43"/>
      <c r="J18" s="43"/>
      <c r="K18" s="43">
        <v>2500</v>
      </c>
      <c r="L18" s="43">
        <f t="shared" ref="L18:L19" si="4">K18</f>
        <v>2500</v>
      </c>
      <c r="M18" s="53" t="s">
        <v>22</v>
      </c>
      <c r="N18" s="47"/>
      <c r="O18" s="47"/>
      <c r="P18" s="47"/>
      <c r="R18" s="278"/>
      <c r="S18" s="279"/>
      <c r="T18" s="278"/>
      <c r="U18" s="279"/>
    </row>
    <row r="19" spans="1:23" ht="15" hidden="1" customHeight="1" x14ac:dyDescent="0.3">
      <c r="A19" s="43" t="s">
        <v>107</v>
      </c>
      <c r="B19" s="43" t="s">
        <v>14</v>
      </c>
      <c r="C19" s="43" t="s">
        <v>56</v>
      </c>
      <c r="D19" s="43" t="s">
        <v>57</v>
      </c>
      <c r="E19" s="43" t="s">
        <v>35</v>
      </c>
      <c r="F19" s="43"/>
      <c r="G19" s="43" t="s">
        <v>77</v>
      </c>
      <c r="H19" s="43"/>
      <c r="I19" s="43"/>
      <c r="J19" s="43">
        <v>1</v>
      </c>
      <c r="K19" s="43">
        <v>5000</v>
      </c>
      <c r="L19" s="43">
        <f t="shared" si="4"/>
        <v>5000</v>
      </c>
      <c r="M19" s="43" t="s">
        <v>91</v>
      </c>
    </row>
    <row r="20" spans="1:23" ht="15" hidden="1" customHeight="1" x14ac:dyDescent="0.3">
      <c r="A20" s="43" t="s">
        <v>107</v>
      </c>
      <c r="B20" s="43" t="s">
        <v>14</v>
      </c>
      <c r="C20" s="43" t="s">
        <v>56</v>
      </c>
      <c r="D20" s="43" t="s">
        <v>57</v>
      </c>
      <c r="E20" s="43" t="s">
        <v>39</v>
      </c>
      <c r="F20" s="43"/>
      <c r="G20" s="43" t="s">
        <v>36</v>
      </c>
      <c r="H20" s="43"/>
      <c r="I20" s="43"/>
      <c r="J20" s="43">
        <v>2</v>
      </c>
      <c r="K20" s="43">
        <v>4500</v>
      </c>
      <c r="L20" s="43">
        <f>K20*2</f>
        <v>9000</v>
      </c>
      <c r="M20" s="43" t="s">
        <v>37</v>
      </c>
      <c r="N20" s="47"/>
      <c r="O20" s="47"/>
      <c r="P20" s="47"/>
      <c r="R20" s="47">
        <v>50168</v>
      </c>
    </row>
    <row r="21" spans="1:23" ht="15" hidden="1" customHeight="1" x14ac:dyDescent="0.3">
      <c r="A21" s="43" t="s">
        <v>107</v>
      </c>
      <c r="B21" s="44" t="s">
        <v>23</v>
      </c>
      <c r="C21" s="43" t="s">
        <v>33</v>
      </c>
      <c r="D21" s="43" t="s">
        <v>34</v>
      </c>
      <c r="E21" s="48" t="s">
        <v>35</v>
      </c>
      <c r="F21" s="43"/>
      <c r="G21" s="31" t="s">
        <v>77</v>
      </c>
      <c r="H21" s="43"/>
      <c r="I21" s="43"/>
      <c r="J21" s="43"/>
      <c r="K21" s="43">
        <v>2000</v>
      </c>
      <c r="L21" s="43">
        <f t="shared" ref="L21:L22" si="5">K21</f>
        <v>2000</v>
      </c>
      <c r="M21" s="46" t="s">
        <v>26</v>
      </c>
      <c r="N21" s="54"/>
      <c r="O21" s="55"/>
      <c r="P21" s="55"/>
      <c r="Q21" s="47">
        <v>25.04</v>
      </c>
      <c r="R21" s="47">
        <v>50188</v>
      </c>
      <c r="S21" s="47">
        <v>54566</v>
      </c>
      <c r="T21" s="56">
        <v>0.93200000000000005</v>
      </c>
      <c r="U21" s="47">
        <v>17.908999999999999</v>
      </c>
      <c r="V21" s="57">
        <v>16.922000000000001</v>
      </c>
      <c r="W21" s="47">
        <f t="shared" ref="W21:W26" si="6">R21-R20</f>
        <v>20</v>
      </c>
    </row>
    <row r="22" spans="1:23" ht="15" hidden="1" customHeight="1" x14ac:dyDescent="0.3">
      <c r="A22" s="43" t="s">
        <v>107</v>
      </c>
      <c r="B22" s="44" t="s">
        <v>23</v>
      </c>
      <c r="C22" s="43" t="s">
        <v>33</v>
      </c>
      <c r="D22" s="43" t="s">
        <v>34</v>
      </c>
      <c r="E22" s="49" t="s">
        <v>39</v>
      </c>
      <c r="F22" s="43"/>
      <c r="G22" s="43" t="s">
        <v>36</v>
      </c>
      <c r="H22" s="43"/>
      <c r="I22" s="43"/>
      <c r="J22" s="43"/>
      <c r="K22" s="43">
        <v>3500</v>
      </c>
      <c r="L22" s="43">
        <f t="shared" si="5"/>
        <v>3500</v>
      </c>
      <c r="M22" s="46" t="s">
        <v>26</v>
      </c>
      <c r="N22" s="47"/>
      <c r="O22" s="47"/>
      <c r="P22" s="47"/>
      <c r="Q22" s="47">
        <v>26.04</v>
      </c>
      <c r="R22" s="47">
        <v>50304</v>
      </c>
      <c r="S22" s="47">
        <v>54690</v>
      </c>
      <c r="T22" s="56">
        <v>0.93200000000000005</v>
      </c>
      <c r="U22" s="47">
        <v>17.908999999999999</v>
      </c>
      <c r="V22" s="57">
        <v>16.922000000000001</v>
      </c>
      <c r="W22" s="47">
        <f t="shared" si="6"/>
        <v>116</v>
      </c>
    </row>
    <row r="23" spans="1:23" ht="15" hidden="1" customHeight="1" x14ac:dyDescent="0.3">
      <c r="A23" s="43" t="s">
        <v>107</v>
      </c>
      <c r="B23" s="44" t="s">
        <v>23</v>
      </c>
      <c r="C23" s="43" t="s">
        <v>33</v>
      </c>
      <c r="D23" s="43" t="s">
        <v>34</v>
      </c>
      <c r="E23" s="50" t="s">
        <v>30</v>
      </c>
      <c r="F23" s="43"/>
      <c r="G23" s="32" t="s">
        <v>78</v>
      </c>
      <c r="H23" s="43"/>
      <c r="I23" s="43"/>
      <c r="J23" s="43"/>
      <c r="K23" s="43">
        <v>3500</v>
      </c>
      <c r="L23" s="43">
        <f>K23</f>
        <v>3500</v>
      </c>
      <c r="M23" s="43" t="s">
        <v>31</v>
      </c>
      <c r="N23" s="47"/>
      <c r="O23" s="47"/>
      <c r="P23" s="47"/>
      <c r="Q23" s="47">
        <v>27.04</v>
      </c>
      <c r="R23" s="47">
        <v>50435</v>
      </c>
      <c r="S23" s="47">
        <v>54828</v>
      </c>
      <c r="T23" s="56">
        <v>0.93200000000000005</v>
      </c>
      <c r="U23" s="47">
        <v>17.908999999999999</v>
      </c>
      <c r="V23" s="57">
        <v>16.922000000000001</v>
      </c>
      <c r="W23" s="47">
        <f t="shared" si="6"/>
        <v>131</v>
      </c>
    </row>
    <row r="24" spans="1:23" ht="15" hidden="1" customHeight="1" x14ac:dyDescent="0.3">
      <c r="A24" s="43" t="s">
        <v>107</v>
      </c>
      <c r="B24" s="44" t="s">
        <v>23</v>
      </c>
      <c r="C24" s="43">
        <v>65548</v>
      </c>
      <c r="D24" s="45" t="s">
        <v>24</v>
      </c>
      <c r="E24" s="43" t="s">
        <v>30</v>
      </c>
      <c r="F24" s="43"/>
      <c r="G24" s="43" t="s">
        <v>36</v>
      </c>
      <c r="H24" s="43"/>
      <c r="I24" s="43"/>
      <c r="J24" s="43"/>
      <c r="K24" s="43">
        <v>1615</v>
      </c>
      <c r="L24" s="43">
        <f t="shared" ref="L24:L29" si="7">K24</f>
        <v>1615</v>
      </c>
      <c r="M24" s="43" t="s">
        <v>18</v>
      </c>
      <c r="N24" s="47"/>
      <c r="O24" s="47"/>
      <c r="P24" s="47"/>
      <c r="Q24" s="47">
        <v>28.04</v>
      </c>
      <c r="R24" s="47">
        <v>50511</v>
      </c>
      <c r="S24" s="47">
        <v>54909</v>
      </c>
      <c r="T24" s="56">
        <v>0.93200000000000005</v>
      </c>
      <c r="U24" s="47">
        <v>17.908999999999999</v>
      </c>
      <c r="V24" s="57">
        <v>16.922000000000001</v>
      </c>
      <c r="W24" s="47">
        <f t="shared" si="6"/>
        <v>76</v>
      </c>
    </row>
    <row r="25" spans="1:23" ht="15" hidden="1" customHeight="1" x14ac:dyDescent="0.3">
      <c r="A25" s="43" t="s">
        <v>107</v>
      </c>
      <c r="B25" s="51" t="s">
        <v>27</v>
      </c>
      <c r="C25" s="52" t="s">
        <v>28</v>
      </c>
      <c r="D25" s="43" t="s">
        <v>29</v>
      </c>
      <c r="E25" s="43" t="s">
        <v>30</v>
      </c>
      <c r="F25" s="43"/>
      <c r="G25" s="43"/>
      <c r="H25" s="43"/>
      <c r="I25" s="43"/>
      <c r="J25" s="43"/>
      <c r="K25" s="43">
        <v>665</v>
      </c>
      <c r="L25" s="43">
        <f t="shared" si="7"/>
        <v>665</v>
      </c>
      <c r="M25" s="53" t="s">
        <v>22</v>
      </c>
      <c r="N25" s="47"/>
      <c r="O25" s="47"/>
      <c r="P25" s="47"/>
      <c r="Q25" s="47">
        <v>29.04</v>
      </c>
      <c r="R25" s="47">
        <v>50627</v>
      </c>
      <c r="S25" s="47">
        <v>55032</v>
      </c>
      <c r="T25" s="56">
        <v>0.93300000000000005</v>
      </c>
      <c r="U25" s="47">
        <v>17.908999999999999</v>
      </c>
      <c r="V25" s="57">
        <v>16.922000000000001</v>
      </c>
      <c r="W25" s="47">
        <f t="shared" si="6"/>
        <v>116</v>
      </c>
    </row>
    <row r="26" spans="1:23" ht="15" hidden="1" customHeight="1" x14ac:dyDescent="0.3">
      <c r="A26" s="43" t="s">
        <v>108</v>
      </c>
      <c r="B26" s="43" t="s">
        <v>14</v>
      </c>
      <c r="C26" s="43" t="s">
        <v>56</v>
      </c>
      <c r="D26" s="43" t="s">
        <v>57</v>
      </c>
      <c r="E26" s="43" t="s">
        <v>35</v>
      </c>
      <c r="F26" s="43"/>
      <c r="G26" s="43" t="s">
        <v>77</v>
      </c>
      <c r="H26" s="43"/>
      <c r="I26" s="43"/>
      <c r="J26" s="43">
        <v>1</v>
      </c>
      <c r="K26" s="43">
        <v>6000</v>
      </c>
      <c r="L26" s="43">
        <f t="shared" si="7"/>
        <v>6000</v>
      </c>
      <c r="M26" s="43" t="s">
        <v>91</v>
      </c>
      <c r="N26" s="47"/>
      <c r="O26" s="47"/>
      <c r="P26" s="47"/>
      <c r="Q26" s="47">
        <v>30.04</v>
      </c>
      <c r="R26" s="47">
        <v>50758</v>
      </c>
      <c r="S26" s="47">
        <v>55171</v>
      </c>
      <c r="T26" s="56">
        <v>0.93300000000000005</v>
      </c>
      <c r="U26" s="47">
        <v>17.908999999999999</v>
      </c>
      <c r="V26" s="57">
        <v>16.922000000000001</v>
      </c>
      <c r="W26" s="47">
        <f t="shared" si="6"/>
        <v>131</v>
      </c>
    </row>
    <row r="27" spans="1:23" ht="15" hidden="1" customHeight="1" x14ac:dyDescent="0.3">
      <c r="A27" s="43" t="s">
        <v>108</v>
      </c>
      <c r="B27" s="43" t="s">
        <v>14</v>
      </c>
      <c r="C27" s="43" t="s">
        <v>56</v>
      </c>
      <c r="D27" s="43" t="s">
        <v>57</v>
      </c>
      <c r="E27" s="43" t="s">
        <v>39</v>
      </c>
      <c r="F27" s="43"/>
      <c r="G27" s="43" t="s">
        <v>36</v>
      </c>
      <c r="H27" s="43"/>
      <c r="I27" s="43"/>
      <c r="J27" s="43">
        <v>2</v>
      </c>
      <c r="K27" s="43">
        <v>3400</v>
      </c>
      <c r="L27" s="43">
        <f t="shared" si="7"/>
        <v>3400</v>
      </c>
      <c r="M27" s="43" t="s">
        <v>37</v>
      </c>
      <c r="N27" s="47"/>
      <c r="O27" s="47"/>
      <c r="P27" s="47"/>
      <c r="Q27" s="47">
        <v>4.05</v>
      </c>
      <c r="R27" s="47">
        <v>51165</v>
      </c>
      <c r="S27" s="47">
        <v>55605</v>
      </c>
      <c r="T27" s="56">
        <v>0.93400000000000005</v>
      </c>
      <c r="U27" s="47">
        <v>17.908999999999999</v>
      </c>
      <c r="V27" s="57">
        <v>16.922000000000001</v>
      </c>
      <c r="W27" s="47">
        <f t="shared" ref="W27" si="8">R27-R26</f>
        <v>407</v>
      </c>
    </row>
    <row r="28" spans="1:23" ht="15" hidden="1" customHeight="1" x14ac:dyDescent="0.3">
      <c r="A28" s="43" t="s">
        <v>108</v>
      </c>
      <c r="B28" s="44" t="s">
        <v>23</v>
      </c>
      <c r="C28" s="43" t="s">
        <v>33</v>
      </c>
      <c r="D28" s="43" t="s">
        <v>34</v>
      </c>
      <c r="E28" s="48" t="s">
        <v>35</v>
      </c>
      <c r="F28" s="43"/>
      <c r="G28" s="31" t="s">
        <v>77</v>
      </c>
      <c r="H28" s="43"/>
      <c r="I28" s="43"/>
      <c r="J28" s="43"/>
      <c r="K28" s="43">
        <v>5340</v>
      </c>
      <c r="L28" s="43">
        <f t="shared" si="7"/>
        <v>5340</v>
      </c>
      <c r="M28" s="46" t="s">
        <v>26</v>
      </c>
      <c r="N28" s="47"/>
      <c r="O28" s="47"/>
      <c r="P28" s="47"/>
      <c r="Q28" s="47">
        <v>8.0500000000000007</v>
      </c>
      <c r="R28" s="47">
        <v>51534</v>
      </c>
      <c r="S28" s="47">
        <v>55998</v>
      </c>
      <c r="T28" s="56">
        <v>0.93400000000000005</v>
      </c>
      <c r="U28" s="47">
        <v>17.908999999999999</v>
      </c>
      <c r="V28" s="57">
        <v>16.922000000000001</v>
      </c>
      <c r="W28" s="47">
        <f t="shared" ref="W28" si="9">R28-R27</f>
        <v>369</v>
      </c>
    </row>
    <row r="29" spans="1:23" ht="15" hidden="1" customHeight="1" x14ac:dyDescent="0.3">
      <c r="A29" s="43" t="s">
        <v>108</v>
      </c>
      <c r="B29" s="44" t="s">
        <v>23</v>
      </c>
      <c r="C29" s="43" t="s">
        <v>33</v>
      </c>
      <c r="D29" s="43" t="s">
        <v>34</v>
      </c>
      <c r="E29" s="49" t="s">
        <v>39</v>
      </c>
      <c r="F29" s="43"/>
      <c r="G29" s="43" t="s">
        <v>36</v>
      </c>
      <c r="H29" s="43"/>
      <c r="I29" s="43"/>
      <c r="J29" s="43"/>
      <c r="K29" s="43">
        <v>3800</v>
      </c>
      <c r="L29" s="43">
        <f t="shared" si="7"/>
        <v>3800</v>
      </c>
      <c r="M29" s="46" t="s">
        <v>26</v>
      </c>
      <c r="N29" s="47"/>
      <c r="O29" s="47"/>
      <c r="P29" s="47"/>
      <c r="Q29" s="47">
        <v>10.050000000000001</v>
      </c>
      <c r="R29" s="47">
        <v>51790</v>
      </c>
      <c r="S29" s="47">
        <v>56269</v>
      </c>
      <c r="T29" s="56">
        <v>0.93400000000000005</v>
      </c>
      <c r="U29" s="47">
        <v>17.908999999999999</v>
      </c>
      <c r="V29" s="57">
        <v>16.922000000000001</v>
      </c>
      <c r="W29" s="47">
        <f t="shared" ref="W29" si="10">R29-R28</f>
        <v>256</v>
      </c>
    </row>
    <row r="30" spans="1:23" ht="15" hidden="1" customHeight="1" x14ac:dyDescent="0.3">
      <c r="A30" s="43" t="s">
        <v>108</v>
      </c>
      <c r="B30" s="44" t="s">
        <v>23</v>
      </c>
      <c r="C30" s="43" t="s">
        <v>33</v>
      </c>
      <c r="D30" s="43" t="s">
        <v>34</v>
      </c>
      <c r="E30" s="50" t="s">
        <v>30</v>
      </c>
      <c r="F30" s="43"/>
      <c r="G30" s="32" t="s">
        <v>78</v>
      </c>
      <c r="H30" s="43"/>
      <c r="I30" s="43"/>
      <c r="J30" s="43"/>
      <c r="K30" s="43">
        <v>2950</v>
      </c>
      <c r="L30" s="43">
        <f>K30</f>
        <v>2950</v>
      </c>
      <c r="M30" s="43" t="s">
        <v>31</v>
      </c>
      <c r="N30" s="47"/>
      <c r="O30" s="47"/>
      <c r="P30" s="47"/>
      <c r="Q30" s="47">
        <v>11.05</v>
      </c>
      <c r="R30" s="47">
        <v>51944</v>
      </c>
      <c r="S30" s="47">
        <v>56436</v>
      </c>
      <c r="T30" s="56">
        <v>0.93400000000000005</v>
      </c>
      <c r="U30" s="47">
        <v>17.908999999999999</v>
      </c>
      <c r="V30" s="57">
        <v>16.922000000000001</v>
      </c>
      <c r="W30" s="47">
        <f t="shared" ref="W30" si="11">R30-R29</f>
        <v>154</v>
      </c>
    </row>
    <row r="31" spans="1:23" ht="15" hidden="1" customHeight="1" x14ac:dyDescent="0.3">
      <c r="A31" s="43" t="s">
        <v>108</v>
      </c>
      <c r="B31" s="51" t="s">
        <v>27</v>
      </c>
      <c r="C31" s="52" t="s">
        <v>28</v>
      </c>
      <c r="D31" s="43" t="s">
        <v>29</v>
      </c>
      <c r="E31" s="43" t="s">
        <v>30</v>
      </c>
      <c r="F31" s="43"/>
      <c r="G31" s="43"/>
      <c r="H31" s="43"/>
      <c r="I31" s="43"/>
      <c r="J31" s="43"/>
      <c r="K31" s="43">
        <v>1900</v>
      </c>
      <c r="L31" s="43">
        <f t="shared" ref="L31:L34" si="12">K31</f>
        <v>1900</v>
      </c>
      <c r="M31" s="53" t="s">
        <v>22</v>
      </c>
      <c r="N31" s="47"/>
      <c r="O31" s="47"/>
      <c r="P31" s="47"/>
    </row>
    <row r="32" spans="1:23" ht="15" customHeight="1" x14ac:dyDescent="0.3">
      <c r="A32" s="43" t="s">
        <v>108</v>
      </c>
      <c r="B32" s="58" t="s">
        <v>44</v>
      </c>
      <c r="C32" s="43" t="s">
        <v>45</v>
      </c>
      <c r="D32" s="43" t="s">
        <v>46</v>
      </c>
      <c r="E32" s="43" t="s">
        <v>47</v>
      </c>
      <c r="F32" s="43"/>
      <c r="G32" s="43"/>
      <c r="H32" s="43"/>
      <c r="I32" s="43"/>
      <c r="J32" s="43"/>
      <c r="K32" s="43">
        <v>500</v>
      </c>
      <c r="L32" s="43">
        <f t="shared" si="12"/>
        <v>500</v>
      </c>
      <c r="M32" s="43" t="s">
        <v>37</v>
      </c>
      <c r="N32" s="47"/>
      <c r="O32" s="47"/>
      <c r="P32" s="47"/>
    </row>
    <row r="33" spans="1:23" ht="15" hidden="1" customHeight="1" x14ac:dyDescent="0.3">
      <c r="A33" s="43" t="s">
        <v>109</v>
      </c>
      <c r="B33" s="43" t="s">
        <v>14</v>
      </c>
      <c r="C33" s="43" t="s">
        <v>56</v>
      </c>
      <c r="D33" s="43" t="s">
        <v>57</v>
      </c>
      <c r="E33" s="43" t="s">
        <v>35</v>
      </c>
      <c r="F33" s="43"/>
      <c r="G33" s="43" t="s">
        <v>77</v>
      </c>
      <c r="H33" s="43"/>
      <c r="I33" s="43"/>
      <c r="J33" s="43">
        <v>1</v>
      </c>
      <c r="K33" s="43">
        <v>5000</v>
      </c>
      <c r="L33" s="43">
        <f t="shared" si="12"/>
        <v>5000</v>
      </c>
      <c r="M33" s="43" t="s">
        <v>91</v>
      </c>
      <c r="N33" s="47"/>
      <c r="O33" s="47"/>
      <c r="P33" s="47"/>
    </row>
    <row r="34" spans="1:23" ht="15" hidden="1" customHeight="1" x14ac:dyDescent="0.3">
      <c r="A34" s="43" t="s">
        <v>109</v>
      </c>
      <c r="B34" s="43" t="s">
        <v>14</v>
      </c>
      <c r="C34" s="43">
        <v>7479</v>
      </c>
      <c r="D34" s="43" t="s">
        <v>20</v>
      </c>
      <c r="E34" s="43" t="s">
        <v>25</v>
      </c>
      <c r="F34" s="43"/>
      <c r="G34" s="43"/>
      <c r="H34" s="43"/>
      <c r="I34" s="43"/>
      <c r="J34" s="43">
        <v>1</v>
      </c>
      <c r="K34" s="43">
        <v>5017</v>
      </c>
      <c r="L34" s="43">
        <f t="shared" si="12"/>
        <v>5017</v>
      </c>
      <c r="M34" s="43" t="s">
        <v>22</v>
      </c>
      <c r="N34" s="47"/>
      <c r="O34" s="47"/>
      <c r="P34" s="47"/>
    </row>
    <row r="35" spans="1:23" ht="15" customHeight="1" x14ac:dyDescent="0.3">
      <c r="A35" s="43" t="s">
        <v>109</v>
      </c>
      <c r="B35" s="58" t="s">
        <v>44</v>
      </c>
      <c r="C35" s="43" t="s">
        <v>45</v>
      </c>
      <c r="D35" s="43" t="s">
        <v>46</v>
      </c>
      <c r="E35" s="43" t="s">
        <v>47</v>
      </c>
      <c r="F35" s="43"/>
      <c r="G35" s="43"/>
      <c r="H35" s="43"/>
      <c r="I35" s="43"/>
      <c r="J35" s="43"/>
      <c r="K35" s="43">
        <v>2700</v>
      </c>
      <c r="L35" s="43">
        <f t="shared" ref="L35:L36" si="13">K35</f>
        <v>2700</v>
      </c>
      <c r="M35" s="43" t="s">
        <v>37</v>
      </c>
      <c r="N35" s="47"/>
      <c r="O35" s="47"/>
      <c r="P35" s="47"/>
    </row>
    <row r="36" spans="1:23" ht="15" hidden="1" customHeight="1" x14ac:dyDescent="0.3">
      <c r="A36" s="43" t="s">
        <v>109</v>
      </c>
      <c r="B36" s="44" t="s">
        <v>23</v>
      </c>
      <c r="C36" s="43" t="s">
        <v>33</v>
      </c>
      <c r="D36" s="43" t="s">
        <v>34</v>
      </c>
      <c r="E36" s="49" t="s">
        <v>39</v>
      </c>
      <c r="F36" s="43"/>
      <c r="G36" s="43" t="s">
        <v>36</v>
      </c>
      <c r="H36" s="43"/>
      <c r="I36" s="43"/>
      <c r="J36" s="43"/>
      <c r="K36" s="43">
        <v>4200</v>
      </c>
      <c r="L36" s="43">
        <f t="shared" si="13"/>
        <v>4200</v>
      </c>
      <c r="M36" s="46" t="s">
        <v>26</v>
      </c>
      <c r="N36" s="47"/>
      <c r="O36" s="47"/>
      <c r="P36" s="47"/>
      <c r="Q36" s="47">
        <v>30.05</v>
      </c>
      <c r="R36" s="47">
        <v>53912</v>
      </c>
      <c r="S36" s="47">
        <v>58665</v>
      </c>
      <c r="T36" s="56">
        <v>0.91800000000000004</v>
      </c>
      <c r="U36" s="47">
        <v>17.908999999999999</v>
      </c>
      <c r="V36" s="57">
        <v>16.922000000000001</v>
      </c>
      <c r="W36" s="47">
        <f>R36-R30</f>
        <v>1968</v>
      </c>
    </row>
    <row r="37" spans="1:23" ht="15" hidden="1" customHeight="1" x14ac:dyDescent="0.3">
      <c r="A37" s="43" t="s">
        <v>109</v>
      </c>
      <c r="B37" s="44" t="s">
        <v>23</v>
      </c>
      <c r="C37" s="43" t="s">
        <v>33</v>
      </c>
      <c r="D37" s="43" t="s">
        <v>34</v>
      </c>
      <c r="E37" s="50" t="s">
        <v>30</v>
      </c>
      <c r="F37" s="43"/>
      <c r="G37" s="32" t="s">
        <v>78</v>
      </c>
      <c r="H37" s="43"/>
      <c r="I37" s="43"/>
      <c r="J37" s="43"/>
      <c r="K37" s="43">
        <v>5000</v>
      </c>
      <c r="L37" s="43">
        <f>K37</f>
        <v>5000</v>
      </c>
      <c r="M37" s="43" t="s">
        <v>31</v>
      </c>
      <c r="N37" s="47"/>
      <c r="O37" s="47"/>
      <c r="P37" s="47"/>
    </row>
    <row r="38" spans="1:23" ht="15" hidden="1" customHeight="1" x14ac:dyDescent="0.3">
      <c r="A38" s="43" t="s">
        <v>109</v>
      </c>
      <c r="B38" s="44" t="s">
        <v>23</v>
      </c>
      <c r="C38" s="43" t="s">
        <v>33</v>
      </c>
      <c r="D38" s="43" t="s">
        <v>34</v>
      </c>
      <c r="E38" s="48" t="s">
        <v>35</v>
      </c>
      <c r="F38" s="43"/>
      <c r="G38" s="31" t="s">
        <v>77</v>
      </c>
      <c r="H38" s="43"/>
      <c r="I38" s="43"/>
      <c r="J38" s="43"/>
      <c r="K38" s="43">
        <v>5340</v>
      </c>
      <c r="L38" s="43">
        <f t="shared" ref="L38:L39" si="14">K38</f>
        <v>5340</v>
      </c>
      <c r="M38" s="46" t="s">
        <v>26</v>
      </c>
      <c r="N38" s="47"/>
      <c r="O38" s="47"/>
      <c r="P38" s="47"/>
      <c r="W38" s="59">
        <f>SUM(W21:W37)</f>
        <v>3744</v>
      </c>
    </row>
    <row r="39" spans="1:23" ht="15" hidden="1" customHeight="1" x14ac:dyDescent="0.3">
      <c r="A39" s="43" t="s">
        <v>109</v>
      </c>
      <c r="B39" s="44" t="s">
        <v>23</v>
      </c>
      <c r="C39" s="43" t="s">
        <v>33</v>
      </c>
      <c r="D39" s="43" t="s">
        <v>34</v>
      </c>
      <c r="E39" s="49" t="s">
        <v>39</v>
      </c>
      <c r="F39" s="43"/>
      <c r="G39" s="43" t="s">
        <v>36</v>
      </c>
      <c r="H39" s="43"/>
      <c r="I39" s="43"/>
      <c r="J39" s="43"/>
      <c r="K39" s="43">
        <v>780</v>
      </c>
      <c r="L39" s="43">
        <f t="shared" si="14"/>
        <v>780</v>
      </c>
      <c r="M39" s="43" t="s">
        <v>18</v>
      </c>
      <c r="N39" s="60"/>
      <c r="O39" s="60"/>
      <c r="P39" s="60"/>
    </row>
    <row r="40" spans="1:23" ht="15" hidden="1" customHeight="1" x14ac:dyDescent="0.3">
      <c r="A40" s="43" t="s">
        <v>109</v>
      </c>
      <c r="B40" s="44" t="s">
        <v>23</v>
      </c>
      <c r="C40" s="43" t="s">
        <v>33</v>
      </c>
      <c r="D40" s="43" t="s">
        <v>34</v>
      </c>
      <c r="E40" s="50" t="s">
        <v>30</v>
      </c>
      <c r="F40" s="43"/>
      <c r="G40" s="32" t="s">
        <v>78</v>
      </c>
      <c r="H40" s="43"/>
      <c r="I40" s="43"/>
      <c r="J40" s="43"/>
      <c r="K40" s="43">
        <v>780</v>
      </c>
      <c r="L40" s="43">
        <f>K40</f>
        <v>780</v>
      </c>
      <c r="M40" s="43" t="s">
        <v>31</v>
      </c>
      <c r="N40" s="47"/>
      <c r="O40" s="47"/>
      <c r="P40" s="47"/>
    </row>
    <row r="41" spans="1:23" ht="15" hidden="1" customHeight="1" x14ac:dyDescent="0.3">
      <c r="A41" s="43" t="s">
        <v>110</v>
      </c>
      <c r="B41" s="44" t="s">
        <v>23</v>
      </c>
      <c r="C41" s="43" t="s">
        <v>33</v>
      </c>
      <c r="D41" s="43" t="s">
        <v>34</v>
      </c>
      <c r="E41" s="48" t="s">
        <v>35</v>
      </c>
      <c r="F41" s="43"/>
      <c r="G41" s="31" t="s">
        <v>77</v>
      </c>
      <c r="H41" s="43"/>
      <c r="I41" s="43"/>
      <c r="J41" s="43"/>
      <c r="K41" s="43">
        <v>9200</v>
      </c>
      <c r="L41" s="43">
        <f t="shared" ref="L41:L42" si="15">K41</f>
        <v>9200</v>
      </c>
      <c r="M41" s="46" t="s">
        <v>26</v>
      </c>
      <c r="N41" s="47"/>
      <c r="O41" s="47"/>
      <c r="P41" s="47"/>
    </row>
    <row r="42" spans="1:23" ht="15" hidden="1" customHeight="1" x14ac:dyDescent="0.3">
      <c r="A42" s="43" t="s">
        <v>110</v>
      </c>
      <c r="B42" s="44" t="s">
        <v>23</v>
      </c>
      <c r="C42" s="43" t="s">
        <v>33</v>
      </c>
      <c r="D42" s="43" t="s">
        <v>34</v>
      </c>
      <c r="E42" s="49" t="s">
        <v>39</v>
      </c>
      <c r="F42" s="43"/>
      <c r="G42" s="43" t="s">
        <v>36</v>
      </c>
      <c r="H42" s="43"/>
      <c r="I42" s="43"/>
      <c r="J42" s="43"/>
      <c r="K42" s="43">
        <v>7000</v>
      </c>
      <c r="L42" s="43">
        <f t="shared" si="15"/>
        <v>7000</v>
      </c>
      <c r="M42" s="43" t="s">
        <v>18</v>
      </c>
      <c r="N42" s="47"/>
      <c r="O42" s="47"/>
      <c r="P42" s="47"/>
    </row>
    <row r="43" spans="1:23" ht="15" hidden="1" customHeight="1" x14ac:dyDescent="0.3">
      <c r="A43" s="43" t="s">
        <v>110</v>
      </c>
      <c r="B43" s="44" t="s">
        <v>23</v>
      </c>
      <c r="C43" s="43" t="s">
        <v>33</v>
      </c>
      <c r="D43" s="43" t="s">
        <v>34</v>
      </c>
      <c r="E43" s="50" t="s">
        <v>30</v>
      </c>
      <c r="F43" s="43"/>
      <c r="G43" s="32" t="s">
        <v>78</v>
      </c>
      <c r="H43" s="43"/>
      <c r="I43" s="43"/>
      <c r="J43" s="43"/>
      <c r="K43" s="43">
        <v>7000</v>
      </c>
      <c r="L43" s="43">
        <f>K43</f>
        <v>7000</v>
      </c>
      <c r="M43" s="43" t="s">
        <v>31</v>
      </c>
      <c r="N43" s="47"/>
      <c r="O43" s="47"/>
      <c r="P43" s="47"/>
    </row>
    <row r="44" spans="1:23" ht="15" hidden="1" customHeight="1" x14ac:dyDescent="0.3">
      <c r="A44" s="43" t="s">
        <v>110</v>
      </c>
      <c r="B44" s="43" t="s">
        <v>14</v>
      </c>
      <c r="C44" s="43">
        <v>7479</v>
      </c>
      <c r="D44" s="43" t="s">
        <v>20</v>
      </c>
      <c r="E44" s="43" t="s">
        <v>25</v>
      </c>
      <c r="F44" s="43"/>
      <c r="G44" s="43"/>
      <c r="H44" s="43"/>
      <c r="I44" s="43"/>
      <c r="J44" s="43">
        <v>1</v>
      </c>
      <c r="K44" s="43">
        <v>4017</v>
      </c>
      <c r="L44" s="43">
        <f t="shared" ref="L44:L47" si="16">K44</f>
        <v>4017</v>
      </c>
      <c r="M44" s="43" t="s">
        <v>22</v>
      </c>
      <c r="N44" s="47"/>
      <c r="O44" s="47"/>
      <c r="P44" s="47"/>
    </row>
    <row r="45" spans="1:23" ht="15" hidden="1" customHeight="1" x14ac:dyDescent="0.3">
      <c r="A45" s="43" t="s">
        <v>110</v>
      </c>
      <c r="B45" s="43" t="s">
        <v>14</v>
      </c>
      <c r="C45" s="43" t="s">
        <v>56</v>
      </c>
      <c r="D45" s="43" t="s">
        <v>57</v>
      </c>
      <c r="E45" s="43" t="s">
        <v>35</v>
      </c>
      <c r="F45" s="43"/>
      <c r="G45" s="43" t="s">
        <v>77</v>
      </c>
      <c r="H45" s="43"/>
      <c r="I45" s="43"/>
      <c r="J45" s="43">
        <v>1</v>
      </c>
      <c r="K45" s="43">
        <v>5000</v>
      </c>
      <c r="L45" s="43">
        <f t="shared" si="16"/>
        <v>5000</v>
      </c>
      <c r="M45" s="43" t="s">
        <v>91</v>
      </c>
      <c r="N45" s="47"/>
      <c r="O45" s="47"/>
      <c r="P45" s="47"/>
    </row>
    <row r="46" spans="1:23" ht="15" hidden="1" customHeight="1" x14ac:dyDescent="0.3">
      <c r="A46" s="43" t="s">
        <v>111</v>
      </c>
      <c r="B46" s="44" t="s">
        <v>23</v>
      </c>
      <c r="C46" s="43" t="s">
        <v>33</v>
      </c>
      <c r="D46" s="43" t="s">
        <v>34</v>
      </c>
      <c r="E46" s="48" t="s">
        <v>35</v>
      </c>
      <c r="F46" s="43"/>
      <c r="G46" s="31" t="s">
        <v>77</v>
      </c>
      <c r="H46" s="43"/>
      <c r="I46" s="43"/>
      <c r="J46" s="43"/>
      <c r="K46" s="43">
        <v>1310</v>
      </c>
      <c r="L46" s="43">
        <f t="shared" si="16"/>
        <v>1310</v>
      </c>
      <c r="M46" s="46" t="s">
        <v>26</v>
      </c>
      <c r="N46" s="47"/>
      <c r="O46" s="47"/>
      <c r="P46" s="47"/>
    </row>
    <row r="47" spans="1:23" ht="15" hidden="1" customHeight="1" x14ac:dyDescent="0.3">
      <c r="A47" s="43" t="s">
        <v>111</v>
      </c>
      <c r="B47" s="44" t="s">
        <v>23</v>
      </c>
      <c r="C47" s="43" t="s">
        <v>33</v>
      </c>
      <c r="D47" s="43" t="s">
        <v>34</v>
      </c>
      <c r="E47" s="49" t="s">
        <v>39</v>
      </c>
      <c r="F47" s="43"/>
      <c r="G47" s="43" t="s">
        <v>36</v>
      </c>
      <c r="H47" s="43"/>
      <c r="I47" s="43"/>
      <c r="J47" s="43"/>
      <c r="K47" s="43">
        <v>3100</v>
      </c>
      <c r="L47" s="43">
        <f t="shared" si="16"/>
        <v>3100</v>
      </c>
      <c r="M47" s="43" t="s">
        <v>18</v>
      </c>
      <c r="N47" s="47"/>
      <c r="O47" s="47"/>
      <c r="P47" s="47"/>
    </row>
    <row r="48" spans="1:23" ht="15" hidden="1" customHeight="1" x14ac:dyDescent="0.3">
      <c r="A48" s="43" t="s">
        <v>111</v>
      </c>
      <c r="B48" s="44" t="s">
        <v>23</v>
      </c>
      <c r="C48" s="43" t="s">
        <v>33</v>
      </c>
      <c r="D48" s="43" t="s">
        <v>34</v>
      </c>
      <c r="E48" s="50" t="s">
        <v>30</v>
      </c>
      <c r="F48" s="43"/>
      <c r="G48" s="32" t="s">
        <v>78</v>
      </c>
      <c r="H48" s="43"/>
      <c r="I48" s="43"/>
      <c r="J48" s="43"/>
      <c r="K48" s="43">
        <v>3100</v>
      </c>
      <c r="L48" s="43">
        <f>K48</f>
        <v>3100</v>
      </c>
      <c r="M48" s="43" t="s">
        <v>31</v>
      </c>
      <c r="N48" s="47"/>
      <c r="O48" s="47"/>
      <c r="P48" s="47"/>
    </row>
    <row r="49" spans="1:16" ht="15" hidden="1" customHeight="1" x14ac:dyDescent="0.3">
      <c r="A49" s="43" t="s">
        <v>111</v>
      </c>
      <c r="B49" s="44" t="s">
        <v>23</v>
      </c>
      <c r="C49" s="43">
        <v>65548</v>
      </c>
      <c r="D49" s="45" t="s">
        <v>24</v>
      </c>
      <c r="E49" s="43" t="s">
        <v>25</v>
      </c>
      <c r="F49" s="43"/>
      <c r="G49" s="43"/>
      <c r="H49" s="43"/>
      <c r="I49" s="43"/>
      <c r="J49" s="43"/>
      <c r="K49" s="43">
        <v>5800</v>
      </c>
      <c r="L49" s="43">
        <f t="shared" ref="L49:L51" si="17">K49</f>
        <v>5800</v>
      </c>
      <c r="M49" s="46" t="s">
        <v>26</v>
      </c>
      <c r="N49" s="47"/>
      <c r="O49" s="47"/>
      <c r="P49" s="47"/>
    </row>
    <row r="50" spans="1:16" ht="15" hidden="1" customHeight="1" x14ac:dyDescent="0.3">
      <c r="A50" s="43" t="s">
        <v>111</v>
      </c>
      <c r="B50" s="44" t="s">
        <v>23</v>
      </c>
      <c r="C50" s="43">
        <v>65548</v>
      </c>
      <c r="D50" s="45" t="s">
        <v>24</v>
      </c>
      <c r="E50" s="43" t="s">
        <v>30</v>
      </c>
      <c r="F50" s="43"/>
      <c r="G50" s="43" t="s">
        <v>36</v>
      </c>
      <c r="H50" s="43"/>
      <c r="I50" s="43"/>
      <c r="J50" s="43"/>
      <c r="K50" s="43">
        <v>2860</v>
      </c>
      <c r="L50" s="43">
        <f t="shared" si="17"/>
        <v>2860</v>
      </c>
      <c r="M50" s="43" t="s">
        <v>18</v>
      </c>
      <c r="N50" s="47"/>
      <c r="O50" s="47"/>
      <c r="P50" s="47"/>
    </row>
    <row r="51" spans="1:16" ht="15" hidden="1" customHeight="1" x14ac:dyDescent="0.3">
      <c r="A51" s="43" t="s">
        <v>111</v>
      </c>
      <c r="B51" s="43" t="s">
        <v>14</v>
      </c>
      <c r="C51" s="43" t="s">
        <v>56</v>
      </c>
      <c r="D51" s="43" t="s">
        <v>57</v>
      </c>
      <c r="E51" s="43" t="s">
        <v>35</v>
      </c>
      <c r="F51" s="43"/>
      <c r="G51" s="43" t="s">
        <v>77</v>
      </c>
      <c r="H51" s="43"/>
      <c r="I51" s="43"/>
      <c r="J51" s="43">
        <v>1</v>
      </c>
      <c r="K51" s="43">
        <v>6000</v>
      </c>
      <c r="L51" s="43">
        <f t="shared" si="17"/>
        <v>6000</v>
      </c>
      <c r="M51" s="43" t="s">
        <v>91</v>
      </c>
      <c r="N51" s="47"/>
      <c r="O51" s="47"/>
      <c r="P51" s="47"/>
    </row>
    <row r="52" spans="1:16" ht="15" hidden="1" customHeight="1" x14ac:dyDescent="0.3">
      <c r="A52" s="43" t="s">
        <v>111</v>
      </c>
      <c r="B52" s="43" t="s">
        <v>14</v>
      </c>
      <c r="C52" s="43">
        <v>2028</v>
      </c>
      <c r="D52" s="43" t="s">
        <v>16</v>
      </c>
      <c r="E52" s="43" t="s">
        <v>17</v>
      </c>
      <c r="F52" s="43">
        <v>20</v>
      </c>
      <c r="G52" s="43">
        <v>0.67500000000000004</v>
      </c>
      <c r="H52" s="43">
        <f>G52*F52</f>
        <v>13.5</v>
      </c>
      <c r="I52" s="43">
        <v>42</v>
      </c>
      <c r="J52" s="43">
        <v>4</v>
      </c>
      <c r="K52" s="43">
        <f t="shared" ref="K52" si="18">F52*I52</f>
        <v>840</v>
      </c>
      <c r="L52" s="43">
        <f>K52*J52</f>
        <v>3360</v>
      </c>
      <c r="M52" s="43" t="s">
        <v>18</v>
      </c>
      <c r="N52" s="47"/>
      <c r="O52" s="47"/>
      <c r="P52" s="47"/>
    </row>
    <row r="53" spans="1:16" ht="15" hidden="1" customHeight="1" x14ac:dyDescent="0.3">
      <c r="A53" s="43" t="s">
        <v>112</v>
      </c>
      <c r="B53" s="44" t="s">
        <v>23</v>
      </c>
      <c r="C53" s="43">
        <v>65548</v>
      </c>
      <c r="D53" s="45" t="s">
        <v>24</v>
      </c>
      <c r="E53" s="43" t="s">
        <v>25</v>
      </c>
      <c r="F53" s="43"/>
      <c r="G53" s="43"/>
      <c r="H53" s="43"/>
      <c r="I53" s="43"/>
      <c r="J53" s="43"/>
      <c r="K53" s="43">
        <v>6200</v>
      </c>
      <c r="L53" s="43">
        <f t="shared" ref="L53:L57" si="19">K53</f>
        <v>6200</v>
      </c>
      <c r="M53" s="46" t="s">
        <v>26</v>
      </c>
      <c r="N53" s="47"/>
      <c r="O53" s="47"/>
      <c r="P53" s="47"/>
    </row>
    <row r="54" spans="1:16" ht="15" hidden="1" customHeight="1" x14ac:dyDescent="0.3">
      <c r="A54" s="43" t="s">
        <v>112</v>
      </c>
      <c r="B54" s="44" t="s">
        <v>23</v>
      </c>
      <c r="C54" s="43">
        <v>65548</v>
      </c>
      <c r="D54" s="45" t="s">
        <v>24</v>
      </c>
      <c r="E54" s="43" t="s">
        <v>30</v>
      </c>
      <c r="F54" s="43"/>
      <c r="G54" s="43" t="s">
        <v>36</v>
      </c>
      <c r="H54" s="43"/>
      <c r="I54" s="43"/>
      <c r="J54" s="43"/>
      <c r="K54" s="43">
        <v>8340</v>
      </c>
      <c r="L54" s="43">
        <f t="shared" si="19"/>
        <v>8340</v>
      </c>
      <c r="M54" s="43" t="s">
        <v>31</v>
      </c>
      <c r="N54" s="47"/>
      <c r="O54" s="47"/>
      <c r="P54" s="47"/>
    </row>
    <row r="55" spans="1:16" ht="15" hidden="1" customHeight="1" x14ac:dyDescent="0.3">
      <c r="A55" s="43" t="s">
        <v>112</v>
      </c>
      <c r="B55" s="43" t="s">
        <v>14</v>
      </c>
      <c r="C55" s="43" t="s">
        <v>56</v>
      </c>
      <c r="D55" s="43" t="s">
        <v>57</v>
      </c>
      <c r="E55" s="43" t="s">
        <v>35</v>
      </c>
      <c r="F55" s="43"/>
      <c r="G55" s="43" t="s">
        <v>77</v>
      </c>
      <c r="H55" s="43"/>
      <c r="I55" s="43"/>
      <c r="J55" s="43">
        <v>1</v>
      </c>
      <c r="K55" s="43">
        <v>6000</v>
      </c>
      <c r="L55" s="43">
        <f t="shared" si="19"/>
        <v>6000</v>
      </c>
      <c r="M55" s="43" t="s">
        <v>91</v>
      </c>
      <c r="N55" s="47"/>
      <c r="O55" s="47"/>
      <c r="P55" s="47"/>
    </row>
    <row r="56" spans="1:16" ht="15" hidden="1" customHeight="1" x14ac:dyDescent="0.3">
      <c r="A56" s="43" t="s">
        <v>112</v>
      </c>
      <c r="B56" s="44" t="s">
        <v>23</v>
      </c>
      <c r="C56" s="43" t="s">
        <v>33</v>
      </c>
      <c r="D56" s="43" t="s">
        <v>34</v>
      </c>
      <c r="E56" s="48" t="s">
        <v>35</v>
      </c>
      <c r="F56" s="43"/>
      <c r="G56" s="31" t="s">
        <v>77</v>
      </c>
      <c r="H56" s="43"/>
      <c r="I56" s="43"/>
      <c r="J56" s="43"/>
      <c r="K56" s="43">
        <v>1750</v>
      </c>
      <c r="L56" s="43">
        <f t="shared" si="19"/>
        <v>1750</v>
      </c>
      <c r="M56" s="46" t="s">
        <v>26</v>
      </c>
      <c r="N56" s="47" t="s">
        <v>113</v>
      </c>
      <c r="O56" s="47"/>
      <c r="P56" s="47"/>
    </row>
    <row r="57" spans="1:16" ht="15" hidden="1" customHeight="1" x14ac:dyDescent="0.3">
      <c r="A57" s="43" t="s">
        <v>112</v>
      </c>
      <c r="B57" s="44" t="s">
        <v>23</v>
      </c>
      <c r="C57" s="43" t="s">
        <v>33</v>
      </c>
      <c r="D57" s="43" t="s">
        <v>34</v>
      </c>
      <c r="E57" s="49" t="s">
        <v>39</v>
      </c>
      <c r="F57" s="43"/>
      <c r="G57" s="43" t="s">
        <v>36</v>
      </c>
      <c r="H57" s="43"/>
      <c r="I57" s="43"/>
      <c r="J57" s="43"/>
      <c r="K57" s="43">
        <v>3000</v>
      </c>
      <c r="L57" s="43">
        <f t="shared" si="19"/>
        <v>3000</v>
      </c>
      <c r="M57" s="43" t="s">
        <v>18</v>
      </c>
      <c r="N57" s="47"/>
      <c r="O57" s="47"/>
      <c r="P57" s="47"/>
    </row>
    <row r="58" spans="1:16" ht="15" hidden="1" customHeight="1" x14ac:dyDescent="0.3">
      <c r="A58" s="43" t="s">
        <v>112</v>
      </c>
      <c r="B58" s="43" t="s">
        <v>14</v>
      </c>
      <c r="C58" s="43">
        <v>2028</v>
      </c>
      <c r="D58" s="43" t="s">
        <v>16</v>
      </c>
      <c r="E58" s="43" t="s">
        <v>17</v>
      </c>
      <c r="F58" s="43">
        <v>26</v>
      </c>
      <c r="G58" s="43">
        <v>0.67500000000000004</v>
      </c>
      <c r="H58" s="43">
        <f>G58*F58</f>
        <v>17.55</v>
      </c>
      <c r="I58" s="43">
        <v>42</v>
      </c>
      <c r="J58" s="43">
        <v>4</v>
      </c>
      <c r="K58" s="43">
        <f t="shared" ref="K58" si="20">F58*I58</f>
        <v>1092</v>
      </c>
      <c r="L58" s="43">
        <f>K58*J58</f>
        <v>4368</v>
      </c>
      <c r="M58" s="43" t="s">
        <v>18</v>
      </c>
      <c r="N58" s="47"/>
      <c r="O58" s="47"/>
      <c r="P58" s="47"/>
    </row>
    <row r="59" spans="1:16" ht="15" hidden="1" customHeight="1" x14ac:dyDescent="0.3">
      <c r="A59" s="43" t="s">
        <v>114</v>
      </c>
      <c r="B59" s="44" t="s">
        <v>23</v>
      </c>
      <c r="C59" s="43">
        <v>65548</v>
      </c>
      <c r="D59" s="45" t="s">
        <v>24</v>
      </c>
      <c r="E59" s="43" t="s">
        <v>30</v>
      </c>
      <c r="F59" s="43"/>
      <c r="G59" s="43" t="s">
        <v>36</v>
      </c>
      <c r="H59" s="43"/>
      <c r="I59" s="43"/>
      <c r="J59" s="43"/>
      <c r="K59" s="43">
        <v>820</v>
      </c>
      <c r="L59" s="43">
        <f t="shared" ref="L59:L61" si="21">K59</f>
        <v>820</v>
      </c>
      <c r="M59" s="43" t="s">
        <v>31</v>
      </c>
      <c r="N59" s="47"/>
      <c r="O59" s="47"/>
      <c r="P59" s="47"/>
    </row>
    <row r="60" spans="1:16" ht="15" hidden="1" customHeight="1" x14ac:dyDescent="0.3">
      <c r="A60" s="43" t="s">
        <v>114</v>
      </c>
      <c r="B60" s="44" t="s">
        <v>23</v>
      </c>
      <c r="C60" s="43" t="s">
        <v>33</v>
      </c>
      <c r="D60" s="43" t="s">
        <v>34</v>
      </c>
      <c r="E60" s="48" t="s">
        <v>35</v>
      </c>
      <c r="F60" s="43"/>
      <c r="G60" s="31" t="s">
        <v>77</v>
      </c>
      <c r="H60" s="43"/>
      <c r="I60" s="43"/>
      <c r="J60" s="43"/>
      <c r="K60" s="43">
        <v>8685</v>
      </c>
      <c r="L60" s="43">
        <f t="shared" si="21"/>
        <v>8685</v>
      </c>
      <c r="M60" s="46" t="s">
        <v>26</v>
      </c>
      <c r="N60" s="47"/>
      <c r="O60" s="47"/>
      <c r="P60" s="47"/>
    </row>
    <row r="61" spans="1:16" ht="15" hidden="1" customHeight="1" x14ac:dyDescent="0.3">
      <c r="A61" s="43" t="s">
        <v>114</v>
      </c>
      <c r="B61" s="44" t="s">
        <v>23</v>
      </c>
      <c r="C61" s="43" t="s">
        <v>33</v>
      </c>
      <c r="D61" s="43" t="s">
        <v>34</v>
      </c>
      <c r="E61" s="49" t="s">
        <v>39</v>
      </c>
      <c r="F61" s="43"/>
      <c r="G61" s="43" t="s">
        <v>36</v>
      </c>
      <c r="H61" s="43"/>
      <c r="I61" s="43"/>
      <c r="J61" s="43"/>
      <c r="K61" s="43">
        <v>4000</v>
      </c>
      <c r="L61" s="43">
        <f t="shared" si="21"/>
        <v>4000</v>
      </c>
      <c r="M61" s="43" t="s">
        <v>18</v>
      </c>
      <c r="N61" s="47"/>
      <c r="O61" s="47"/>
      <c r="P61" s="47"/>
    </row>
    <row r="62" spans="1:16" ht="15" hidden="1" customHeight="1" x14ac:dyDescent="0.3">
      <c r="A62" s="43" t="s">
        <v>114</v>
      </c>
      <c r="B62" s="44" t="s">
        <v>23</v>
      </c>
      <c r="C62" s="43" t="s">
        <v>33</v>
      </c>
      <c r="D62" s="43" t="s">
        <v>34</v>
      </c>
      <c r="E62" s="50" t="s">
        <v>30</v>
      </c>
      <c r="F62" s="43"/>
      <c r="G62" s="32" t="s">
        <v>78</v>
      </c>
      <c r="H62" s="43"/>
      <c r="I62" s="43"/>
      <c r="J62" s="43"/>
      <c r="K62" s="43">
        <v>4210</v>
      </c>
      <c r="L62" s="43">
        <f>K62</f>
        <v>4210</v>
      </c>
      <c r="M62" s="43" t="s">
        <v>31</v>
      </c>
      <c r="N62" s="47"/>
      <c r="O62" s="47"/>
      <c r="P62" s="47"/>
    </row>
    <row r="63" spans="1:16" ht="15" hidden="1" customHeight="1" x14ac:dyDescent="0.3">
      <c r="A63" s="43" t="s">
        <v>114</v>
      </c>
      <c r="B63" s="44" t="s">
        <v>23</v>
      </c>
      <c r="C63" s="43" t="s">
        <v>33</v>
      </c>
      <c r="D63" s="43" t="s">
        <v>34</v>
      </c>
      <c r="E63" s="50" t="s">
        <v>30</v>
      </c>
      <c r="F63" s="43"/>
      <c r="G63" s="32" t="s">
        <v>78</v>
      </c>
      <c r="H63" s="43"/>
      <c r="I63" s="43"/>
      <c r="J63" s="43"/>
      <c r="K63" s="43">
        <v>532</v>
      </c>
      <c r="L63" s="43">
        <f>K63</f>
        <v>532</v>
      </c>
      <c r="M63" s="43" t="s">
        <v>31</v>
      </c>
      <c r="N63" s="47" t="s">
        <v>115</v>
      </c>
      <c r="O63" s="47"/>
      <c r="P63" s="47"/>
    </row>
    <row r="64" spans="1:16" ht="15" hidden="1" customHeight="1" x14ac:dyDescent="0.3">
      <c r="A64" s="43" t="s">
        <v>114</v>
      </c>
      <c r="B64" s="43" t="s">
        <v>14</v>
      </c>
      <c r="C64" s="43">
        <v>2576</v>
      </c>
      <c r="D64" s="43" t="s">
        <v>84</v>
      </c>
      <c r="E64" s="43" t="s">
        <v>17</v>
      </c>
      <c r="F64" s="43">
        <v>413</v>
      </c>
      <c r="G64" s="43">
        <v>0.1</v>
      </c>
      <c r="H64" s="43">
        <f>F64*G64</f>
        <v>41.300000000000004</v>
      </c>
      <c r="I64" s="43">
        <v>17</v>
      </c>
      <c r="J64" s="43">
        <v>1</v>
      </c>
      <c r="K64" s="43">
        <f t="shared" ref="K64" si="22">F64*I64</f>
        <v>7021</v>
      </c>
      <c r="L64" s="43">
        <f t="shared" ref="L64" si="23">K64*J64</f>
        <v>7021</v>
      </c>
      <c r="M64" s="43" t="s">
        <v>22</v>
      </c>
      <c r="N64" s="47"/>
      <c r="O64" s="47"/>
      <c r="P64" s="47"/>
    </row>
    <row r="65" spans="1:16" ht="15" hidden="1" customHeight="1" x14ac:dyDescent="0.3">
      <c r="A65" s="43" t="s">
        <v>114</v>
      </c>
      <c r="B65" s="43" t="s">
        <v>14</v>
      </c>
      <c r="C65" s="43" t="s">
        <v>56</v>
      </c>
      <c r="D65" s="43" t="s">
        <v>57</v>
      </c>
      <c r="E65" s="43" t="s">
        <v>35</v>
      </c>
      <c r="F65" s="43"/>
      <c r="G65" s="43" t="s">
        <v>77</v>
      </c>
      <c r="H65" s="43"/>
      <c r="I65" s="43"/>
      <c r="J65" s="43">
        <v>1</v>
      </c>
      <c r="K65" s="43">
        <v>6000</v>
      </c>
      <c r="L65" s="43">
        <f t="shared" ref="L65" si="24">K65</f>
        <v>6000</v>
      </c>
      <c r="M65" s="43" t="s">
        <v>91</v>
      </c>
      <c r="N65" s="47"/>
      <c r="O65" s="47"/>
      <c r="P65" s="47"/>
    </row>
    <row r="66" spans="1:16" ht="15" hidden="1" customHeight="1" x14ac:dyDescent="0.3">
      <c r="A66" s="43" t="s">
        <v>114</v>
      </c>
      <c r="B66" s="43" t="s">
        <v>14</v>
      </c>
      <c r="C66" s="43" t="s">
        <v>56</v>
      </c>
      <c r="D66" s="43" t="s">
        <v>57</v>
      </c>
      <c r="E66" s="43" t="s">
        <v>39</v>
      </c>
      <c r="F66" s="43"/>
      <c r="G66" s="43" t="s">
        <v>36</v>
      </c>
      <c r="H66" s="43"/>
      <c r="I66" s="43"/>
      <c r="J66" s="43">
        <v>2</v>
      </c>
      <c r="K66" s="43">
        <v>4000</v>
      </c>
      <c r="L66" s="43">
        <f>K66*2</f>
        <v>8000</v>
      </c>
      <c r="M66" s="43" t="s">
        <v>37</v>
      </c>
      <c r="N66" s="47"/>
      <c r="O66" s="47"/>
      <c r="P66" s="47"/>
    </row>
    <row r="67" spans="1:16" ht="15" hidden="1" customHeight="1" x14ac:dyDescent="0.3">
      <c r="A67" s="43" t="s">
        <v>114</v>
      </c>
      <c r="B67" s="44" t="s">
        <v>23</v>
      </c>
      <c r="C67" s="43">
        <v>65548</v>
      </c>
      <c r="D67" s="45" t="s">
        <v>24</v>
      </c>
      <c r="E67" s="43" t="s">
        <v>25</v>
      </c>
      <c r="F67" s="43"/>
      <c r="G67" s="43"/>
      <c r="H67" s="43"/>
      <c r="I67" s="43"/>
      <c r="J67" s="43"/>
      <c r="K67" s="43">
        <v>530</v>
      </c>
      <c r="L67" s="43">
        <f t="shared" ref="L67:L69" si="25">K67</f>
        <v>530</v>
      </c>
      <c r="M67" s="46" t="s">
        <v>26</v>
      </c>
      <c r="N67" s="47"/>
      <c r="O67" s="47"/>
      <c r="P67" s="47"/>
    </row>
    <row r="68" spans="1:16" ht="15" hidden="1" customHeight="1" x14ac:dyDescent="0.3">
      <c r="A68" s="43" t="s">
        <v>116</v>
      </c>
      <c r="B68" s="44" t="s">
        <v>23</v>
      </c>
      <c r="C68" s="43">
        <v>65548</v>
      </c>
      <c r="D68" s="45" t="s">
        <v>24</v>
      </c>
      <c r="E68" s="43" t="s">
        <v>25</v>
      </c>
      <c r="F68" s="43"/>
      <c r="G68" s="43"/>
      <c r="H68" s="43"/>
      <c r="I68" s="43"/>
      <c r="J68" s="43"/>
      <c r="K68" s="43">
        <v>5350</v>
      </c>
      <c r="L68" s="43">
        <f t="shared" si="25"/>
        <v>5350</v>
      </c>
      <c r="M68" s="46" t="s">
        <v>26</v>
      </c>
      <c r="N68" s="47"/>
      <c r="O68" s="47"/>
      <c r="P68" s="47"/>
    </row>
    <row r="69" spans="1:16" ht="15" hidden="1" customHeight="1" x14ac:dyDescent="0.3">
      <c r="A69" s="43" t="s">
        <v>116</v>
      </c>
      <c r="B69" s="44" t="s">
        <v>23</v>
      </c>
      <c r="C69" s="43" t="s">
        <v>33</v>
      </c>
      <c r="D69" s="43" t="s">
        <v>34</v>
      </c>
      <c r="E69" s="49" t="s">
        <v>39</v>
      </c>
      <c r="F69" s="43"/>
      <c r="G69" s="43" t="s">
        <v>36</v>
      </c>
      <c r="H69" s="43"/>
      <c r="I69" s="43"/>
      <c r="J69" s="43"/>
      <c r="K69" s="43">
        <v>5000</v>
      </c>
      <c r="L69" s="43">
        <f t="shared" si="25"/>
        <v>5000</v>
      </c>
      <c r="M69" s="43" t="s">
        <v>18</v>
      </c>
      <c r="N69" s="47"/>
      <c r="O69" s="47"/>
      <c r="P69" s="47"/>
    </row>
    <row r="70" spans="1:16" ht="15" hidden="1" customHeight="1" x14ac:dyDescent="0.3">
      <c r="A70" s="43" t="s">
        <v>116</v>
      </c>
      <c r="B70" s="44" t="s">
        <v>23</v>
      </c>
      <c r="C70" s="43" t="s">
        <v>33</v>
      </c>
      <c r="D70" s="43" t="s">
        <v>34</v>
      </c>
      <c r="E70" s="50" t="s">
        <v>30</v>
      </c>
      <c r="F70" s="43"/>
      <c r="G70" s="32" t="s">
        <v>78</v>
      </c>
      <c r="H70" s="43"/>
      <c r="I70" s="43"/>
      <c r="J70" s="43"/>
      <c r="K70" s="43">
        <v>4100</v>
      </c>
      <c r="L70" s="43">
        <f>K70</f>
        <v>4100</v>
      </c>
      <c r="M70" s="43" t="s">
        <v>31</v>
      </c>
      <c r="N70" s="47"/>
      <c r="O70" s="47"/>
      <c r="P70" s="47"/>
    </row>
    <row r="71" spans="1:16" ht="15" hidden="1" customHeight="1" x14ac:dyDescent="0.3">
      <c r="A71" s="43" t="s">
        <v>116</v>
      </c>
      <c r="B71" s="43" t="s">
        <v>14</v>
      </c>
      <c r="C71" s="43">
        <v>2576</v>
      </c>
      <c r="D71" s="43" t="s">
        <v>84</v>
      </c>
      <c r="E71" s="43" t="s">
        <v>17</v>
      </c>
      <c r="F71" s="43">
        <v>180</v>
      </c>
      <c r="G71" s="43">
        <v>0.1</v>
      </c>
      <c r="H71" s="43">
        <f>F71*G71</f>
        <v>18</v>
      </c>
      <c r="I71" s="43">
        <v>17</v>
      </c>
      <c r="J71" s="43">
        <v>1</v>
      </c>
      <c r="K71" s="43">
        <f t="shared" ref="K71:K73" si="26">F71*I71</f>
        <v>3060</v>
      </c>
      <c r="L71" s="43">
        <f t="shared" ref="L71" si="27">K71*J71</f>
        <v>3060</v>
      </c>
      <c r="M71" s="43" t="s">
        <v>22</v>
      </c>
      <c r="N71" s="47"/>
      <c r="O71" s="47"/>
      <c r="P71" s="47"/>
    </row>
    <row r="72" spans="1:16" ht="15" hidden="1" customHeight="1" x14ac:dyDescent="0.3">
      <c r="A72" s="43" t="s">
        <v>116</v>
      </c>
      <c r="B72" s="43" t="s">
        <v>14</v>
      </c>
      <c r="C72" s="43">
        <v>6078</v>
      </c>
      <c r="D72" s="43" t="s">
        <v>16</v>
      </c>
      <c r="E72" s="43" t="s">
        <v>17</v>
      </c>
      <c r="F72" s="43">
        <v>34</v>
      </c>
      <c r="G72" s="43">
        <v>0.32500000000000001</v>
      </c>
      <c r="H72" s="43">
        <f t="shared" ref="H72:H73" si="28">F72*G72</f>
        <v>11.05</v>
      </c>
      <c r="I72" s="43">
        <v>62</v>
      </c>
      <c r="J72" s="43">
        <v>4</v>
      </c>
      <c r="K72" s="43">
        <f t="shared" si="26"/>
        <v>2108</v>
      </c>
      <c r="L72" s="43">
        <f>K72*J72</f>
        <v>8432</v>
      </c>
      <c r="M72" s="43" t="s">
        <v>22</v>
      </c>
      <c r="N72" s="47"/>
      <c r="O72" s="47"/>
      <c r="P72" s="47"/>
    </row>
    <row r="73" spans="1:16" ht="15" customHeight="1" x14ac:dyDescent="0.3">
      <c r="A73" s="43" t="s">
        <v>116</v>
      </c>
      <c r="B73" s="58" t="s">
        <v>44</v>
      </c>
      <c r="C73" s="43" t="s">
        <v>45</v>
      </c>
      <c r="D73" s="43" t="s">
        <v>46</v>
      </c>
      <c r="E73" s="43" t="s">
        <v>21</v>
      </c>
      <c r="F73" s="43">
        <v>100</v>
      </c>
      <c r="G73" s="43">
        <v>0.46</v>
      </c>
      <c r="H73" s="43">
        <f t="shared" si="28"/>
        <v>46</v>
      </c>
      <c r="I73" s="43">
        <v>22</v>
      </c>
      <c r="J73" s="43">
        <v>2</v>
      </c>
      <c r="K73" s="43">
        <f t="shared" si="26"/>
        <v>2200</v>
      </c>
      <c r="L73" s="43">
        <f t="shared" ref="L73" si="29">K73*J73</f>
        <v>4400</v>
      </c>
      <c r="M73" s="43" t="s">
        <v>22</v>
      </c>
      <c r="N73" s="47"/>
      <c r="O73" s="47"/>
      <c r="P73" s="47"/>
    </row>
    <row r="74" spans="1:16" ht="15" hidden="1" customHeight="1" x14ac:dyDescent="0.3">
      <c r="A74" s="43" t="s">
        <v>116</v>
      </c>
      <c r="B74" s="43" t="s">
        <v>14</v>
      </c>
      <c r="C74" s="43" t="s">
        <v>56</v>
      </c>
      <c r="D74" s="43" t="s">
        <v>57</v>
      </c>
      <c r="E74" s="43" t="s">
        <v>35</v>
      </c>
      <c r="F74" s="43"/>
      <c r="G74" s="43" t="s">
        <v>77</v>
      </c>
      <c r="H74" s="43"/>
      <c r="I74" s="43"/>
      <c r="J74" s="43">
        <v>1</v>
      </c>
      <c r="K74" s="43">
        <v>2000</v>
      </c>
      <c r="L74" s="43">
        <f t="shared" ref="L74" si="30">K74</f>
        <v>2000</v>
      </c>
      <c r="M74" s="43" t="s">
        <v>91</v>
      </c>
    </row>
    <row r="75" spans="1:16" ht="15" hidden="1" customHeight="1" x14ac:dyDescent="0.3">
      <c r="A75" s="73" t="s">
        <v>116</v>
      </c>
      <c r="B75" s="73" t="s">
        <v>14</v>
      </c>
      <c r="C75" s="73" t="s">
        <v>56</v>
      </c>
      <c r="D75" s="73" t="s">
        <v>57</v>
      </c>
      <c r="E75" s="73" t="s">
        <v>39</v>
      </c>
      <c r="F75" s="73"/>
      <c r="G75" s="73" t="s">
        <v>36</v>
      </c>
      <c r="H75" s="73"/>
      <c r="I75" s="73"/>
      <c r="J75" s="73">
        <v>2</v>
      </c>
      <c r="K75" s="73">
        <v>1350</v>
      </c>
      <c r="L75" s="73">
        <f>K75*2</f>
        <v>2700</v>
      </c>
      <c r="M75" s="73" t="s">
        <v>37</v>
      </c>
      <c r="N75" s="281" t="s">
        <v>123</v>
      </c>
      <c r="O75" s="282"/>
      <c r="P75" s="282"/>
    </row>
    <row r="76" spans="1:16" ht="15" customHeight="1" x14ac:dyDescent="0.3">
      <c r="A76" s="43" t="s">
        <v>117</v>
      </c>
      <c r="B76" s="58" t="s">
        <v>44</v>
      </c>
      <c r="C76" s="43" t="s">
        <v>45</v>
      </c>
      <c r="D76" s="43" t="s">
        <v>46</v>
      </c>
      <c r="E76" s="43" t="s">
        <v>21</v>
      </c>
      <c r="F76" s="43">
        <v>140</v>
      </c>
      <c r="G76" s="43">
        <v>0.46</v>
      </c>
      <c r="H76" s="43">
        <f t="shared" ref="H76" si="31">F76*G76</f>
        <v>64.400000000000006</v>
      </c>
      <c r="I76" s="43">
        <v>22</v>
      </c>
      <c r="J76" s="43">
        <v>2</v>
      </c>
      <c r="K76" s="43">
        <f t="shared" ref="K76" si="32">F76*I76</f>
        <v>3080</v>
      </c>
      <c r="L76" s="43">
        <f t="shared" ref="L76" si="33">K76*J76</f>
        <v>6160</v>
      </c>
      <c r="M76" s="43" t="s">
        <v>22</v>
      </c>
    </row>
    <row r="77" spans="1:16" ht="15" customHeight="1" x14ac:dyDescent="0.3">
      <c r="A77" s="43" t="s">
        <v>117</v>
      </c>
      <c r="B77" s="58" t="s">
        <v>44</v>
      </c>
      <c r="C77" s="43" t="s">
        <v>45</v>
      </c>
      <c r="D77" s="43" t="s">
        <v>46</v>
      </c>
      <c r="E77" s="43" t="s">
        <v>25</v>
      </c>
      <c r="F77" s="43"/>
      <c r="G77" s="43"/>
      <c r="H77" s="43"/>
      <c r="I77" s="43"/>
      <c r="J77" s="43"/>
      <c r="K77" s="43">
        <v>2000</v>
      </c>
      <c r="L77" s="43">
        <f t="shared" ref="L77:L79" si="34">K77</f>
        <v>2000</v>
      </c>
      <c r="M77" s="43" t="s">
        <v>22</v>
      </c>
    </row>
    <row r="78" spans="1:16" ht="15" customHeight="1" x14ac:dyDescent="0.3">
      <c r="A78" s="43" t="s">
        <v>117</v>
      </c>
      <c r="B78" s="58" t="s">
        <v>44</v>
      </c>
      <c r="C78" s="43" t="s">
        <v>45</v>
      </c>
      <c r="D78" s="43" t="s">
        <v>46</v>
      </c>
      <c r="E78" s="43" t="s">
        <v>30</v>
      </c>
      <c r="F78" s="43"/>
      <c r="G78" s="43"/>
      <c r="H78" s="43"/>
      <c r="I78" s="43"/>
      <c r="J78" s="43"/>
      <c r="K78" s="43">
        <v>2000</v>
      </c>
      <c r="L78" s="43">
        <f t="shared" si="34"/>
        <v>2000</v>
      </c>
      <c r="M78" s="43" t="s">
        <v>48</v>
      </c>
    </row>
    <row r="79" spans="1:16" ht="15" customHeight="1" x14ac:dyDescent="0.3">
      <c r="A79" s="43" t="s">
        <v>117</v>
      </c>
      <c r="B79" s="58" t="s">
        <v>44</v>
      </c>
      <c r="C79" s="43" t="s">
        <v>45</v>
      </c>
      <c r="D79" s="43" t="s">
        <v>46</v>
      </c>
      <c r="E79" s="43" t="s">
        <v>47</v>
      </c>
      <c r="F79" s="43"/>
      <c r="G79" s="43"/>
      <c r="H79" s="43"/>
      <c r="I79" s="43"/>
      <c r="J79" s="43"/>
      <c r="K79" s="43">
        <v>2000</v>
      </c>
      <c r="L79" s="43">
        <f t="shared" si="34"/>
        <v>2000</v>
      </c>
      <c r="M79" s="43" t="s">
        <v>48</v>
      </c>
    </row>
    <row r="80" spans="1:16" ht="15" hidden="1" customHeight="1" x14ac:dyDescent="0.3">
      <c r="A80" s="43" t="s">
        <v>117</v>
      </c>
      <c r="B80" s="43" t="s">
        <v>14</v>
      </c>
      <c r="C80" s="43">
        <v>6078</v>
      </c>
      <c r="D80" s="43" t="s">
        <v>16</v>
      </c>
      <c r="E80" s="43" t="s">
        <v>17</v>
      </c>
      <c r="F80" s="43">
        <v>43</v>
      </c>
      <c r="G80" s="43">
        <v>0.32500000000000001</v>
      </c>
      <c r="H80" s="43">
        <f t="shared" ref="H80" si="35">F80*G80</f>
        <v>13.975</v>
      </c>
      <c r="I80" s="43">
        <v>62</v>
      </c>
      <c r="J80" s="43">
        <v>4</v>
      </c>
      <c r="K80" s="43">
        <f t="shared" ref="K80" si="36">F80*I80</f>
        <v>2666</v>
      </c>
      <c r="L80" s="43">
        <f>K80*J80</f>
        <v>10664</v>
      </c>
      <c r="M80" s="43" t="s">
        <v>22</v>
      </c>
      <c r="N80" s="61"/>
      <c r="O80" s="62"/>
      <c r="P80" s="62"/>
    </row>
    <row r="81" spans="1:14" ht="15" hidden="1" customHeight="1" x14ac:dyDescent="0.3">
      <c r="A81" s="43" t="s">
        <v>117</v>
      </c>
      <c r="B81" s="44" t="s">
        <v>23</v>
      </c>
      <c r="C81" s="43">
        <v>65548</v>
      </c>
      <c r="D81" s="45" t="s">
        <v>24</v>
      </c>
      <c r="E81" s="43" t="s">
        <v>25</v>
      </c>
      <c r="F81" s="43"/>
      <c r="G81" s="43"/>
      <c r="H81" s="43"/>
      <c r="I81" s="43"/>
      <c r="J81" s="43"/>
      <c r="K81" s="43">
        <v>1780</v>
      </c>
      <c r="L81" s="43">
        <f t="shared" ref="L81:L82" si="37">K81</f>
        <v>1780</v>
      </c>
      <c r="M81" s="46" t="s">
        <v>26</v>
      </c>
    </row>
    <row r="82" spans="1:14" ht="15" hidden="1" customHeight="1" x14ac:dyDescent="0.3">
      <c r="A82" s="43" t="s">
        <v>117</v>
      </c>
      <c r="B82" s="44" t="s">
        <v>23</v>
      </c>
      <c r="C82" s="43">
        <v>65548</v>
      </c>
      <c r="D82" s="45" t="s">
        <v>24</v>
      </c>
      <c r="E82" s="43" t="s">
        <v>30</v>
      </c>
      <c r="F82" s="43"/>
      <c r="G82" s="43" t="s">
        <v>36</v>
      </c>
      <c r="H82" s="43"/>
      <c r="I82" s="43"/>
      <c r="J82" s="43"/>
      <c r="K82" s="43">
        <v>1750</v>
      </c>
      <c r="L82" s="43">
        <f t="shared" si="37"/>
        <v>1750</v>
      </c>
      <c r="M82" s="43" t="s">
        <v>18</v>
      </c>
    </row>
    <row r="83" spans="1:14" ht="15" hidden="1" customHeight="1" x14ac:dyDescent="0.3">
      <c r="A83" s="43" t="s">
        <v>118</v>
      </c>
      <c r="B83" s="44" t="s">
        <v>23</v>
      </c>
      <c r="C83" s="43">
        <v>65548</v>
      </c>
      <c r="D83" s="45" t="s">
        <v>24</v>
      </c>
      <c r="E83" s="43" t="s">
        <v>25</v>
      </c>
      <c r="F83" s="43"/>
      <c r="G83" s="43"/>
      <c r="H83" s="43"/>
      <c r="I83" s="43"/>
      <c r="J83" s="43"/>
      <c r="K83" s="43">
        <v>385</v>
      </c>
      <c r="L83" s="43">
        <f t="shared" ref="L83:L86" si="38">K83</f>
        <v>385</v>
      </c>
      <c r="M83" s="46" t="s">
        <v>26</v>
      </c>
    </row>
    <row r="84" spans="1:14" ht="15" hidden="1" customHeight="1" x14ac:dyDescent="0.3">
      <c r="A84" s="43" t="s">
        <v>118</v>
      </c>
      <c r="B84" s="44" t="s">
        <v>23</v>
      </c>
      <c r="C84" s="43">
        <v>65548</v>
      </c>
      <c r="D84" s="45" t="s">
        <v>24</v>
      </c>
      <c r="E84" s="43" t="s">
        <v>30</v>
      </c>
      <c r="F84" s="43"/>
      <c r="G84" s="43" t="s">
        <v>36</v>
      </c>
      <c r="H84" s="43"/>
      <c r="I84" s="43"/>
      <c r="J84" s="43"/>
      <c r="K84" s="43">
        <v>6293</v>
      </c>
      <c r="L84" s="43">
        <f t="shared" si="38"/>
        <v>6293</v>
      </c>
      <c r="M84" s="43" t="s">
        <v>18</v>
      </c>
    </row>
    <row r="85" spans="1:14" ht="15" hidden="1" customHeight="1" x14ac:dyDescent="0.3">
      <c r="A85" s="43" t="s">
        <v>118</v>
      </c>
      <c r="B85" s="44" t="s">
        <v>23</v>
      </c>
      <c r="C85" s="43" t="s">
        <v>33</v>
      </c>
      <c r="D85" s="43" t="s">
        <v>34</v>
      </c>
      <c r="E85" s="48" t="s">
        <v>35</v>
      </c>
      <c r="F85" s="43"/>
      <c r="G85" s="31" t="s">
        <v>77</v>
      </c>
      <c r="H85" s="43"/>
      <c r="I85" s="43"/>
      <c r="J85" s="43"/>
      <c r="K85" s="43">
        <v>5150</v>
      </c>
      <c r="L85" s="43">
        <f t="shared" si="38"/>
        <v>5150</v>
      </c>
      <c r="M85" s="46" t="s">
        <v>26</v>
      </c>
    </row>
    <row r="86" spans="1:14" ht="15" hidden="1" customHeight="1" x14ac:dyDescent="0.3">
      <c r="A86" s="43" t="s">
        <v>118</v>
      </c>
      <c r="B86" s="44" t="s">
        <v>23</v>
      </c>
      <c r="C86" s="43" t="s">
        <v>33</v>
      </c>
      <c r="D86" s="43" t="s">
        <v>34</v>
      </c>
      <c r="E86" s="49" t="s">
        <v>39</v>
      </c>
      <c r="F86" s="43"/>
      <c r="G86" s="43" t="s">
        <v>36</v>
      </c>
      <c r="H86" s="43"/>
      <c r="I86" s="43"/>
      <c r="J86" s="43"/>
      <c r="K86" s="43">
        <v>4000</v>
      </c>
      <c r="L86" s="43">
        <f t="shared" si="38"/>
        <v>4000</v>
      </c>
      <c r="M86" s="43" t="s">
        <v>18</v>
      </c>
    </row>
    <row r="87" spans="1:14" ht="15" hidden="1" customHeight="1" x14ac:dyDescent="0.3">
      <c r="A87" s="43" t="s">
        <v>118</v>
      </c>
      <c r="B87" s="44" t="s">
        <v>23</v>
      </c>
      <c r="C87" s="43" t="s">
        <v>33</v>
      </c>
      <c r="D87" s="43" t="s">
        <v>34</v>
      </c>
      <c r="E87" s="50" t="s">
        <v>30</v>
      </c>
      <c r="F87" s="43"/>
      <c r="G87" s="32" t="s">
        <v>78</v>
      </c>
      <c r="H87" s="43"/>
      <c r="I87" s="43"/>
      <c r="J87" s="43"/>
      <c r="K87" s="43">
        <v>2600</v>
      </c>
      <c r="L87" s="43">
        <f>K87</f>
        <v>2600</v>
      </c>
      <c r="M87" s="43" t="s">
        <v>31</v>
      </c>
    </row>
    <row r="88" spans="1:14" ht="15" hidden="1" customHeight="1" x14ac:dyDescent="0.3">
      <c r="A88" s="43" t="s">
        <v>118</v>
      </c>
      <c r="B88" s="43" t="s">
        <v>14</v>
      </c>
      <c r="C88" s="43">
        <v>6078</v>
      </c>
      <c r="D88" s="43" t="s">
        <v>16</v>
      </c>
      <c r="E88" s="43" t="s">
        <v>17</v>
      </c>
      <c r="F88" s="43">
        <v>132</v>
      </c>
      <c r="G88" s="43">
        <v>0.32500000000000001</v>
      </c>
      <c r="H88" s="43">
        <f t="shared" ref="H88:H89" si="39">F88*G88</f>
        <v>42.9</v>
      </c>
      <c r="I88" s="43">
        <v>62</v>
      </c>
      <c r="J88" s="43">
        <v>4</v>
      </c>
      <c r="K88" s="43">
        <f t="shared" ref="K88" si="40">F88*I88</f>
        <v>8184</v>
      </c>
      <c r="L88" s="43">
        <f>K88*J88</f>
        <v>32736</v>
      </c>
      <c r="M88" s="43" t="s">
        <v>22</v>
      </c>
    </row>
    <row r="89" spans="1:14" ht="15" hidden="1" customHeight="1" x14ac:dyDescent="0.3">
      <c r="A89" s="43" t="s">
        <v>118</v>
      </c>
      <c r="B89" s="69" t="s">
        <v>14</v>
      </c>
      <c r="C89" s="70" t="s">
        <v>51</v>
      </c>
      <c r="D89" s="71" t="s">
        <v>52</v>
      </c>
      <c r="E89" s="69" t="s">
        <v>17</v>
      </c>
      <c r="F89" s="69">
        <v>100</v>
      </c>
      <c r="G89" s="69">
        <v>0.20499999999999999</v>
      </c>
      <c r="H89" s="69">
        <f t="shared" si="39"/>
        <v>20.5</v>
      </c>
      <c r="I89" s="69">
        <v>26</v>
      </c>
      <c r="J89" s="69">
        <v>4</v>
      </c>
      <c r="K89" s="69">
        <f>F89*I89</f>
        <v>2600</v>
      </c>
      <c r="L89" s="69">
        <f t="shared" ref="L89" si="41">K89*J89</f>
        <v>10400</v>
      </c>
      <c r="M89" s="72" t="s">
        <v>37</v>
      </c>
    </row>
    <row r="90" spans="1:14" ht="15" hidden="1" customHeight="1" x14ac:dyDescent="0.3">
      <c r="A90" s="43" t="s">
        <v>119</v>
      </c>
      <c r="B90" s="44" t="s">
        <v>23</v>
      </c>
      <c r="C90" s="43" t="s">
        <v>33</v>
      </c>
      <c r="D90" s="43" t="s">
        <v>34</v>
      </c>
      <c r="E90" s="48" t="s">
        <v>35</v>
      </c>
      <c r="F90" s="43"/>
      <c r="G90" s="31" t="s">
        <v>77</v>
      </c>
      <c r="H90" s="43"/>
      <c r="I90" s="43"/>
      <c r="J90" s="43"/>
      <c r="K90" s="43">
        <v>1865</v>
      </c>
      <c r="L90" s="43">
        <f t="shared" ref="L90:L91" si="42">K90</f>
        <v>1865</v>
      </c>
      <c r="M90" s="46" t="s">
        <v>26</v>
      </c>
    </row>
    <row r="91" spans="1:14" ht="15" hidden="1" customHeight="1" x14ac:dyDescent="0.3">
      <c r="A91" s="43" t="s">
        <v>119</v>
      </c>
      <c r="B91" s="44" t="s">
        <v>23</v>
      </c>
      <c r="C91" s="43" t="s">
        <v>33</v>
      </c>
      <c r="D91" s="43" t="s">
        <v>34</v>
      </c>
      <c r="E91" s="49" t="s">
        <v>39</v>
      </c>
      <c r="F91" s="43"/>
      <c r="G91" s="43" t="s">
        <v>36</v>
      </c>
      <c r="H91" s="43"/>
      <c r="I91" s="43"/>
      <c r="J91" s="43"/>
      <c r="K91" s="43">
        <v>4000</v>
      </c>
      <c r="L91" s="43">
        <f t="shared" si="42"/>
        <v>4000</v>
      </c>
      <c r="M91" s="43" t="s">
        <v>18</v>
      </c>
    </row>
    <row r="92" spans="1:14" ht="15" hidden="1" customHeight="1" x14ac:dyDescent="0.3">
      <c r="A92" s="43" t="s">
        <v>119</v>
      </c>
      <c r="B92" s="44" t="s">
        <v>23</v>
      </c>
      <c r="C92" s="43" t="s">
        <v>33</v>
      </c>
      <c r="D92" s="43" t="s">
        <v>34</v>
      </c>
      <c r="E92" s="50" t="s">
        <v>30</v>
      </c>
      <c r="F92" s="43"/>
      <c r="G92" s="32" t="s">
        <v>78</v>
      </c>
      <c r="H92" s="43"/>
      <c r="I92" s="43"/>
      <c r="J92" s="43"/>
      <c r="K92" s="43">
        <v>3000</v>
      </c>
      <c r="L92" s="43">
        <f>K92</f>
        <v>3000</v>
      </c>
      <c r="M92" s="43" t="s">
        <v>31</v>
      </c>
    </row>
    <row r="93" spans="1:14" ht="15" hidden="1" customHeight="1" x14ac:dyDescent="0.3">
      <c r="A93" s="43" t="s">
        <v>119</v>
      </c>
      <c r="B93" s="44" t="s">
        <v>23</v>
      </c>
      <c r="C93" s="43" t="s">
        <v>33</v>
      </c>
      <c r="D93" s="43" t="s">
        <v>34</v>
      </c>
      <c r="E93" s="50" t="s">
        <v>30</v>
      </c>
      <c r="F93" s="43"/>
      <c r="G93" s="32" t="s">
        <v>78</v>
      </c>
      <c r="H93" s="43"/>
      <c r="I93" s="43"/>
      <c r="J93" s="43"/>
      <c r="K93" s="43">
        <v>7000</v>
      </c>
      <c r="L93" s="43">
        <f>K93</f>
        <v>7000</v>
      </c>
      <c r="M93" s="43" t="s">
        <v>31</v>
      </c>
      <c r="N93" s="41" t="s">
        <v>120</v>
      </c>
    </row>
    <row r="94" spans="1:14" ht="15" hidden="1" customHeight="1" x14ac:dyDescent="0.3">
      <c r="A94" s="43" t="s">
        <v>119</v>
      </c>
      <c r="B94" s="43" t="s">
        <v>14</v>
      </c>
      <c r="C94" s="43">
        <v>6078</v>
      </c>
      <c r="D94" s="43" t="s">
        <v>16</v>
      </c>
      <c r="E94" s="43" t="s">
        <v>17</v>
      </c>
      <c r="F94" s="43">
        <v>47</v>
      </c>
      <c r="G94" s="43">
        <v>0.32500000000000001</v>
      </c>
      <c r="H94" s="43">
        <f t="shared" ref="H94" si="43">F94*G94</f>
        <v>15.275</v>
      </c>
      <c r="I94" s="43">
        <v>62</v>
      </c>
      <c r="J94" s="43">
        <v>4</v>
      </c>
      <c r="K94" s="43">
        <f t="shared" ref="K94:K95" si="44">F94*I94</f>
        <v>2914</v>
      </c>
      <c r="L94" s="43">
        <f>K94*J94</f>
        <v>11656</v>
      </c>
      <c r="M94" s="43" t="s">
        <v>22</v>
      </c>
    </row>
    <row r="95" spans="1:14" ht="15" hidden="1" customHeight="1" x14ac:dyDescent="0.3">
      <c r="A95" s="43" t="s">
        <v>119</v>
      </c>
      <c r="B95" s="43" t="s">
        <v>14</v>
      </c>
      <c r="C95" s="43">
        <v>6871</v>
      </c>
      <c r="D95" s="43" t="s">
        <v>16</v>
      </c>
      <c r="E95" s="43" t="s">
        <v>17</v>
      </c>
      <c r="F95" s="43">
        <v>102</v>
      </c>
      <c r="G95" s="43">
        <v>0.64</v>
      </c>
      <c r="H95" s="43">
        <f>G95*F95</f>
        <v>65.28</v>
      </c>
      <c r="I95" s="43">
        <v>70</v>
      </c>
      <c r="J95" s="43">
        <v>2</v>
      </c>
      <c r="K95" s="43">
        <f t="shared" si="44"/>
        <v>7140</v>
      </c>
      <c r="L95" s="43">
        <f t="shared" ref="L95:L96" si="45">K95*J95</f>
        <v>14280</v>
      </c>
      <c r="M95" s="43" t="s">
        <v>22</v>
      </c>
    </row>
    <row r="96" spans="1:14" ht="15" hidden="1" customHeight="1" x14ac:dyDescent="0.3">
      <c r="A96" s="43" t="s">
        <v>119</v>
      </c>
      <c r="B96" s="43" t="s">
        <v>14</v>
      </c>
      <c r="C96" s="43" t="s">
        <v>51</v>
      </c>
      <c r="D96" s="43" t="s">
        <v>52</v>
      </c>
      <c r="E96" s="43" t="s">
        <v>17</v>
      </c>
      <c r="F96" s="43">
        <v>100</v>
      </c>
      <c r="G96" s="43">
        <v>0.20499999999999999</v>
      </c>
      <c r="H96" s="43">
        <f t="shared" ref="H96" si="46">F96*G96</f>
        <v>20.5</v>
      </c>
      <c r="I96" s="43">
        <v>26</v>
      </c>
      <c r="J96" s="43">
        <v>4</v>
      </c>
      <c r="K96" s="43">
        <f>F96*I96</f>
        <v>2600</v>
      </c>
      <c r="L96" s="43">
        <f t="shared" si="45"/>
        <v>10400</v>
      </c>
      <c r="M96" s="72" t="s">
        <v>37</v>
      </c>
    </row>
    <row r="97" spans="1:13" ht="15" hidden="1" customHeight="1" x14ac:dyDescent="0.3">
      <c r="A97" s="43" t="s">
        <v>119</v>
      </c>
      <c r="B97" s="69" t="s">
        <v>14</v>
      </c>
      <c r="C97" s="70">
        <v>2576</v>
      </c>
      <c r="D97" s="69" t="s">
        <v>84</v>
      </c>
      <c r="E97" s="69" t="s">
        <v>25</v>
      </c>
      <c r="F97" s="69"/>
      <c r="G97" s="69"/>
      <c r="H97" s="69"/>
      <c r="I97" s="69"/>
      <c r="J97" s="69"/>
      <c r="K97" s="69">
        <v>1000</v>
      </c>
      <c r="L97" s="69">
        <f t="shared" ref="L97:L99" si="47">K97</f>
        <v>1000</v>
      </c>
      <c r="M97" s="69" t="s">
        <v>31</v>
      </c>
    </row>
    <row r="98" spans="1:13" ht="15" hidden="1" customHeight="1" x14ac:dyDescent="0.3">
      <c r="A98" s="43" t="s">
        <v>119</v>
      </c>
      <c r="B98" s="44" t="s">
        <v>23</v>
      </c>
      <c r="C98" s="43">
        <v>65548</v>
      </c>
      <c r="D98" s="45" t="s">
        <v>24</v>
      </c>
      <c r="E98" s="43" t="s">
        <v>25</v>
      </c>
      <c r="F98" s="43"/>
      <c r="G98" s="43"/>
      <c r="H98" s="43"/>
      <c r="I98" s="43"/>
      <c r="J98" s="43"/>
      <c r="K98" s="43">
        <v>4550</v>
      </c>
      <c r="L98" s="43">
        <f t="shared" si="47"/>
        <v>4550</v>
      </c>
      <c r="M98" s="46" t="s">
        <v>26</v>
      </c>
    </row>
    <row r="99" spans="1:13" ht="15" hidden="1" customHeight="1" x14ac:dyDescent="0.3">
      <c r="A99" s="43" t="s">
        <v>121</v>
      </c>
      <c r="B99" s="44" t="s">
        <v>23</v>
      </c>
      <c r="C99" s="43" t="s">
        <v>33</v>
      </c>
      <c r="D99" s="43" t="s">
        <v>34</v>
      </c>
      <c r="E99" s="48" t="s">
        <v>35</v>
      </c>
      <c r="F99" s="43"/>
      <c r="G99" s="31" t="s">
        <v>77</v>
      </c>
      <c r="H99" s="43"/>
      <c r="I99" s="43"/>
      <c r="J99" s="43"/>
      <c r="K99" s="43">
        <v>3750</v>
      </c>
      <c r="L99" s="43">
        <f t="shared" si="47"/>
        <v>3750</v>
      </c>
      <c r="M99" s="46" t="s">
        <v>26</v>
      </c>
    </row>
    <row r="100" spans="1:13" ht="15" hidden="1" customHeight="1" x14ac:dyDescent="0.3">
      <c r="A100" s="43" t="s">
        <v>121</v>
      </c>
      <c r="B100" s="43" t="s">
        <v>14</v>
      </c>
      <c r="C100" s="43">
        <v>7479</v>
      </c>
      <c r="D100" s="43" t="s">
        <v>20</v>
      </c>
      <c r="E100" s="43" t="s">
        <v>21</v>
      </c>
      <c r="F100" s="43">
        <v>31</v>
      </c>
      <c r="G100" s="43">
        <v>0.15</v>
      </c>
      <c r="H100" s="43">
        <f>G100*F100</f>
        <v>4.6499999999999995</v>
      </c>
      <c r="I100" s="43">
        <v>80</v>
      </c>
      <c r="J100" s="43">
        <v>1</v>
      </c>
      <c r="K100" s="43">
        <f>F100*I100</f>
        <v>2480</v>
      </c>
      <c r="L100" s="43">
        <f>K100*J100</f>
        <v>2480</v>
      </c>
      <c r="M100" s="43" t="s">
        <v>22</v>
      </c>
    </row>
    <row r="101" spans="1:13" ht="15" hidden="1" customHeight="1" x14ac:dyDescent="0.3">
      <c r="A101" s="43" t="s">
        <v>121</v>
      </c>
      <c r="B101" s="43" t="s">
        <v>14</v>
      </c>
      <c r="C101" s="43">
        <v>7479</v>
      </c>
      <c r="D101" s="43" t="s">
        <v>20</v>
      </c>
      <c r="E101" s="43" t="s">
        <v>25</v>
      </c>
      <c r="F101" s="43"/>
      <c r="G101" s="43"/>
      <c r="H101" s="43"/>
      <c r="I101" s="43"/>
      <c r="J101" s="43">
        <v>1</v>
      </c>
      <c r="K101" s="43">
        <v>1600</v>
      </c>
      <c r="L101" s="43">
        <f t="shared" ref="L101" si="48">K101</f>
        <v>1600</v>
      </c>
      <c r="M101" s="43" t="s">
        <v>31</v>
      </c>
    </row>
    <row r="102" spans="1:13" ht="15" hidden="1" customHeight="1" x14ac:dyDescent="0.3">
      <c r="A102" s="43" t="s">
        <v>121</v>
      </c>
      <c r="B102" s="43" t="s">
        <v>14</v>
      </c>
      <c r="C102" s="43">
        <v>7479</v>
      </c>
      <c r="D102" s="43" t="s">
        <v>20</v>
      </c>
      <c r="E102" s="43" t="s">
        <v>21</v>
      </c>
      <c r="F102" s="43">
        <v>17</v>
      </c>
      <c r="G102" s="43">
        <v>0.15</v>
      </c>
      <c r="H102" s="43">
        <f>G102*F102</f>
        <v>2.5499999999999998</v>
      </c>
      <c r="I102" s="43">
        <v>80</v>
      </c>
      <c r="J102" s="43">
        <v>1</v>
      </c>
      <c r="K102" s="43">
        <f>F102*I102</f>
        <v>1360</v>
      </c>
      <c r="L102" s="43">
        <f>K102*J102</f>
        <v>1360</v>
      </c>
      <c r="M102" s="43" t="s">
        <v>91</v>
      </c>
    </row>
    <row r="103" spans="1:13" ht="15" hidden="1" customHeight="1" x14ac:dyDescent="0.3">
      <c r="A103" s="43" t="s">
        <v>121</v>
      </c>
      <c r="B103" s="69" t="s">
        <v>14</v>
      </c>
      <c r="C103" s="70">
        <v>2576</v>
      </c>
      <c r="D103" s="69" t="s">
        <v>84</v>
      </c>
      <c r="E103" s="69" t="s">
        <v>25</v>
      </c>
      <c r="F103" s="69"/>
      <c r="G103" s="69"/>
      <c r="H103" s="69"/>
      <c r="I103" s="69"/>
      <c r="J103" s="69"/>
      <c r="K103" s="69">
        <v>3280</v>
      </c>
      <c r="L103" s="69">
        <f t="shared" ref="L103:L104" si="49">K103</f>
        <v>3280</v>
      </c>
      <c r="M103" s="69" t="s">
        <v>31</v>
      </c>
    </row>
    <row r="104" spans="1:13" ht="15" hidden="1" customHeight="1" x14ac:dyDescent="0.3">
      <c r="A104" s="43" t="s">
        <v>121</v>
      </c>
      <c r="B104" s="44" t="s">
        <v>23</v>
      </c>
      <c r="C104" s="43">
        <v>65548</v>
      </c>
      <c r="D104" s="45" t="s">
        <v>24</v>
      </c>
      <c r="E104" s="43" t="s">
        <v>30</v>
      </c>
      <c r="F104" s="43"/>
      <c r="G104" s="43" t="s">
        <v>36</v>
      </c>
      <c r="H104" s="43"/>
      <c r="I104" s="43"/>
      <c r="J104" s="43"/>
      <c r="K104" s="43">
        <v>4550</v>
      </c>
      <c r="L104" s="43">
        <f t="shared" si="49"/>
        <v>4550</v>
      </c>
      <c r="M104" s="43" t="s">
        <v>18</v>
      </c>
    </row>
    <row r="105" spans="1:13" ht="15" hidden="1" customHeight="1" x14ac:dyDescent="0.3">
      <c r="A105" s="43" t="s">
        <v>121</v>
      </c>
      <c r="B105" s="43" t="s">
        <v>14</v>
      </c>
      <c r="C105" s="43">
        <v>6871</v>
      </c>
      <c r="D105" s="43" t="s">
        <v>16</v>
      </c>
      <c r="E105" s="43" t="s">
        <v>17</v>
      </c>
      <c r="F105" s="43">
        <v>40</v>
      </c>
      <c r="G105" s="43">
        <v>0.64</v>
      </c>
      <c r="H105" s="43">
        <f>G105*F105</f>
        <v>25.6</v>
      </c>
      <c r="I105" s="43">
        <v>70</v>
      </c>
      <c r="J105" s="43">
        <v>2</v>
      </c>
      <c r="K105" s="43">
        <f t="shared" ref="K105" si="50">F105*I105</f>
        <v>2800</v>
      </c>
      <c r="L105" s="43">
        <f t="shared" ref="L105" si="51">K105*J105</f>
        <v>5600</v>
      </c>
      <c r="M105" s="43" t="s">
        <v>22</v>
      </c>
    </row>
    <row r="106" spans="1:13" ht="15" hidden="1" customHeight="1" x14ac:dyDescent="0.3">
      <c r="A106" s="43" t="s">
        <v>124</v>
      </c>
      <c r="B106" s="44" t="s">
        <v>23</v>
      </c>
      <c r="C106" s="43" t="s">
        <v>33</v>
      </c>
      <c r="D106" s="43" t="s">
        <v>34</v>
      </c>
      <c r="E106" s="48" t="s">
        <v>35</v>
      </c>
      <c r="F106" s="43"/>
      <c r="G106" s="31" t="s">
        <v>77</v>
      </c>
      <c r="H106" s="43"/>
      <c r="I106" s="43"/>
      <c r="J106" s="43"/>
      <c r="K106" s="43">
        <v>4837</v>
      </c>
      <c r="L106" s="43">
        <f t="shared" ref="L106" si="52">K106</f>
        <v>4837</v>
      </c>
      <c r="M106" s="46" t="s">
        <v>26</v>
      </c>
    </row>
    <row r="107" spans="1:13" ht="15" hidden="1" customHeight="1" x14ac:dyDescent="0.3">
      <c r="A107" s="43" t="s">
        <v>124</v>
      </c>
      <c r="B107" s="43" t="s">
        <v>14</v>
      </c>
      <c r="C107" s="43">
        <v>7479</v>
      </c>
      <c r="D107" s="43" t="s">
        <v>20</v>
      </c>
      <c r="E107" s="43" t="s">
        <v>21</v>
      </c>
      <c r="F107" s="43">
        <v>60</v>
      </c>
      <c r="G107" s="43">
        <v>0.15</v>
      </c>
      <c r="H107" s="43">
        <f>G107*F107</f>
        <v>9</v>
      </c>
      <c r="I107" s="43">
        <v>80</v>
      </c>
      <c r="J107" s="43">
        <v>1</v>
      </c>
      <c r="K107" s="43">
        <f>F107*I107</f>
        <v>4800</v>
      </c>
      <c r="L107" s="43">
        <f>K107*J107</f>
        <v>4800</v>
      </c>
      <c r="M107" s="43" t="s">
        <v>22</v>
      </c>
    </row>
    <row r="108" spans="1:13" ht="15" hidden="1" customHeight="1" x14ac:dyDescent="0.3">
      <c r="A108" s="43" t="s">
        <v>124</v>
      </c>
      <c r="B108" s="43" t="s">
        <v>14</v>
      </c>
      <c r="C108" s="43">
        <v>7479</v>
      </c>
      <c r="D108" s="43" t="s">
        <v>20</v>
      </c>
      <c r="E108" s="43" t="s">
        <v>25</v>
      </c>
      <c r="F108" s="43"/>
      <c r="G108" s="43"/>
      <c r="H108" s="43"/>
      <c r="I108" s="43"/>
      <c r="J108" s="43">
        <v>1</v>
      </c>
      <c r="K108" s="43">
        <v>6250</v>
      </c>
      <c r="L108" s="43">
        <f t="shared" ref="L108:L109" si="53">K108</f>
        <v>6250</v>
      </c>
      <c r="M108" s="43" t="s">
        <v>31</v>
      </c>
    </row>
    <row r="109" spans="1:13" ht="15" hidden="1" customHeight="1" x14ac:dyDescent="0.3">
      <c r="A109" s="43" t="s">
        <v>124</v>
      </c>
      <c r="B109" s="69" t="s">
        <v>14</v>
      </c>
      <c r="C109" s="70">
        <v>2576</v>
      </c>
      <c r="D109" s="69" t="s">
        <v>84</v>
      </c>
      <c r="E109" s="69" t="s">
        <v>25</v>
      </c>
      <c r="F109" s="69"/>
      <c r="G109" s="69"/>
      <c r="H109" s="69"/>
      <c r="I109" s="69"/>
      <c r="J109" s="69"/>
      <c r="K109" s="69">
        <v>3373</v>
      </c>
      <c r="L109" s="69">
        <f t="shared" si="53"/>
        <v>3373</v>
      </c>
      <c r="M109" s="69" t="s">
        <v>37</v>
      </c>
    </row>
    <row r="110" spans="1:13" ht="15" hidden="1" customHeight="1" x14ac:dyDescent="0.3">
      <c r="A110" s="43" t="s">
        <v>124</v>
      </c>
      <c r="B110" s="43" t="s">
        <v>14</v>
      </c>
      <c r="C110" s="43">
        <v>2576</v>
      </c>
      <c r="D110" s="43" t="s">
        <v>84</v>
      </c>
      <c r="E110" s="43" t="s">
        <v>17</v>
      </c>
      <c r="F110" s="43">
        <v>30</v>
      </c>
      <c r="G110" s="43">
        <v>0.1</v>
      </c>
      <c r="H110" s="43">
        <f>F110*G110</f>
        <v>3</v>
      </c>
      <c r="I110" s="43">
        <v>17</v>
      </c>
      <c r="J110" s="43">
        <v>1</v>
      </c>
      <c r="K110" s="43">
        <f t="shared" ref="K110" si="54">F110*I110</f>
        <v>510</v>
      </c>
      <c r="L110" s="43">
        <f t="shared" ref="L110" si="55">K110*J110</f>
        <v>510</v>
      </c>
      <c r="M110" s="43" t="s">
        <v>22</v>
      </c>
    </row>
    <row r="111" spans="1:13" ht="15" hidden="1" customHeight="1" x14ac:dyDescent="0.3">
      <c r="A111" s="43" t="s">
        <v>122</v>
      </c>
      <c r="B111" s="43" t="s">
        <v>14</v>
      </c>
      <c r="C111" s="43">
        <v>7479</v>
      </c>
      <c r="D111" s="43" t="s">
        <v>20</v>
      </c>
      <c r="E111" s="43" t="s">
        <v>25</v>
      </c>
      <c r="F111" s="43"/>
      <c r="G111" s="43"/>
      <c r="H111" s="43"/>
      <c r="I111" s="43"/>
      <c r="J111" s="43">
        <v>1</v>
      </c>
      <c r="K111" s="43">
        <v>400</v>
      </c>
      <c r="L111" s="43">
        <f t="shared" ref="L111" si="56">K111</f>
        <v>400</v>
      </c>
      <c r="M111" s="43" t="s">
        <v>31</v>
      </c>
    </row>
    <row r="112" spans="1:13" ht="15" hidden="1" customHeight="1" x14ac:dyDescent="0.3">
      <c r="A112" s="43" t="s">
        <v>122</v>
      </c>
      <c r="B112" s="43" t="s">
        <v>14</v>
      </c>
      <c r="C112" s="43">
        <v>2576</v>
      </c>
      <c r="D112" s="43" t="s">
        <v>84</v>
      </c>
      <c r="E112" s="43" t="s">
        <v>17</v>
      </c>
      <c r="F112" s="43">
        <v>70</v>
      </c>
      <c r="G112" s="43">
        <v>0.1</v>
      </c>
      <c r="H112" s="43">
        <f>F112*G112</f>
        <v>7</v>
      </c>
      <c r="I112" s="43">
        <v>17</v>
      </c>
      <c r="J112" s="43">
        <v>1</v>
      </c>
      <c r="K112" s="43">
        <f t="shared" ref="K112" si="57">F112*I112</f>
        <v>1190</v>
      </c>
      <c r="L112" s="43">
        <f t="shared" ref="L112" si="58">K112*J112</f>
        <v>1190</v>
      </c>
      <c r="M112" s="43" t="s">
        <v>22</v>
      </c>
    </row>
    <row r="113" spans="1:13" ht="15" hidden="1" customHeight="1" x14ac:dyDescent="0.3">
      <c r="A113" s="43" t="s">
        <v>122</v>
      </c>
      <c r="B113" s="69" t="s">
        <v>14</v>
      </c>
      <c r="C113" s="70">
        <v>2576</v>
      </c>
      <c r="D113" s="69" t="s">
        <v>84</v>
      </c>
      <c r="E113" s="69" t="s">
        <v>25</v>
      </c>
      <c r="F113" s="69"/>
      <c r="G113" s="69"/>
      <c r="H113" s="69"/>
      <c r="I113" s="69"/>
      <c r="J113" s="69"/>
      <c r="K113" s="69">
        <v>5200</v>
      </c>
      <c r="L113" s="69">
        <f t="shared" ref="L113:L115" si="59">K113</f>
        <v>5200</v>
      </c>
      <c r="M113" s="69" t="s">
        <v>37</v>
      </c>
    </row>
    <row r="114" spans="1:13" ht="15" hidden="1" customHeight="1" x14ac:dyDescent="0.3">
      <c r="A114" s="43" t="s">
        <v>122</v>
      </c>
      <c r="B114" s="44" t="s">
        <v>23</v>
      </c>
      <c r="C114" s="43" t="s">
        <v>33</v>
      </c>
      <c r="D114" s="43" t="s">
        <v>34</v>
      </c>
      <c r="E114" s="48" t="s">
        <v>35</v>
      </c>
      <c r="F114" s="43"/>
      <c r="G114" s="31" t="s">
        <v>77</v>
      </c>
      <c r="H114" s="43"/>
      <c r="I114" s="43"/>
      <c r="J114" s="43"/>
      <c r="K114" s="43">
        <v>5800</v>
      </c>
      <c r="L114" s="43">
        <f t="shared" si="59"/>
        <v>5800</v>
      </c>
      <c r="M114" s="46" t="s">
        <v>26</v>
      </c>
    </row>
    <row r="115" spans="1:13" ht="15" hidden="1" customHeight="1" x14ac:dyDescent="0.3">
      <c r="A115" s="43" t="s">
        <v>122</v>
      </c>
      <c r="B115" s="44" t="s">
        <v>23</v>
      </c>
      <c r="C115" s="43" t="s">
        <v>33</v>
      </c>
      <c r="D115" s="43" t="s">
        <v>34</v>
      </c>
      <c r="E115" s="49" t="s">
        <v>39</v>
      </c>
      <c r="F115" s="43"/>
      <c r="G115" s="43" t="s">
        <v>36</v>
      </c>
      <c r="H115" s="43"/>
      <c r="I115" s="43"/>
      <c r="J115" s="43"/>
      <c r="K115" s="43">
        <v>7000</v>
      </c>
      <c r="L115" s="43">
        <f t="shared" si="59"/>
        <v>7000</v>
      </c>
      <c r="M115" s="43" t="s">
        <v>18</v>
      </c>
    </row>
    <row r="116" spans="1:13" ht="15" hidden="1" customHeight="1" x14ac:dyDescent="0.3">
      <c r="A116" s="43" t="s">
        <v>122</v>
      </c>
      <c r="B116" s="44" t="s">
        <v>23</v>
      </c>
      <c r="C116" s="43" t="s">
        <v>33</v>
      </c>
      <c r="D116" s="43" t="s">
        <v>34</v>
      </c>
      <c r="E116" s="50" t="s">
        <v>30</v>
      </c>
      <c r="F116" s="43"/>
      <c r="G116" s="32" t="s">
        <v>78</v>
      </c>
      <c r="H116" s="43"/>
      <c r="I116" s="43"/>
      <c r="J116" s="43"/>
      <c r="K116" s="43">
        <v>8000</v>
      </c>
      <c r="L116" s="43">
        <f>K116</f>
        <v>8000</v>
      </c>
      <c r="M116" s="43" t="s">
        <v>31</v>
      </c>
    </row>
    <row r="117" spans="1:13" ht="15" hidden="1" customHeight="1" x14ac:dyDescent="0.3">
      <c r="A117" s="43" t="s">
        <v>122</v>
      </c>
      <c r="B117" s="43" t="s">
        <v>14</v>
      </c>
      <c r="C117" s="43">
        <v>6078</v>
      </c>
      <c r="D117" s="43" t="s">
        <v>16</v>
      </c>
      <c r="E117" s="43" t="s">
        <v>17</v>
      </c>
      <c r="F117" s="43">
        <v>37</v>
      </c>
      <c r="G117" s="43">
        <v>0.32500000000000001</v>
      </c>
      <c r="H117" s="43">
        <f t="shared" ref="H117" si="60">F117*G117</f>
        <v>12.025</v>
      </c>
      <c r="I117" s="43">
        <v>62</v>
      </c>
      <c r="J117" s="43">
        <v>4</v>
      </c>
      <c r="K117" s="43">
        <f t="shared" ref="K117" si="61">F117*I117</f>
        <v>2294</v>
      </c>
      <c r="L117" s="43">
        <f>K117*J117</f>
        <v>9176</v>
      </c>
      <c r="M117" s="43" t="s">
        <v>22</v>
      </c>
    </row>
    <row r="118" spans="1:13" ht="15" hidden="1" customHeight="1" x14ac:dyDescent="0.3">
      <c r="A118" s="43" t="s">
        <v>122</v>
      </c>
      <c r="B118" s="74" t="s">
        <v>41</v>
      </c>
      <c r="C118" s="43" t="s">
        <v>42</v>
      </c>
      <c r="D118" s="43" t="s">
        <v>93</v>
      </c>
      <c r="E118" s="43" t="s">
        <v>21</v>
      </c>
      <c r="F118" s="43">
        <v>71</v>
      </c>
      <c r="G118" s="43">
        <v>0</v>
      </c>
      <c r="H118" s="43">
        <f>G118*F118</f>
        <v>0</v>
      </c>
      <c r="I118" s="43">
        <v>42</v>
      </c>
      <c r="J118" s="43">
        <v>4</v>
      </c>
      <c r="K118" s="43">
        <f>F118*I118</f>
        <v>2982</v>
      </c>
      <c r="L118" s="43">
        <f>K118*J118</f>
        <v>11928</v>
      </c>
      <c r="M118" s="43" t="s">
        <v>91</v>
      </c>
    </row>
    <row r="119" spans="1:13" ht="15" hidden="1" customHeight="1" x14ac:dyDescent="0.3">
      <c r="A119" s="43" t="s">
        <v>125</v>
      </c>
      <c r="B119" s="74" t="s">
        <v>41</v>
      </c>
      <c r="C119" s="43" t="s">
        <v>42</v>
      </c>
      <c r="D119" s="43" t="s">
        <v>93</v>
      </c>
      <c r="E119" s="43" t="s">
        <v>21</v>
      </c>
      <c r="F119" s="43">
        <v>11</v>
      </c>
      <c r="G119" s="43">
        <v>0</v>
      </c>
      <c r="H119" s="43">
        <f>G119*F119</f>
        <v>0</v>
      </c>
      <c r="I119" s="43">
        <v>42</v>
      </c>
      <c r="J119" s="43">
        <v>4</v>
      </c>
      <c r="K119" s="43">
        <f>F119*I119</f>
        <v>462</v>
      </c>
      <c r="L119" s="43">
        <f>K119*J119</f>
        <v>1848</v>
      </c>
      <c r="M119" s="43" t="s">
        <v>91</v>
      </c>
    </row>
    <row r="120" spans="1:13" ht="15" hidden="1" customHeight="1" x14ac:dyDescent="0.3">
      <c r="A120" s="43" t="s">
        <v>125</v>
      </c>
      <c r="B120" s="69" t="s">
        <v>14</v>
      </c>
      <c r="C120" s="70">
        <v>2576</v>
      </c>
      <c r="D120" s="69" t="s">
        <v>84</v>
      </c>
      <c r="E120" s="69" t="s">
        <v>25</v>
      </c>
      <c r="F120" s="69"/>
      <c r="G120" s="69"/>
      <c r="H120" s="69"/>
      <c r="I120" s="69"/>
      <c r="J120" s="69"/>
      <c r="K120" s="69">
        <v>675</v>
      </c>
      <c r="L120" s="69">
        <f t="shared" ref="L120:L122" si="62">K120</f>
        <v>675</v>
      </c>
      <c r="M120" s="69" t="s">
        <v>37</v>
      </c>
    </row>
    <row r="121" spans="1:13" ht="15" hidden="1" customHeight="1" x14ac:dyDescent="0.3">
      <c r="A121" s="43" t="s">
        <v>125</v>
      </c>
      <c r="B121" s="44" t="s">
        <v>23</v>
      </c>
      <c r="C121" s="43" t="s">
        <v>33</v>
      </c>
      <c r="D121" s="43" t="s">
        <v>34</v>
      </c>
      <c r="E121" s="48" t="s">
        <v>35</v>
      </c>
      <c r="F121" s="43"/>
      <c r="G121" s="31" t="s">
        <v>77</v>
      </c>
      <c r="H121" s="43"/>
      <c r="I121" s="43"/>
      <c r="J121" s="43"/>
      <c r="K121" s="43">
        <v>5760</v>
      </c>
      <c r="L121" s="43">
        <f t="shared" si="62"/>
        <v>5760</v>
      </c>
      <c r="M121" s="46" t="s">
        <v>26</v>
      </c>
    </row>
    <row r="122" spans="1:13" ht="15" hidden="1" customHeight="1" x14ac:dyDescent="0.3">
      <c r="A122" s="43" t="s">
        <v>125</v>
      </c>
      <c r="B122" s="44" t="s">
        <v>23</v>
      </c>
      <c r="C122" s="43" t="s">
        <v>33</v>
      </c>
      <c r="D122" s="43" t="s">
        <v>34</v>
      </c>
      <c r="E122" s="49" t="s">
        <v>39</v>
      </c>
      <c r="F122" s="43"/>
      <c r="G122" s="43" t="s">
        <v>36</v>
      </c>
      <c r="H122" s="43"/>
      <c r="I122" s="43"/>
      <c r="J122" s="43"/>
      <c r="K122" s="43">
        <v>7000</v>
      </c>
      <c r="L122" s="43">
        <f t="shared" si="62"/>
        <v>7000</v>
      </c>
      <c r="M122" s="43" t="s">
        <v>18</v>
      </c>
    </row>
    <row r="123" spans="1:13" ht="15" hidden="1" customHeight="1" x14ac:dyDescent="0.3">
      <c r="A123" s="43" t="s">
        <v>125</v>
      </c>
      <c r="B123" s="44" t="s">
        <v>23</v>
      </c>
      <c r="C123" s="43" t="s">
        <v>33</v>
      </c>
      <c r="D123" s="43" t="s">
        <v>34</v>
      </c>
      <c r="E123" s="50" t="s">
        <v>30</v>
      </c>
      <c r="F123" s="43"/>
      <c r="G123" s="32" t="s">
        <v>78</v>
      </c>
      <c r="H123" s="43"/>
      <c r="I123" s="43"/>
      <c r="J123" s="43"/>
      <c r="K123" s="43">
        <v>7300</v>
      </c>
      <c r="L123" s="43">
        <f>K123</f>
        <v>7300</v>
      </c>
      <c r="M123" s="43" t="s">
        <v>31</v>
      </c>
    </row>
    <row r="124" spans="1:13" ht="15" hidden="1" customHeight="1" x14ac:dyDescent="0.3">
      <c r="A124" s="43" t="s">
        <v>125</v>
      </c>
      <c r="B124" s="43" t="s">
        <v>14</v>
      </c>
      <c r="C124" s="43">
        <v>6078</v>
      </c>
      <c r="D124" s="43" t="s">
        <v>16</v>
      </c>
      <c r="E124" s="43" t="s">
        <v>17</v>
      </c>
      <c r="F124" s="43">
        <v>72</v>
      </c>
      <c r="G124" s="43">
        <v>0.32500000000000001</v>
      </c>
      <c r="H124" s="43">
        <f t="shared" ref="H124" si="63">F124*G124</f>
        <v>23.400000000000002</v>
      </c>
      <c r="I124" s="43">
        <v>62</v>
      </c>
      <c r="J124" s="43">
        <v>4</v>
      </c>
      <c r="K124" s="43">
        <f t="shared" ref="K124" si="64">F124*I124</f>
        <v>4464</v>
      </c>
      <c r="L124" s="43">
        <f>K124*J124</f>
        <v>17856</v>
      </c>
      <c r="M124" s="43" t="s">
        <v>22</v>
      </c>
    </row>
    <row r="125" spans="1:13" ht="15" hidden="1" customHeight="1" x14ac:dyDescent="0.3">
      <c r="A125" s="43" t="s">
        <v>125</v>
      </c>
      <c r="B125" s="43" t="s">
        <v>14</v>
      </c>
      <c r="C125" s="43" t="s">
        <v>56</v>
      </c>
      <c r="D125" s="43" t="s">
        <v>57</v>
      </c>
      <c r="E125" s="43" t="s">
        <v>39</v>
      </c>
      <c r="F125" s="43"/>
      <c r="G125" s="43" t="s">
        <v>36</v>
      </c>
      <c r="H125" s="43"/>
      <c r="I125" s="43"/>
      <c r="J125" s="43">
        <v>2</v>
      </c>
      <c r="K125" s="43">
        <v>3500</v>
      </c>
      <c r="L125" s="43">
        <f>K125*2</f>
        <v>7000</v>
      </c>
      <c r="M125" s="43" t="s">
        <v>37</v>
      </c>
    </row>
    <row r="126" spans="1:13" ht="15" customHeight="1" x14ac:dyDescent="0.3">
      <c r="A126" s="43" t="s">
        <v>125</v>
      </c>
      <c r="B126" s="58" t="s">
        <v>44</v>
      </c>
      <c r="C126" s="43" t="s">
        <v>45</v>
      </c>
      <c r="D126" s="43" t="s">
        <v>46</v>
      </c>
      <c r="E126" s="43" t="s">
        <v>47</v>
      </c>
      <c r="F126" s="43"/>
      <c r="G126" s="43"/>
      <c r="H126" s="43"/>
      <c r="I126" s="43"/>
      <c r="J126" s="43"/>
      <c r="K126" s="43">
        <v>2500</v>
      </c>
      <c r="L126" s="43">
        <f t="shared" ref="L126:L128" si="65">K126</f>
        <v>2500</v>
      </c>
      <c r="M126" s="43" t="s">
        <v>37</v>
      </c>
    </row>
    <row r="127" spans="1:13" ht="15" hidden="1" customHeight="1" x14ac:dyDescent="0.3">
      <c r="A127" s="43" t="s">
        <v>126</v>
      </c>
      <c r="B127" s="44" t="s">
        <v>23</v>
      </c>
      <c r="C127" s="43" t="s">
        <v>33</v>
      </c>
      <c r="D127" s="43" t="s">
        <v>34</v>
      </c>
      <c r="E127" s="48" t="s">
        <v>35</v>
      </c>
      <c r="F127" s="43"/>
      <c r="G127" s="31" t="s">
        <v>77</v>
      </c>
      <c r="H127" s="43"/>
      <c r="I127" s="43"/>
      <c r="J127" s="43"/>
      <c r="K127" s="43">
        <v>1737</v>
      </c>
      <c r="L127" s="43">
        <f t="shared" si="65"/>
        <v>1737</v>
      </c>
      <c r="M127" s="46" t="s">
        <v>26</v>
      </c>
    </row>
    <row r="128" spans="1:13" ht="15" hidden="1" customHeight="1" x14ac:dyDescent="0.3">
      <c r="A128" s="43" t="s">
        <v>126</v>
      </c>
      <c r="B128" s="44" t="s">
        <v>23</v>
      </c>
      <c r="C128" s="43" t="s">
        <v>33</v>
      </c>
      <c r="D128" s="43" t="s">
        <v>34</v>
      </c>
      <c r="E128" s="49" t="s">
        <v>39</v>
      </c>
      <c r="F128" s="43"/>
      <c r="G128" s="43" t="s">
        <v>36</v>
      </c>
      <c r="H128" s="43"/>
      <c r="I128" s="43"/>
      <c r="J128" s="43"/>
      <c r="K128" s="43">
        <v>4000</v>
      </c>
      <c r="L128" s="43">
        <f t="shared" si="65"/>
        <v>4000</v>
      </c>
      <c r="M128" s="43" t="s">
        <v>18</v>
      </c>
    </row>
    <row r="129" spans="1:13" ht="15" hidden="1" customHeight="1" x14ac:dyDescent="0.3">
      <c r="A129" s="43" t="s">
        <v>126</v>
      </c>
      <c r="B129" s="44" t="s">
        <v>23</v>
      </c>
      <c r="C129" s="43" t="s">
        <v>33</v>
      </c>
      <c r="D129" s="43" t="s">
        <v>34</v>
      </c>
      <c r="E129" s="50" t="s">
        <v>30</v>
      </c>
      <c r="F129" s="43"/>
      <c r="G129" s="32" t="s">
        <v>78</v>
      </c>
      <c r="H129" s="43"/>
      <c r="I129" s="43"/>
      <c r="J129" s="43"/>
      <c r="K129" s="43">
        <v>5700</v>
      </c>
      <c r="L129" s="43">
        <f>K129</f>
        <v>5700</v>
      </c>
      <c r="M129" s="43" t="s">
        <v>31</v>
      </c>
    </row>
    <row r="130" spans="1:13" ht="15" hidden="1" customHeight="1" x14ac:dyDescent="0.3">
      <c r="A130" s="43" t="s">
        <v>126</v>
      </c>
      <c r="B130" s="43" t="s">
        <v>14</v>
      </c>
      <c r="C130" s="43">
        <v>6078</v>
      </c>
      <c r="D130" s="43" t="s">
        <v>16</v>
      </c>
      <c r="E130" s="43" t="s">
        <v>17</v>
      </c>
      <c r="F130" s="43">
        <v>50</v>
      </c>
      <c r="G130" s="43">
        <v>0.32500000000000001</v>
      </c>
      <c r="H130" s="43">
        <f t="shared" ref="H130" si="66">F130*G130</f>
        <v>16.25</v>
      </c>
      <c r="I130" s="43">
        <v>62</v>
      </c>
      <c r="J130" s="43">
        <v>4</v>
      </c>
      <c r="K130" s="43">
        <f t="shared" ref="K130" si="67">F130*I130</f>
        <v>3100</v>
      </c>
      <c r="L130" s="43">
        <f>K130*J130</f>
        <v>12400</v>
      </c>
      <c r="M130" s="43" t="s">
        <v>22</v>
      </c>
    </row>
    <row r="131" spans="1:13" ht="15" hidden="1" customHeight="1" x14ac:dyDescent="0.3">
      <c r="A131" s="43" t="s">
        <v>126</v>
      </c>
      <c r="B131" s="43" t="s">
        <v>14</v>
      </c>
      <c r="C131" s="43" t="s">
        <v>56</v>
      </c>
      <c r="D131" s="43" t="s">
        <v>57</v>
      </c>
      <c r="E131" s="43" t="s">
        <v>39</v>
      </c>
      <c r="F131" s="43"/>
      <c r="G131" s="43" t="s">
        <v>36</v>
      </c>
      <c r="H131" s="43"/>
      <c r="I131" s="43"/>
      <c r="J131" s="43">
        <v>2</v>
      </c>
      <c r="K131" s="43">
        <v>4000</v>
      </c>
      <c r="L131" s="43">
        <f>K131*2</f>
        <v>8000</v>
      </c>
      <c r="M131" s="43" t="s">
        <v>37</v>
      </c>
    </row>
    <row r="132" spans="1:13" ht="15" customHeight="1" x14ac:dyDescent="0.3">
      <c r="A132" s="43" t="s">
        <v>126</v>
      </c>
      <c r="B132" s="58" t="s">
        <v>44</v>
      </c>
      <c r="C132" s="43" t="s">
        <v>45</v>
      </c>
      <c r="D132" s="43" t="s">
        <v>46</v>
      </c>
      <c r="E132" s="43" t="s">
        <v>47</v>
      </c>
      <c r="F132" s="43"/>
      <c r="G132" s="43"/>
      <c r="H132" s="43"/>
      <c r="I132" s="43"/>
      <c r="J132" s="43"/>
      <c r="K132" s="43">
        <v>1500</v>
      </c>
      <c r="L132" s="43">
        <f t="shared" ref="L132" si="68">K132</f>
        <v>1500</v>
      </c>
      <c r="M132" s="43" t="s">
        <v>37</v>
      </c>
    </row>
    <row r="133" spans="1:13" ht="15" hidden="1" customHeight="1" x14ac:dyDescent="0.3">
      <c r="A133" s="43" t="s">
        <v>126</v>
      </c>
      <c r="B133" s="43" t="s">
        <v>14</v>
      </c>
      <c r="C133" s="43">
        <v>7479</v>
      </c>
      <c r="D133" s="43" t="s">
        <v>20</v>
      </c>
      <c r="E133" s="43" t="s">
        <v>21</v>
      </c>
      <c r="F133" s="43">
        <v>55</v>
      </c>
      <c r="G133" s="43">
        <v>0.15</v>
      </c>
      <c r="H133" s="43">
        <f>G133*F133</f>
        <v>8.25</v>
      </c>
      <c r="I133" s="43">
        <v>80</v>
      </c>
      <c r="J133" s="43">
        <v>1</v>
      </c>
      <c r="K133" s="43">
        <f>F133*I133</f>
        <v>4400</v>
      </c>
      <c r="L133" s="43">
        <f>K133*J133</f>
        <v>4400</v>
      </c>
      <c r="M133" s="43" t="s">
        <v>22</v>
      </c>
    </row>
    <row r="134" spans="1:13" ht="15" hidden="1" customHeight="1" x14ac:dyDescent="0.3">
      <c r="A134" s="43" t="s">
        <v>126</v>
      </c>
      <c r="B134" s="43" t="s">
        <v>14</v>
      </c>
      <c r="C134" s="43">
        <v>7479</v>
      </c>
      <c r="D134" s="43" t="s">
        <v>20</v>
      </c>
      <c r="E134" s="43" t="s">
        <v>25</v>
      </c>
      <c r="F134" s="43"/>
      <c r="G134" s="43"/>
      <c r="H134" s="43"/>
      <c r="I134" s="43"/>
      <c r="J134" s="43">
        <v>1</v>
      </c>
      <c r="K134" s="43">
        <v>1500</v>
      </c>
      <c r="L134" s="43">
        <f t="shared" ref="L134" si="69">K134</f>
        <v>1500</v>
      </c>
      <c r="M134" s="43" t="s">
        <v>31</v>
      </c>
    </row>
    <row r="135" spans="1:13" ht="15" hidden="1" customHeight="1" x14ac:dyDescent="0.3">
      <c r="A135" s="43" t="s">
        <v>126</v>
      </c>
      <c r="B135" s="43" t="s">
        <v>14</v>
      </c>
      <c r="C135" s="43">
        <v>6380</v>
      </c>
      <c r="D135" s="43" t="s">
        <v>16</v>
      </c>
      <c r="E135" s="43" t="s">
        <v>17</v>
      </c>
      <c r="F135" s="43">
        <v>30</v>
      </c>
      <c r="G135" s="43">
        <v>0.42499999999999999</v>
      </c>
      <c r="H135" s="43">
        <f t="shared" ref="H135" si="70">F135*G135</f>
        <v>12.75</v>
      </c>
      <c r="I135" s="43">
        <v>56</v>
      </c>
      <c r="J135" s="43">
        <v>4</v>
      </c>
      <c r="K135" s="43">
        <f t="shared" ref="K135" si="71">F135*I135</f>
        <v>1680</v>
      </c>
      <c r="L135" s="43">
        <f t="shared" ref="L135" si="72">K135*J135</f>
        <v>6720</v>
      </c>
      <c r="M135" s="43" t="s">
        <v>18</v>
      </c>
    </row>
    <row r="136" spans="1:13" ht="15" hidden="1" customHeight="1" x14ac:dyDescent="0.3">
      <c r="A136" s="43" t="s">
        <v>127</v>
      </c>
      <c r="B136" s="43" t="s">
        <v>14</v>
      </c>
      <c r="C136" s="43">
        <v>7479</v>
      </c>
      <c r="D136" s="43" t="s">
        <v>20</v>
      </c>
      <c r="E136" s="43" t="s">
        <v>21</v>
      </c>
      <c r="F136" s="43">
        <v>164</v>
      </c>
      <c r="G136" s="43">
        <v>0.15</v>
      </c>
      <c r="H136" s="43">
        <f>G136*F136</f>
        <v>24.599999999999998</v>
      </c>
      <c r="I136" s="43">
        <v>80</v>
      </c>
      <c r="J136" s="43">
        <v>1</v>
      </c>
      <c r="K136" s="43">
        <f>F136*I136</f>
        <v>13120</v>
      </c>
      <c r="L136" s="43">
        <f>K136*J136</f>
        <v>13120</v>
      </c>
      <c r="M136" s="43" t="s">
        <v>22</v>
      </c>
    </row>
    <row r="137" spans="1:13" ht="15" hidden="1" customHeight="1" x14ac:dyDescent="0.3">
      <c r="A137" s="43" t="s">
        <v>127</v>
      </c>
      <c r="B137" s="43" t="s">
        <v>14</v>
      </c>
      <c r="C137" s="43">
        <v>7479</v>
      </c>
      <c r="D137" s="43" t="s">
        <v>20</v>
      </c>
      <c r="E137" s="43" t="s">
        <v>25</v>
      </c>
      <c r="F137" s="43"/>
      <c r="G137" s="43"/>
      <c r="H137" s="43"/>
      <c r="I137" s="43"/>
      <c r="J137" s="43">
        <v>1</v>
      </c>
      <c r="K137" s="43">
        <v>5365</v>
      </c>
      <c r="L137" s="43">
        <f t="shared" ref="L137" si="73">K137</f>
        <v>5365</v>
      </c>
      <c r="M137" s="43" t="s">
        <v>37</v>
      </c>
    </row>
    <row r="138" spans="1:13" ht="15" hidden="1" customHeight="1" x14ac:dyDescent="0.3">
      <c r="A138" s="43" t="s">
        <v>127</v>
      </c>
      <c r="B138" s="43" t="s">
        <v>14</v>
      </c>
      <c r="C138" s="43">
        <v>6380</v>
      </c>
      <c r="D138" s="43" t="s">
        <v>16</v>
      </c>
      <c r="E138" s="43" t="s">
        <v>17</v>
      </c>
      <c r="F138" s="43">
        <v>35</v>
      </c>
      <c r="G138" s="43">
        <v>0.42499999999999999</v>
      </c>
      <c r="H138" s="43">
        <f t="shared" ref="H138" si="74">F138*G138</f>
        <v>14.875</v>
      </c>
      <c r="I138" s="43">
        <v>56</v>
      </c>
      <c r="J138" s="43">
        <v>4</v>
      </c>
      <c r="K138" s="43">
        <f t="shared" ref="K138" si="75">F138*I138</f>
        <v>1960</v>
      </c>
      <c r="L138" s="43">
        <f t="shared" ref="L138" si="76">K138*J138</f>
        <v>7840</v>
      </c>
      <c r="M138" s="43" t="s">
        <v>18</v>
      </c>
    </row>
    <row r="139" spans="1:13" ht="15" hidden="1" customHeight="1" x14ac:dyDescent="0.3">
      <c r="A139" s="43" t="s">
        <v>127</v>
      </c>
      <c r="B139" s="43" t="s">
        <v>14</v>
      </c>
      <c r="C139" s="43" t="s">
        <v>56</v>
      </c>
      <c r="D139" s="43" t="s">
        <v>57</v>
      </c>
      <c r="E139" s="43" t="s">
        <v>39</v>
      </c>
      <c r="F139" s="43"/>
      <c r="G139" s="43" t="s">
        <v>36</v>
      </c>
      <c r="H139" s="43"/>
      <c r="I139" s="43"/>
      <c r="J139" s="43">
        <v>2</v>
      </c>
      <c r="K139" s="43">
        <v>2500</v>
      </c>
      <c r="L139" s="43">
        <f>K139*2</f>
        <v>5000</v>
      </c>
      <c r="M139" s="43" t="s">
        <v>37</v>
      </c>
    </row>
    <row r="140" spans="1:13" ht="15" hidden="1" customHeight="1" x14ac:dyDescent="0.3">
      <c r="A140" s="43" t="s">
        <v>127</v>
      </c>
      <c r="B140" s="43" t="s">
        <v>14</v>
      </c>
      <c r="C140" s="43">
        <v>2028</v>
      </c>
      <c r="D140" s="43" t="s">
        <v>16</v>
      </c>
      <c r="E140" s="43" t="s">
        <v>17</v>
      </c>
      <c r="F140" s="43">
        <v>68</v>
      </c>
      <c r="G140" s="43">
        <v>0.67500000000000004</v>
      </c>
      <c r="H140" s="43">
        <f>G140*F140</f>
        <v>45.900000000000006</v>
      </c>
      <c r="I140" s="43">
        <v>42</v>
      </c>
      <c r="J140" s="43">
        <v>4</v>
      </c>
      <c r="K140" s="43">
        <f t="shared" ref="K140" si="77">F140*I140</f>
        <v>2856</v>
      </c>
      <c r="L140" s="43">
        <f>K140*J140</f>
        <v>11424</v>
      </c>
      <c r="M140" s="43" t="s">
        <v>18</v>
      </c>
    </row>
    <row r="141" spans="1:13" ht="15" hidden="1" customHeight="1" x14ac:dyDescent="0.3">
      <c r="A141" s="43" t="s">
        <v>127</v>
      </c>
      <c r="B141" s="43" t="s">
        <v>14</v>
      </c>
      <c r="C141" s="43">
        <v>10065</v>
      </c>
      <c r="D141" s="43" t="s">
        <v>16</v>
      </c>
      <c r="E141" s="43" t="s">
        <v>17</v>
      </c>
      <c r="F141" s="43">
        <v>42</v>
      </c>
      <c r="G141" s="43">
        <v>0.67500000000000004</v>
      </c>
      <c r="H141" s="43">
        <f>G141*F141</f>
        <v>28.35</v>
      </c>
      <c r="I141" s="43">
        <v>42</v>
      </c>
      <c r="J141" s="43">
        <v>4</v>
      </c>
      <c r="K141" s="43">
        <f t="shared" ref="K141" si="78">F141*I141</f>
        <v>1764</v>
      </c>
      <c r="L141" s="43">
        <f>K141*J141</f>
        <v>7056</v>
      </c>
      <c r="M141" s="43" t="s">
        <v>18</v>
      </c>
    </row>
    <row r="142" spans="1:13" ht="15" hidden="1" customHeight="1" x14ac:dyDescent="0.3">
      <c r="A142" s="43" t="s">
        <v>128</v>
      </c>
      <c r="B142" s="44" t="s">
        <v>23</v>
      </c>
      <c r="C142" s="43" t="s">
        <v>33</v>
      </c>
      <c r="D142" s="43" t="s">
        <v>34</v>
      </c>
      <c r="E142" s="50" t="s">
        <v>30</v>
      </c>
      <c r="F142" s="43"/>
      <c r="G142" s="32" t="s">
        <v>78</v>
      </c>
      <c r="H142" s="43"/>
      <c r="I142" s="43"/>
      <c r="J142" s="43"/>
      <c r="K142" s="43">
        <v>800</v>
      </c>
      <c r="L142" s="43">
        <f>K142</f>
        <v>800</v>
      </c>
      <c r="M142" s="43" t="s">
        <v>31</v>
      </c>
    </row>
    <row r="143" spans="1:13" ht="15" hidden="1" customHeight="1" x14ac:dyDescent="0.3">
      <c r="A143" s="43" t="s">
        <v>128</v>
      </c>
      <c r="B143" s="43" t="s">
        <v>14</v>
      </c>
      <c r="C143" s="43">
        <v>7479</v>
      </c>
      <c r="D143" s="43" t="s">
        <v>20</v>
      </c>
      <c r="E143" s="43" t="s">
        <v>21</v>
      </c>
      <c r="F143" s="43">
        <v>52</v>
      </c>
      <c r="G143" s="43">
        <v>0.15</v>
      </c>
      <c r="H143" s="43">
        <f>G143*F143</f>
        <v>7.8</v>
      </c>
      <c r="I143" s="43">
        <v>80</v>
      </c>
      <c r="J143" s="43">
        <v>1</v>
      </c>
      <c r="K143" s="43">
        <f>F143*I143</f>
        <v>4160</v>
      </c>
      <c r="L143" s="43">
        <f>K143*J143</f>
        <v>4160</v>
      </c>
      <c r="M143" s="43" t="s">
        <v>22</v>
      </c>
    </row>
    <row r="144" spans="1:13" ht="15" hidden="1" customHeight="1" x14ac:dyDescent="0.3">
      <c r="A144" s="43" t="s">
        <v>128</v>
      </c>
      <c r="B144" s="43" t="s">
        <v>14</v>
      </c>
      <c r="C144" s="43">
        <v>7479</v>
      </c>
      <c r="D144" s="43" t="s">
        <v>20</v>
      </c>
      <c r="E144" s="43" t="s">
        <v>25</v>
      </c>
      <c r="F144" s="43"/>
      <c r="G144" s="43"/>
      <c r="H144" s="43"/>
      <c r="I144" s="43"/>
      <c r="J144" s="43">
        <v>1</v>
      </c>
      <c r="K144" s="43">
        <v>5365</v>
      </c>
      <c r="L144" s="43">
        <f t="shared" ref="L144" si="79">K144</f>
        <v>5365</v>
      </c>
      <c r="M144" s="43" t="s">
        <v>37</v>
      </c>
    </row>
    <row r="145" spans="1:13" ht="15" hidden="1" customHeight="1" x14ac:dyDescent="0.3">
      <c r="A145" s="43" t="s">
        <v>128</v>
      </c>
      <c r="B145" s="43" t="s">
        <v>14</v>
      </c>
      <c r="C145" s="43">
        <v>10065</v>
      </c>
      <c r="D145" s="43" t="s">
        <v>16</v>
      </c>
      <c r="E145" s="43" t="s">
        <v>17</v>
      </c>
      <c r="F145" s="43">
        <v>73</v>
      </c>
      <c r="G145" s="43">
        <v>0.67500000000000004</v>
      </c>
      <c r="H145" s="43">
        <f>G145*F145</f>
        <v>49.275000000000006</v>
      </c>
      <c r="I145" s="43">
        <v>42</v>
      </c>
      <c r="J145" s="43">
        <v>4</v>
      </c>
      <c r="K145" s="43">
        <f t="shared" ref="K145:K150" si="80">F145*I145</f>
        <v>3066</v>
      </c>
      <c r="L145" s="43">
        <f>K145*J145</f>
        <v>12264</v>
      </c>
      <c r="M145" s="43" t="s">
        <v>18</v>
      </c>
    </row>
    <row r="146" spans="1:13" ht="15" customHeight="1" x14ac:dyDescent="0.3">
      <c r="A146" s="43" t="s">
        <v>128</v>
      </c>
      <c r="B146" s="58" t="s">
        <v>44</v>
      </c>
      <c r="C146" s="43" t="s">
        <v>45</v>
      </c>
      <c r="D146" s="43" t="s">
        <v>46</v>
      </c>
      <c r="E146" s="43" t="s">
        <v>21</v>
      </c>
      <c r="F146" s="43">
        <v>87</v>
      </c>
      <c r="G146" s="43">
        <v>0.46</v>
      </c>
      <c r="H146" s="43">
        <f t="shared" ref="H146" si="81">F146*G146</f>
        <v>40.020000000000003</v>
      </c>
      <c r="I146" s="43">
        <v>22</v>
      </c>
      <c r="J146" s="43">
        <v>2</v>
      </c>
      <c r="K146" s="43">
        <f t="shared" ref="K146" si="82">F146*I146</f>
        <v>1914</v>
      </c>
      <c r="L146" s="43">
        <f t="shared" ref="L146" si="83">K146*J146</f>
        <v>3828</v>
      </c>
      <c r="M146" s="43" t="s">
        <v>22</v>
      </c>
    </row>
    <row r="147" spans="1:13" ht="15" customHeight="1" x14ac:dyDescent="0.3">
      <c r="A147" s="43" t="s">
        <v>128</v>
      </c>
      <c r="B147" s="58" t="s">
        <v>44</v>
      </c>
      <c r="C147" s="43" t="s">
        <v>45</v>
      </c>
      <c r="D147" s="43" t="s">
        <v>46</v>
      </c>
      <c r="E147" s="43" t="s">
        <v>25</v>
      </c>
      <c r="F147" s="43"/>
      <c r="G147" s="43"/>
      <c r="H147" s="43"/>
      <c r="I147" s="43"/>
      <c r="J147" s="43"/>
      <c r="K147" s="43">
        <v>3900</v>
      </c>
      <c r="L147" s="43">
        <v>3900</v>
      </c>
      <c r="M147" s="43" t="s">
        <v>22</v>
      </c>
    </row>
    <row r="148" spans="1:13" ht="15" customHeight="1" x14ac:dyDescent="0.3">
      <c r="A148" s="43" t="s">
        <v>128</v>
      </c>
      <c r="B148" s="58" t="s">
        <v>44</v>
      </c>
      <c r="C148" s="43" t="s">
        <v>45</v>
      </c>
      <c r="D148" s="43" t="s">
        <v>46</v>
      </c>
      <c r="E148" s="43" t="s">
        <v>30</v>
      </c>
      <c r="F148" s="43"/>
      <c r="G148" s="43"/>
      <c r="H148" s="43"/>
      <c r="I148" s="43"/>
      <c r="J148" s="43"/>
      <c r="K148" s="43">
        <v>1350</v>
      </c>
      <c r="L148" s="43">
        <v>1350</v>
      </c>
      <c r="M148" s="43" t="s">
        <v>48</v>
      </c>
    </row>
    <row r="149" spans="1:13" ht="15" hidden="1" customHeight="1" x14ac:dyDescent="0.3">
      <c r="A149" s="43" t="s">
        <v>128</v>
      </c>
      <c r="B149" s="75" t="s">
        <v>130</v>
      </c>
      <c r="C149" s="43" t="s">
        <v>131</v>
      </c>
      <c r="D149" s="43" t="s">
        <v>16</v>
      </c>
      <c r="E149" s="43" t="s">
        <v>17</v>
      </c>
      <c r="F149" s="43">
        <v>16</v>
      </c>
      <c r="G149" s="43"/>
      <c r="H149" s="43"/>
      <c r="I149" s="43">
        <v>98</v>
      </c>
      <c r="J149" s="43">
        <v>1</v>
      </c>
      <c r="K149" s="43">
        <f t="shared" ref="K149" si="84">F149*I149</f>
        <v>1568</v>
      </c>
      <c r="L149" s="43">
        <f t="shared" ref="L149" si="85">K149*J149</f>
        <v>1568</v>
      </c>
      <c r="M149" s="43" t="s">
        <v>91</v>
      </c>
    </row>
    <row r="150" spans="1:13" ht="15" customHeight="1" x14ac:dyDescent="0.3">
      <c r="A150" s="43" t="s">
        <v>129</v>
      </c>
      <c r="B150" s="58" t="s">
        <v>44</v>
      </c>
      <c r="C150" s="43" t="s">
        <v>45</v>
      </c>
      <c r="D150" s="43" t="s">
        <v>46</v>
      </c>
      <c r="E150" s="43" t="s">
        <v>21</v>
      </c>
      <c r="F150" s="43">
        <v>45</v>
      </c>
      <c r="G150" s="43">
        <v>0.46</v>
      </c>
      <c r="H150" s="43">
        <f t="shared" ref="H150" si="86">F150*G150</f>
        <v>20.7</v>
      </c>
      <c r="I150" s="43">
        <v>22</v>
      </c>
      <c r="J150" s="43">
        <v>2</v>
      </c>
      <c r="K150" s="43">
        <f t="shared" si="80"/>
        <v>990</v>
      </c>
      <c r="L150" s="43">
        <f t="shared" ref="L150" si="87">K150*J150</f>
        <v>1980</v>
      </c>
      <c r="M150" s="43" t="s">
        <v>22</v>
      </c>
    </row>
    <row r="151" spans="1:13" ht="15" customHeight="1" x14ac:dyDescent="0.3">
      <c r="A151" s="43" t="s">
        <v>129</v>
      </c>
      <c r="B151" s="58" t="s">
        <v>44</v>
      </c>
      <c r="C151" s="43" t="s">
        <v>45</v>
      </c>
      <c r="D151" s="43" t="s">
        <v>46</v>
      </c>
      <c r="E151" s="43" t="s">
        <v>25</v>
      </c>
      <c r="F151" s="43"/>
      <c r="G151" s="43"/>
      <c r="H151" s="43"/>
      <c r="I151" s="43"/>
      <c r="J151" s="43"/>
      <c r="K151" s="43">
        <v>3900</v>
      </c>
      <c r="L151" s="43">
        <v>3900</v>
      </c>
      <c r="M151" s="43" t="s">
        <v>22</v>
      </c>
    </row>
    <row r="152" spans="1:13" ht="15" customHeight="1" x14ac:dyDescent="0.3">
      <c r="A152" s="43" t="s">
        <v>129</v>
      </c>
      <c r="B152" s="58" t="s">
        <v>44</v>
      </c>
      <c r="C152" s="43" t="s">
        <v>45</v>
      </c>
      <c r="D152" s="43" t="s">
        <v>46</v>
      </c>
      <c r="E152" s="43" t="s">
        <v>30</v>
      </c>
      <c r="F152" s="43"/>
      <c r="G152" s="43"/>
      <c r="H152" s="43"/>
      <c r="I152" s="43"/>
      <c r="J152" s="43"/>
      <c r="K152" s="43">
        <v>1350</v>
      </c>
      <c r="L152" s="43">
        <v>1350</v>
      </c>
      <c r="M152" s="43" t="s">
        <v>48</v>
      </c>
    </row>
    <row r="153" spans="1:13" ht="15" hidden="1" customHeight="1" x14ac:dyDescent="0.3">
      <c r="A153" s="43" t="s">
        <v>129</v>
      </c>
      <c r="B153" s="43" t="s">
        <v>14</v>
      </c>
      <c r="C153" s="43">
        <v>7479</v>
      </c>
      <c r="D153" s="43" t="s">
        <v>20</v>
      </c>
      <c r="E153" s="43" t="s">
        <v>25</v>
      </c>
      <c r="F153" s="43"/>
      <c r="G153" s="43"/>
      <c r="H153" s="43"/>
      <c r="I153" s="43"/>
      <c r="J153" s="43">
        <v>1</v>
      </c>
      <c r="K153" s="43">
        <v>5800</v>
      </c>
      <c r="L153" s="43">
        <f t="shared" ref="L153" si="88">K153</f>
        <v>5800</v>
      </c>
      <c r="M153" s="43" t="s">
        <v>37</v>
      </c>
    </row>
    <row r="154" spans="1:13" ht="15" hidden="1" customHeight="1" x14ac:dyDescent="0.3">
      <c r="A154" s="43" t="s">
        <v>129</v>
      </c>
      <c r="B154" s="69" t="s">
        <v>14</v>
      </c>
      <c r="C154" s="70" t="s">
        <v>51</v>
      </c>
      <c r="D154" s="71" t="s">
        <v>52</v>
      </c>
      <c r="E154" s="69" t="s">
        <v>17</v>
      </c>
      <c r="F154" s="69">
        <v>105</v>
      </c>
      <c r="G154" s="69">
        <v>0.20499999999999999</v>
      </c>
      <c r="H154" s="69">
        <f t="shared" ref="H154" si="89">F154*G154</f>
        <v>21.524999999999999</v>
      </c>
      <c r="I154" s="69">
        <v>26</v>
      </c>
      <c r="J154" s="69">
        <v>4</v>
      </c>
      <c r="K154" s="69">
        <f>F154*I154</f>
        <v>2730</v>
      </c>
      <c r="L154" s="69">
        <f t="shared" ref="L154:L155" si="90">K154*J154</f>
        <v>10920</v>
      </c>
      <c r="M154" s="43" t="s">
        <v>18</v>
      </c>
    </row>
    <row r="155" spans="1:13" ht="15" hidden="1" customHeight="1" x14ac:dyDescent="0.3">
      <c r="A155" s="43" t="s">
        <v>129</v>
      </c>
      <c r="B155" s="75" t="s">
        <v>130</v>
      </c>
      <c r="C155" s="43" t="s">
        <v>131</v>
      </c>
      <c r="D155" s="43" t="s">
        <v>16</v>
      </c>
      <c r="E155" s="43" t="s">
        <v>17</v>
      </c>
      <c r="F155" s="43">
        <v>26</v>
      </c>
      <c r="G155" s="43"/>
      <c r="H155" s="43"/>
      <c r="I155" s="43">
        <v>98</v>
      </c>
      <c r="J155" s="43">
        <v>1</v>
      </c>
      <c r="K155" s="43">
        <f t="shared" ref="K155" si="91">F155*I155</f>
        <v>2548</v>
      </c>
      <c r="L155" s="43">
        <f t="shared" si="90"/>
        <v>2548</v>
      </c>
      <c r="M155" s="43" t="s">
        <v>91</v>
      </c>
    </row>
    <row r="156" spans="1:13" ht="15" customHeight="1" x14ac:dyDescent="0.3">
      <c r="A156" s="43" t="s">
        <v>132</v>
      </c>
      <c r="B156" s="58" t="s">
        <v>44</v>
      </c>
      <c r="C156" s="43" t="s">
        <v>45</v>
      </c>
      <c r="D156" s="43" t="s">
        <v>46</v>
      </c>
      <c r="E156" s="43" t="s">
        <v>30</v>
      </c>
      <c r="F156" s="43"/>
      <c r="G156" s="43"/>
      <c r="H156" s="43"/>
      <c r="I156" s="43"/>
      <c r="J156" s="43"/>
      <c r="K156" s="43">
        <v>3180</v>
      </c>
      <c r="L156" s="43">
        <f t="shared" ref="L156:L158" si="92">K156</f>
        <v>3180</v>
      </c>
      <c r="M156" s="43" t="s">
        <v>48</v>
      </c>
    </row>
    <row r="157" spans="1:13" ht="15" customHeight="1" x14ac:dyDescent="0.3">
      <c r="A157" s="43" t="s">
        <v>132</v>
      </c>
      <c r="B157" s="58" t="s">
        <v>44</v>
      </c>
      <c r="C157" s="43" t="s">
        <v>45</v>
      </c>
      <c r="D157" s="43" t="s">
        <v>46</v>
      </c>
      <c r="E157" s="43" t="s">
        <v>47</v>
      </c>
      <c r="F157" s="43"/>
      <c r="G157" s="43"/>
      <c r="H157" s="43"/>
      <c r="I157" s="43"/>
      <c r="J157" s="43"/>
      <c r="K157" s="43">
        <v>3500</v>
      </c>
      <c r="L157" s="43">
        <f t="shared" si="92"/>
        <v>3500</v>
      </c>
      <c r="M157" s="43" t="s">
        <v>48</v>
      </c>
    </row>
    <row r="158" spans="1:13" ht="15" hidden="1" customHeight="1" x14ac:dyDescent="0.3">
      <c r="A158" s="43" t="s">
        <v>132</v>
      </c>
      <c r="B158" s="43" t="s">
        <v>14</v>
      </c>
      <c r="C158" s="43">
        <v>7479</v>
      </c>
      <c r="D158" s="43" t="s">
        <v>20</v>
      </c>
      <c r="E158" s="43" t="s">
        <v>25</v>
      </c>
      <c r="F158" s="43"/>
      <c r="G158" s="43"/>
      <c r="H158" s="43"/>
      <c r="I158" s="43"/>
      <c r="J158" s="43">
        <v>1</v>
      </c>
      <c r="K158" s="43">
        <v>5200</v>
      </c>
      <c r="L158" s="43">
        <f t="shared" si="92"/>
        <v>5200</v>
      </c>
      <c r="M158" s="43" t="s">
        <v>37</v>
      </c>
    </row>
    <row r="159" spans="1:13" ht="15" hidden="1" customHeight="1" x14ac:dyDescent="0.3">
      <c r="A159" s="43" t="s">
        <v>132</v>
      </c>
      <c r="B159" s="69" t="s">
        <v>14</v>
      </c>
      <c r="C159" s="70" t="s">
        <v>51</v>
      </c>
      <c r="D159" s="71" t="s">
        <v>52</v>
      </c>
      <c r="E159" s="69" t="s">
        <v>17</v>
      </c>
      <c r="F159" s="69">
        <v>92</v>
      </c>
      <c r="G159" s="69">
        <v>0.20499999999999999</v>
      </c>
      <c r="H159" s="69">
        <f t="shared" ref="H159:H160" si="93">F159*G159</f>
        <v>18.86</v>
      </c>
      <c r="I159" s="69">
        <v>26</v>
      </c>
      <c r="J159" s="69">
        <v>4</v>
      </c>
      <c r="K159" s="69">
        <f>F159*I159</f>
        <v>2392</v>
      </c>
      <c r="L159" s="69">
        <f t="shared" ref="L159" si="94">K159*J159</f>
        <v>9568</v>
      </c>
      <c r="M159" s="43" t="s">
        <v>18</v>
      </c>
    </row>
    <row r="160" spans="1:13" ht="15" hidden="1" customHeight="1" x14ac:dyDescent="0.3">
      <c r="A160" s="43" t="s">
        <v>132</v>
      </c>
      <c r="B160" s="43" t="s">
        <v>14</v>
      </c>
      <c r="C160" s="43">
        <v>5036</v>
      </c>
      <c r="D160" s="43" t="s">
        <v>16</v>
      </c>
      <c r="E160" s="43" t="s">
        <v>17</v>
      </c>
      <c r="F160" s="43">
        <v>79</v>
      </c>
      <c r="G160" s="43">
        <v>0.32500000000000001</v>
      </c>
      <c r="H160" s="43">
        <f t="shared" si="93"/>
        <v>25.675000000000001</v>
      </c>
      <c r="I160" s="43">
        <v>62</v>
      </c>
      <c r="J160" s="43">
        <v>4</v>
      </c>
      <c r="K160" s="43">
        <f t="shared" ref="K160" si="95">F160*I160</f>
        <v>4898</v>
      </c>
      <c r="L160" s="43">
        <f>K160*J160</f>
        <v>19592</v>
      </c>
      <c r="M160" s="43" t="s">
        <v>22</v>
      </c>
    </row>
    <row r="161" spans="1:13" ht="15" hidden="1" customHeight="1" x14ac:dyDescent="0.3">
      <c r="A161" s="43" t="s">
        <v>133</v>
      </c>
      <c r="B161" s="44" t="s">
        <v>23</v>
      </c>
      <c r="C161" s="43" t="s">
        <v>33</v>
      </c>
      <c r="D161" s="43" t="s">
        <v>34</v>
      </c>
      <c r="E161" s="48" t="s">
        <v>35</v>
      </c>
      <c r="F161" s="43"/>
      <c r="G161" s="31" t="s">
        <v>77</v>
      </c>
      <c r="H161" s="43"/>
      <c r="I161" s="43"/>
      <c r="J161" s="43"/>
      <c r="K161" s="43">
        <v>1103</v>
      </c>
      <c r="L161" s="43">
        <f t="shared" ref="L161:L164" si="96">K161</f>
        <v>1103</v>
      </c>
      <c r="M161" s="46" t="s">
        <v>26</v>
      </c>
    </row>
    <row r="162" spans="1:13" ht="15" customHeight="1" x14ac:dyDescent="0.3">
      <c r="A162" s="43" t="s">
        <v>133</v>
      </c>
      <c r="B162" s="58" t="s">
        <v>44</v>
      </c>
      <c r="C162" s="43" t="s">
        <v>45</v>
      </c>
      <c r="D162" s="43" t="s">
        <v>46</v>
      </c>
      <c r="E162" s="43" t="s">
        <v>47</v>
      </c>
      <c r="F162" s="43"/>
      <c r="G162" s="43"/>
      <c r="H162" s="43"/>
      <c r="I162" s="43"/>
      <c r="J162" s="43"/>
      <c r="K162" s="43">
        <v>1500</v>
      </c>
      <c r="L162" s="43">
        <f t="shared" si="96"/>
        <v>1500</v>
      </c>
      <c r="M162" s="43" t="s">
        <v>48</v>
      </c>
    </row>
    <row r="163" spans="1:13" ht="15" hidden="1" customHeight="1" x14ac:dyDescent="0.3">
      <c r="A163" s="43" t="s">
        <v>133</v>
      </c>
      <c r="B163" s="44" t="s">
        <v>23</v>
      </c>
      <c r="C163" s="43">
        <v>65548</v>
      </c>
      <c r="D163" s="45" t="s">
        <v>24</v>
      </c>
      <c r="E163" s="43" t="s">
        <v>25</v>
      </c>
      <c r="F163" s="43"/>
      <c r="G163" s="43"/>
      <c r="H163" s="43"/>
      <c r="I163" s="43"/>
      <c r="J163" s="43"/>
      <c r="K163" s="43">
        <v>5375</v>
      </c>
      <c r="L163" s="43">
        <f t="shared" si="96"/>
        <v>5375</v>
      </c>
      <c r="M163" s="46" t="s">
        <v>26</v>
      </c>
    </row>
    <row r="164" spans="1:13" ht="15" hidden="1" customHeight="1" x14ac:dyDescent="0.3">
      <c r="A164" s="43" t="s">
        <v>133</v>
      </c>
      <c r="B164" s="44" t="s">
        <v>23</v>
      </c>
      <c r="C164" s="43">
        <v>65548</v>
      </c>
      <c r="D164" s="45" t="s">
        <v>24</v>
      </c>
      <c r="E164" s="43" t="s">
        <v>30</v>
      </c>
      <c r="F164" s="43"/>
      <c r="G164" s="43" t="s">
        <v>36</v>
      </c>
      <c r="H164" s="43"/>
      <c r="I164" s="43"/>
      <c r="J164" s="43"/>
      <c r="K164" s="43">
        <v>3420</v>
      </c>
      <c r="L164" s="43">
        <f t="shared" si="96"/>
        <v>3420</v>
      </c>
      <c r="M164" s="43" t="s">
        <v>31</v>
      </c>
    </row>
    <row r="165" spans="1:13" ht="15" hidden="1" customHeight="1" x14ac:dyDescent="0.3">
      <c r="A165" s="43" t="s">
        <v>133</v>
      </c>
      <c r="B165" s="43" t="s">
        <v>14</v>
      </c>
      <c r="C165" s="43" t="s">
        <v>56</v>
      </c>
      <c r="D165" s="43" t="s">
        <v>57</v>
      </c>
      <c r="E165" s="43" t="s">
        <v>21</v>
      </c>
      <c r="F165" s="43">
        <v>100</v>
      </c>
      <c r="G165" s="43">
        <v>0.105</v>
      </c>
      <c r="H165" s="43">
        <f>G165*F165</f>
        <v>10.5</v>
      </c>
      <c r="I165" s="43">
        <v>111</v>
      </c>
      <c r="J165" s="43">
        <v>1</v>
      </c>
      <c r="K165" s="43">
        <f t="shared" ref="K165" si="97">F165*I165</f>
        <v>11100</v>
      </c>
      <c r="L165" s="43">
        <f t="shared" ref="L165" si="98">K165*J165</f>
        <v>11100</v>
      </c>
      <c r="M165" s="43" t="s">
        <v>22</v>
      </c>
    </row>
    <row r="166" spans="1:13" ht="15" hidden="1" customHeight="1" x14ac:dyDescent="0.3">
      <c r="A166" s="43" t="s">
        <v>134</v>
      </c>
      <c r="B166" s="43" t="s">
        <v>14</v>
      </c>
      <c r="C166" s="43" t="s">
        <v>56</v>
      </c>
      <c r="D166" s="43" t="s">
        <v>57</v>
      </c>
      <c r="E166" s="43" t="s">
        <v>21</v>
      </c>
      <c r="F166" s="43">
        <v>138</v>
      </c>
      <c r="G166" s="43">
        <v>0.105</v>
      </c>
      <c r="H166" s="43">
        <f>G166*F166</f>
        <v>14.49</v>
      </c>
      <c r="I166" s="43">
        <v>111</v>
      </c>
      <c r="J166" s="43">
        <v>1</v>
      </c>
      <c r="K166" s="43">
        <f t="shared" ref="K166" si="99">F166*I166</f>
        <v>15318</v>
      </c>
      <c r="L166" s="43">
        <f t="shared" ref="L166" si="100">K166*J166</f>
        <v>15318</v>
      </c>
      <c r="M166" s="43" t="s">
        <v>22</v>
      </c>
    </row>
    <row r="167" spans="1:13" ht="15" hidden="1" customHeight="1" x14ac:dyDescent="0.3">
      <c r="A167" s="43" t="s">
        <v>134</v>
      </c>
      <c r="B167" s="43" t="s">
        <v>14</v>
      </c>
      <c r="C167" s="43" t="s">
        <v>56</v>
      </c>
      <c r="D167" s="43" t="s">
        <v>57</v>
      </c>
      <c r="E167" s="43" t="s">
        <v>96</v>
      </c>
      <c r="F167" s="43"/>
      <c r="G167" s="43" t="s">
        <v>77</v>
      </c>
      <c r="H167" s="43"/>
      <c r="I167" s="43"/>
      <c r="J167" s="43">
        <v>1</v>
      </c>
      <c r="K167" s="43">
        <v>6500</v>
      </c>
      <c r="L167" s="43">
        <f t="shared" ref="L167:L170" si="101">K167</f>
        <v>6500</v>
      </c>
      <c r="M167" s="43" t="s">
        <v>91</v>
      </c>
    </row>
    <row r="168" spans="1:13" ht="15" hidden="1" customHeight="1" x14ac:dyDescent="0.3">
      <c r="A168" s="43" t="s">
        <v>134</v>
      </c>
      <c r="B168" s="43" t="s">
        <v>14</v>
      </c>
      <c r="C168" s="43" t="s">
        <v>56</v>
      </c>
      <c r="D168" s="43" t="s">
        <v>57</v>
      </c>
      <c r="E168" s="43" t="s">
        <v>39</v>
      </c>
      <c r="F168" s="43"/>
      <c r="G168" s="43" t="s">
        <v>36</v>
      </c>
      <c r="H168" s="43"/>
      <c r="I168" s="43"/>
      <c r="J168" s="43">
        <v>2</v>
      </c>
      <c r="K168" s="43">
        <v>6500</v>
      </c>
      <c r="L168" s="43">
        <f t="shared" si="101"/>
        <v>6500</v>
      </c>
      <c r="M168" s="43" t="s">
        <v>37</v>
      </c>
    </row>
    <row r="169" spans="1:13" ht="15" hidden="1" customHeight="1" x14ac:dyDescent="0.3">
      <c r="A169" s="43" t="s">
        <v>134</v>
      </c>
      <c r="B169" s="44" t="s">
        <v>23</v>
      </c>
      <c r="C169" s="43">
        <v>65548</v>
      </c>
      <c r="D169" s="45" t="s">
        <v>24</v>
      </c>
      <c r="E169" s="43" t="s">
        <v>25</v>
      </c>
      <c r="F169" s="43"/>
      <c r="G169" s="43"/>
      <c r="H169" s="43"/>
      <c r="I169" s="43"/>
      <c r="J169" s="43"/>
      <c r="K169" s="43">
        <v>8100</v>
      </c>
      <c r="L169" s="43">
        <f t="shared" si="101"/>
        <v>8100</v>
      </c>
      <c r="M169" s="46" t="s">
        <v>26</v>
      </c>
    </row>
    <row r="170" spans="1:13" ht="15" hidden="1" customHeight="1" x14ac:dyDescent="0.3">
      <c r="A170" s="43" t="s">
        <v>134</v>
      </c>
      <c r="B170" s="44" t="s">
        <v>23</v>
      </c>
      <c r="C170" s="43">
        <v>65548</v>
      </c>
      <c r="D170" s="45" t="s">
        <v>24</v>
      </c>
      <c r="E170" s="43" t="s">
        <v>30</v>
      </c>
      <c r="F170" s="43"/>
      <c r="G170" s="43" t="s">
        <v>36</v>
      </c>
      <c r="H170" s="43"/>
      <c r="I170" s="43"/>
      <c r="J170" s="43"/>
      <c r="K170" s="43">
        <v>5150</v>
      </c>
      <c r="L170" s="43">
        <f t="shared" si="101"/>
        <v>5150</v>
      </c>
      <c r="M170" s="43" t="s">
        <v>31</v>
      </c>
    </row>
    <row r="171" spans="1:13" ht="15" hidden="1" customHeight="1" x14ac:dyDescent="0.3">
      <c r="A171" s="43" t="s">
        <v>135</v>
      </c>
      <c r="B171" s="43" t="s">
        <v>14</v>
      </c>
      <c r="C171" s="43" t="s">
        <v>56</v>
      </c>
      <c r="D171" s="43" t="s">
        <v>57</v>
      </c>
      <c r="E171" s="43" t="s">
        <v>21</v>
      </c>
      <c r="F171" s="43">
        <v>137</v>
      </c>
      <c r="G171" s="43">
        <v>0.105</v>
      </c>
      <c r="H171" s="43">
        <f>G171*F171</f>
        <v>14.385</v>
      </c>
      <c r="I171" s="43">
        <v>111</v>
      </c>
      <c r="J171" s="43">
        <v>1</v>
      </c>
      <c r="K171" s="43">
        <f t="shared" ref="K171" si="102">F171*I171</f>
        <v>15207</v>
      </c>
      <c r="L171" s="43">
        <f t="shared" ref="L171" si="103">K171*J171</f>
        <v>15207</v>
      </c>
      <c r="M171" s="43" t="s">
        <v>22</v>
      </c>
    </row>
    <row r="172" spans="1:13" ht="15" hidden="1" customHeight="1" x14ac:dyDescent="0.3">
      <c r="A172" s="43" t="s">
        <v>135</v>
      </c>
      <c r="B172" s="43" t="s">
        <v>14</v>
      </c>
      <c r="C172" s="43" t="s">
        <v>56</v>
      </c>
      <c r="D172" s="43" t="s">
        <v>57</v>
      </c>
      <c r="E172" s="43" t="s">
        <v>96</v>
      </c>
      <c r="F172" s="43"/>
      <c r="G172" s="43" t="s">
        <v>77</v>
      </c>
      <c r="H172" s="43"/>
      <c r="I172" s="43"/>
      <c r="J172" s="43">
        <v>1</v>
      </c>
      <c r="K172" s="43">
        <v>8300</v>
      </c>
      <c r="L172" s="43">
        <f t="shared" ref="L172:L174" si="104">K172</f>
        <v>8300</v>
      </c>
      <c r="M172" s="43" t="s">
        <v>91</v>
      </c>
    </row>
    <row r="173" spans="1:13" ht="15" hidden="1" customHeight="1" x14ac:dyDescent="0.3">
      <c r="A173" s="43" t="s">
        <v>135</v>
      </c>
      <c r="B173" s="44" t="s">
        <v>23</v>
      </c>
      <c r="C173" s="43">
        <v>65548</v>
      </c>
      <c r="D173" s="45" t="s">
        <v>24</v>
      </c>
      <c r="E173" s="43" t="s">
        <v>25</v>
      </c>
      <c r="F173" s="43"/>
      <c r="G173" s="43"/>
      <c r="H173" s="43"/>
      <c r="I173" s="43"/>
      <c r="J173" s="43"/>
      <c r="K173" s="43">
        <v>6950</v>
      </c>
      <c r="L173" s="43">
        <f t="shared" si="104"/>
        <v>6950</v>
      </c>
      <c r="M173" s="46" t="s">
        <v>26</v>
      </c>
    </row>
    <row r="174" spans="1:13" ht="15" hidden="1" customHeight="1" x14ac:dyDescent="0.3">
      <c r="A174" s="43" t="s">
        <v>135</v>
      </c>
      <c r="B174" s="44" t="s">
        <v>23</v>
      </c>
      <c r="C174" s="43">
        <v>65548</v>
      </c>
      <c r="D174" s="45" t="s">
        <v>24</v>
      </c>
      <c r="E174" s="43" t="s">
        <v>30</v>
      </c>
      <c r="F174" s="43"/>
      <c r="G174" s="43" t="s">
        <v>36</v>
      </c>
      <c r="H174" s="43"/>
      <c r="I174" s="43"/>
      <c r="J174" s="43"/>
      <c r="K174" s="43">
        <v>5880</v>
      </c>
      <c r="L174" s="43">
        <f t="shared" si="104"/>
        <v>5880</v>
      </c>
      <c r="M174" s="43" t="s">
        <v>31</v>
      </c>
    </row>
    <row r="175" spans="1:13" ht="15" hidden="1" customHeight="1" x14ac:dyDescent="0.3">
      <c r="A175" s="43" t="s">
        <v>135</v>
      </c>
      <c r="B175" s="43" t="s">
        <v>136</v>
      </c>
      <c r="C175" s="43"/>
      <c r="D175" s="43" t="s">
        <v>137</v>
      </c>
      <c r="E175" s="43" t="s">
        <v>17</v>
      </c>
      <c r="F175" s="43">
        <v>7</v>
      </c>
      <c r="G175" s="43"/>
      <c r="H175" s="43"/>
      <c r="I175" s="43">
        <v>17</v>
      </c>
      <c r="J175" s="43">
        <v>1</v>
      </c>
      <c r="K175" s="43">
        <f t="shared" ref="K175" si="105">F175*I175</f>
        <v>119</v>
      </c>
      <c r="L175" s="43">
        <f t="shared" ref="L175" si="106">K175*J175</f>
        <v>119</v>
      </c>
      <c r="M175" s="43" t="s">
        <v>22</v>
      </c>
    </row>
    <row r="176" spans="1:13" ht="15" hidden="1" customHeight="1" x14ac:dyDescent="0.3">
      <c r="A176" s="43" t="s">
        <v>138</v>
      </c>
      <c r="B176" s="43" t="s">
        <v>14</v>
      </c>
      <c r="C176" s="43" t="s">
        <v>56</v>
      </c>
      <c r="D176" s="43" t="s">
        <v>57</v>
      </c>
      <c r="E176" s="43" t="s">
        <v>96</v>
      </c>
      <c r="F176" s="43"/>
      <c r="G176" s="43" t="s">
        <v>77</v>
      </c>
      <c r="H176" s="43"/>
      <c r="I176" s="43"/>
      <c r="J176" s="43">
        <v>1</v>
      </c>
      <c r="K176" s="43">
        <v>2576</v>
      </c>
      <c r="L176" s="43">
        <f t="shared" ref="L176:L177" si="107">K176</f>
        <v>2576</v>
      </c>
      <c r="M176" s="43" t="s">
        <v>91</v>
      </c>
    </row>
    <row r="177" spans="1:13" ht="15" hidden="1" customHeight="1" x14ac:dyDescent="0.3">
      <c r="A177" s="43" t="s">
        <v>138</v>
      </c>
      <c r="B177" s="44" t="s">
        <v>23</v>
      </c>
      <c r="C177" s="43">
        <v>65548</v>
      </c>
      <c r="D177" s="45" t="s">
        <v>24</v>
      </c>
      <c r="E177" s="43" t="s">
        <v>30</v>
      </c>
      <c r="F177" s="43"/>
      <c r="G177" s="43" t="s">
        <v>36</v>
      </c>
      <c r="H177" s="43"/>
      <c r="I177" s="43"/>
      <c r="J177" s="43"/>
      <c r="K177" s="43">
        <v>1000</v>
      </c>
      <c r="L177" s="43">
        <f t="shared" si="107"/>
        <v>1000</v>
      </c>
      <c r="M177" s="43" t="s">
        <v>31</v>
      </c>
    </row>
    <row r="178" spans="1:13" ht="15" hidden="1" customHeight="1" x14ac:dyDescent="0.3">
      <c r="A178" s="43" t="s">
        <v>138</v>
      </c>
      <c r="B178" s="43" t="s">
        <v>136</v>
      </c>
      <c r="C178" s="43"/>
      <c r="D178" s="43" t="s">
        <v>137</v>
      </c>
      <c r="E178" s="43" t="s">
        <v>17</v>
      </c>
      <c r="F178" s="43">
        <v>0</v>
      </c>
      <c r="G178" s="43"/>
      <c r="H178" s="43"/>
      <c r="I178" s="43">
        <v>17</v>
      </c>
      <c r="J178" s="43">
        <v>1</v>
      </c>
      <c r="K178" s="43">
        <v>1000</v>
      </c>
      <c r="L178" s="43">
        <f t="shared" ref="L178" si="108">K178*J178</f>
        <v>1000</v>
      </c>
      <c r="M178" s="43" t="s">
        <v>22</v>
      </c>
    </row>
    <row r="179" spans="1:13" ht="15" hidden="1" customHeight="1" x14ac:dyDescent="0.3">
      <c r="A179" s="43" t="s">
        <v>138</v>
      </c>
      <c r="B179" s="44" t="s">
        <v>23</v>
      </c>
      <c r="C179" s="43" t="s">
        <v>33</v>
      </c>
      <c r="D179" s="43" t="s">
        <v>34</v>
      </c>
      <c r="E179" s="49" t="s">
        <v>39</v>
      </c>
      <c r="F179" s="43"/>
      <c r="G179" s="43" t="s">
        <v>36</v>
      </c>
      <c r="H179" s="43"/>
      <c r="I179" s="43"/>
      <c r="J179" s="43"/>
      <c r="K179" s="43">
        <v>1000</v>
      </c>
      <c r="L179" s="43">
        <f t="shared" ref="L179" si="109">K179</f>
        <v>1000</v>
      </c>
      <c r="M179" s="43" t="s">
        <v>18</v>
      </c>
    </row>
    <row r="180" spans="1:13" ht="15" hidden="1" customHeight="1" x14ac:dyDescent="0.3">
      <c r="A180" s="43" t="s">
        <v>138</v>
      </c>
      <c r="B180" s="44" t="s">
        <v>23</v>
      </c>
      <c r="C180" s="43" t="s">
        <v>33</v>
      </c>
      <c r="D180" s="43" t="s">
        <v>34</v>
      </c>
      <c r="E180" s="50" t="s">
        <v>30</v>
      </c>
      <c r="F180" s="43"/>
      <c r="G180" s="32" t="s">
        <v>78</v>
      </c>
      <c r="H180" s="43"/>
      <c r="I180" s="43"/>
      <c r="J180" s="43"/>
      <c r="K180" s="43">
        <v>1000</v>
      </c>
      <c r="L180" s="43">
        <f>K180</f>
        <v>1000</v>
      </c>
      <c r="M180" s="43" t="s">
        <v>31</v>
      </c>
    </row>
    <row r="181" spans="1:13" ht="22.5" hidden="1" customHeight="1" x14ac:dyDescent="0.3">
      <c r="A181" s="63"/>
      <c r="B181" s="63"/>
      <c r="C181" s="63"/>
      <c r="D181" s="63"/>
      <c r="E181" s="63"/>
      <c r="F181" s="64">
        <f>SUM(F3:F180)</f>
        <v>3463</v>
      </c>
      <c r="G181" s="65"/>
      <c r="H181" s="66">
        <f>SUM(H3:H180)</f>
        <v>879.56</v>
      </c>
      <c r="I181" s="65"/>
      <c r="J181" s="65"/>
      <c r="K181" s="67">
        <f>SUM(K3:K180)</f>
        <v>689359</v>
      </c>
      <c r="L181" s="64">
        <f>SUM(L3:L180)</f>
        <v>905189</v>
      </c>
      <c r="M181" s="65"/>
    </row>
    <row r="182" spans="1:13" ht="18" customHeight="1" x14ac:dyDescent="0.3"/>
    <row r="183" spans="1:13" ht="18" customHeight="1" x14ac:dyDescent="0.3">
      <c r="H183" s="68">
        <f>SUM(H76:H180)</f>
        <v>704.2600000000001</v>
      </c>
    </row>
    <row r="184" spans="1:13" ht="18" customHeight="1" x14ac:dyDescent="0.3"/>
    <row r="185" spans="1:13" ht="18" customHeight="1" x14ac:dyDescent="0.3"/>
    <row r="186" spans="1:13" ht="18" customHeight="1" x14ac:dyDescent="0.3"/>
    <row r="187" spans="1:13" ht="18" customHeight="1" x14ac:dyDescent="0.3"/>
    <row r="188" spans="1:13" ht="18" customHeight="1" x14ac:dyDescent="0.3"/>
    <row r="189" spans="1:13" ht="18" customHeight="1" x14ac:dyDescent="0.3"/>
    <row r="190" spans="1:13" ht="18" customHeight="1" x14ac:dyDescent="0.3"/>
    <row r="191" spans="1:13" ht="18" customHeight="1" x14ac:dyDescent="0.3"/>
    <row r="192" spans="1:13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</sheetData>
  <autoFilter ref="A2:M181">
    <filterColumn colId="1">
      <filters>
        <filter val="Magha"/>
      </filters>
    </filterColumn>
  </autoFilter>
  <mergeCells count="15">
    <mergeCell ref="A1:M1"/>
    <mergeCell ref="R2:U2"/>
    <mergeCell ref="R3:U3"/>
    <mergeCell ref="R4:R5"/>
    <mergeCell ref="S4:S5"/>
    <mergeCell ref="T4:U5"/>
    <mergeCell ref="N75:P75"/>
    <mergeCell ref="R17:S18"/>
    <mergeCell ref="T17:U18"/>
    <mergeCell ref="R6:R7"/>
    <mergeCell ref="S6:S7"/>
    <mergeCell ref="T6:U7"/>
    <mergeCell ref="R13:S13"/>
    <mergeCell ref="R15:S16"/>
    <mergeCell ref="T15:U16"/>
  </mergeCells>
  <pageMargins left="0.7" right="0.7" top="0.75" bottom="0.75" header="0.3" footer="0.3"/>
  <pageSetup orientation="portrait" horizontalDpi="0" verticalDpi="0" r:id="rId1"/>
  <ignoredErrors>
    <ignoredError sqref="L64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3"/>
  <sheetViews>
    <sheetView topLeftCell="A76" zoomScaleNormal="100" workbookViewId="0">
      <selection activeCell="A87" sqref="A87:M87"/>
    </sheetView>
  </sheetViews>
  <sheetFormatPr defaultRowHeight="15.75" x14ac:dyDescent="0.3"/>
  <cols>
    <col min="1" max="1" width="8.5703125" style="76" customWidth="1"/>
    <col min="2" max="2" width="11" style="76" customWidth="1"/>
    <col min="3" max="3" width="8.7109375" style="76" bestFit="1" customWidth="1"/>
    <col min="4" max="4" width="9.42578125" style="76" bestFit="1" customWidth="1"/>
    <col min="5" max="5" width="8.28515625" style="76" bestFit="1" customWidth="1"/>
    <col min="6" max="6" width="6.28515625" style="76" bestFit="1" customWidth="1"/>
    <col min="7" max="7" width="8.28515625" style="76" bestFit="1" customWidth="1"/>
    <col min="8" max="8" width="9.140625" style="76"/>
    <col min="9" max="10" width="6.7109375" style="76" bestFit="1" customWidth="1"/>
    <col min="11" max="13" width="9.42578125" style="76" customWidth="1"/>
    <col min="14" max="14" width="9.5703125" style="76" bestFit="1" customWidth="1"/>
    <col min="15" max="16384" width="9.140625" style="76"/>
  </cols>
  <sheetData>
    <row r="1" spans="1:20" ht="37.5" customHeight="1" x14ac:dyDescent="0.3">
      <c r="A1" s="284" t="s">
        <v>144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</row>
    <row r="2" spans="1:20" ht="30" customHeight="1" x14ac:dyDescent="0.3">
      <c r="A2" s="77" t="s">
        <v>0</v>
      </c>
      <c r="B2" s="77" t="s">
        <v>1</v>
      </c>
      <c r="C2" s="77" t="s">
        <v>2</v>
      </c>
      <c r="D2" s="77" t="s">
        <v>3</v>
      </c>
      <c r="E2" s="77" t="s">
        <v>4</v>
      </c>
      <c r="F2" s="77" t="s">
        <v>5</v>
      </c>
      <c r="G2" s="77" t="s">
        <v>6</v>
      </c>
      <c r="H2" s="77" t="s">
        <v>7</v>
      </c>
      <c r="I2" s="77" t="s">
        <v>8</v>
      </c>
      <c r="J2" s="77" t="s">
        <v>9</v>
      </c>
      <c r="K2" s="77" t="s">
        <v>10</v>
      </c>
      <c r="L2" s="77" t="s">
        <v>11</v>
      </c>
      <c r="M2" s="77" t="s">
        <v>12</v>
      </c>
      <c r="Q2" s="260" t="s">
        <v>173</v>
      </c>
      <c r="R2" s="261"/>
      <c r="S2" s="261"/>
      <c r="T2" s="262"/>
    </row>
    <row r="3" spans="1:20" ht="14.25" customHeight="1" x14ac:dyDescent="0.3">
      <c r="A3" s="78" t="s">
        <v>140</v>
      </c>
      <c r="B3" s="79" t="s">
        <v>23</v>
      </c>
      <c r="C3" s="80" t="s">
        <v>33</v>
      </c>
      <c r="D3" s="80" t="s">
        <v>34</v>
      </c>
      <c r="E3" s="81" t="s">
        <v>35</v>
      </c>
      <c r="F3" s="80"/>
      <c r="G3" s="82" t="s">
        <v>77</v>
      </c>
      <c r="H3" s="80"/>
      <c r="I3" s="80"/>
      <c r="J3" s="80"/>
      <c r="K3" s="80">
        <v>4330</v>
      </c>
      <c r="L3" s="80">
        <f t="shared" ref="L3:L4" si="0">K3</f>
        <v>4330</v>
      </c>
      <c r="M3" s="83" t="s">
        <v>26</v>
      </c>
      <c r="Q3" s="263" t="s">
        <v>172</v>
      </c>
      <c r="R3" s="264"/>
      <c r="S3" s="264"/>
      <c r="T3" s="265"/>
    </row>
    <row r="4" spans="1:20" ht="14.25" customHeight="1" x14ac:dyDescent="0.3">
      <c r="A4" s="84" t="s">
        <v>140</v>
      </c>
      <c r="B4" s="85" t="s">
        <v>23</v>
      </c>
      <c r="C4" s="86" t="s">
        <v>33</v>
      </c>
      <c r="D4" s="86" t="s">
        <v>34</v>
      </c>
      <c r="E4" s="93" t="s">
        <v>39</v>
      </c>
      <c r="F4" s="86"/>
      <c r="G4" s="88" t="s">
        <v>36</v>
      </c>
      <c r="H4" s="86"/>
      <c r="I4" s="86"/>
      <c r="J4" s="86"/>
      <c r="K4" s="86">
        <v>3500</v>
      </c>
      <c r="L4" s="86">
        <f t="shared" si="0"/>
        <v>3500</v>
      </c>
      <c r="M4" s="89" t="s">
        <v>18</v>
      </c>
      <c r="Q4" s="270" t="s">
        <v>58</v>
      </c>
      <c r="R4" s="270" t="s">
        <v>59</v>
      </c>
      <c r="S4" s="266" t="s">
        <v>60</v>
      </c>
      <c r="T4" s="267"/>
    </row>
    <row r="5" spans="1:20" ht="14.25" customHeight="1" x14ac:dyDescent="0.3">
      <c r="A5" s="84" t="s">
        <v>140</v>
      </c>
      <c r="B5" s="85" t="s">
        <v>23</v>
      </c>
      <c r="C5" s="86" t="s">
        <v>33</v>
      </c>
      <c r="D5" s="86" t="s">
        <v>34</v>
      </c>
      <c r="E5" s="92" t="s">
        <v>30</v>
      </c>
      <c r="F5" s="86"/>
      <c r="G5" s="88" t="s">
        <v>78</v>
      </c>
      <c r="H5" s="86"/>
      <c r="I5" s="86"/>
      <c r="J5" s="86"/>
      <c r="K5" s="86">
        <v>3545</v>
      </c>
      <c r="L5" s="86">
        <f>K5</f>
        <v>3545</v>
      </c>
      <c r="M5" s="89" t="s">
        <v>31</v>
      </c>
      <c r="Q5" s="271"/>
      <c r="R5" s="271"/>
      <c r="S5" s="268"/>
      <c r="T5" s="269"/>
    </row>
    <row r="6" spans="1:20" ht="14.25" customHeight="1" x14ac:dyDescent="0.3">
      <c r="A6" s="84" t="s">
        <v>140</v>
      </c>
      <c r="B6" s="85" t="s">
        <v>23</v>
      </c>
      <c r="C6" s="86">
        <v>65548</v>
      </c>
      <c r="D6" s="86" t="s">
        <v>24</v>
      </c>
      <c r="E6" s="92" t="s">
        <v>30</v>
      </c>
      <c r="F6" s="86"/>
      <c r="G6" s="88" t="s">
        <v>36</v>
      </c>
      <c r="H6" s="86"/>
      <c r="I6" s="86"/>
      <c r="J6" s="86"/>
      <c r="K6" s="86">
        <v>5895</v>
      </c>
      <c r="L6" s="86">
        <f t="shared" ref="L6:L7" si="1">K6</f>
        <v>5895</v>
      </c>
      <c r="M6" s="89" t="s">
        <v>31</v>
      </c>
      <c r="Q6" s="246">
        <v>50168</v>
      </c>
      <c r="R6" s="246">
        <v>56748</v>
      </c>
      <c r="S6" s="248">
        <f>R6-Q6</f>
        <v>6580</v>
      </c>
      <c r="T6" s="249"/>
    </row>
    <row r="7" spans="1:20" ht="14.25" customHeight="1" x14ac:dyDescent="0.3">
      <c r="A7" s="84" t="s">
        <v>140</v>
      </c>
      <c r="B7" s="86" t="s">
        <v>14</v>
      </c>
      <c r="C7" s="86" t="s">
        <v>56</v>
      </c>
      <c r="D7" s="86" t="s">
        <v>57</v>
      </c>
      <c r="E7" s="94" t="s">
        <v>35</v>
      </c>
      <c r="F7" s="86"/>
      <c r="G7" s="86" t="s">
        <v>77</v>
      </c>
      <c r="H7" s="86"/>
      <c r="I7" s="86"/>
      <c r="J7" s="86">
        <v>1</v>
      </c>
      <c r="K7" s="86">
        <v>3600</v>
      </c>
      <c r="L7" s="86">
        <f t="shared" si="1"/>
        <v>3600</v>
      </c>
      <c r="M7" s="89" t="s">
        <v>91</v>
      </c>
      <c r="Q7" s="247"/>
      <c r="R7" s="247"/>
      <c r="S7" s="250"/>
      <c r="T7" s="251"/>
    </row>
    <row r="8" spans="1:20" ht="14.25" customHeight="1" x14ac:dyDescent="0.3">
      <c r="A8" s="84" t="s">
        <v>141</v>
      </c>
      <c r="B8" s="86" t="s">
        <v>14</v>
      </c>
      <c r="C8" s="86">
        <v>7479</v>
      </c>
      <c r="D8" s="86" t="s">
        <v>20</v>
      </c>
      <c r="E8" s="86" t="s">
        <v>21</v>
      </c>
      <c r="F8" s="86">
        <v>85</v>
      </c>
      <c r="G8" s="86">
        <v>0.15</v>
      </c>
      <c r="H8" s="86">
        <f>G8*F8</f>
        <v>12.75</v>
      </c>
      <c r="I8" s="86">
        <v>80</v>
      </c>
      <c r="J8" s="86">
        <v>1</v>
      </c>
      <c r="K8" s="86">
        <f>F8*I8</f>
        <v>6800</v>
      </c>
      <c r="L8" s="86">
        <f>K8*J8</f>
        <v>6800</v>
      </c>
      <c r="M8" s="89" t="s">
        <v>22</v>
      </c>
      <c r="Q8" s="106" t="s">
        <v>61</v>
      </c>
      <c r="R8" s="106"/>
      <c r="S8" s="19">
        <v>8.0325989999999994</v>
      </c>
      <c r="T8" s="20">
        <f>S6*S8</f>
        <v>52854.501419999993</v>
      </c>
    </row>
    <row r="9" spans="1:20" ht="14.25" customHeight="1" x14ac:dyDescent="0.3">
      <c r="A9" s="84" t="s">
        <v>141</v>
      </c>
      <c r="B9" s="86" t="s">
        <v>14</v>
      </c>
      <c r="C9" s="86">
        <v>7479</v>
      </c>
      <c r="D9" s="86" t="s">
        <v>20</v>
      </c>
      <c r="E9" s="86" t="s">
        <v>25</v>
      </c>
      <c r="F9" s="86"/>
      <c r="G9" s="86"/>
      <c r="H9" s="86"/>
      <c r="I9" s="86"/>
      <c r="J9" s="86">
        <v>1</v>
      </c>
      <c r="K9" s="86">
        <v>1800</v>
      </c>
      <c r="L9" s="86">
        <f t="shared" ref="L9:L12" si="2">K9</f>
        <v>1800</v>
      </c>
      <c r="M9" s="89" t="s">
        <v>31</v>
      </c>
      <c r="Q9" s="106" t="s">
        <v>62</v>
      </c>
      <c r="R9" s="106"/>
      <c r="S9" s="19"/>
      <c r="T9" s="20">
        <v>4620</v>
      </c>
    </row>
    <row r="10" spans="1:20" ht="14.25" customHeight="1" x14ac:dyDescent="0.3">
      <c r="A10" s="84" t="s">
        <v>141</v>
      </c>
      <c r="B10" s="86" t="s">
        <v>14</v>
      </c>
      <c r="C10" s="86" t="s">
        <v>56</v>
      </c>
      <c r="D10" s="86" t="s">
        <v>57</v>
      </c>
      <c r="E10" s="94" t="s">
        <v>35</v>
      </c>
      <c r="F10" s="86"/>
      <c r="G10" s="86" t="s">
        <v>77</v>
      </c>
      <c r="H10" s="86"/>
      <c r="I10" s="86"/>
      <c r="J10" s="86">
        <v>1</v>
      </c>
      <c r="K10" s="86">
        <v>3600</v>
      </c>
      <c r="L10" s="86">
        <f t="shared" si="2"/>
        <v>3600</v>
      </c>
      <c r="M10" s="89" t="s">
        <v>91</v>
      </c>
      <c r="Q10" s="106" t="s">
        <v>63</v>
      </c>
      <c r="R10" s="106"/>
      <c r="S10" s="19"/>
      <c r="T10" s="20">
        <v>2663</v>
      </c>
    </row>
    <row r="11" spans="1:20" ht="14.25" customHeight="1" x14ac:dyDescent="0.3">
      <c r="A11" s="84" t="s">
        <v>141</v>
      </c>
      <c r="B11" s="85" t="s">
        <v>23</v>
      </c>
      <c r="C11" s="86" t="s">
        <v>33</v>
      </c>
      <c r="D11" s="86" t="s">
        <v>34</v>
      </c>
      <c r="E11" s="87" t="s">
        <v>35</v>
      </c>
      <c r="F11" s="86"/>
      <c r="G11" s="88" t="s">
        <v>77</v>
      </c>
      <c r="H11" s="86"/>
      <c r="I11" s="86"/>
      <c r="J11" s="86"/>
      <c r="K11" s="86">
        <v>5500</v>
      </c>
      <c r="L11" s="86">
        <f t="shared" si="2"/>
        <v>5500</v>
      </c>
      <c r="M11" s="90" t="s">
        <v>26</v>
      </c>
      <c r="Q11" s="106"/>
      <c r="R11" s="106"/>
      <c r="S11" s="19"/>
      <c r="T11" s="21">
        <f>SUM(T8:T10)</f>
        <v>60137.501419999993</v>
      </c>
    </row>
    <row r="12" spans="1:20" ht="14.25" customHeight="1" x14ac:dyDescent="0.3">
      <c r="A12" s="84" t="s">
        <v>141</v>
      </c>
      <c r="B12" s="85" t="s">
        <v>23</v>
      </c>
      <c r="C12" s="86" t="s">
        <v>33</v>
      </c>
      <c r="D12" s="86" t="s">
        <v>34</v>
      </c>
      <c r="E12" s="93" t="s">
        <v>39</v>
      </c>
      <c r="F12" s="86"/>
      <c r="G12" s="88" t="s">
        <v>36</v>
      </c>
      <c r="H12" s="86"/>
      <c r="I12" s="86"/>
      <c r="J12" s="86"/>
      <c r="K12" s="86">
        <v>2500</v>
      </c>
      <c r="L12" s="86">
        <f t="shared" si="2"/>
        <v>2500</v>
      </c>
      <c r="M12" s="89" t="s">
        <v>18</v>
      </c>
      <c r="Q12" s="106" t="s">
        <v>64</v>
      </c>
      <c r="R12" s="106"/>
      <c r="S12" s="22" t="s">
        <v>65</v>
      </c>
      <c r="T12" s="23">
        <v>2516</v>
      </c>
    </row>
    <row r="13" spans="1:20" ht="14.25" customHeight="1" x14ac:dyDescent="0.3">
      <c r="A13" s="84" t="s">
        <v>141</v>
      </c>
      <c r="B13" s="85" t="s">
        <v>23</v>
      </c>
      <c r="C13" s="86" t="s">
        <v>33</v>
      </c>
      <c r="D13" s="86" t="s">
        <v>34</v>
      </c>
      <c r="E13" s="92" t="s">
        <v>30</v>
      </c>
      <c r="F13" s="86"/>
      <c r="G13" s="88" t="s">
        <v>78</v>
      </c>
      <c r="H13" s="86"/>
      <c r="I13" s="86"/>
      <c r="J13" s="86"/>
      <c r="K13" s="86">
        <v>2224</v>
      </c>
      <c r="L13" s="86">
        <f>K13</f>
        <v>2224</v>
      </c>
      <c r="M13" s="89" t="s">
        <v>31</v>
      </c>
      <c r="Q13" s="280"/>
      <c r="R13" s="280"/>
      <c r="S13" s="24"/>
      <c r="T13" s="25">
        <f>T11-T12</f>
        <v>57621.501419999993</v>
      </c>
    </row>
    <row r="14" spans="1:20" ht="14.25" customHeight="1" x14ac:dyDescent="0.3">
      <c r="A14" s="84" t="s">
        <v>142</v>
      </c>
      <c r="B14" s="86" t="s">
        <v>14</v>
      </c>
      <c r="C14" s="86">
        <v>7479</v>
      </c>
      <c r="D14" s="86" t="s">
        <v>20</v>
      </c>
      <c r="E14" s="86" t="s">
        <v>21</v>
      </c>
      <c r="F14" s="86">
        <v>130</v>
      </c>
      <c r="G14" s="86">
        <v>0.15</v>
      </c>
      <c r="H14" s="86">
        <f>G14*F14</f>
        <v>19.5</v>
      </c>
      <c r="I14" s="86">
        <v>80</v>
      </c>
      <c r="J14" s="86">
        <v>1</v>
      </c>
      <c r="K14" s="86">
        <f>F14*I14</f>
        <v>10400</v>
      </c>
      <c r="L14" s="86">
        <f>K14*J14</f>
        <v>10400</v>
      </c>
      <c r="M14" s="89" t="s">
        <v>22</v>
      </c>
      <c r="Q14" s="41"/>
      <c r="R14" s="41"/>
      <c r="S14" s="41"/>
      <c r="T14" s="41"/>
    </row>
    <row r="15" spans="1:20" ht="14.25" customHeight="1" x14ac:dyDescent="0.3">
      <c r="A15" s="84" t="s">
        <v>142</v>
      </c>
      <c r="B15" s="86" t="s">
        <v>14</v>
      </c>
      <c r="C15" s="86">
        <v>7479</v>
      </c>
      <c r="D15" s="86" t="s">
        <v>20</v>
      </c>
      <c r="E15" s="86" t="s">
        <v>25</v>
      </c>
      <c r="F15" s="86"/>
      <c r="G15" s="86"/>
      <c r="H15" s="86"/>
      <c r="I15" s="86"/>
      <c r="J15" s="86">
        <v>1</v>
      </c>
      <c r="K15" s="86">
        <v>6700</v>
      </c>
      <c r="L15" s="86">
        <f t="shared" ref="L15:L17" si="3">K15</f>
        <v>6700</v>
      </c>
      <c r="M15" s="89" t="s">
        <v>31</v>
      </c>
      <c r="Q15" s="290" t="s">
        <v>66</v>
      </c>
      <c r="R15" s="290"/>
      <c r="S15" s="291">
        <v>57620</v>
      </c>
      <c r="T15" s="291"/>
    </row>
    <row r="16" spans="1:20" ht="14.25" customHeight="1" x14ac:dyDescent="0.3">
      <c r="A16" s="84" t="s">
        <v>142</v>
      </c>
      <c r="B16" s="85" t="s">
        <v>23</v>
      </c>
      <c r="C16" s="86" t="s">
        <v>33</v>
      </c>
      <c r="D16" s="86" t="s">
        <v>34</v>
      </c>
      <c r="E16" s="87" t="s">
        <v>35</v>
      </c>
      <c r="F16" s="86"/>
      <c r="G16" s="88" t="s">
        <v>77</v>
      </c>
      <c r="H16" s="86"/>
      <c r="I16" s="86"/>
      <c r="J16" s="86"/>
      <c r="K16" s="86">
        <v>5130</v>
      </c>
      <c r="L16" s="86">
        <f t="shared" si="3"/>
        <v>5130</v>
      </c>
      <c r="M16" s="90" t="s">
        <v>26</v>
      </c>
      <c r="Q16" s="290"/>
      <c r="R16" s="290"/>
      <c r="S16" s="291"/>
      <c r="T16" s="291"/>
    </row>
    <row r="17" spans="1:23" ht="14.25" customHeight="1" x14ac:dyDescent="0.3">
      <c r="A17" s="84" t="s">
        <v>142</v>
      </c>
      <c r="B17" s="85" t="s">
        <v>23</v>
      </c>
      <c r="C17" s="86" t="s">
        <v>33</v>
      </c>
      <c r="D17" s="86" t="s">
        <v>34</v>
      </c>
      <c r="E17" s="93" t="s">
        <v>39</v>
      </c>
      <c r="F17" s="86"/>
      <c r="G17" s="88" t="s">
        <v>36</v>
      </c>
      <c r="H17" s="86"/>
      <c r="I17" s="86"/>
      <c r="J17" s="86"/>
      <c r="K17" s="86">
        <v>8500</v>
      </c>
      <c r="L17" s="86">
        <f t="shared" si="3"/>
        <v>8500</v>
      </c>
      <c r="M17" s="89" t="s">
        <v>18</v>
      </c>
      <c r="Q17" s="285" t="s">
        <v>99</v>
      </c>
      <c r="R17" s="285"/>
      <c r="S17" s="286" t="s">
        <v>174</v>
      </c>
      <c r="T17" s="287"/>
    </row>
    <row r="18" spans="1:23" ht="14.25" customHeight="1" x14ac:dyDescent="0.3">
      <c r="A18" s="84" t="s">
        <v>142</v>
      </c>
      <c r="B18" s="85" t="s">
        <v>23</v>
      </c>
      <c r="C18" s="86" t="s">
        <v>33</v>
      </c>
      <c r="D18" s="86" t="s">
        <v>34</v>
      </c>
      <c r="E18" s="92" t="s">
        <v>30</v>
      </c>
      <c r="F18" s="86"/>
      <c r="G18" s="88" t="s">
        <v>78</v>
      </c>
      <c r="H18" s="86"/>
      <c r="I18" s="86"/>
      <c r="J18" s="86"/>
      <c r="K18" s="86">
        <v>8261</v>
      </c>
      <c r="L18" s="86">
        <f>K18</f>
        <v>8261</v>
      </c>
      <c r="M18" s="89" t="s">
        <v>31</v>
      </c>
      <c r="Q18" s="285"/>
      <c r="R18" s="285"/>
      <c r="S18" s="288"/>
      <c r="T18" s="289"/>
    </row>
    <row r="19" spans="1:23" ht="14.25" customHeight="1" x14ac:dyDescent="0.3">
      <c r="A19" s="84" t="s">
        <v>143</v>
      </c>
      <c r="B19" s="85" t="s">
        <v>23</v>
      </c>
      <c r="C19" s="86" t="s">
        <v>33</v>
      </c>
      <c r="D19" s="86" t="s">
        <v>34</v>
      </c>
      <c r="E19" s="93" t="s">
        <v>39</v>
      </c>
      <c r="F19" s="86"/>
      <c r="G19" s="88" t="s">
        <v>36</v>
      </c>
      <c r="H19" s="86"/>
      <c r="I19" s="86"/>
      <c r="J19" s="86"/>
      <c r="K19" s="86">
        <v>1000</v>
      </c>
      <c r="L19" s="86">
        <f t="shared" ref="L19" si="4">K19</f>
        <v>1000</v>
      </c>
      <c r="M19" s="89" t="s">
        <v>18</v>
      </c>
    </row>
    <row r="20" spans="1:23" ht="14.25" customHeight="1" x14ac:dyDescent="0.3">
      <c r="A20" s="84" t="s">
        <v>143</v>
      </c>
      <c r="B20" s="85" t="s">
        <v>23</v>
      </c>
      <c r="C20" s="86" t="s">
        <v>33</v>
      </c>
      <c r="D20" s="86" t="s">
        <v>34</v>
      </c>
      <c r="E20" s="92" t="s">
        <v>30</v>
      </c>
      <c r="F20" s="86"/>
      <c r="G20" s="88" t="s">
        <v>78</v>
      </c>
      <c r="H20" s="86"/>
      <c r="I20" s="86"/>
      <c r="J20" s="86"/>
      <c r="K20" s="86">
        <v>1300</v>
      </c>
      <c r="L20" s="86">
        <f>K20</f>
        <v>1300</v>
      </c>
      <c r="M20" s="89" t="s">
        <v>31</v>
      </c>
      <c r="Q20" s="41"/>
      <c r="R20" s="47">
        <v>50168</v>
      </c>
      <c r="S20" s="41"/>
      <c r="T20" s="41"/>
      <c r="U20" s="41"/>
      <c r="V20" s="41"/>
      <c r="W20" s="41"/>
    </row>
    <row r="21" spans="1:23" ht="14.25" customHeight="1" x14ac:dyDescent="0.3">
      <c r="A21" s="84" t="s">
        <v>143</v>
      </c>
      <c r="B21" s="86" t="s">
        <v>14</v>
      </c>
      <c r="C21" s="86">
        <v>7479</v>
      </c>
      <c r="D21" s="86" t="s">
        <v>20</v>
      </c>
      <c r="E21" s="86" t="s">
        <v>21</v>
      </c>
      <c r="F21" s="86">
        <v>165</v>
      </c>
      <c r="G21" s="86">
        <v>0.15</v>
      </c>
      <c r="H21" s="86">
        <f>G21*F21</f>
        <v>24.75</v>
      </c>
      <c r="I21" s="86">
        <v>80</v>
      </c>
      <c r="J21" s="86">
        <v>1</v>
      </c>
      <c r="K21" s="86">
        <f>F21*I21</f>
        <v>13200</v>
      </c>
      <c r="L21" s="86">
        <f>K21*J21</f>
        <v>13200</v>
      </c>
      <c r="M21" s="89" t="s">
        <v>22</v>
      </c>
      <c r="Q21" s="47">
        <v>25.04</v>
      </c>
      <c r="R21" s="47">
        <v>50188</v>
      </c>
      <c r="S21" s="47">
        <v>54566</v>
      </c>
      <c r="T21" s="56">
        <v>0.93200000000000005</v>
      </c>
      <c r="U21" s="47">
        <v>17.908999999999999</v>
      </c>
      <c r="V21" s="57">
        <v>16.922000000000001</v>
      </c>
      <c r="W21" s="47">
        <f t="shared" ref="W21:W30" si="5">R21-R20</f>
        <v>20</v>
      </c>
    </row>
    <row r="22" spans="1:23" ht="14.25" customHeight="1" x14ac:dyDescent="0.3">
      <c r="A22" s="84" t="s">
        <v>143</v>
      </c>
      <c r="B22" s="86" t="s">
        <v>14</v>
      </c>
      <c r="C22" s="86">
        <v>7479</v>
      </c>
      <c r="D22" s="86" t="s">
        <v>20</v>
      </c>
      <c r="E22" s="86" t="s">
        <v>25</v>
      </c>
      <c r="F22" s="86"/>
      <c r="G22" s="86"/>
      <c r="H22" s="86"/>
      <c r="I22" s="86"/>
      <c r="J22" s="86">
        <v>1</v>
      </c>
      <c r="K22" s="86">
        <v>5750</v>
      </c>
      <c r="L22" s="86">
        <f t="shared" ref="L22:L24" si="6">K22</f>
        <v>5750</v>
      </c>
      <c r="M22" s="89" t="s">
        <v>31</v>
      </c>
      <c r="Q22" s="47">
        <v>26.04</v>
      </c>
      <c r="R22" s="47">
        <v>50304</v>
      </c>
      <c r="S22" s="47">
        <v>54690</v>
      </c>
      <c r="T22" s="56">
        <v>0.93200000000000005</v>
      </c>
      <c r="U22" s="47">
        <v>17.908999999999999</v>
      </c>
      <c r="V22" s="57">
        <v>16.922000000000001</v>
      </c>
      <c r="W22" s="47">
        <f t="shared" si="5"/>
        <v>116</v>
      </c>
    </row>
    <row r="23" spans="1:23" ht="14.25" customHeight="1" x14ac:dyDescent="0.3">
      <c r="A23" s="84" t="s">
        <v>143</v>
      </c>
      <c r="B23" s="85" t="s">
        <v>23</v>
      </c>
      <c r="C23" s="86">
        <v>65548</v>
      </c>
      <c r="D23" s="91" t="s">
        <v>24</v>
      </c>
      <c r="E23" s="87" t="s">
        <v>25</v>
      </c>
      <c r="F23" s="86"/>
      <c r="G23" s="88"/>
      <c r="H23" s="86"/>
      <c r="I23" s="86"/>
      <c r="J23" s="86"/>
      <c r="K23" s="86">
        <v>6000</v>
      </c>
      <c r="L23" s="86">
        <f t="shared" si="6"/>
        <v>6000</v>
      </c>
      <c r="M23" s="90" t="s">
        <v>26</v>
      </c>
      <c r="Q23" s="47">
        <v>27.04</v>
      </c>
      <c r="R23" s="47">
        <v>50435</v>
      </c>
      <c r="S23" s="47">
        <v>54828</v>
      </c>
      <c r="T23" s="56">
        <v>0.93200000000000005</v>
      </c>
      <c r="U23" s="47">
        <v>17.908999999999999</v>
      </c>
      <c r="V23" s="57">
        <v>16.922000000000001</v>
      </c>
      <c r="W23" s="47">
        <f t="shared" si="5"/>
        <v>131</v>
      </c>
    </row>
    <row r="24" spans="1:23" ht="14.25" customHeight="1" x14ac:dyDescent="0.3">
      <c r="A24" s="84" t="s">
        <v>143</v>
      </c>
      <c r="B24" s="85" t="s">
        <v>23</v>
      </c>
      <c r="C24" s="86">
        <v>65548</v>
      </c>
      <c r="D24" s="91" t="s">
        <v>24</v>
      </c>
      <c r="E24" s="92" t="s">
        <v>30</v>
      </c>
      <c r="F24" s="86"/>
      <c r="G24" s="88" t="s">
        <v>36</v>
      </c>
      <c r="H24" s="86"/>
      <c r="I24" s="86"/>
      <c r="J24" s="86"/>
      <c r="K24" s="86">
        <v>4880</v>
      </c>
      <c r="L24" s="86">
        <f t="shared" si="6"/>
        <v>4880</v>
      </c>
      <c r="M24" s="89" t="s">
        <v>18</v>
      </c>
      <c r="Q24" s="47">
        <v>28.04</v>
      </c>
      <c r="R24" s="47">
        <v>50511</v>
      </c>
      <c r="S24" s="47">
        <v>54909</v>
      </c>
      <c r="T24" s="56">
        <v>0.93200000000000005</v>
      </c>
      <c r="U24" s="47">
        <v>17.908999999999999</v>
      </c>
      <c r="V24" s="57">
        <v>16.922000000000001</v>
      </c>
      <c r="W24" s="47">
        <f t="shared" si="5"/>
        <v>76</v>
      </c>
    </row>
    <row r="25" spans="1:23" ht="14.25" customHeight="1" x14ac:dyDescent="0.3">
      <c r="A25" s="84" t="s">
        <v>143</v>
      </c>
      <c r="B25" s="86" t="s">
        <v>14</v>
      </c>
      <c r="C25" s="86">
        <v>6078</v>
      </c>
      <c r="D25" s="86" t="s">
        <v>16</v>
      </c>
      <c r="E25" s="86" t="s">
        <v>17</v>
      </c>
      <c r="F25" s="86">
        <v>89</v>
      </c>
      <c r="G25" s="86">
        <v>0.32500000000000001</v>
      </c>
      <c r="H25" s="86">
        <f t="shared" ref="H25" si="7">F25*G25</f>
        <v>28.925000000000001</v>
      </c>
      <c r="I25" s="86">
        <v>62</v>
      </c>
      <c r="J25" s="86">
        <v>4</v>
      </c>
      <c r="K25" s="86">
        <f t="shared" ref="K25" si="8">F25*I25</f>
        <v>5518</v>
      </c>
      <c r="L25" s="86">
        <f>K25*J25</f>
        <v>22072</v>
      </c>
      <c r="M25" s="89" t="s">
        <v>18</v>
      </c>
      <c r="Q25" s="47">
        <v>29.04</v>
      </c>
      <c r="R25" s="47">
        <v>50627</v>
      </c>
      <c r="S25" s="47">
        <v>55032</v>
      </c>
      <c r="T25" s="56">
        <v>0.93300000000000005</v>
      </c>
      <c r="U25" s="47">
        <v>17.908999999999999</v>
      </c>
      <c r="V25" s="57">
        <v>16.922000000000001</v>
      </c>
      <c r="W25" s="47">
        <f t="shared" si="5"/>
        <v>116</v>
      </c>
    </row>
    <row r="26" spans="1:23" ht="14.25" customHeight="1" x14ac:dyDescent="0.3">
      <c r="A26" s="84" t="s">
        <v>145</v>
      </c>
      <c r="B26" s="86" t="s">
        <v>14</v>
      </c>
      <c r="C26" s="86">
        <v>7479</v>
      </c>
      <c r="D26" s="86" t="s">
        <v>20</v>
      </c>
      <c r="E26" s="86" t="s">
        <v>21</v>
      </c>
      <c r="F26" s="86">
        <v>70</v>
      </c>
      <c r="G26" s="86">
        <v>0.15</v>
      </c>
      <c r="H26" s="86">
        <f>G26*F26</f>
        <v>10.5</v>
      </c>
      <c r="I26" s="86">
        <v>80</v>
      </c>
      <c r="J26" s="86">
        <v>1</v>
      </c>
      <c r="K26" s="86">
        <f>F26*I26</f>
        <v>5600</v>
      </c>
      <c r="L26" s="86">
        <f>K26*J26</f>
        <v>5600</v>
      </c>
      <c r="M26" s="89" t="s">
        <v>22</v>
      </c>
      <c r="Q26" s="47">
        <v>30.04</v>
      </c>
      <c r="R26" s="47">
        <v>50758</v>
      </c>
      <c r="S26" s="47">
        <v>55171</v>
      </c>
      <c r="T26" s="56">
        <v>0.93300000000000005</v>
      </c>
      <c r="U26" s="47">
        <v>17.908999999999999</v>
      </c>
      <c r="V26" s="57">
        <v>16.922000000000001</v>
      </c>
      <c r="W26" s="47">
        <f t="shared" si="5"/>
        <v>131</v>
      </c>
    </row>
    <row r="27" spans="1:23" ht="14.25" customHeight="1" x14ac:dyDescent="0.3">
      <c r="A27" s="84" t="s">
        <v>145</v>
      </c>
      <c r="B27" s="86" t="s">
        <v>14</v>
      </c>
      <c r="C27" s="86">
        <v>7479</v>
      </c>
      <c r="D27" s="86" t="s">
        <v>20</v>
      </c>
      <c r="E27" s="86" t="s">
        <v>25</v>
      </c>
      <c r="F27" s="86"/>
      <c r="G27" s="86"/>
      <c r="H27" s="86"/>
      <c r="I27" s="86"/>
      <c r="J27" s="86">
        <v>1</v>
      </c>
      <c r="K27" s="86">
        <v>2400</v>
      </c>
      <c r="L27" s="86">
        <f t="shared" ref="L27" si="9">K27</f>
        <v>2400</v>
      </c>
      <c r="M27" s="89" t="s">
        <v>31</v>
      </c>
      <c r="Q27" s="47">
        <v>4.05</v>
      </c>
      <c r="R27" s="47">
        <v>51165</v>
      </c>
      <c r="S27" s="47">
        <v>55605</v>
      </c>
      <c r="T27" s="56">
        <v>0.93400000000000005</v>
      </c>
      <c r="U27" s="47">
        <v>17.908999999999999</v>
      </c>
      <c r="V27" s="57">
        <v>16.922000000000001</v>
      </c>
      <c r="W27" s="47">
        <f t="shared" si="5"/>
        <v>407</v>
      </c>
    </row>
    <row r="28" spans="1:23" ht="14.25" customHeight="1" x14ac:dyDescent="0.3">
      <c r="A28" s="84" t="s">
        <v>145</v>
      </c>
      <c r="B28" s="86" t="s">
        <v>14</v>
      </c>
      <c r="C28" s="86">
        <v>6078</v>
      </c>
      <c r="D28" s="86" t="s">
        <v>16</v>
      </c>
      <c r="E28" s="86" t="s">
        <v>17</v>
      </c>
      <c r="F28" s="86">
        <v>84</v>
      </c>
      <c r="G28" s="86">
        <v>0.32500000000000001</v>
      </c>
      <c r="H28" s="86">
        <f t="shared" ref="H28" si="10">F28*G28</f>
        <v>27.3</v>
      </c>
      <c r="I28" s="86">
        <v>62</v>
      </c>
      <c r="J28" s="86">
        <v>4</v>
      </c>
      <c r="K28" s="86">
        <f t="shared" ref="K28" si="11">F28*I28</f>
        <v>5208</v>
      </c>
      <c r="L28" s="86">
        <f>K28*J28</f>
        <v>20832</v>
      </c>
      <c r="M28" s="89" t="s">
        <v>18</v>
      </c>
      <c r="Q28" s="47">
        <v>8.0500000000000007</v>
      </c>
      <c r="R28" s="47">
        <v>51534</v>
      </c>
      <c r="S28" s="47">
        <v>55998</v>
      </c>
      <c r="T28" s="56">
        <v>0.93400000000000005</v>
      </c>
      <c r="U28" s="47">
        <v>17.908999999999999</v>
      </c>
      <c r="V28" s="57">
        <v>16.922000000000001</v>
      </c>
      <c r="W28" s="47">
        <f t="shared" si="5"/>
        <v>369</v>
      </c>
    </row>
    <row r="29" spans="1:23" ht="14.25" customHeight="1" x14ac:dyDescent="0.3">
      <c r="A29" s="84" t="s">
        <v>145</v>
      </c>
      <c r="B29" s="85" t="s">
        <v>23</v>
      </c>
      <c r="C29" s="86">
        <v>65548</v>
      </c>
      <c r="D29" s="91" t="s">
        <v>24</v>
      </c>
      <c r="E29" s="87" t="s">
        <v>25</v>
      </c>
      <c r="F29" s="86"/>
      <c r="G29" s="88"/>
      <c r="H29" s="86"/>
      <c r="I29" s="86"/>
      <c r="J29" s="86"/>
      <c r="K29" s="86">
        <v>5400</v>
      </c>
      <c r="L29" s="86">
        <f t="shared" ref="L29:L30" si="12">K29</f>
        <v>5400</v>
      </c>
      <c r="M29" s="90" t="s">
        <v>26</v>
      </c>
      <c r="Q29" s="47">
        <v>10.050000000000001</v>
      </c>
      <c r="R29" s="47">
        <v>51790</v>
      </c>
      <c r="S29" s="47">
        <v>56269</v>
      </c>
      <c r="T29" s="56">
        <v>0.93400000000000005</v>
      </c>
      <c r="U29" s="47">
        <v>17.908999999999999</v>
      </c>
      <c r="V29" s="57">
        <v>16.922000000000001</v>
      </c>
      <c r="W29" s="47">
        <f t="shared" si="5"/>
        <v>256</v>
      </c>
    </row>
    <row r="30" spans="1:23" ht="14.25" customHeight="1" x14ac:dyDescent="0.3">
      <c r="A30" s="84" t="s">
        <v>145</v>
      </c>
      <c r="B30" s="85" t="s">
        <v>23</v>
      </c>
      <c r="C30" s="86">
        <v>65548</v>
      </c>
      <c r="D30" s="91" t="s">
        <v>24</v>
      </c>
      <c r="E30" s="92" t="s">
        <v>30</v>
      </c>
      <c r="F30" s="86"/>
      <c r="G30" s="88" t="s">
        <v>36</v>
      </c>
      <c r="H30" s="86"/>
      <c r="I30" s="86"/>
      <c r="J30" s="86"/>
      <c r="K30" s="86">
        <v>7340</v>
      </c>
      <c r="L30" s="86">
        <f t="shared" si="12"/>
        <v>7340</v>
      </c>
      <c r="M30" s="89" t="s">
        <v>18</v>
      </c>
      <c r="Q30" s="47">
        <v>11.05</v>
      </c>
      <c r="R30" s="47">
        <v>51944</v>
      </c>
      <c r="S30" s="47">
        <v>56436</v>
      </c>
      <c r="T30" s="56">
        <v>0.93400000000000005</v>
      </c>
      <c r="U30" s="47">
        <v>17.908999999999999</v>
      </c>
      <c r="V30" s="57">
        <v>16.922000000000001</v>
      </c>
      <c r="W30" s="47">
        <f t="shared" si="5"/>
        <v>154</v>
      </c>
    </row>
    <row r="31" spans="1:23" ht="14.25" customHeight="1" x14ac:dyDescent="0.3">
      <c r="A31" s="84" t="s">
        <v>145</v>
      </c>
      <c r="B31" s="86" t="s">
        <v>14</v>
      </c>
      <c r="C31" s="86">
        <v>7479</v>
      </c>
      <c r="D31" s="86" t="s">
        <v>20</v>
      </c>
      <c r="E31" s="86" t="s">
        <v>21</v>
      </c>
      <c r="F31" s="86">
        <v>35</v>
      </c>
      <c r="G31" s="86">
        <v>0.15</v>
      </c>
      <c r="H31" s="86">
        <f>G31*F31</f>
        <v>5.25</v>
      </c>
      <c r="I31" s="86">
        <v>80</v>
      </c>
      <c r="J31" s="86">
        <v>1</v>
      </c>
      <c r="K31" s="86">
        <f>F31*I31</f>
        <v>2800</v>
      </c>
      <c r="L31" s="86">
        <f>K31*J31</f>
        <v>2800</v>
      </c>
      <c r="M31" s="89" t="s">
        <v>22</v>
      </c>
      <c r="Q31" s="47">
        <v>30.05</v>
      </c>
      <c r="R31" s="47">
        <v>53912</v>
      </c>
      <c r="S31" s="47">
        <v>58665</v>
      </c>
      <c r="T31" s="56">
        <v>0.91800000000000004</v>
      </c>
      <c r="U31" s="47">
        <v>17.908999999999999</v>
      </c>
      <c r="V31" s="57">
        <v>16.922000000000001</v>
      </c>
      <c r="W31" s="47">
        <f>R31-R30</f>
        <v>1968</v>
      </c>
    </row>
    <row r="32" spans="1:23" ht="14.25" customHeight="1" x14ac:dyDescent="0.3">
      <c r="A32" s="84" t="s">
        <v>145</v>
      </c>
      <c r="B32" s="86" t="s">
        <v>14</v>
      </c>
      <c r="C32" s="86">
        <v>7479</v>
      </c>
      <c r="D32" s="86" t="s">
        <v>20</v>
      </c>
      <c r="E32" s="86" t="s">
        <v>25</v>
      </c>
      <c r="F32" s="86"/>
      <c r="G32" s="86"/>
      <c r="H32" s="86"/>
      <c r="I32" s="86"/>
      <c r="J32" s="86">
        <v>1</v>
      </c>
      <c r="K32" s="86">
        <v>775</v>
      </c>
      <c r="L32" s="86">
        <f t="shared" ref="L32:L33" si="13">K32</f>
        <v>775</v>
      </c>
      <c r="M32" s="89" t="s">
        <v>31</v>
      </c>
      <c r="Q32" s="41"/>
      <c r="R32" s="41"/>
      <c r="S32" s="41"/>
      <c r="T32" s="41"/>
      <c r="U32" s="41"/>
      <c r="V32" s="41"/>
      <c r="W32" s="41"/>
    </row>
    <row r="33" spans="1:23" ht="14.25" customHeight="1" x14ac:dyDescent="0.3">
      <c r="A33" s="84" t="s">
        <v>145</v>
      </c>
      <c r="B33" s="95" t="s">
        <v>44</v>
      </c>
      <c r="C33" s="86" t="s">
        <v>45</v>
      </c>
      <c r="D33" s="86" t="s">
        <v>46</v>
      </c>
      <c r="E33" s="86" t="s">
        <v>47</v>
      </c>
      <c r="F33" s="86"/>
      <c r="G33" s="86"/>
      <c r="H33" s="86"/>
      <c r="I33" s="86"/>
      <c r="J33" s="86"/>
      <c r="K33" s="86">
        <v>1500</v>
      </c>
      <c r="L33" s="86">
        <f t="shared" si="13"/>
        <v>1500</v>
      </c>
      <c r="M33" s="89" t="s">
        <v>48</v>
      </c>
      <c r="Q33" s="41"/>
      <c r="R33" s="41"/>
      <c r="S33" s="41"/>
      <c r="T33" s="41"/>
      <c r="U33" s="41"/>
      <c r="V33" s="41"/>
      <c r="W33" s="59">
        <f>SUM(W21:W32)</f>
        <v>3744</v>
      </c>
    </row>
    <row r="34" spans="1:23" ht="14.25" customHeight="1" x14ac:dyDescent="0.3">
      <c r="A34" s="84" t="s">
        <v>146</v>
      </c>
      <c r="B34" s="86" t="s">
        <v>14</v>
      </c>
      <c r="C34" s="86">
        <v>7479</v>
      </c>
      <c r="D34" s="86" t="s">
        <v>20</v>
      </c>
      <c r="E34" s="86" t="s">
        <v>21</v>
      </c>
      <c r="F34" s="86">
        <v>35</v>
      </c>
      <c r="G34" s="86">
        <v>0.15</v>
      </c>
      <c r="H34" s="86">
        <f>G34*F34</f>
        <v>5.25</v>
      </c>
      <c r="I34" s="86">
        <v>80</v>
      </c>
      <c r="J34" s="86">
        <v>1</v>
      </c>
      <c r="K34" s="86">
        <f>F34*I34</f>
        <v>2800</v>
      </c>
      <c r="L34" s="86">
        <f>K34*J34</f>
        <v>2800</v>
      </c>
      <c r="M34" s="89" t="s">
        <v>22</v>
      </c>
      <c r="Q34" s="103">
        <v>1.06</v>
      </c>
      <c r="R34" s="103">
        <v>54046</v>
      </c>
      <c r="S34" s="103">
        <v>58815</v>
      </c>
      <c r="T34" s="103">
        <v>0.875</v>
      </c>
      <c r="U34" s="103">
        <v>14.696</v>
      </c>
      <c r="V34" s="103">
        <v>17.908999999999999</v>
      </c>
      <c r="W34" s="103">
        <f>R34-R31</f>
        <v>134</v>
      </c>
    </row>
    <row r="35" spans="1:23" ht="14.25" customHeight="1" x14ac:dyDescent="0.3">
      <c r="A35" s="84" t="s">
        <v>146</v>
      </c>
      <c r="B35" s="86" t="s">
        <v>14</v>
      </c>
      <c r="C35" s="86">
        <v>7479</v>
      </c>
      <c r="D35" s="86" t="s">
        <v>20</v>
      </c>
      <c r="E35" s="86" t="s">
        <v>25</v>
      </c>
      <c r="F35" s="86"/>
      <c r="G35" s="86"/>
      <c r="H35" s="86"/>
      <c r="I35" s="86"/>
      <c r="J35" s="86">
        <v>1</v>
      </c>
      <c r="K35" s="86">
        <v>1800</v>
      </c>
      <c r="L35" s="86">
        <f t="shared" ref="L35:L39" si="14">K35</f>
        <v>1800</v>
      </c>
      <c r="M35" s="89" t="s">
        <v>31</v>
      </c>
      <c r="Q35" s="103">
        <v>5.0599999999999996</v>
      </c>
      <c r="R35" s="103">
        <v>54464</v>
      </c>
      <c r="S35" s="103">
        <v>59316</v>
      </c>
      <c r="T35" s="104">
        <v>0.84</v>
      </c>
      <c r="U35" s="103">
        <v>17.452000000000002</v>
      </c>
      <c r="V35" s="103">
        <v>17.908999999999999</v>
      </c>
      <c r="W35" s="103">
        <f t="shared" ref="W35:W44" si="15">R35-R34</f>
        <v>418</v>
      </c>
    </row>
    <row r="36" spans="1:23" ht="14.25" customHeight="1" x14ac:dyDescent="0.3">
      <c r="A36" s="84" t="s">
        <v>146</v>
      </c>
      <c r="B36" s="85" t="s">
        <v>23</v>
      </c>
      <c r="C36" s="86">
        <v>65548</v>
      </c>
      <c r="D36" s="91" t="s">
        <v>24</v>
      </c>
      <c r="E36" s="87" t="s">
        <v>25</v>
      </c>
      <c r="F36" s="86"/>
      <c r="G36" s="88"/>
      <c r="H36" s="86"/>
      <c r="I36" s="86"/>
      <c r="J36" s="86"/>
      <c r="K36" s="86">
        <v>2846</v>
      </c>
      <c r="L36" s="86">
        <f t="shared" si="14"/>
        <v>2846</v>
      </c>
      <c r="M36" s="90" t="s">
        <v>26</v>
      </c>
      <c r="Q36" s="103">
        <v>8.06</v>
      </c>
      <c r="R36" s="103">
        <v>54865</v>
      </c>
      <c r="S36" s="103">
        <v>59793</v>
      </c>
      <c r="T36" s="103">
        <v>0.84099999999999997</v>
      </c>
      <c r="U36" s="103">
        <v>17.920999999999999</v>
      </c>
      <c r="V36" s="103">
        <v>17.908999999999999</v>
      </c>
      <c r="W36" s="103">
        <f t="shared" si="15"/>
        <v>401</v>
      </c>
    </row>
    <row r="37" spans="1:23" ht="14.25" customHeight="1" x14ac:dyDescent="0.3">
      <c r="A37" s="84" t="s">
        <v>146</v>
      </c>
      <c r="B37" s="85" t="s">
        <v>23</v>
      </c>
      <c r="C37" s="86">
        <v>65548</v>
      </c>
      <c r="D37" s="91" t="s">
        <v>24</v>
      </c>
      <c r="E37" s="92" t="s">
        <v>30</v>
      </c>
      <c r="F37" s="86"/>
      <c r="G37" s="88" t="s">
        <v>36</v>
      </c>
      <c r="H37" s="86"/>
      <c r="I37" s="86"/>
      <c r="J37" s="86"/>
      <c r="K37" s="86">
        <v>3660</v>
      </c>
      <c r="L37" s="86">
        <f t="shared" si="14"/>
        <v>3660</v>
      </c>
      <c r="M37" s="89" t="s">
        <v>18</v>
      </c>
      <c r="Q37" s="103">
        <v>10.06</v>
      </c>
      <c r="R37" s="103">
        <v>55067</v>
      </c>
      <c r="S37" s="103">
        <v>60024</v>
      </c>
      <c r="T37" s="103">
        <v>0.84599999999999997</v>
      </c>
      <c r="U37" s="103">
        <v>18.056999999999999</v>
      </c>
      <c r="V37" s="103">
        <v>17.908999999999999</v>
      </c>
      <c r="W37" s="103">
        <f t="shared" si="15"/>
        <v>202</v>
      </c>
    </row>
    <row r="38" spans="1:23" ht="14.25" customHeight="1" x14ac:dyDescent="0.3">
      <c r="A38" s="84" t="s">
        <v>146</v>
      </c>
      <c r="B38" s="85" t="s">
        <v>23</v>
      </c>
      <c r="C38" s="86" t="s">
        <v>33</v>
      </c>
      <c r="D38" s="86" t="s">
        <v>34</v>
      </c>
      <c r="E38" s="87" t="s">
        <v>35</v>
      </c>
      <c r="F38" s="86"/>
      <c r="G38" s="88" t="s">
        <v>77</v>
      </c>
      <c r="H38" s="86"/>
      <c r="I38" s="86"/>
      <c r="J38" s="86"/>
      <c r="K38" s="86">
        <v>3800</v>
      </c>
      <c r="L38" s="86">
        <f t="shared" si="14"/>
        <v>3800</v>
      </c>
      <c r="M38" s="90" t="s">
        <v>26</v>
      </c>
      <c r="Q38" s="103">
        <v>13.06</v>
      </c>
      <c r="R38" s="103">
        <v>55494</v>
      </c>
      <c r="S38" s="103">
        <v>60547</v>
      </c>
      <c r="T38" s="104">
        <v>0.84</v>
      </c>
      <c r="U38" s="103">
        <v>18.056999999999999</v>
      </c>
      <c r="V38" s="103">
        <v>17.908999999999999</v>
      </c>
      <c r="W38" s="103">
        <f t="shared" si="15"/>
        <v>427</v>
      </c>
    </row>
    <row r="39" spans="1:23" ht="14.25" customHeight="1" x14ac:dyDescent="0.3">
      <c r="A39" s="84" t="s">
        <v>146</v>
      </c>
      <c r="B39" s="85" t="s">
        <v>23</v>
      </c>
      <c r="C39" s="86" t="s">
        <v>33</v>
      </c>
      <c r="D39" s="86" t="s">
        <v>34</v>
      </c>
      <c r="E39" s="93" t="s">
        <v>39</v>
      </c>
      <c r="F39" s="86"/>
      <c r="G39" s="88" t="s">
        <v>36</v>
      </c>
      <c r="H39" s="86"/>
      <c r="I39" s="86"/>
      <c r="J39" s="86"/>
      <c r="K39" s="86">
        <v>3800</v>
      </c>
      <c r="L39" s="86">
        <f t="shared" si="14"/>
        <v>3800</v>
      </c>
      <c r="M39" s="89" t="s">
        <v>18</v>
      </c>
      <c r="Q39" s="103">
        <v>17.059999999999999</v>
      </c>
      <c r="R39" s="103">
        <v>55686</v>
      </c>
      <c r="S39" s="103">
        <v>60766</v>
      </c>
      <c r="T39" s="104">
        <v>0.84199999999999997</v>
      </c>
      <c r="U39" s="103">
        <v>18.056999999999999</v>
      </c>
      <c r="V39" s="103">
        <v>17.908999999999999</v>
      </c>
      <c r="W39" s="103">
        <f t="shared" si="15"/>
        <v>192</v>
      </c>
    </row>
    <row r="40" spans="1:23" ht="14.25" customHeight="1" x14ac:dyDescent="0.3">
      <c r="A40" s="84" t="s">
        <v>146</v>
      </c>
      <c r="B40" s="86" t="s">
        <v>14</v>
      </c>
      <c r="C40" s="86" t="s">
        <v>49</v>
      </c>
      <c r="D40" s="86" t="s">
        <v>50</v>
      </c>
      <c r="E40" s="86" t="s">
        <v>17</v>
      </c>
      <c r="F40" s="86">
        <v>215</v>
      </c>
      <c r="G40" s="86">
        <v>0.26</v>
      </c>
      <c r="H40" s="86">
        <f>F40*G40</f>
        <v>55.9</v>
      </c>
      <c r="I40" s="86">
        <v>28</v>
      </c>
      <c r="J40" s="86">
        <v>1</v>
      </c>
      <c r="K40" s="86">
        <f t="shared" ref="K40" si="16">F40*I40</f>
        <v>6020</v>
      </c>
      <c r="L40" s="86">
        <f t="shared" ref="L40" si="17">K40*J40</f>
        <v>6020</v>
      </c>
      <c r="M40" s="89" t="s">
        <v>22</v>
      </c>
      <c r="Q40" s="103">
        <v>18.059999999999999</v>
      </c>
      <c r="R40" s="103">
        <v>55795</v>
      </c>
      <c r="S40" s="103">
        <v>60885</v>
      </c>
      <c r="T40" s="104">
        <v>0.84199999999999997</v>
      </c>
      <c r="U40" s="103">
        <v>18.056999999999999</v>
      </c>
      <c r="V40" s="103">
        <v>17.908999999999999</v>
      </c>
      <c r="W40" s="103">
        <f t="shared" si="15"/>
        <v>109</v>
      </c>
    </row>
    <row r="41" spans="1:23" ht="14.25" customHeight="1" x14ac:dyDescent="0.3">
      <c r="A41" s="84" t="s">
        <v>146</v>
      </c>
      <c r="B41" s="86" t="s">
        <v>14</v>
      </c>
      <c r="C41" s="86" t="s">
        <v>49</v>
      </c>
      <c r="D41" s="86" t="s">
        <v>50</v>
      </c>
      <c r="E41" s="86" t="s">
        <v>25</v>
      </c>
      <c r="F41" s="86"/>
      <c r="G41" s="86"/>
      <c r="H41" s="86"/>
      <c r="I41" s="86"/>
      <c r="J41" s="86"/>
      <c r="K41" s="86">
        <v>2500</v>
      </c>
      <c r="L41" s="86">
        <f t="shared" ref="L41" si="18">K41</f>
        <v>2500</v>
      </c>
      <c r="M41" s="89" t="s">
        <v>31</v>
      </c>
      <c r="Q41" s="103">
        <v>19.059999999999999</v>
      </c>
      <c r="R41" s="103">
        <v>55914</v>
      </c>
      <c r="S41" s="103">
        <v>61019</v>
      </c>
      <c r="T41" s="104">
        <v>0.84799999999999998</v>
      </c>
      <c r="U41" s="103">
        <v>18.056999999999999</v>
      </c>
      <c r="V41" s="103">
        <v>17.908999999999999</v>
      </c>
      <c r="W41" s="103">
        <f t="shared" si="15"/>
        <v>119</v>
      </c>
    </row>
    <row r="42" spans="1:23" ht="14.25" customHeight="1" x14ac:dyDescent="0.3">
      <c r="A42" s="84" t="s">
        <v>147</v>
      </c>
      <c r="B42" s="86" t="s">
        <v>14</v>
      </c>
      <c r="C42" s="86" t="s">
        <v>49</v>
      </c>
      <c r="D42" s="86" t="s">
        <v>50</v>
      </c>
      <c r="E42" s="86" t="s">
        <v>17</v>
      </c>
      <c r="F42" s="86">
        <v>25</v>
      </c>
      <c r="G42" s="86">
        <v>0.26</v>
      </c>
      <c r="H42" s="86">
        <f>F42*G42</f>
        <v>6.5</v>
      </c>
      <c r="I42" s="86">
        <v>28</v>
      </c>
      <c r="J42" s="86">
        <v>1</v>
      </c>
      <c r="K42" s="86">
        <f t="shared" ref="K42" si="19">F42*I42</f>
        <v>700</v>
      </c>
      <c r="L42" s="86">
        <f t="shared" ref="L42" si="20">K42*J42</f>
        <v>700</v>
      </c>
      <c r="M42" s="89" t="s">
        <v>22</v>
      </c>
      <c r="Q42" s="103">
        <v>20.059999999999999</v>
      </c>
      <c r="R42" s="103">
        <v>56046</v>
      </c>
      <c r="S42" s="103">
        <v>61178</v>
      </c>
      <c r="T42" s="104">
        <v>0.84699999999999998</v>
      </c>
      <c r="U42" s="103">
        <v>18.056999999999999</v>
      </c>
      <c r="V42" s="103">
        <v>17.908999999999999</v>
      </c>
      <c r="W42" s="103">
        <f t="shared" si="15"/>
        <v>132</v>
      </c>
    </row>
    <row r="43" spans="1:23" ht="14.25" customHeight="1" x14ac:dyDescent="0.3">
      <c r="A43" s="84" t="s">
        <v>147</v>
      </c>
      <c r="B43" s="86" t="s">
        <v>14</v>
      </c>
      <c r="C43" s="86" t="s">
        <v>49</v>
      </c>
      <c r="D43" s="86" t="s">
        <v>50</v>
      </c>
      <c r="E43" s="86" t="s">
        <v>25</v>
      </c>
      <c r="F43" s="86"/>
      <c r="G43" s="86"/>
      <c r="H43" s="86"/>
      <c r="I43" s="86"/>
      <c r="J43" s="86"/>
      <c r="K43" s="86">
        <v>4120</v>
      </c>
      <c r="L43" s="86">
        <f t="shared" ref="L43:L46" si="21">K43</f>
        <v>4120</v>
      </c>
      <c r="M43" s="89" t="s">
        <v>31</v>
      </c>
      <c r="Q43" s="103">
        <v>21.06</v>
      </c>
      <c r="R43" s="103">
        <v>56200</v>
      </c>
      <c r="S43" s="103">
        <v>61366</v>
      </c>
      <c r="T43" s="104">
        <v>0.84499999999999997</v>
      </c>
      <c r="U43" s="103">
        <v>18.056999999999999</v>
      </c>
      <c r="V43" s="103">
        <v>17.908999999999999</v>
      </c>
      <c r="W43" s="103">
        <f t="shared" si="15"/>
        <v>154</v>
      </c>
    </row>
    <row r="44" spans="1:23" ht="14.25" customHeight="1" x14ac:dyDescent="0.3">
      <c r="A44" s="84" t="s">
        <v>147</v>
      </c>
      <c r="B44" s="85" t="s">
        <v>23</v>
      </c>
      <c r="C44" s="86">
        <v>65548</v>
      </c>
      <c r="D44" s="91" t="s">
        <v>24</v>
      </c>
      <c r="E44" s="92" t="s">
        <v>30</v>
      </c>
      <c r="F44" s="86"/>
      <c r="G44" s="88" t="s">
        <v>36</v>
      </c>
      <c r="H44" s="86"/>
      <c r="I44" s="86"/>
      <c r="J44" s="86"/>
      <c r="K44" s="86">
        <v>307</v>
      </c>
      <c r="L44" s="86">
        <f t="shared" si="21"/>
        <v>307</v>
      </c>
      <c r="M44" s="89" t="s">
        <v>18</v>
      </c>
      <c r="Q44" s="103">
        <v>22.06</v>
      </c>
      <c r="R44" s="103">
        <v>56372</v>
      </c>
      <c r="S44" s="103">
        <v>61576</v>
      </c>
      <c r="T44" s="104">
        <v>0.84299999999999997</v>
      </c>
      <c r="U44" s="103">
        <v>18.475000000000001</v>
      </c>
      <c r="V44" s="103">
        <v>17.908999999999999</v>
      </c>
      <c r="W44" s="103">
        <f t="shared" si="15"/>
        <v>172</v>
      </c>
    </row>
    <row r="45" spans="1:23" ht="14.25" customHeight="1" x14ac:dyDescent="0.3">
      <c r="A45" s="84" t="s">
        <v>147</v>
      </c>
      <c r="B45" s="85" t="s">
        <v>23</v>
      </c>
      <c r="C45" s="86" t="s">
        <v>33</v>
      </c>
      <c r="D45" s="86" t="s">
        <v>34</v>
      </c>
      <c r="E45" s="87" t="s">
        <v>35</v>
      </c>
      <c r="F45" s="86"/>
      <c r="G45" s="88" t="s">
        <v>77</v>
      </c>
      <c r="H45" s="86"/>
      <c r="I45" s="86"/>
      <c r="J45" s="86"/>
      <c r="K45" s="86">
        <v>5100</v>
      </c>
      <c r="L45" s="86">
        <f t="shared" si="21"/>
        <v>5100</v>
      </c>
      <c r="M45" s="90" t="s">
        <v>26</v>
      </c>
      <c r="Q45" s="103">
        <v>23.06</v>
      </c>
      <c r="R45" s="103">
        <v>56460</v>
      </c>
      <c r="S45" s="103">
        <v>61689</v>
      </c>
      <c r="T45" s="104">
        <v>0.84299999999999997</v>
      </c>
      <c r="U45" s="103">
        <v>18.475000000000001</v>
      </c>
      <c r="V45" s="103">
        <v>17.908999999999999</v>
      </c>
      <c r="W45" s="103">
        <f t="shared" ref="W45" si="22">R45-R44</f>
        <v>88</v>
      </c>
    </row>
    <row r="46" spans="1:23" ht="14.25" customHeight="1" x14ac:dyDescent="0.3">
      <c r="A46" s="84" t="s">
        <v>147</v>
      </c>
      <c r="B46" s="85" t="s">
        <v>23</v>
      </c>
      <c r="C46" s="86" t="s">
        <v>33</v>
      </c>
      <c r="D46" s="86" t="s">
        <v>34</v>
      </c>
      <c r="E46" s="93" t="s">
        <v>39</v>
      </c>
      <c r="F46" s="86"/>
      <c r="G46" s="88" t="s">
        <v>36</v>
      </c>
      <c r="H46" s="86"/>
      <c r="I46" s="86"/>
      <c r="J46" s="86"/>
      <c r="K46" s="86">
        <v>7000</v>
      </c>
      <c r="L46" s="86">
        <f t="shared" si="21"/>
        <v>7000</v>
      </c>
      <c r="M46" s="89" t="s">
        <v>18</v>
      </c>
      <c r="Q46" s="103">
        <v>24.06</v>
      </c>
      <c r="R46" s="103">
        <v>56594</v>
      </c>
      <c r="S46" s="103">
        <v>61843</v>
      </c>
      <c r="T46" s="104">
        <v>0.84299999999999997</v>
      </c>
      <c r="U46" s="103">
        <v>18.475000000000001</v>
      </c>
      <c r="V46" s="103">
        <v>17.908999999999999</v>
      </c>
      <c r="W46" s="103">
        <f t="shared" ref="W46" si="23">R46-R45</f>
        <v>134</v>
      </c>
    </row>
    <row r="47" spans="1:23" ht="14.25" customHeight="1" x14ac:dyDescent="0.3">
      <c r="A47" s="84" t="s">
        <v>147</v>
      </c>
      <c r="B47" s="85" t="s">
        <v>23</v>
      </c>
      <c r="C47" s="86" t="s">
        <v>33</v>
      </c>
      <c r="D47" s="86" t="s">
        <v>34</v>
      </c>
      <c r="E47" s="92" t="s">
        <v>30</v>
      </c>
      <c r="F47" s="86"/>
      <c r="G47" s="88" t="s">
        <v>78</v>
      </c>
      <c r="H47" s="86"/>
      <c r="I47" s="86"/>
      <c r="J47" s="86"/>
      <c r="K47" s="86">
        <v>3800</v>
      </c>
      <c r="L47" s="86">
        <f>K47</f>
        <v>3800</v>
      </c>
      <c r="M47" s="89" t="s">
        <v>31</v>
      </c>
      <c r="Q47" s="103">
        <v>25.06</v>
      </c>
      <c r="R47" s="103">
        <v>56722</v>
      </c>
      <c r="S47" s="103">
        <v>62000</v>
      </c>
      <c r="T47" s="104">
        <v>0.84099999999999997</v>
      </c>
      <c r="U47" s="103">
        <v>18.475000000000001</v>
      </c>
      <c r="V47" s="103">
        <v>17.908999999999999</v>
      </c>
      <c r="W47" s="103">
        <f t="shared" ref="W47" si="24">R47-R46</f>
        <v>128</v>
      </c>
    </row>
    <row r="48" spans="1:23" ht="14.25" customHeight="1" x14ac:dyDescent="0.3">
      <c r="A48" s="84" t="s">
        <v>147</v>
      </c>
      <c r="B48" s="86" t="s">
        <v>14</v>
      </c>
      <c r="C48" s="86">
        <v>2576</v>
      </c>
      <c r="D48" s="86" t="s">
        <v>84</v>
      </c>
      <c r="E48" s="86" t="s">
        <v>17</v>
      </c>
      <c r="F48" s="86">
        <v>332</v>
      </c>
      <c r="G48" s="86">
        <v>0.1</v>
      </c>
      <c r="H48" s="86">
        <f>F48*G48</f>
        <v>33.200000000000003</v>
      </c>
      <c r="I48" s="86">
        <v>17</v>
      </c>
      <c r="J48" s="86">
        <v>1</v>
      </c>
      <c r="K48" s="86">
        <f t="shared" ref="K48" si="25">F48*I48</f>
        <v>5644</v>
      </c>
      <c r="L48" s="86">
        <f t="shared" ref="L48" si="26">K48*J48</f>
        <v>5644</v>
      </c>
      <c r="M48" s="89" t="s">
        <v>22</v>
      </c>
      <c r="N48" s="47"/>
      <c r="Q48" s="103">
        <v>26.06</v>
      </c>
      <c r="R48" s="103">
        <v>56748</v>
      </c>
      <c r="S48" s="103">
        <v>62000</v>
      </c>
      <c r="T48" s="104">
        <v>0.84099999999999997</v>
      </c>
      <c r="U48" s="103">
        <v>18.475000000000001</v>
      </c>
      <c r="V48" s="103">
        <v>17.908999999999999</v>
      </c>
      <c r="W48" s="103">
        <f t="shared" ref="W48" si="27">R48-R47</f>
        <v>26</v>
      </c>
    </row>
    <row r="49" spans="1:23" ht="14.25" customHeight="1" x14ac:dyDescent="0.3">
      <c r="A49" s="84" t="s">
        <v>147</v>
      </c>
      <c r="B49" s="86" t="s">
        <v>14</v>
      </c>
      <c r="C49" s="86">
        <v>7479</v>
      </c>
      <c r="D49" s="86" t="s">
        <v>20</v>
      </c>
      <c r="E49" s="86" t="s">
        <v>25</v>
      </c>
      <c r="F49" s="86"/>
      <c r="G49" s="86"/>
      <c r="H49" s="86"/>
      <c r="I49" s="86"/>
      <c r="J49" s="86">
        <v>1</v>
      </c>
      <c r="K49" s="86">
        <v>700</v>
      </c>
      <c r="L49" s="86">
        <f t="shared" ref="L49:L51" si="28">K49</f>
        <v>700</v>
      </c>
      <c r="M49" s="89" t="s">
        <v>31</v>
      </c>
    </row>
    <row r="50" spans="1:23" ht="14.25" customHeight="1" x14ac:dyDescent="0.3">
      <c r="A50" s="84" t="s">
        <v>148</v>
      </c>
      <c r="B50" s="85" t="s">
        <v>23</v>
      </c>
      <c r="C50" s="86" t="s">
        <v>33</v>
      </c>
      <c r="D50" s="86" t="s">
        <v>34</v>
      </c>
      <c r="E50" s="87" t="s">
        <v>35</v>
      </c>
      <c r="F50" s="86"/>
      <c r="G50" s="88" t="s">
        <v>77</v>
      </c>
      <c r="H50" s="86"/>
      <c r="I50" s="86"/>
      <c r="J50" s="86"/>
      <c r="K50" s="86">
        <v>2650</v>
      </c>
      <c r="L50" s="86">
        <f t="shared" si="28"/>
        <v>2650</v>
      </c>
      <c r="M50" s="90" t="s">
        <v>26</v>
      </c>
      <c r="W50" s="105">
        <f>SUM(W33:W49)</f>
        <v>6580</v>
      </c>
    </row>
    <row r="51" spans="1:23" ht="14.25" customHeight="1" x14ac:dyDescent="0.3">
      <c r="A51" s="84" t="s">
        <v>148</v>
      </c>
      <c r="B51" s="85" t="s">
        <v>23</v>
      </c>
      <c r="C51" s="86" t="s">
        <v>33</v>
      </c>
      <c r="D51" s="86" t="s">
        <v>34</v>
      </c>
      <c r="E51" s="93" t="s">
        <v>39</v>
      </c>
      <c r="F51" s="86"/>
      <c r="G51" s="88" t="s">
        <v>36</v>
      </c>
      <c r="H51" s="86"/>
      <c r="I51" s="86"/>
      <c r="J51" s="86"/>
      <c r="K51" s="86">
        <v>3500</v>
      </c>
      <c r="L51" s="86">
        <f t="shared" si="28"/>
        <v>3500</v>
      </c>
      <c r="M51" s="89" t="s">
        <v>18</v>
      </c>
    </row>
    <row r="52" spans="1:23" ht="14.25" customHeight="1" x14ac:dyDescent="0.3">
      <c r="A52" s="84" t="s">
        <v>149</v>
      </c>
      <c r="B52" s="86" t="s">
        <v>14</v>
      </c>
      <c r="C52" s="86">
        <v>7479</v>
      </c>
      <c r="D52" s="86" t="s">
        <v>20</v>
      </c>
      <c r="E52" s="86" t="s">
        <v>21</v>
      </c>
      <c r="F52" s="86">
        <v>318</v>
      </c>
      <c r="G52" s="86">
        <v>0.15</v>
      </c>
      <c r="H52" s="86">
        <f>G52*F52</f>
        <v>47.699999999999996</v>
      </c>
      <c r="I52" s="86">
        <v>80</v>
      </c>
      <c r="J52" s="86">
        <v>1</v>
      </c>
      <c r="K52" s="86">
        <f>F52*I52</f>
        <v>25440</v>
      </c>
      <c r="L52" s="86">
        <f>K52*J52</f>
        <v>25440</v>
      </c>
      <c r="M52" s="89" t="s">
        <v>22</v>
      </c>
      <c r="Q52" s="103">
        <v>26.06</v>
      </c>
      <c r="R52" s="103">
        <v>56864</v>
      </c>
      <c r="S52" s="103">
        <v>62170</v>
      </c>
      <c r="T52" s="104">
        <v>0.84099999999999997</v>
      </c>
      <c r="U52" s="103">
        <v>18.475000000000001</v>
      </c>
      <c r="V52" s="103">
        <v>17.908999999999999</v>
      </c>
      <c r="W52" s="103">
        <f>R52-R48</f>
        <v>116</v>
      </c>
    </row>
    <row r="53" spans="1:23" ht="14.25" customHeight="1" x14ac:dyDescent="0.3">
      <c r="A53" s="84" t="s">
        <v>149</v>
      </c>
      <c r="B53" s="86" t="s">
        <v>14</v>
      </c>
      <c r="C53" s="86">
        <v>7479</v>
      </c>
      <c r="D53" s="86" t="s">
        <v>20</v>
      </c>
      <c r="E53" s="86" t="s">
        <v>25</v>
      </c>
      <c r="F53" s="86"/>
      <c r="G53" s="86"/>
      <c r="H53" s="86"/>
      <c r="I53" s="86"/>
      <c r="J53" s="86">
        <v>1</v>
      </c>
      <c r="K53" s="86">
        <v>5300</v>
      </c>
      <c r="L53" s="86">
        <f t="shared" ref="L53:L54" si="29">K53</f>
        <v>5300</v>
      </c>
      <c r="M53" s="89" t="s">
        <v>31</v>
      </c>
      <c r="Q53" s="103">
        <v>27.06</v>
      </c>
      <c r="R53" s="103">
        <v>57024</v>
      </c>
      <c r="S53" s="103">
        <v>62374</v>
      </c>
      <c r="T53" s="104">
        <v>0.84099999999999997</v>
      </c>
      <c r="U53" s="103">
        <v>18.475000000000001</v>
      </c>
      <c r="V53" s="103">
        <v>17.908999999999999</v>
      </c>
      <c r="W53" s="103">
        <f>R53-R52</f>
        <v>160</v>
      </c>
    </row>
    <row r="54" spans="1:23" ht="14.25" customHeight="1" x14ac:dyDescent="0.3">
      <c r="A54" s="84" t="s">
        <v>149</v>
      </c>
      <c r="B54" s="85" t="s">
        <v>23</v>
      </c>
      <c r="C54" s="86" t="s">
        <v>33</v>
      </c>
      <c r="D54" s="86" t="s">
        <v>34</v>
      </c>
      <c r="E54" s="87" t="s">
        <v>35</v>
      </c>
      <c r="F54" s="86"/>
      <c r="G54" s="88" t="s">
        <v>77</v>
      </c>
      <c r="H54" s="86"/>
      <c r="I54" s="86"/>
      <c r="J54" s="86"/>
      <c r="K54" s="86">
        <v>3305</v>
      </c>
      <c r="L54" s="86">
        <f t="shared" si="29"/>
        <v>3305</v>
      </c>
      <c r="M54" s="90" t="s">
        <v>26</v>
      </c>
      <c r="Q54" s="103">
        <v>28.06</v>
      </c>
      <c r="R54" s="103">
        <v>57177</v>
      </c>
      <c r="S54" s="103">
        <v>62567</v>
      </c>
      <c r="T54" s="104">
        <v>0.83499999999999996</v>
      </c>
      <c r="U54" s="103">
        <v>18.475000000000001</v>
      </c>
      <c r="V54" s="103">
        <v>17.908999999999999</v>
      </c>
      <c r="W54" s="103">
        <f>R54-R53</f>
        <v>153</v>
      </c>
    </row>
    <row r="55" spans="1:23" ht="14.25" customHeight="1" x14ac:dyDescent="0.3">
      <c r="A55" s="84" t="s">
        <v>149</v>
      </c>
      <c r="B55" s="85" t="s">
        <v>23</v>
      </c>
      <c r="C55" s="86" t="s">
        <v>33</v>
      </c>
      <c r="D55" s="86" t="s">
        <v>34</v>
      </c>
      <c r="E55" s="92" t="s">
        <v>30</v>
      </c>
      <c r="F55" s="86"/>
      <c r="G55" s="88" t="s">
        <v>78</v>
      </c>
      <c r="H55" s="86"/>
      <c r="I55" s="86"/>
      <c r="J55" s="86"/>
      <c r="K55" s="86">
        <v>4700</v>
      </c>
      <c r="L55" s="86">
        <f>K55</f>
        <v>4700</v>
      </c>
      <c r="M55" s="89" t="s">
        <v>31</v>
      </c>
      <c r="Q55" s="103">
        <v>29.06</v>
      </c>
      <c r="R55" s="103">
        <v>57332</v>
      </c>
      <c r="S55" s="103">
        <v>62754</v>
      </c>
      <c r="T55" s="104">
        <v>0.83499999999999996</v>
      </c>
      <c r="U55" s="103">
        <v>18.475000000000001</v>
      </c>
      <c r="V55" s="103">
        <v>17.908999999999999</v>
      </c>
      <c r="W55" s="103">
        <f>R55-R54</f>
        <v>155</v>
      </c>
    </row>
    <row r="56" spans="1:23" ht="14.25" customHeight="1" x14ac:dyDescent="0.3">
      <c r="A56" s="84" t="s">
        <v>149</v>
      </c>
      <c r="B56" s="95" t="s">
        <v>44</v>
      </c>
      <c r="C56" s="86" t="s">
        <v>45</v>
      </c>
      <c r="D56" s="86" t="s">
        <v>46</v>
      </c>
      <c r="E56" s="86" t="s">
        <v>47</v>
      </c>
      <c r="F56" s="86"/>
      <c r="G56" s="86"/>
      <c r="H56" s="86"/>
      <c r="I56" s="86"/>
      <c r="J56" s="86"/>
      <c r="K56" s="86">
        <v>1000</v>
      </c>
      <c r="L56" s="86">
        <f t="shared" ref="L56:L57" si="30">K56</f>
        <v>1000</v>
      </c>
      <c r="M56" s="89" t="s">
        <v>48</v>
      </c>
      <c r="Q56" s="103">
        <v>30.06</v>
      </c>
      <c r="R56" s="103">
        <v>57440</v>
      </c>
      <c r="S56" s="103">
        <v>62842</v>
      </c>
      <c r="T56" s="104">
        <v>0.83499999999999996</v>
      </c>
      <c r="U56" s="103">
        <v>18.475000000000001</v>
      </c>
      <c r="V56" s="103">
        <v>17.908999999999999</v>
      </c>
      <c r="W56" s="103">
        <f>R56-R55</f>
        <v>108</v>
      </c>
    </row>
    <row r="57" spans="1:23" ht="14.25" customHeight="1" x14ac:dyDescent="0.3">
      <c r="A57" s="84" t="s">
        <v>149</v>
      </c>
      <c r="B57" s="85" t="s">
        <v>23</v>
      </c>
      <c r="C57" s="86" t="s">
        <v>33</v>
      </c>
      <c r="D57" s="86" t="s">
        <v>34</v>
      </c>
      <c r="E57" s="87" t="s">
        <v>35</v>
      </c>
      <c r="F57" s="86"/>
      <c r="G57" s="88" t="s">
        <v>77</v>
      </c>
      <c r="H57" s="86"/>
      <c r="I57" s="86"/>
      <c r="J57" s="86"/>
      <c r="K57" s="86">
        <v>1050</v>
      </c>
      <c r="L57" s="86">
        <f t="shared" si="30"/>
        <v>1050</v>
      </c>
      <c r="M57" s="90" t="s">
        <v>26</v>
      </c>
    </row>
    <row r="58" spans="1:23" ht="14.25" customHeight="1" x14ac:dyDescent="0.3">
      <c r="A58" s="84" t="s">
        <v>149</v>
      </c>
      <c r="B58" s="86" t="s">
        <v>14</v>
      </c>
      <c r="C58" s="86">
        <v>2576</v>
      </c>
      <c r="D58" s="86" t="s">
        <v>84</v>
      </c>
      <c r="E58" s="86" t="s">
        <v>17</v>
      </c>
      <c r="F58" s="86">
        <v>370</v>
      </c>
      <c r="G58" s="86">
        <v>0.1</v>
      </c>
      <c r="H58" s="86">
        <f>F58*G58</f>
        <v>37</v>
      </c>
      <c r="I58" s="86">
        <v>17</v>
      </c>
      <c r="J58" s="86">
        <v>1</v>
      </c>
      <c r="K58" s="86">
        <f t="shared" ref="K58" si="31">F58*I58</f>
        <v>6290</v>
      </c>
      <c r="L58" s="86">
        <f t="shared" ref="L58" si="32">K58*J58</f>
        <v>6290</v>
      </c>
      <c r="M58" s="89" t="s">
        <v>22</v>
      </c>
    </row>
    <row r="59" spans="1:23" ht="14.25" customHeight="1" x14ac:dyDescent="0.3">
      <c r="A59" s="84" t="s">
        <v>149</v>
      </c>
      <c r="B59" s="85" t="s">
        <v>23</v>
      </c>
      <c r="C59" s="86" t="s">
        <v>33</v>
      </c>
      <c r="D59" s="86" t="s">
        <v>34</v>
      </c>
      <c r="E59" s="93" t="s">
        <v>39</v>
      </c>
      <c r="F59" s="86"/>
      <c r="G59" s="88" t="s">
        <v>36</v>
      </c>
      <c r="H59" s="86"/>
      <c r="I59" s="86"/>
      <c r="J59" s="86"/>
      <c r="K59" s="86">
        <v>1000</v>
      </c>
      <c r="L59" s="86">
        <f t="shared" ref="L59" si="33">K59</f>
        <v>1000</v>
      </c>
      <c r="M59" s="89" t="s">
        <v>18</v>
      </c>
      <c r="W59" s="105">
        <f>SUM(W52:W58)</f>
        <v>692</v>
      </c>
    </row>
    <row r="60" spans="1:23" ht="14.25" customHeight="1" x14ac:dyDescent="0.3">
      <c r="A60" s="84" t="s">
        <v>150</v>
      </c>
      <c r="B60" s="86" t="s">
        <v>14</v>
      </c>
      <c r="C60" s="86">
        <v>7479</v>
      </c>
      <c r="D60" s="86" t="s">
        <v>20</v>
      </c>
      <c r="E60" s="86" t="s">
        <v>21</v>
      </c>
      <c r="F60" s="86">
        <v>37</v>
      </c>
      <c r="G60" s="86">
        <v>0.15</v>
      </c>
      <c r="H60" s="86">
        <f>G60*F60</f>
        <v>5.55</v>
      </c>
      <c r="I60" s="86">
        <v>80</v>
      </c>
      <c r="J60" s="86">
        <v>1</v>
      </c>
      <c r="K60" s="86">
        <f>F60*I60</f>
        <v>2960</v>
      </c>
      <c r="L60" s="86">
        <f>K60*J60</f>
        <v>2960</v>
      </c>
      <c r="M60" s="89" t="s">
        <v>22</v>
      </c>
    </row>
    <row r="61" spans="1:23" ht="14.25" customHeight="1" x14ac:dyDescent="0.3">
      <c r="A61" s="84" t="s">
        <v>150</v>
      </c>
      <c r="B61" s="86" t="s">
        <v>14</v>
      </c>
      <c r="C61" s="86">
        <v>7479</v>
      </c>
      <c r="D61" s="86" t="s">
        <v>20</v>
      </c>
      <c r="E61" s="86" t="s">
        <v>25</v>
      </c>
      <c r="F61" s="86"/>
      <c r="G61" s="86"/>
      <c r="H61" s="86"/>
      <c r="I61" s="86"/>
      <c r="J61" s="86">
        <v>1</v>
      </c>
      <c r="K61" s="86">
        <v>5200</v>
      </c>
      <c r="L61" s="86">
        <f t="shared" ref="L61:L62" si="34">K61</f>
        <v>5200</v>
      </c>
      <c r="M61" s="89" t="s">
        <v>31</v>
      </c>
    </row>
    <row r="62" spans="1:23" ht="14.25" customHeight="1" x14ac:dyDescent="0.3">
      <c r="A62" s="84" t="s">
        <v>150</v>
      </c>
      <c r="B62" s="85" t="s">
        <v>23</v>
      </c>
      <c r="C62" s="86" t="s">
        <v>33</v>
      </c>
      <c r="D62" s="86" t="s">
        <v>34</v>
      </c>
      <c r="E62" s="87" t="s">
        <v>35</v>
      </c>
      <c r="F62" s="86"/>
      <c r="G62" s="88" t="s">
        <v>77</v>
      </c>
      <c r="H62" s="86"/>
      <c r="I62" s="86"/>
      <c r="J62" s="86"/>
      <c r="K62" s="86">
        <v>5500</v>
      </c>
      <c r="L62" s="86">
        <f t="shared" si="34"/>
        <v>5500</v>
      </c>
      <c r="M62" s="90" t="s">
        <v>26</v>
      </c>
    </row>
    <row r="63" spans="1:23" ht="14.25" customHeight="1" x14ac:dyDescent="0.3">
      <c r="A63" s="84" t="s">
        <v>150</v>
      </c>
      <c r="B63" s="85" t="s">
        <v>23</v>
      </c>
      <c r="C63" s="86" t="s">
        <v>33</v>
      </c>
      <c r="D63" s="86" t="s">
        <v>34</v>
      </c>
      <c r="E63" s="92" t="s">
        <v>30</v>
      </c>
      <c r="F63" s="86"/>
      <c r="G63" s="88" t="s">
        <v>78</v>
      </c>
      <c r="H63" s="86"/>
      <c r="I63" s="86"/>
      <c r="J63" s="86"/>
      <c r="K63" s="86">
        <v>8333</v>
      </c>
      <c r="L63" s="86">
        <f>K63</f>
        <v>8333</v>
      </c>
      <c r="M63" s="89" t="s">
        <v>31</v>
      </c>
    </row>
    <row r="64" spans="1:23" ht="14.25" customHeight="1" x14ac:dyDescent="0.3">
      <c r="A64" s="84" t="s">
        <v>150</v>
      </c>
      <c r="B64" s="86" t="s">
        <v>14</v>
      </c>
      <c r="C64" s="86">
        <v>2028</v>
      </c>
      <c r="D64" s="86" t="s">
        <v>16</v>
      </c>
      <c r="E64" s="86" t="s">
        <v>17</v>
      </c>
      <c r="F64" s="86">
        <v>117</v>
      </c>
      <c r="G64" s="86">
        <v>0.67500000000000004</v>
      </c>
      <c r="H64" s="86">
        <f>G64*F64</f>
        <v>78.975000000000009</v>
      </c>
      <c r="I64" s="86">
        <v>42</v>
      </c>
      <c r="J64" s="86">
        <v>4</v>
      </c>
      <c r="K64" s="86">
        <f t="shared" ref="K64" si="35">F64*I64</f>
        <v>4914</v>
      </c>
      <c r="L64" s="86">
        <f>K64*J64</f>
        <v>19656</v>
      </c>
      <c r="M64" s="89" t="s">
        <v>18</v>
      </c>
    </row>
    <row r="65" spans="1:13" ht="14.25" customHeight="1" x14ac:dyDescent="0.3">
      <c r="A65" s="84" t="s">
        <v>150</v>
      </c>
      <c r="B65" s="86" t="s">
        <v>14</v>
      </c>
      <c r="C65" s="86">
        <v>2576</v>
      </c>
      <c r="D65" s="86" t="s">
        <v>84</v>
      </c>
      <c r="E65" s="86" t="s">
        <v>25</v>
      </c>
      <c r="F65" s="86"/>
      <c r="G65" s="86"/>
      <c r="H65" s="86"/>
      <c r="I65" s="86"/>
      <c r="J65" s="86">
        <v>1</v>
      </c>
      <c r="K65" s="86">
        <v>1000</v>
      </c>
      <c r="L65" s="86">
        <f t="shared" ref="L65" si="36">K65</f>
        <v>1000</v>
      </c>
      <c r="M65" s="89" t="s">
        <v>22</v>
      </c>
    </row>
    <row r="66" spans="1:13" ht="14.25" customHeight="1" x14ac:dyDescent="0.3">
      <c r="A66" s="84" t="s">
        <v>151</v>
      </c>
      <c r="B66" s="86" t="s">
        <v>14</v>
      </c>
      <c r="C66" s="86">
        <v>2028</v>
      </c>
      <c r="D66" s="86" t="s">
        <v>16</v>
      </c>
      <c r="E66" s="86" t="s">
        <v>17</v>
      </c>
      <c r="F66" s="86">
        <v>71</v>
      </c>
      <c r="G66" s="86">
        <v>0.67500000000000004</v>
      </c>
      <c r="H66" s="86">
        <f>G66*F66</f>
        <v>47.925000000000004</v>
      </c>
      <c r="I66" s="86">
        <v>42</v>
      </c>
      <c r="J66" s="86">
        <v>4</v>
      </c>
      <c r="K66" s="86">
        <f t="shared" ref="K66" si="37">F66*I66</f>
        <v>2982</v>
      </c>
      <c r="L66" s="86">
        <f>K66*J66</f>
        <v>11928</v>
      </c>
      <c r="M66" s="89" t="s">
        <v>18</v>
      </c>
    </row>
    <row r="67" spans="1:13" ht="14.25" customHeight="1" x14ac:dyDescent="0.3">
      <c r="A67" s="84" t="s">
        <v>151</v>
      </c>
      <c r="B67" s="86" t="s">
        <v>14</v>
      </c>
      <c r="C67" s="86">
        <v>7479</v>
      </c>
      <c r="D67" s="86" t="s">
        <v>20</v>
      </c>
      <c r="E67" s="86" t="s">
        <v>25</v>
      </c>
      <c r="F67" s="86"/>
      <c r="G67" s="86"/>
      <c r="H67" s="86"/>
      <c r="I67" s="86"/>
      <c r="J67" s="86">
        <v>1</v>
      </c>
      <c r="K67" s="86">
        <v>5300</v>
      </c>
      <c r="L67" s="86">
        <f t="shared" ref="L67:L69" si="38">K67</f>
        <v>5300</v>
      </c>
      <c r="M67" s="89" t="s">
        <v>31</v>
      </c>
    </row>
    <row r="68" spans="1:13" ht="14.25" customHeight="1" x14ac:dyDescent="0.3">
      <c r="A68" s="84" t="s">
        <v>151</v>
      </c>
      <c r="B68" s="85" t="s">
        <v>23</v>
      </c>
      <c r="C68" s="86" t="s">
        <v>33</v>
      </c>
      <c r="D68" s="86" t="s">
        <v>34</v>
      </c>
      <c r="E68" s="87" t="s">
        <v>35</v>
      </c>
      <c r="F68" s="86"/>
      <c r="G68" s="88" t="s">
        <v>77</v>
      </c>
      <c r="H68" s="86"/>
      <c r="I68" s="86"/>
      <c r="J68" s="86"/>
      <c r="K68" s="86">
        <v>4150</v>
      </c>
      <c r="L68" s="86">
        <f t="shared" si="38"/>
        <v>4150</v>
      </c>
      <c r="M68" s="90" t="s">
        <v>26</v>
      </c>
    </row>
    <row r="69" spans="1:13" ht="14.25" customHeight="1" x14ac:dyDescent="0.3">
      <c r="A69" s="84" t="s">
        <v>151</v>
      </c>
      <c r="B69" s="85" t="s">
        <v>23</v>
      </c>
      <c r="C69" s="86" t="s">
        <v>33</v>
      </c>
      <c r="D69" s="86" t="s">
        <v>34</v>
      </c>
      <c r="E69" s="93" t="s">
        <v>39</v>
      </c>
      <c r="F69" s="86"/>
      <c r="G69" s="88" t="s">
        <v>36</v>
      </c>
      <c r="H69" s="86"/>
      <c r="I69" s="86"/>
      <c r="J69" s="86"/>
      <c r="K69" s="86">
        <v>7200</v>
      </c>
      <c r="L69" s="86">
        <f t="shared" si="38"/>
        <v>7200</v>
      </c>
      <c r="M69" s="89" t="s">
        <v>18</v>
      </c>
    </row>
    <row r="70" spans="1:13" ht="14.25" customHeight="1" x14ac:dyDescent="0.3">
      <c r="A70" s="84" t="s">
        <v>151</v>
      </c>
      <c r="B70" s="85" t="s">
        <v>23</v>
      </c>
      <c r="C70" s="86" t="s">
        <v>33</v>
      </c>
      <c r="D70" s="86" t="s">
        <v>34</v>
      </c>
      <c r="E70" s="92" t="s">
        <v>30</v>
      </c>
      <c r="F70" s="86"/>
      <c r="G70" s="88" t="s">
        <v>78</v>
      </c>
      <c r="H70" s="86"/>
      <c r="I70" s="86"/>
      <c r="J70" s="86"/>
      <c r="K70" s="86">
        <v>5667</v>
      </c>
      <c r="L70" s="86">
        <f>K70</f>
        <v>5667</v>
      </c>
      <c r="M70" s="89" t="s">
        <v>31</v>
      </c>
    </row>
    <row r="71" spans="1:13" ht="14.25" customHeight="1" x14ac:dyDescent="0.3">
      <c r="A71" s="84" t="s">
        <v>152</v>
      </c>
      <c r="B71" s="85" t="s">
        <v>23</v>
      </c>
      <c r="C71" s="86" t="s">
        <v>33</v>
      </c>
      <c r="D71" s="86" t="s">
        <v>34</v>
      </c>
      <c r="E71" s="87" t="s">
        <v>35</v>
      </c>
      <c r="F71" s="86"/>
      <c r="G71" s="88" t="s">
        <v>77</v>
      </c>
      <c r="H71" s="86"/>
      <c r="I71" s="86"/>
      <c r="J71" s="86"/>
      <c r="K71" s="86">
        <v>3050</v>
      </c>
      <c r="L71" s="86">
        <f t="shared" ref="L71:L72" si="39">K71</f>
        <v>3050</v>
      </c>
      <c r="M71" s="90" t="s">
        <v>26</v>
      </c>
    </row>
    <row r="72" spans="1:13" ht="14.25" customHeight="1" x14ac:dyDescent="0.3">
      <c r="A72" s="84" t="s">
        <v>152</v>
      </c>
      <c r="B72" s="85" t="s">
        <v>23</v>
      </c>
      <c r="C72" s="86" t="s">
        <v>33</v>
      </c>
      <c r="D72" s="86" t="s">
        <v>34</v>
      </c>
      <c r="E72" s="93" t="s">
        <v>39</v>
      </c>
      <c r="F72" s="86"/>
      <c r="G72" s="88" t="s">
        <v>36</v>
      </c>
      <c r="H72" s="86"/>
      <c r="I72" s="86"/>
      <c r="J72" s="86"/>
      <c r="K72" s="86">
        <v>7200</v>
      </c>
      <c r="L72" s="86">
        <f t="shared" si="39"/>
        <v>7200</v>
      </c>
      <c r="M72" s="89" t="s">
        <v>18</v>
      </c>
    </row>
    <row r="73" spans="1:13" ht="14.25" customHeight="1" x14ac:dyDescent="0.3">
      <c r="A73" s="84" t="s">
        <v>152</v>
      </c>
      <c r="B73" s="85" t="s">
        <v>23</v>
      </c>
      <c r="C73" s="86" t="s">
        <v>33</v>
      </c>
      <c r="D73" s="86" t="s">
        <v>34</v>
      </c>
      <c r="E73" s="92" t="s">
        <v>30</v>
      </c>
      <c r="F73" s="86"/>
      <c r="G73" s="88" t="s">
        <v>78</v>
      </c>
      <c r="H73" s="86"/>
      <c r="I73" s="86"/>
      <c r="J73" s="86"/>
      <c r="K73" s="86">
        <v>7448</v>
      </c>
      <c r="L73" s="86">
        <f>K73</f>
        <v>7448</v>
      </c>
      <c r="M73" s="89" t="s">
        <v>31</v>
      </c>
    </row>
    <row r="74" spans="1:13" ht="14.25" customHeight="1" x14ac:dyDescent="0.3">
      <c r="A74" s="84" t="s">
        <v>152</v>
      </c>
      <c r="B74" s="85" t="s">
        <v>23</v>
      </c>
      <c r="C74" s="86">
        <v>65548</v>
      </c>
      <c r="D74" s="91" t="s">
        <v>24</v>
      </c>
      <c r="E74" s="87" t="s">
        <v>25</v>
      </c>
      <c r="F74" s="86"/>
      <c r="G74" s="88"/>
      <c r="H74" s="86"/>
      <c r="I74" s="86"/>
      <c r="J74" s="86"/>
      <c r="K74" s="86">
        <v>5330</v>
      </c>
      <c r="L74" s="86">
        <f t="shared" ref="L74:L75" si="40">K74</f>
        <v>5330</v>
      </c>
      <c r="M74" s="97" t="s">
        <v>153</v>
      </c>
    </row>
    <row r="75" spans="1:13" ht="14.25" customHeight="1" x14ac:dyDescent="0.3">
      <c r="A75" s="84" t="s">
        <v>152</v>
      </c>
      <c r="B75" s="85" t="s">
        <v>23</v>
      </c>
      <c r="C75" s="86">
        <v>65548</v>
      </c>
      <c r="D75" s="91" t="s">
        <v>24</v>
      </c>
      <c r="E75" s="92" t="s">
        <v>30</v>
      </c>
      <c r="F75" s="86"/>
      <c r="G75" s="88" t="s">
        <v>36</v>
      </c>
      <c r="H75" s="86"/>
      <c r="I75" s="86"/>
      <c r="J75" s="86"/>
      <c r="K75" s="86">
        <v>3300</v>
      </c>
      <c r="L75" s="86">
        <f t="shared" si="40"/>
        <v>3300</v>
      </c>
      <c r="M75" s="89" t="s">
        <v>31</v>
      </c>
    </row>
    <row r="76" spans="1:13" ht="14.25" customHeight="1" x14ac:dyDescent="0.3">
      <c r="A76" s="84" t="s">
        <v>152</v>
      </c>
      <c r="B76" s="86" t="s">
        <v>14</v>
      </c>
      <c r="C76" s="86">
        <v>7479</v>
      </c>
      <c r="D76" s="86" t="s">
        <v>20</v>
      </c>
      <c r="E76" s="86" t="s">
        <v>25</v>
      </c>
      <c r="F76" s="86"/>
      <c r="G76" s="86"/>
      <c r="H76" s="86"/>
      <c r="I76" s="86"/>
      <c r="J76" s="86">
        <v>1</v>
      </c>
      <c r="K76" s="86">
        <v>5300</v>
      </c>
      <c r="L76" s="86">
        <f t="shared" ref="L76:L78" si="41">K76</f>
        <v>5300</v>
      </c>
      <c r="M76" s="89" t="s">
        <v>37</v>
      </c>
    </row>
    <row r="77" spans="1:13" ht="14.25" customHeight="1" x14ac:dyDescent="0.3">
      <c r="A77" s="84" t="s">
        <v>154</v>
      </c>
      <c r="B77" s="85" t="s">
        <v>23</v>
      </c>
      <c r="C77" s="86">
        <v>65548</v>
      </c>
      <c r="D77" s="91" t="s">
        <v>24</v>
      </c>
      <c r="E77" s="87" t="s">
        <v>25</v>
      </c>
      <c r="F77" s="86"/>
      <c r="G77" s="88"/>
      <c r="H77" s="86"/>
      <c r="I77" s="86"/>
      <c r="J77" s="86"/>
      <c r="K77" s="86">
        <v>3964</v>
      </c>
      <c r="L77" s="86">
        <f t="shared" si="41"/>
        <v>3964</v>
      </c>
      <c r="M77" s="97" t="s">
        <v>153</v>
      </c>
    </row>
    <row r="78" spans="1:13" ht="14.25" customHeight="1" x14ac:dyDescent="0.3">
      <c r="A78" s="84" t="s">
        <v>154</v>
      </c>
      <c r="B78" s="85" t="s">
        <v>23</v>
      </c>
      <c r="C78" s="86">
        <v>65548</v>
      </c>
      <c r="D78" s="91" t="s">
        <v>24</v>
      </c>
      <c r="E78" s="92" t="s">
        <v>30</v>
      </c>
      <c r="F78" s="86"/>
      <c r="G78" s="88" t="s">
        <v>36</v>
      </c>
      <c r="H78" s="86"/>
      <c r="I78" s="86"/>
      <c r="J78" s="86"/>
      <c r="K78" s="86">
        <v>7004</v>
      </c>
      <c r="L78" s="86">
        <f t="shared" si="41"/>
        <v>7004</v>
      </c>
      <c r="M78" s="89" t="s">
        <v>31</v>
      </c>
    </row>
    <row r="79" spans="1:13" ht="14.25" customHeight="1" x14ac:dyDescent="0.3">
      <c r="A79" s="84" t="s">
        <v>154</v>
      </c>
      <c r="B79" s="86" t="s">
        <v>14</v>
      </c>
      <c r="C79" s="86">
        <v>7479</v>
      </c>
      <c r="D79" s="86" t="s">
        <v>20</v>
      </c>
      <c r="E79" s="86" t="s">
        <v>25</v>
      </c>
      <c r="F79" s="86"/>
      <c r="G79" s="86"/>
      <c r="H79" s="86"/>
      <c r="I79" s="86"/>
      <c r="J79" s="86">
        <v>1</v>
      </c>
      <c r="K79" s="86">
        <v>5300</v>
      </c>
      <c r="L79" s="86">
        <f t="shared" ref="L79:L80" si="42">K79</f>
        <v>5300</v>
      </c>
      <c r="M79" s="89" t="s">
        <v>37</v>
      </c>
    </row>
    <row r="80" spans="1:13" ht="14.25" customHeight="1" x14ac:dyDescent="0.3">
      <c r="A80" s="84" t="s">
        <v>154</v>
      </c>
      <c r="B80" s="86" t="s">
        <v>14</v>
      </c>
      <c r="C80" s="86">
        <v>2576</v>
      </c>
      <c r="D80" s="86" t="s">
        <v>84</v>
      </c>
      <c r="E80" s="86" t="s">
        <v>25</v>
      </c>
      <c r="F80" s="86"/>
      <c r="G80" s="86"/>
      <c r="H80" s="86"/>
      <c r="I80" s="86"/>
      <c r="J80" s="86">
        <v>1</v>
      </c>
      <c r="K80" s="86">
        <v>2000</v>
      </c>
      <c r="L80" s="86">
        <f t="shared" si="42"/>
        <v>2000</v>
      </c>
      <c r="M80" s="89" t="s">
        <v>22</v>
      </c>
    </row>
    <row r="81" spans="1:14" ht="14.25" customHeight="1" x14ac:dyDescent="0.3">
      <c r="A81" s="84" t="s">
        <v>155</v>
      </c>
      <c r="B81" s="86" t="s">
        <v>14</v>
      </c>
      <c r="C81" s="86">
        <v>7479</v>
      </c>
      <c r="D81" s="86" t="s">
        <v>20</v>
      </c>
      <c r="E81" s="86" t="s">
        <v>25</v>
      </c>
      <c r="F81" s="86"/>
      <c r="G81" s="86"/>
      <c r="H81" s="86"/>
      <c r="I81" s="86"/>
      <c r="J81" s="86">
        <v>1</v>
      </c>
      <c r="K81" s="86">
        <v>5000</v>
      </c>
      <c r="L81" s="86">
        <f t="shared" ref="L81:L83" si="43">K81</f>
        <v>5000</v>
      </c>
      <c r="M81" s="89" t="s">
        <v>37</v>
      </c>
    </row>
    <row r="82" spans="1:14" ht="14.25" customHeight="1" x14ac:dyDescent="0.3">
      <c r="A82" s="84" t="s">
        <v>155</v>
      </c>
      <c r="B82" s="86" t="s">
        <v>14</v>
      </c>
      <c r="C82" s="86">
        <v>2576</v>
      </c>
      <c r="D82" s="86" t="s">
        <v>84</v>
      </c>
      <c r="E82" s="86" t="s">
        <v>25</v>
      </c>
      <c r="F82" s="86"/>
      <c r="G82" s="86"/>
      <c r="H82" s="86"/>
      <c r="I82" s="86"/>
      <c r="J82" s="86">
        <v>1</v>
      </c>
      <c r="K82" s="86">
        <v>4000</v>
      </c>
      <c r="L82" s="86">
        <f t="shared" si="43"/>
        <v>4000</v>
      </c>
      <c r="M82" s="89" t="s">
        <v>22</v>
      </c>
    </row>
    <row r="83" spans="1:14" ht="14.25" customHeight="1" x14ac:dyDescent="0.3">
      <c r="A83" s="84" t="s">
        <v>155</v>
      </c>
      <c r="B83" s="95" t="s">
        <v>44</v>
      </c>
      <c r="C83" s="86" t="s">
        <v>45</v>
      </c>
      <c r="D83" s="86" t="s">
        <v>46</v>
      </c>
      <c r="E83" s="86" t="s">
        <v>47</v>
      </c>
      <c r="F83" s="86"/>
      <c r="G83" s="86"/>
      <c r="H83" s="86"/>
      <c r="I83" s="86"/>
      <c r="J83" s="86"/>
      <c r="K83" s="86">
        <v>1300</v>
      </c>
      <c r="L83" s="86">
        <f t="shared" si="43"/>
        <v>1300</v>
      </c>
      <c r="M83" s="89" t="s">
        <v>48</v>
      </c>
    </row>
    <row r="84" spans="1:14" ht="14.25" customHeight="1" x14ac:dyDescent="0.3">
      <c r="A84" s="84" t="s">
        <v>155</v>
      </c>
      <c r="B84" s="99" t="s">
        <v>156</v>
      </c>
      <c r="C84" s="100" t="s">
        <v>157</v>
      </c>
      <c r="D84" s="86" t="s">
        <v>16</v>
      </c>
      <c r="E84" s="86" t="s">
        <v>17</v>
      </c>
      <c r="F84" s="86">
        <v>68</v>
      </c>
      <c r="G84" s="86">
        <v>1.7</v>
      </c>
      <c r="H84" s="86">
        <f>G84*F84</f>
        <v>115.6</v>
      </c>
      <c r="I84" s="86">
        <v>21</v>
      </c>
      <c r="J84" s="86">
        <v>1</v>
      </c>
      <c r="K84" s="86">
        <f t="shared" ref="K84" si="44">F84*I84</f>
        <v>1428</v>
      </c>
      <c r="L84" s="86">
        <f>K84*J84</f>
        <v>1428</v>
      </c>
      <c r="M84" s="90" t="s">
        <v>26</v>
      </c>
    </row>
    <row r="85" spans="1:14" ht="14.25" customHeight="1" x14ac:dyDescent="0.3">
      <c r="A85" s="84" t="s">
        <v>158</v>
      </c>
      <c r="B85" s="86" t="s">
        <v>14</v>
      </c>
      <c r="C85" s="86">
        <v>7479</v>
      </c>
      <c r="D85" s="86" t="s">
        <v>20</v>
      </c>
      <c r="E85" s="86" t="s">
        <v>25</v>
      </c>
      <c r="F85" s="86"/>
      <c r="G85" s="86"/>
      <c r="H85" s="86"/>
      <c r="I85" s="86"/>
      <c r="J85" s="86">
        <v>1</v>
      </c>
      <c r="K85" s="86">
        <v>5600</v>
      </c>
      <c r="L85" s="86">
        <f t="shared" ref="L85:L89" si="45">K85</f>
        <v>5600</v>
      </c>
      <c r="M85" s="89" t="s">
        <v>37</v>
      </c>
    </row>
    <row r="86" spans="1:14" ht="14.25" customHeight="1" x14ac:dyDescent="0.3">
      <c r="A86" s="84" t="s">
        <v>158</v>
      </c>
      <c r="B86" s="86" t="s">
        <v>14</v>
      </c>
      <c r="C86" s="86">
        <v>2576</v>
      </c>
      <c r="D86" s="86" t="s">
        <v>84</v>
      </c>
      <c r="E86" s="86" t="s">
        <v>25</v>
      </c>
      <c r="F86" s="86"/>
      <c r="G86" s="86"/>
      <c r="H86" s="86"/>
      <c r="I86" s="86"/>
      <c r="J86" s="86">
        <v>1</v>
      </c>
      <c r="K86" s="86">
        <v>500</v>
      </c>
      <c r="L86" s="86">
        <f t="shared" si="45"/>
        <v>500</v>
      </c>
      <c r="M86" s="89" t="s">
        <v>22</v>
      </c>
    </row>
    <row r="87" spans="1:14" ht="14.25" customHeight="1" x14ac:dyDescent="0.3">
      <c r="A87" s="84" t="s">
        <v>158</v>
      </c>
      <c r="B87" s="95" t="s">
        <v>44</v>
      </c>
      <c r="C87" s="86" t="s">
        <v>45</v>
      </c>
      <c r="D87" s="86" t="s">
        <v>46</v>
      </c>
      <c r="E87" s="86" t="s">
        <v>47</v>
      </c>
      <c r="F87" s="86"/>
      <c r="G87" s="86"/>
      <c r="H87" s="86"/>
      <c r="I87" s="86"/>
      <c r="J87" s="86"/>
      <c r="K87" s="86">
        <v>1500</v>
      </c>
      <c r="L87" s="86">
        <f t="shared" si="45"/>
        <v>1500</v>
      </c>
      <c r="M87" s="89" t="s">
        <v>48</v>
      </c>
    </row>
    <row r="88" spans="1:14" ht="14.25" customHeight="1" x14ac:dyDescent="0.3">
      <c r="A88" s="84" t="s">
        <v>158</v>
      </c>
      <c r="B88" s="86" t="s">
        <v>14</v>
      </c>
      <c r="C88" s="86">
        <v>6871</v>
      </c>
      <c r="D88" s="86" t="s">
        <v>16</v>
      </c>
      <c r="E88" s="86" t="s">
        <v>17</v>
      </c>
      <c r="F88" s="86">
        <v>106</v>
      </c>
      <c r="G88" s="86">
        <v>0.64</v>
      </c>
      <c r="H88" s="86">
        <f>G88*F88</f>
        <v>67.84</v>
      </c>
      <c r="I88" s="86">
        <v>70</v>
      </c>
      <c r="J88" s="86">
        <v>2</v>
      </c>
      <c r="K88" s="86">
        <f t="shared" ref="K88" si="46">F88*I88</f>
        <v>7420</v>
      </c>
      <c r="L88" s="86">
        <f t="shared" ref="L88" si="47">K88*J88</f>
        <v>14840</v>
      </c>
      <c r="M88" s="89" t="s">
        <v>22</v>
      </c>
    </row>
    <row r="89" spans="1:14" ht="14.25" customHeight="1" x14ac:dyDescent="0.3">
      <c r="A89" s="84" t="s">
        <v>158</v>
      </c>
      <c r="B89" s="101" t="s">
        <v>41</v>
      </c>
      <c r="C89" s="86" t="s">
        <v>159</v>
      </c>
      <c r="D89" s="86" t="s">
        <v>159</v>
      </c>
      <c r="E89" s="86" t="s">
        <v>30</v>
      </c>
      <c r="F89" s="86"/>
      <c r="G89" s="86"/>
      <c r="H89" s="86"/>
      <c r="I89" s="86"/>
      <c r="J89" s="86"/>
      <c r="K89" s="86">
        <v>300</v>
      </c>
      <c r="L89" s="86">
        <f t="shared" si="45"/>
        <v>300</v>
      </c>
      <c r="M89" s="89" t="s">
        <v>31</v>
      </c>
    </row>
    <row r="90" spans="1:14" ht="14.25" customHeight="1" x14ac:dyDescent="0.3">
      <c r="A90" s="84" t="s">
        <v>160</v>
      </c>
      <c r="B90" s="86" t="s">
        <v>14</v>
      </c>
      <c r="C90" s="86">
        <v>7479</v>
      </c>
      <c r="D90" s="86" t="s">
        <v>20</v>
      </c>
      <c r="E90" s="86" t="s">
        <v>25</v>
      </c>
      <c r="F90" s="86"/>
      <c r="G90" s="86"/>
      <c r="H90" s="86"/>
      <c r="I90" s="86"/>
      <c r="J90" s="86">
        <v>1</v>
      </c>
      <c r="K90" s="86">
        <v>3500</v>
      </c>
      <c r="L90" s="86">
        <f t="shared" ref="L90" si="48">K90</f>
        <v>3500</v>
      </c>
      <c r="M90" s="89" t="s">
        <v>37</v>
      </c>
    </row>
    <row r="91" spans="1:14" ht="14.25" customHeight="1" x14ac:dyDescent="0.3">
      <c r="A91" s="84" t="s">
        <v>160</v>
      </c>
      <c r="B91" s="86" t="s">
        <v>14</v>
      </c>
      <c r="C91" s="86" t="s">
        <v>56</v>
      </c>
      <c r="D91" s="86" t="s">
        <v>57</v>
      </c>
      <c r="E91" s="86" t="s">
        <v>39</v>
      </c>
      <c r="F91" s="86"/>
      <c r="G91" s="86" t="s">
        <v>36</v>
      </c>
      <c r="H91" s="86"/>
      <c r="I91" s="86"/>
      <c r="J91" s="86">
        <v>2</v>
      </c>
      <c r="K91" s="86">
        <v>5000</v>
      </c>
      <c r="L91" s="86">
        <f>K91*2</f>
        <v>10000</v>
      </c>
      <c r="M91" s="89" t="s">
        <v>91</v>
      </c>
    </row>
    <row r="92" spans="1:14" ht="14.25" customHeight="1" x14ac:dyDescent="0.3">
      <c r="A92" s="84" t="s">
        <v>160</v>
      </c>
      <c r="B92" s="101" t="s">
        <v>41</v>
      </c>
      <c r="C92" s="86" t="s">
        <v>159</v>
      </c>
      <c r="D92" s="86" t="s">
        <v>159</v>
      </c>
      <c r="E92" s="86" t="s">
        <v>30</v>
      </c>
      <c r="F92" s="86"/>
      <c r="G92" s="86"/>
      <c r="H92" s="86"/>
      <c r="I92" s="86"/>
      <c r="J92" s="86"/>
      <c r="K92" s="86">
        <v>1400</v>
      </c>
      <c r="L92" s="86">
        <f t="shared" ref="L92" si="49">K92</f>
        <v>1400</v>
      </c>
      <c r="M92" s="89" t="s">
        <v>31</v>
      </c>
    </row>
    <row r="93" spans="1:14" ht="14.25" customHeight="1" x14ac:dyDescent="0.3">
      <c r="A93" s="84" t="s">
        <v>160</v>
      </c>
      <c r="B93" s="99" t="s">
        <v>156</v>
      </c>
      <c r="C93" s="100" t="s">
        <v>157</v>
      </c>
      <c r="D93" s="86" t="s">
        <v>16</v>
      </c>
      <c r="E93" s="86" t="s">
        <v>17</v>
      </c>
      <c r="F93" s="86">
        <v>223</v>
      </c>
      <c r="G93" s="86">
        <v>1.7</v>
      </c>
      <c r="H93" s="86">
        <f>G93*F93</f>
        <v>379.09999999999997</v>
      </c>
      <c r="I93" s="86">
        <v>20</v>
      </c>
      <c r="J93" s="86">
        <v>1</v>
      </c>
      <c r="K93" s="86">
        <f t="shared" ref="K93" si="50">F93*I93</f>
        <v>4460</v>
      </c>
      <c r="L93" s="86">
        <f>K93*J93</f>
        <v>4460</v>
      </c>
      <c r="M93" s="90" t="s">
        <v>26</v>
      </c>
    </row>
    <row r="94" spans="1:14" ht="14.25" customHeight="1" x14ac:dyDescent="0.3">
      <c r="A94" s="84" t="s">
        <v>161</v>
      </c>
      <c r="B94" s="101" t="s">
        <v>41</v>
      </c>
      <c r="C94" s="86" t="s">
        <v>159</v>
      </c>
      <c r="D94" s="86" t="s">
        <v>159</v>
      </c>
      <c r="E94" s="86" t="s">
        <v>30</v>
      </c>
      <c r="F94" s="86"/>
      <c r="G94" s="86"/>
      <c r="H94" s="86"/>
      <c r="I94" s="86"/>
      <c r="J94" s="86"/>
      <c r="K94" s="86">
        <v>1900</v>
      </c>
      <c r="L94" s="86">
        <f t="shared" ref="L94:L96" si="51">K94</f>
        <v>1900</v>
      </c>
      <c r="M94" s="89" t="s">
        <v>31</v>
      </c>
    </row>
    <row r="95" spans="1:14" ht="14.25" customHeight="1" x14ac:dyDescent="0.3">
      <c r="A95" s="84" t="s">
        <v>161</v>
      </c>
      <c r="B95" s="85" t="s">
        <v>23</v>
      </c>
      <c r="C95" s="86" t="s">
        <v>33</v>
      </c>
      <c r="D95" s="86" t="s">
        <v>34</v>
      </c>
      <c r="E95" s="87" t="s">
        <v>35</v>
      </c>
      <c r="F95" s="86"/>
      <c r="G95" s="88" t="s">
        <v>77</v>
      </c>
      <c r="H95" s="86"/>
      <c r="I95" s="86"/>
      <c r="J95" s="86"/>
      <c r="K95" s="86">
        <v>9006</v>
      </c>
      <c r="L95" s="86">
        <f t="shared" si="51"/>
        <v>9006</v>
      </c>
      <c r="M95" s="89" t="s">
        <v>18</v>
      </c>
      <c r="N95" s="102">
        <v>7416100</v>
      </c>
    </row>
    <row r="96" spans="1:14" ht="14.25" customHeight="1" x14ac:dyDescent="0.3">
      <c r="A96" s="84" t="s">
        <v>161</v>
      </c>
      <c r="B96" s="86" t="s">
        <v>14</v>
      </c>
      <c r="C96" s="86" t="s">
        <v>56</v>
      </c>
      <c r="D96" s="86" t="s">
        <v>57</v>
      </c>
      <c r="E96" s="94" t="s">
        <v>35</v>
      </c>
      <c r="F96" s="86"/>
      <c r="G96" s="86" t="s">
        <v>77</v>
      </c>
      <c r="H96" s="86"/>
      <c r="I96" s="86"/>
      <c r="J96" s="86">
        <v>1</v>
      </c>
      <c r="K96" s="86">
        <v>4000</v>
      </c>
      <c r="L96" s="86">
        <f t="shared" si="51"/>
        <v>4000</v>
      </c>
      <c r="M96" s="89" t="s">
        <v>91</v>
      </c>
    </row>
    <row r="97" spans="1:17" ht="14.25" customHeight="1" x14ac:dyDescent="0.3">
      <c r="A97" s="84" t="s">
        <v>161</v>
      </c>
      <c r="B97" s="86" t="s">
        <v>14</v>
      </c>
      <c r="C97" s="86" t="s">
        <v>56</v>
      </c>
      <c r="D97" s="86" t="s">
        <v>57</v>
      </c>
      <c r="E97" s="86" t="s">
        <v>39</v>
      </c>
      <c r="F97" s="86"/>
      <c r="G97" s="86" t="s">
        <v>36</v>
      </c>
      <c r="H97" s="86"/>
      <c r="I97" s="86"/>
      <c r="J97" s="86">
        <v>2</v>
      </c>
      <c r="K97" s="86">
        <v>1900</v>
      </c>
      <c r="L97" s="86">
        <f>K97*2</f>
        <v>3800</v>
      </c>
      <c r="M97" s="89" t="s">
        <v>37</v>
      </c>
    </row>
    <row r="98" spans="1:17" ht="14.25" customHeight="1" x14ac:dyDescent="0.3">
      <c r="A98" s="84" t="s">
        <v>161</v>
      </c>
      <c r="B98" s="99" t="s">
        <v>156</v>
      </c>
      <c r="C98" s="100" t="s">
        <v>157</v>
      </c>
      <c r="D98" s="86" t="s">
        <v>16</v>
      </c>
      <c r="E98" s="86" t="s">
        <v>17</v>
      </c>
      <c r="F98" s="86">
        <v>55</v>
      </c>
      <c r="G98" s="86">
        <v>1.7</v>
      </c>
      <c r="H98" s="86">
        <f>G98*F98</f>
        <v>93.5</v>
      </c>
      <c r="I98" s="86">
        <v>20</v>
      </c>
      <c r="J98" s="86">
        <v>1</v>
      </c>
      <c r="K98" s="86">
        <f t="shared" ref="K98:K99" si="52">F98*I98</f>
        <v>1100</v>
      </c>
      <c r="L98" s="86">
        <f>K98*J98</f>
        <v>1100</v>
      </c>
      <c r="M98" s="90" t="s">
        <v>26</v>
      </c>
    </row>
    <row r="99" spans="1:17" ht="14.25" customHeight="1" x14ac:dyDescent="0.3">
      <c r="A99" s="84" t="s">
        <v>161</v>
      </c>
      <c r="B99" s="86" t="s">
        <v>14</v>
      </c>
      <c r="C99" s="86" t="s">
        <v>89</v>
      </c>
      <c r="D99" s="86" t="s">
        <v>90</v>
      </c>
      <c r="E99" s="86" t="s">
        <v>21</v>
      </c>
      <c r="F99" s="86">
        <v>54</v>
      </c>
      <c r="G99" s="86">
        <v>0.13500000000000001</v>
      </c>
      <c r="H99" s="86">
        <f t="shared" ref="H99" si="53">F99*G99</f>
        <v>7.2900000000000009</v>
      </c>
      <c r="I99" s="86">
        <v>77</v>
      </c>
      <c r="J99" s="86">
        <v>1</v>
      </c>
      <c r="K99" s="86">
        <f t="shared" si="52"/>
        <v>4158</v>
      </c>
      <c r="L99" s="86">
        <f t="shared" ref="L99" si="54">K99*J99</f>
        <v>4158</v>
      </c>
      <c r="M99" s="89" t="s">
        <v>22</v>
      </c>
    </row>
    <row r="100" spans="1:17" ht="14.25" customHeight="1" x14ac:dyDescent="0.3">
      <c r="A100" s="84" t="s">
        <v>161</v>
      </c>
      <c r="B100" s="86" t="s">
        <v>14</v>
      </c>
      <c r="C100" s="86" t="s">
        <v>89</v>
      </c>
      <c r="D100" s="86" t="s">
        <v>90</v>
      </c>
      <c r="E100" s="86" t="s">
        <v>25</v>
      </c>
      <c r="F100" s="86"/>
      <c r="G100" s="86"/>
      <c r="H100" s="86"/>
      <c r="I100" s="86"/>
      <c r="J100" s="86"/>
      <c r="K100" s="86">
        <v>2320</v>
      </c>
      <c r="L100" s="86">
        <f t="shared" ref="L100:L102" si="55">K100</f>
        <v>2320</v>
      </c>
      <c r="M100" s="89" t="s">
        <v>37</v>
      </c>
    </row>
    <row r="101" spans="1:17" ht="14.25" customHeight="1" x14ac:dyDescent="0.3">
      <c r="A101" s="84" t="s">
        <v>162</v>
      </c>
      <c r="B101" s="85" t="s">
        <v>23</v>
      </c>
      <c r="C101" s="86" t="s">
        <v>33</v>
      </c>
      <c r="D101" s="86" t="s">
        <v>34</v>
      </c>
      <c r="E101" s="87" t="s">
        <v>35</v>
      </c>
      <c r="F101" s="86"/>
      <c r="G101" s="88" t="s">
        <v>77</v>
      </c>
      <c r="H101" s="86"/>
      <c r="I101" s="86"/>
      <c r="J101" s="86"/>
      <c r="K101" s="86">
        <v>5859</v>
      </c>
      <c r="L101" s="86">
        <f t="shared" si="55"/>
        <v>5859</v>
      </c>
      <c r="M101" s="89" t="s">
        <v>18</v>
      </c>
      <c r="N101" s="102">
        <v>7421959</v>
      </c>
      <c r="O101" s="76">
        <f>N101-N95</f>
        <v>5859</v>
      </c>
    </row>
    <row r="102" spans="1:17" ht="14.25" customHeight="1" x14ac:dyDescent="0.3">
      <c r="A102" s="84" t="s">
        <v>162</v>
      </c>
      <c r="B102" s="85" t="s">
        <v>23</v>
      </c>
      <c r="C102" s="86" t="s">
        <v>33</v>
      </c>
      <c r="D102" s="86" t="s">
        <v>34</v>
      </c>
      <c r="E102" s="93" t="s">
        <v>39</v>
      </c>
      <c r="F102" s="86"/>
      <c r="G102" s="88" t="s">
        <v>36</v>
      </c>
      <c r="H102" s="86"/>
      <c r="I102" s="86"/>
      <c r="J102" s="86"/>
      <c r="K102" s="86">
        <v>1541</v>
      </c>
      <c r="L102" s="86">
        <f t="shared" si="55"/>
        <v>1541</v>
      </c>
      <c r="M102" s="89" t="s">
        <v>18</v>
      </c>
      <c r="N102" s="102">
        <v>7423500</v>
      </c>
      <c r="O102" s="76">
        <f>N102-N101</f>
        <v>1541</v>
      </c>
      <c r="Q102" s="76">
        <f>191-55</f>
        <v>136</v>
      </c>
    </row>
    <row r="103" spans="1:17" ht="14.25" customHeight="1" x14ac:dyDescent="0.3">
      <c r="A103" s="84" t="s">
        <v>162</v>
      </c>
      <c r="B103" s="99" t="s">
        <v>156</v>
      </c>
      <c r="C103" s="100" t="s">
        <v>157</v>
      </c>
      <c r="D103" s="86" t="s">
        <v>16</v>
      </c>
      <c r="E103" s="86" t="s">
        <v>17</v>
      </c>
      <c r="F103" s="86">
        <v>140</v>
      </c>
      <c r="G103" s="86">
        <v>1.7</v>
      </c>
      <c r="H103" s="86">
        <f>G103*F103</f>
        <v>238</v>
      </c>
      <c r="I103" s="86">
        <v>20</v>
      </c>
      <c r="J103" s="86">
        <v>1</v>
      </c>
      <c r="K103" s="86">
        <f t="shared" ref="K103" si="56">F103*I103</f>
        <v>2800</v>
      </c>
      <c r="L103" s="86">
        <f>K103*J103</f>
        <v>2800</v>
      </c>
      <c r="M103" s="90" t="s">
        <v>26</v>
      </c>
    </row>
    <row r="104" spans="1:17" ht="14.25" customHeight="1" x14ac:dyDescent="0.3">
      <c r="A104" s="84" t="s">
        <v>162</v>
      </c>
      <c r="B104" s="101" t="s">
        <v>41</v>
      </c>
      <c r="C104" s="86" t="s">
        <v>159</v>
      </c>
      <c r="D104" s="86" t="s">
        <v>159</v>
      </c>
      <c r="E104" s="86" t="s">
        <v>30</v>
      </c>
      <c r="F104" s="86"/>
      <c r="G104" s="86"/>
      <c r="H104" s="86"/>
      <c r="I104" s="86"/>
      <c r="J104" s="86"/>
      <c r="K104" s="86">
        <v>300</v>
      </c>
      <c r="L104" s="86">
        <f t="shared" ref="L104" si="57">K104</f>
        <v>300</v>
      </c>
      <c r="M104" s="89" t="s">
        <v>31</v>
      </c>
    </row>
    <row r="105" spans="1:17" ht="14.25" customHeight="1" x14ac:dyDescent="0.3">
      <c r="A105" s="84" t="s">
        <v>162</v>
      </c>
      <c r="B105" s="86" t="s">
        <v>14</v>
      </c>
      <c r="C105" s="86">
        <v>6078</v>
      </c>
      <c r="D105" s="86" t="s">
        <v>16</v>
      </c>
      <c r="E105" s="86" t="s">
        <v>17</v>
      </c>
      <c r="F105" s="86">
        <v>106</v>
      </c>
      <c r="G105" s="86">
        <v>0.32500000000000001</v>
      </c>
      <c r="H105" s="86">
        <f t="shared" ref="H105" si="58">F105*G105</f>
        <v>34.450000000000003</v>
      </c>
      <c r="I105" s="86">
        <v>62</v>
      </c>
      <c r="J105" s="86">
        <v>4</v>
      </c>
      <c r="K105" s="86">
        <f t="shared" ref="K105" si="59">F105*I105</f>
        <v>6572</v>
      </c>
      <c r="L105" s="86">
        <f>K105*J105</f>
        <v>26288</v>
      </c>
      <c r="M105" s="89" t="s">
        <v>18</v>
      </c>
    </row>
    <row r="106" spans="1:17" ht="14.25" customHeight="1" x14ac:dyDescent="0.3">
      <c r="A106" s="84" t="s">
        <v>162</v>
      </c>
      <c r="B106" s="85" t="s">
        <v>23</v>
      </c>
      <c r="C106" s="86">
        <v>65548</v>
      </c>
      <c r="D106" s="91" t="s">
        <v>24</v>
      </c>
      <c r="E106" s="87" t="s">
        <v>25</v>
      </c>
      <c r="F106" s="86"/>
      <c r="G106" s="88"/>
      <c r="H106" s="86"/>
      <c r="I106" s="86"/>
      <c r="J106" s="86"/>
      <c r="K106" s="86">
        <v>2600</v>
      </c>
      <c r="L106" s="86">
        <f t="shared" ref="L106:L107" si="60">K106</f>
        <v>2600</v>
      </c>
      <c r="M106" s="97" t="s">
        <v>153</v>
      </c>
    </row>
    <row r="107" spans="1:17" ht="14.25" customHeight="1" x14ac:dyDescent="0.3">
      <c r="A107" s="84" t="s">
        <v>163</v>
      </c>
      <c r="B107" s="85" t="s">
        <v>23</v>
      </c>
      <c r="C107" s="86" t="s">
        <v>33</v>
      </c>
      <c r="D107" s="86" t="s">
        <v>34</v>
      </c>
      <c r="E107" s="93" t="s">
        <v>39</v>
      </c>
      <c r="F107" s="86"/>
      <c r="G107" s="88" t="s">
        <v>36</v>
      </c>
      <c r="H107" s="86"/>
      <c r="I107" s="86"/>
      <c r="J107" s="86"/>
      <c r="K107" s="86">
        <v>11200</v>
      </c>
      <c r="L107" s="86">
        <f t="shared" si="60"/>
        <v>11200</v>
      </c>
      <c r="M107" s="89" t="s">
        <v>18</v>
      </c>
      <c r="N107" s="102">
        <v>7434700</v>
      </c>
      <c r="O107" s="76">
        <f>N107-N102</f>
        <v>11200</v>
      </c>
    </row>
    <row r="108" spans="1:17" ht="14.25" customHeight="1" x14ac:dyDescent="0.3">
      <c r="A108" s="84" t="s">
        <v>163</v>
      </c>
      <c r="B108" s="85" t="s">
        <v>23</v>
      </c>
      <c r="C108" s="86" t="s">
        <v>33</v>
      </c>
      <c r="D108" s="86" t="s">
        <v>34</v>
      </c>
      <c r="E108" s="92" t="s">
        <v>30</v>
      </c>
      <c r="F108" s="86"/>
      <c r="G108" s="88" t="s">
        <v>78</v>
      </c>
      <c r="H108" s="86"/>
      <c r="I108" s="86"/>
      <c r="J108" s="86"/>
      <c r="K108" s="86">
        <v>3530</v>
      </c>
      <c r="L108" s="86">
        <f>K108</f>
        <v>3530</v>
      </c>
      <c r="M108" s="89" t="s">
        <v>31</v>
      </c>
    </row>
    <row r="109" spans="1:17" ht="14.25" customHeight="1" x14ac:dyDescent="0.3">
      <c r="A109" s="84" t="s">
        <v>163</v>
      </c>
      <c r="B109" s="85" t="s">
        <v>23</v>
      </c>
      <c r="C109" s="86">
        <v>65548</v>
      </c>
      <c r="D109" s="91" t="s">
        <v>24</v>
      </c>
      <c r="E109" s="87" t="s">
        <v>25</v>
      </c>
      <c r="F109" s="86"/>
      <c r="G109" s="88"/>
      <c r="H109" s="86"/>
      <c r="I109" s="86"/>
      <c r="J109" s="86"/>
      <c r="K109" s="86">
        <v>4725</v>
      </c>
      <c r="L109" s="86">
        <f t="shared" ref="L109" si="61">K109</f>
        <v>4725</v>
      </c>
      <c r="M109" s="97" t="s">
        <v>153</v>
      </c>
    </row>
    <row r="110" spans="1:17" ht="14.25" customHeight="1" x14ac:dyDescent="0.3">
      <c r="A110" s="84" t="s">
        <v>163</v>
      </c>
      <c r="B110" s="86" t="s">
        <v>14</v>
      </c>
      <c r="C110" s="86" t="s">
        <v>86</v>
      </c>
      <c r="D110" s="86" t="s">
        <v>84</v>
      </c>
      <c r="E110" s="86" t="s">
        <v>17</v>
      </c>
      <c r="F110" s="86">
        <v>66</v>
      </c>
      <c r="G110" s="86">
        <v>0.46</v>
      </c>
      <c r="H110" s="86">
        <v>36.340000000000003</v>
      </c>
      <c r="I110" s="86">
        <v>38</v>
      </c>
      <c r="J110" s="86">
        <v>1</v>
      </c>
      <c r="K110" s="86">
        <f t="shared" ref="K110" si="62">F110*I110</f>
        <v>2508</v>
      </c>
      <c r="L110" s="86">
        <f>K110*J110</f>
        <v>2508</v>
      </c>
      <c r="M110" s="89" t="s">
        <v>22</v>
      </c>
    </row>
    <row r="111" spans="1:17" ht="14.25" customHeight="1" x14ac:dyDescent="0.3">
      <c r="A111" s="84" t="s">
        <v>163</v>
      </c>
      <c r="B111" s="86" t="s">
        <v>14</v>
      </c>
      <c r="C111" s="86" t="s">
        <v>86</v>
      </c>
      <c r="D111" s="86" t="s">
        <v>84</v>
      </c>
      <c r="E111" s="86" t="s">
        <v>25</v>
      </c>
      <c r="F111" s="86"/>
      <c r="G111" s="86"/>
      <c r="H111" s="86"/>
      <c r="I111" s="86"/>
      <c r="J111" s="86"/>
      <c r="K111" s="86">
        <v>2508</v>
      </c>
      <c r="L111" s="86">
        <f t="shared" ref="L111:L112" si="63">K111</f>
        <v>2508</v>
      </c>
      <c r="M111" s="89" t="s">
        <v>22</v>
      </c>
    </row>
    <row r="112" spans="1:17" ht="14.25" customHeight="1" x14ac:dyDescent="0.3">
      <c r="A112" s="84" t="s">
        <v>163</v>
      </c>
      <c r="B112" s="86" t="s">
        <v>14</v>
      </c>
      <c r="C112" s="86" t="s">
        <v>56</v>
      </c>
      <c r="D112" s="86" t="s">
        <v>57</v>
      </c>
      <c r="E112" s="94" t="s">
        <v>35</v>
      </c>
      <c r="F112" s="86"/>
      <c r="G112" s="86" t="s">
        <v>77</v>
      </c>
      <c r="H112" s="86"/>
      <c r="I112" s="86"/>
      <c r="J112" s="86">
        <v>1</v>
      </c>
      <c r="K112" s="86">
        <v>5000</v>
      </c>
      <c r="L112" s="86">
        <f t="shared" si="63"/>
        <v>5000</v>
      </c>
      <c r="M112" s="89" t="s">
        <v>91</v>
      </c>
    </row>
    <row r="113" spans="1:15" ht="14.25" customHeight="1" x14ac:dyDescent="0.3">
      <c r="A113" s="84" t="s">
        <v>163</v>
      </c>
      <c r="B113" s="86" t="s">
        <v>14</v>
      </c>
      <c r="C113" s="86" t="s">
        <v>56</v>
      </c>
      <c r="D113" s="86" t="s">
        <v>57</v>
      </c>
      <c r="E113" s="86" t="s">
        <v>39</v>
      </c>
      <c r="F113" s="86"/>
      <c r="G113" s="86" t="s">
        <v>36</v>
      </c>
      <c r="H113" s="86"/>
      <c r="I113" s="86"/>
      <c r="J113" s="86">
        <v>2</v>
      </c>
      <c r="K113" s="86">
        <v>1750</v>
      </c>
      <c r="L113" s="86">
        <f>K113*2</f>
        <v>3500</v>
      </c>
      <c r="M113" s="89" t="s">
        <v>37</v>
      </c>
    </row>
    <row r="114" spans="1:15" ht="14.25" customHeight="1" x14ac:dyDescent="0.3">
      <c r="A114" s="84" t="s">
        <v>163</v>
      </c>
      <c r="B114" s="86" t="s">
        <v>14</v>
      </c>
      <c r="C114" s="86" t="s">
        <v>83</v>
      </c>
      <c r="D114" s="86" t="s">
        <v>84</v>
      </c>
      <c r="E114" s="86" t="s">
        <v>17</v>
      </c>
      <c r="F114" s="86">
        <v>62</v>
      </c>
      <c r="G114" s="86">
        <v>0.44</v>
      </c>
      <c r="H114" s="86">
        <v>22</v>
      </c>
      <c r="I114" s="86">
        <v>50</v>
      </c>
      <c r="J114" s="86">
        <v>1</v>
      </c>
      <c r="K114" s="86">
        <f>F114*I114</f>
        <v>3100</v>
      </c>
      <c r="L114" s="86">
        <f>K114*J114</f>
        <v>3100</v>
      </c>
      <c r="M114" s="89" t="s">
        <v>22</v>
      </c>
    </row>
    <row r="115" spans="1:15" ht="14.25" customHeight="1" x14ac:dyDescent="0.3">
      <c r="A115" s="84" t="s">
        <v>163</v>
      </c>
      <c r="B115" s="99" t="s">
        <v>156</v>
      </c>
      <c r="C115" s="100" t="s">
        <v>157</v>
      </c>
      <c r="D115" s="86" t="s">
        <v>16</v>
      </c>
      <c r="E115" s="86" t="s">
        <v>17</v>
      </c>
      <c r="F115" s="86">
        <v>55</v>
      </c>
      <c r="G115" s="86">
        <v>1.4</v>
      </c>
      <c r="H115" s="86">
        <f>G115*F115</f>
        <v>77</v>
      </c>
      <c r="I115" s="86">
        <v>17</v>
      </c>
      <c r="J115" s="86">
        <v>1</v>
      </c>
      <c r="K115" s="86">
        <f t="shared" ref="K115" si="64">F115*I115</f>
        <v>935</v>
      </c>
      <c r="L115" s="86">
        <f>K115*J115</f>
        <v>935</v>
      </c>
      <c r="M115" s="90" t="s">
        <v>26</v>
      </c>
    </row>
    <row r="116" spans="1:15" ht="14.25" customHeight="1" x14ac:dyDescent="0.3">
      <c r="A116" s="84" t="s">
        <v>164</v>
      </c>
      <c r="B116" s="85" t="s">
        <v>23</v>
      </c>
      <c r="C116" s="86" t="s">
        <v>33</v>
      </c>
      <c r="D116" s="86" t="s">
        <v>34</v>
      </c>
      <c r="E116" s="93" t="s">
        <v>39</v>
      </c>
      <c r="F116" s="86"/>
      <c r="G116" s="88" t="s">
        <v>36</v>
      </c>
      <c r="H116" s="86"/>
      <c r="I116" s="86"/>
      <c r="J116" s="86"/>
      <c r="K116" s="86">
        <v>2098</v>
      </c>
      <c r="L116" s="86">
        <f t="shared" ref="L116" si="65">K116</f>
        <v>2098</v>
      </c>
      <c r="M116" s="89" t="s">
        <v>18</v>
      </c>
      <c r="N116" s="102">
        <v>7436798</v>
      </c>
      <c r="O116" s="76">
        <f>N116-N107</f>
        <v>2098</v>
      </c>
    </row>
    <row r="117" spans="1:15" ht="14.25" customHeight="1" x14ac:dyDescent="0.3">
      <c r="A117" s="84" t="s">
        <v>164</v>
      </c>
      <c r="B117" s="85" t="s">
        <v>23</v>
      </c>
      <c r="C117" s="86" t="s">
        <v>33</v>
      </c>
      <c r="D117" s="86" t="s">
        <v>34</v>
      </c>
      <c r="E117" s="92" t="s">
        <v>30</v>
      </c>
      <c r="F117" s="86"/>
      <c r="G117" s="88" t="s">
        <v>78</v>
      </c>
      <c r="H117" s="86"/>
      <c r="I117" s="86"/>
      <c r="J117" s="86"/>
      <c r="K117" s="86">
        <v>5070</v>
      </c>
      <c r="L117" s="86">
        <f>K117</f>
        <v>5070</v>
      </c>
      <c r="M117" s="89" t="s">
        <v>31</v>
      </c>
    </row>
    <row r="118" spans="1:15" ht="14.25" customHeight="1" x14ac:dyDescent="0.3">
      <c r="A118" s="84" t="s">
        <v>164</v>
      </c>
      <c r="B118" s="85" t="s">
        <v>23</v>
      </c>
      <c r="C118" s="86">
        <v>65548</v>
      </c>
      <c r="D118" s="91" t="s">
        <v>24</v>
      </c>
      <c r="E118" s="87" t="s">
        <v>25</v>
      </c>
      <c r="F118" s="86"/>
      <c r="G118" s="88"/>
      <c r="H118" s="86"/>
      <c r="I118" s="86"/>
      <c r="J118" s="86"/>
      <c r="K118" s="86">
        <v>2953</v>
      </c>
      <c r="L118" s="86">
        <f t="shared" ref="L118" si="66">K118</f>
        <v>2953</v>
      </c>
      <c r="M118" s="97" t="s">
        <v>153</v>
      </c>
    </row>
    <row r="119" spans="1:15" ht="14.25" customHeight="1" x14ac:dyDescent="0.3">
      <c r="A119" s="84" t="s">
        <v>164</v>
      </c>
      <c r="B119" s="99" t="s">
        <v>156</v>
      </c>
      <c r="C119" s="100" t="s">
        <v>157</v>
      </c>
      <c r="D119" s="86" t="s">
        <v>16</v>
      </c>
      <c r="E119" s="86" t="s">
        <v>17</v>
      </c>
      <c r="F119" s="86">
        <v>174</v>
      </c>
      <c r="G119" s="86">
        <v>1.4</v>
      </c>
      <c r="H119" s="86">
        <f>G119*F119</f>
        <v>243.6</v>
      </c>
      <c r="I119" s="86">
        <v>17</v>
      </c>
      <c r="J119" s="86">
        <v>1</v>
      </c>
      <c r="K119" s="86">
        <f t="shared" ref="K119:K120" si="67">F119*I119</f>
        <v>2958</v>
      </c>
      <c r="L119" s="86">
        <f>K119*J119</f>
        <v>2958</v>
      </c>
      <c r="M119" s="90" t="s">
        <v>26</v>
      </c>
    </row>
    <row r="120" spans="1:15" ht="14.25" customHeight="1" x14ac:dyDescent="0.3">
      <c r="A120" s="84" t="s">
        <v>164</v>
      </c>
      <c r="B120" s="86" t="s">
        <v>14</v>
      </c>
      <c r="C120" s="86">
        <v>6380</v>
      </c>
      <c r="D120" s="86" t="s">
        <v>16</v>
      </c>
      <c r="E120" s="86" t="s">
        <v>17</v>
      </c>
      <c r="F120" s="86">
        <v>9</v>
      </c>
      <c r="G120" s="86">
        <v>0.42499999999999999</v>
      </c>
      <c r="H120" s="86">
        <f t="shared" ref="H120" si="68">F120*G120</f>
        <v>3.8249999999999997</v>
      </c>
      <c r="I120" s="86">
        <v>56</v>
      </c>
      <c r="J120" s="86">
        <v>4</v>
      </c>
      <c r="K120" s="86">
        <f t="shared" si="67"/>
        <v>504</v>
      </c>
      <c r="L120" s="86">
        <f t="shared" ref="L120" si="69">K120*J120</f>
        <v>2016</v>
      </c>
      <c r="M120" s="89" t="s">
        <v>18</v>
      </c>
    </row>
    <row r="121" spans="1:15" ht="14.25" customHeight="1" x14ac:dyDescent="0.3">
      <c r="A121" s="84" t="s">
        <v>165</v>
      </c>
      <c r="B121" s="99" t="s">
        <v>156</v>
      </c>
      <c r="C121" s="100" t="s">
        <v>157</v>
      </c>
      <c r="D121" s="86" t="s">
        <v>16</v>
      </c>
      <c r="E121" s="86" t="s">
        <v>17</v>
      </c>
      <c r="F121" s="86">
        <v>42</v>
      </c>
      <c r="G121" s="86">
        <v>1.4</v>
      </c>
      <c r="H121" s="86">
        <f>G121*F121</f>
        <v>58.8</v>
      </c>
      <c r="I121" s="86">
        <v>17</v>
      </c>
      <c r="J121" s="86">
        <v>1</v>
      </c>
      <c r="K121" s="86">
        <f t="shared" ref="K121" si="70">F121*I121</f>
        <v>714</v>
      </c>
      <c r="L121" s="86">
        <f>K121*J121</f>
        <v>714</v>
      </c>
      <c r="M121" s="90" t="s">
        <v>26</v>
      </c>
    </row>
    <row r="122" spans="1:15" ht="14.25" customHeight="1" x14ac:dyDescent="0.3">
      <c r="A122" s="84" t="s">
        <v>165</v>
      </c>
      <c r="B122" s="99" t="s">
        <v>156</v>
      </c>
      <c r="C122" s="100">
        <v>4337</v>
      </c>
      <c r="D122" s="86" t="s">
        <v>16</v>
      </c>
      <c r="E122" s="86" t="s">
        <v>17</v>
      </c>
      <c r="F122" s="86">
        <v>42</v>
      </c>
      <c r="G122" s="86"/>
      <c r="H122" s="86">
        <f>G122*F122</f>
        <v>0</v>
      </c>
      <c r="I122" s="86">
        <v>17</v>
      </c>
      <c r="J122" s="86">
        <v>1</v>
      </c>
      <c r="K122" s="86">
        <f t="shared" ref="K122:K123" si="71">F122*I122</f>
        <v>714</v>
      </c>
      <c r="L122" s="86">
        <f>K122*J122</f>
        <v>714</v>
      </c>
      <c r="M122" s="90" t="s">
        <v>26</v>
      </c>
    </row>
    <row r="123" spans="1:15" ht="14.25" customHeight="1" x14ac:dyDescent="0.3">
      <c r="A123" s="84" t="s">
        <v>165</v>
      </c>
      <c r="B123" s="86" t="s">
        <v>14</v>
      </c>
      <c r="C123" s="86">
        <v>6380</v>
      </c>
      <c r="D123" s="86" t="s">
        <v>16</v>
      </c>
      <c r="E123" s="86" t="s">
        <v>17</v>
      </c>
      <c r="F123" s="86">
        <v>86</v>
      </c>
      <c r="G123" s="86">
        <v>0.42499999999999999</v>
      </c>
      <c r="H123" s="86">
        <f t="shared" ref="H123" si="72">F123*G123</f>
        <v>36.549999999999997</v>
      </c>
      <c r="I123" s="86">
        <v>56</v>
      </c>
      <c r="J123" s="86">
        <v>4</v>
      </c>
      <c r="K123" s="86">
        <f t="shared" si="71"/>
        <v>4816</v>
      </c>
      <c r="L123" s="86">
        <f t="shared" ref="L123" si="73">K123*J123</f>
        <v>19264</v>
      </c>
      <c r="M123" s="89" t="s">
        <v>18</v>
      </c>
    </row>
    <row r="124" spans="1:15" ht="14.25" customHeight="1" x14ac:dyDescent="0.3">
      <c r="A124" s="84" t="s">
        <v>165</v>
      </c>
      <c r="B124" s="85" t="s">
        <v>23</v>
      </c>
      <c r="C124" s="86">
        <v>65548</v>
      </c>
      <c r="D124" s="91" t="s">
        <v>24</v>
      </c>
      <c r="E124" s="87" t="s">
        <v>25</v>
      </c>
      <c r="F124" s="86"/>
      <c r="G124" s="88"/>
      <c r="H124" s="86"/>
      <c r="I124" s="86"/>
      <c r="J124" s="86"/>
      <c r="K124" s="86">
        <v>366</v>
      </c>
      <c r="L124" s="86">
        <f t="shared" ref="L124" si="74">K124</f>
        <v>366</v>
      </c>
      <c r="M124" s="97" t="s">
        <v>153</v>
      </c>
    </row>
    <row r="125" spans="1:15" ht="14.25" customHeight="1" x14ac:dyDescent="0.3">
      <c r="A125" s="84" t="s">
        <v>165</v>
      </c>
      <c r="B125" s="85" t="s">
        <v>23</v>
      </c>
      <c r="C125" s="86" t="s">
        <v>33</v>
      </c>
      <c r="D125" s="86" t="s">
        <v>34</v>
      </c>
      <c r="E125" s="92" t="s">
        <v>30</v>
      </c>
      <c r="F125" s="86"/>
      <c r="G125" s="88" t="s">
        <v>78</v>
      </c>
      <c r="H125" s="86"/>
      <c r="I125" s="86"/>
      <c r="J125" s="86"/>
      <c r="K125" s="86">
        <v>6265</v>
      </c>
      <c r="L125" s="86">
        <f>K125</f>
        <v>6265</v>
      </c>
      <c r="M125" s="89" t="s">
        <v>31</v>
      </c>
    </row>
    <row r="126" spans="1:15" ht="14.25" customHeight="1" x14ac:dyDescent="0.3">
      <c r="A126" s="84" t="s">
        <v>165</v>
      </c>
      <c r="B126" s="86" t="s">
        <v>14</v>
      </c>
      <c r="C126" s="86">
        <v>2576</v>
      </c>
      <c r="D126" s="86" t="s">
        <v>84</v>
      </c>
      <c r="E126" s="86" t="s">
        <v>17</v>
      </c>
      <c r="F126" s="86">
        <v>460</v>
      </c>
      <c r="G126" s="86">
        <v>0.1</v>
      </c>
      <c r="H126" s="86">
        <f>F126*G126</f>
        <v>46</v>
      </c>
      <c r="I126" s="86">
        <v>17</v>
      </c>
      <c r="J126" s="86">
        <v>1</v>
      </c>
      <c r="K126" s="86">
        <f t="shared" ref="K126" si="75">F126*I126</f>
        <v>7820</v>
      </c>
      <c r="L126" s="86">
        <f t="shared" ref="L126" si="76">K126*J126</f>
        <v>7820</v>
      </c>
      <c r="M126" s="89" t="s">
        <v>22</v>
      </c>
    </row>
    <row r="127" spans="1:15" ht="14.25" customHeight="1" x14ac:dyDescent="0.3">
      <c r="A127" s="84" t="s">
        <v>165</v>
      </c>
      <c r="B127" s="85" t="s">
        <v>23</v>
      </c>
      <c r="C127" s="86">
        <v>65548</v>
      </c>
      <c r="D127" s="91" t="s">
        <v>24</v>
      </c>
      <c r="E127" s="92" t="s">
        <v>30</v>
      </c>
      <c r="F127" s="86"/>
      <c r="G127" s="88" t="s">
        <v>36</v>
      </c>
      <c r="H127" s="86"/>
      <c r="I127" s="86"/>
      <c r="J127" s="86"/>
      <c r="K127" s="86">
        <v>610</v>
      </c>
      <c r="L127" s="86">
        <f t="shared" ref="L127" si="77">K127</f>
        <v>610</v>
      </c>
      <c r="M127" s="89" t="s">
        <v>31</v>
      </c>
    </row>
    <row r="128" spans="1:15" ht="14.25" customHeight="1" x14ac:dyDescent="0.3">
      <c r="A128" s="84" t="s">
        <v>165</v>
      </c>
      <c r="B128" s="86" t="s">
        <v>14</v>
      </c>
      <c r="C128" s="86" t="s">
        <v>83</v>
      </c>
      <c r="D128" s="86" t="s">
        <v>84</v>
      </c>
      <c r="E128" s="86" t="s">
        <v>25</v>
      </c>
      <c r="F128" s="86"/>
      <c r="G128" s="86"/>
      <c r="H128" s="86"/>
      <c r="I128" s="86"/>
      <c r="J128" s="86"/>
      <c r="K128" s="86">
        <v>350</v>
      </c>
      <c r="L128" s="86">
        <f>K128</f>
        <v>350</v>
      </c>
      <c r="M128" s="89" t="s">
        <v>22</v>
      </c>
    </row>
    <row r="129" spans="1:13" ht="14.25" customHeight="1" x14ac:dyDescent="0.3">
      <c r="A129" s="84" t="s">
        <v>166</v>
      </c>
      <c r="B129" s="99" t="s">
        <v>156</v>
      </c>
      <c r="C129" s="100">
        <v>4337</v>
      </c>
      <c r="D129" s="86" t="s">
        <v>16</v>
      </c>
      <c r="E129" s="86" t="s">
        <v>17</v>
      </c>
      <c r="F129" s="86">
        <v>42</v>
      </c>
      <c r="G129" s="86"/>
      <c r="H129" s="86">
        <f>G129*F129</f>
        <v>0</v>
      </c>
      <c r="I129" s="86">
        <v>17</v>
      </c>
      <c r="J129" s="86">
        <v>1</v>
      </c>
      <c r="K129" s="86">
        <f t="shared" ref="K129" si="78">F129*I129</f>
        <v>714</v>
      </c>
      <c r="L129" s="86">
        <f>K129*J129</f>
        <v>714</v>
      </c>
      <c r="M129" s="90" t="s">
        <v>26</v>
      </c>
    </row>
    <row r="130" spans="1:13" ht="14.25" customHeight="1" x14ac:dyDescent="0.3">
      <c r="A130" s="84" t="s">
        <v>166</v>
      </c>
      <c r="B130" s="85" t="s">
        <v>23</v>
      </c>
      <c r="C130" s="86">
        <v>65548</v>
      </c>
      <c r="D130" s="91" t="s">
        <v>24</v>
      </c>
      <c r="E130" s="92" t="s">
        <v>30</v>
      </c>
      <c r="F130" s="86"/>
      <c r="G130" s="88" t="s">
        <v>36</v>
      </c>
      <c r="H130" s="86"/>
      <c r="I130" s="86"/>
      <c r="J130" s="86"/>
      <c r="K130" s="86">
        <v>7000</v>
      </c>
      <c r="L130" s="86">
        <f t="shared" ref="L130" si="79">K130</f>
        <v>7000</v>
      </c>
      <c r="M130" s="89" t="s">
        <v>31</v>
      </c>
    </row>
    <row r="131" spans="1:13" ht="14.25" customHeight="1" x14ac:dyDescent="0.3">
      <c r="A131" s="84" t="s">
        <v>166</v>
      </c>
      <c r="B131" s="86" t="s">
        <v>14</v>
      </c>
      <c r="C131" s="86" t="s">
        <v>49</v>
      </c>
      <c r="D131" s="86" t="s">
        <v>50</v>
      </c>
      <c r="E131" s="86" t="s">
        <v>17</v>
      </c>
      <c r="F131" s="86">
        <v>45</v>
      </c>
      <c r="G131" s="86">
        <v>0.26</v>
      </c>
      <c r="H131" s="86">
        <f>F131*G131</f>
        <v>11.700000000000001</v>
      </c>
      <c r="I131" s="86">
        <v>28</v>
      </c>
      <c r="J131" s="86">
        <v>1</v>
      </c>
      <c r="K131" s="86">
        <f t="shared" ref="K131" si="80">F131*I131</f>
        <v>1260</v>
      </c>
      <c r="L131" s="86">
        <f t="shared" ref="L131" si="81">K131*J131</f>
        <v>1260</v>
      </c>
      <c r="M131" s="89" t="s">
        <v>22</v>
      </c>
    </row>
    <row r="132" spans="1:13" ht="14.25" customHeight="1" x14ac:dyDescent="0.3">
      <c r="A132" s="84" t="s">
        <v>166</v>
      </c>
      <c r="B132" s="86" t="s">
        <v>14</v>
      </c>
      <c r="C132" s="86" t="s">
        <v>49</v>
      </c>
      <c r="D132" s="86" t="s">
        <v>50</v>
      </c>
      <c r="E132" s="86" t="s">
        <v>25</v>
      </c>
      <c r="F132" s="86"/>
      <c r="G132" s="86"/>
      <c r="H132" s="86"/>
      <c r="I132" s="86"/>
      <c r="J132" s="86"/>
      <c r="K132" s="86">
        <v>1000</v>
      </c>
      <c r="L132" s="86">
        <f t="shared" ref="L132" si="82">K132</f>
        <v>1000</v>
      </c>
      <c r="M132" s="89" t="s">
        <v>31</v>
      </c>
    </row>
    <row r="133" spans="1:13" ht="14.25" customHeight="1" x14ac:dyDescent="0.3">
      <c r="A133" s="84" t="s">
        <v>166</v>
      </c>
      <c r="B133" s="86" t="s">
        <v>14</v>
      </c>
      <c r="C133" s="86" t="s">
        <v>83</v>
      </c>
      <c r="D133" s="86" t="s">
        <v>84</v>
      </c>
      <c r="E133" s="86" t="s">
        <v>25</v>
      </c>
      <c r="F133" s="86"/>
      <c r="G133" s="86"/>
      <c r="H133" s="86"/>
      <c r="I133" s="86"/>
      <c r="J133" s="86"/>
      <c r="K133" s="86">
        <v>2750</v>
      </c>
      <c r="L133" s="86">
        <f>K133</f>
        <v>2750</v>
      </c>
      <c r="M133" s="89" t="s">
        <v>22</v>
      </c>
    </row>
    <row r="134" spans="1:13" ht="14.25" customHeight="1" x14ac:dyDescent="0.3">
      <c r="A134" s="84" t="s">
        <v>166</v>
      </c>
      <c r="B134" s="86" t="s">
        <v>14</v>
      </c>
      <c r="C134" s="86">
        <v>2576</v>
      </c>
      <c r="D134" s="86" t="s">
        <v>84</v>
      </c>
      <c r="E134" s="86" t="s">
        <v>25</v>
      </c>
      <c r="F134" s="86"/>
      <c r="G134" s="86"/>
      <c r="H134" s="86"/>
      <c r="I134" s="86"/>
      <c r="J134" s="86">
        <v>1</v>
      </c>
      <c r="K134" s="86">
        <v>2000</v>
      </c>
      <c r="L134" s="86">
        <f t="shared" ref="L134" si="83">K134</f>
        <v>2000</v>
      </c>
      <c r="M134" s="89" t="s">
        <v>22</v>
      </c>
    </row>
    <row r="135" spans="1:13" ht="14.25" customHeight="1" x14ac:dyDescent="0.3">
      <c r="A135" s="84" t="s">
        <v>166</v>
      </c>
      <c r="B135" s="86" t="s">
        <v>14</v>
      </c>
      <c r="C135" s="86" t="s">
        <v>71</v>
      </c>
      <c r="D135" s="86" t="s">
        <v>72</v>
      </c>
      <c r="E135" s="86" t="s">
        <v>21</v>
      </c>
      <c r="F135" s="86">
        <v>51</v>
      </c>
      <c r="G135" s="86">
        <v>1.095</v>
      </c>
      <c r="H135" s="86">
        <f>F135*G135</f>
        <v>55.844999999999999</v>
      </c>
      <c r="I135" s="86">
        <v>58</v>
      </c>
      <c r="J135" s="86">
        <v>1</v>
      </c>
      <c r="K135" s="86">
        <f t="shared" ref="K135" si="84">F135*I135</f>
        <v>2958</v>
      </c>
      <c r="L135" s="86">
        <f t="shared" ref="L135" si="85">K135*J135</f>
        <v>2958</v>
      </c>
      <c r="M135" s="89" t="s">
        <v>18</v>
      </c>
    </row>
    <row r="136" spans="1:13" ht="14.25" customHeight="1" x14ac:dyDescent="0.3">
      <c r="A136" s="84" t="s">
        <v>167</v>
      </c>
      <c r="B136" s="85" t="s">
        <v>23</v>
      </c>
      <c r="C136" s="86">
        <v>65548</v>
      </c>
      <c r="D136" s="91" t="s">
        <v>24</v>
      </c>
      <c r="E136" s="92" t="s">
        <v>30</v>
      </c>
      <c r="F136" s="86"/>
      <c r="G136" s="88" t="s">
        <v>36</v>
      </c>
      <c r="H136" s="86"/>
      <c r="I136" s="86"/>
      <c r="J136" s="86"/>
      <c r="K136" s="86">
        <v>3080</v>
      </c>
      <c r="L136" s="86">
        <f t="shared" ref="L136" si="86">K136</f>
        <v>3080</v>
      </c>
      <c r="M136" s="89" t="s">
        <v>31</v>
      </c>
    </row>
    <row r="137" spans="1:13" ht="14.25" customHeight="1" x14ac:dyDescent="0.3">
      <c r="A137" s="84" t="s">
        <v>167</v>
      </c>
      <c r="B137" s="86" t="s">
        <v>14</v>
      </c>
      <c r="C137" s="86" t="s">
        <v>71</v>
      </c>
      <c r="D137" s="86" t="s">
        <v>72</v>
      </c>
      <c r="E137" s="86" t="s">
        <v>21</v>
      </c>
      <c r="F137" s="86">
        <v>76</v>
      </c>
      <c r="G137" s="86">
        <v>1.095</v>
      </c>
      <c r="H137" s="86">
        <f>F137*G137</f>
        <v>83.22</v>
      </c>
      <c r="I137" s="86">
        <v>58</v>
      </c>
      <c r="J137" s="86">
        <v>1</v>
      </c>
      <c r="K137" s="86">
        <f t="shared" ref="K137" si="87">F137*I137</f>
        <v>4408</v>
      </c>
      <c r="L137" s="86">
        <f t="shared" ref="L137" si="88">K137*J137</f>
        <v>4408</v>
      </c>
      <c r="M137" s="89" t="s">
        <v>18</v>
      </c>
    </row>
    <row r="138" spans="1:13" ht="14.25" customHeight="1" x14ac:dyDescent="0.3">
      <c r="A138" s="84" t="s">
        <v>167</v>
      </c>
      <c r="B138" s="85" t="s">
        <v>23</v>
      </c>
      <c r="C138" s="86" t="s">
        <v>33</v>
      </c>
      <c r="D138" s="86" t="s">
        <v>34</v>
      </c>
      <c r="E138" s="87" t="s">
        <v>35</v>
      </c>
      <c r="F138" s="86"/>
      <c r="G138" s="88" t="s">
        <v>77</v>
      </c>
      <c r="H138" s="86"/>
      <c r="I138" s="86"/>
      <c r="J138" s="86"/>
      <c r="K138" s="86">
        <v>3550</v>
      </c>
      <c r="L138" s="86">
        <f t="shared" ref="L138:L139" si="89">K138</f>
        <v>3550</v>
      </c>
      <c r="M138" s="90" t="s">
        <v>26</v>
      </c>
    </row>
    <row r="139" spans="1:13" ht="14.25" customHeight="1" x14ac:dyDescent="0.3">
      <c r="A139" s="84" t="s">
        <v>167</v>
      </c>
      <c r="B139" s="86" t="s">
        <v>14</v>
      </c>
      <c r="C139" s="86">
        <v>2576</v>
      </c>
      <c r="D139" s="86" t="s">
        <v>84</v>
      </c>
      <c r="E139" s="86" t="s">
        <v>25</v>
      </c>
      <c r="F139" s="86"/>
      <c r="G139" s="86"/>
      <c r="H139" s="86"/>
      <c r="I139" s="86"/>
      <c r="J139" s="86">
        <v>1</v>
      </c>
      <c r="K139" s="86">
        <v>2070</v>
      </c>
      <c r="L139" s="86">
        <f t="shared" si="89"/>
        <v>2070</v>
      </c>
      <c r="M139" s="89" t="s">
        <v>31</v>
      </c>
    </row>
    <row r="140" spans="1:13" ht="14.25" customHeight="1" x14ac:dyDescent="0.3">
      <c r="A140" s="84" t="s">
        <v>167</v>
      </c>
      <c r="B140" s="86" t="s">
        <v>14</v>
      </c>
      <c r="C140" s="86" t="s">
        <v>49</v>
      </c>
      <c r="D140" s="86" t="s">
        <v>50</v>
      </c>
      <c r="E140" s="86" t="s">
        <v>17</v>
      </c>
      <c r="F140" s="86">
        <v>165</v>
      </c>
      <c r="G140" s="86">
        <v>0.26</v>
      </c>
      <c r="H140" s="86">
        <f>F140*G140</f>
        <v>42.9</v>
      </c>
      <c r="I140" s="86">
        <v>28</v>
      </c>
      <c r="J140" s="86">
        <v>1</v>
      </c>
      <c r="K140" s="86">
        <f t="shared" ref="K140" si="90">F140*I140</f>
        <v>4620</v>
      </c>
      <c r="L140" s="86">
        <f t="shared" ref="L140" si="91">K140*J140</f>
        <v>4620</v>
      </c>
      <c r="M140" s="89" t="s">
        <v>22</v>
      </c>
    </row>
    <row r="141" spans="1:13" ht="14.25" customHeight="1" x14ac:dyDescent="0.3">
      <c r="A141" s="84" t="s">
        <v>167</v>
      </c>
      <c r="B141" s="86" t="s">
        <v>14</v>
      </c>
      <c r="C141" s="86" t="s">
        <v>49</v>
      </c>
      <c r="D141" s="86" t="s">
        <v>50</v>
      </c>
      <c r="E141" s="86" t="s">
        <v>25</v>
      </c>
      <c r="F141" s="86"/>
      <c r="G141" s="86"/>
      <c r="H141" s="86"/>
      <c r="I141" s="86"/>
      <c r="J141" s="86"/>
      <c r="K141" s="86">
        <v>4000</v>
      </c>
      <c r="L141" s="86">
        <f t="shared" ref="L141" si="92">K141</f>
        <v>4000</v>
      </c>
      <c r="M141" s="89" t="s">
        <v>31</v>
      </c>
    </row>
    <row r="142" spans="1:13" ht="14.25" customHeight="1" x14ac:dyDescent="0.3">
      <c r="A142" s="84" t="s">
        <v>167</v>
      </c>
      <c r="B142" s="86" t="s">
        <v>14</v>
      </c>
      <c r="C142" s="86" t="s">
        <v>89</v>
      </c>
      <c r="D142" s="86" t="s">
        <v>90</v>
      </c>
      <c r="E142" s="86" t="s">
        <v>21</v>
      </c>
      <c r="F142" s="86">
        <v>6</v>
      </c>
      <c r="G142" s="86">
        <v>0.13500000000000001</v>
      </c>
      <c r="H142" s="86">
        <f t="shared" ref="H142" si="93">F142*G142</f>
        <v>0.81</v>
      </c>
      <c r="I142" s="86">
        <v>77</v>
      </c>
      <c r="J142" s="86">
        <v>1</v>
      </c>
      <c r="K142" s="86">
        <f t="shared" ref="K142" si="94">F142*I142</f>
        <v>462</v>
      </c>
      <c r="L142" s="86">
        <f t="shared" ref="L142" si="95">K142*J142</f>
        <v>462</v>
      </c>
      <c r="M142" s="89" t="s">
        <v>37</v>
      </c>
    </row>
    <row r="143" spans="1:13" ht="14.25" customHeight="1" x14ac:dyDescent="0.3">
      <c r="A143" s="84" t="s">
        <v>167</v>
      </c>
      <c r="B143" s="86" t="s">
        <v>14</v>
      </c>
      <c r="C143" s="86" t="s">
        <v>89</v>
      </c>
      <c r="D143" s="86" t="s">
        <v>90</v>
      </c>
      <c r="E143" s="86" t="s">
        <v>25</v>
      </c>
      <c r="F143" s="86"/>
      <c r="G143" s="86"/>
      <c r="H143" s="86"/>
      <c r="I143" s="86"/>
      <c r="J143" s="86"/>
      <c r="K143" s="86">
        <v>400</v>
      </c>
      <c r="L143" s="86">
        <f t="shared" ref="L143" si="96">K143</f>
        <v>400</v>
      </c>
      <c r="M143" s="89" t="s">
        <v>31</v>
      </c>
    </row>
    <row r="144" spans="1:13" ht="14.25" customHeight="1" x14ac:dyDescent="0.3">
      <c r="A144" s="84" t="s">
        <v>167</v>
      </c>
      <c r="B144" s="86" t="s">
        <v>14</v>
      </c>
      <c r="C144" s="86" t="s">
        <v>51</v>
      </c>
      <c r="D144" s="86" t="s">
        <v>52</v>
      </c>
      <c r="E144" s="86" t="s">
        <v>17</v>
      </c>
      <c r="F144" s="86">
        <v>96</v>
      </c>
      <c r="G144" s="86">
        <v>0.20499999999999999</v>
      </c>
      <c r="H144" s="86">
        <f t="shared" ref="H144" si="97">F144*G144</f>
        <v>19.68</v>
      </c>
      <c r="I144" s="86">
        <v>26</v>
      </c>
      <c r="J144" s="86">
        <v>4</v>
      </c>
      <c r="K144" s="86">
        <f>F144*I144</f>
        <v>2496</v>
      </c>
      <c r="L144" s="86">
        <f t="shared" ref="L144" si="98">K144*J144</f>
        <v>9984</v>
      </c>
      <c r="M144" s="89" t="s">
        <v>18</v>
      </c>
    </row>
    <row r="145" spans="1:13" ht="14.25" customHeight="1" x14ac:dyDescent="0.3">
      <c r="A145" s="84" t="s">
        <v>168</v>
      </c>
      <c r="B145" s="86" t="s">
        <v>14</v>
      </c>
      <c r="C145" s="86" t="s">
        <v>51</v>
      </c>
      <c r="D145" s="86" t="s">
        <v>52</v>
      </c>
      <c r="E145" s="86" t="s">
        <v>17</v>
      </c>
      <c r="F145" s="86">
        <v>156</v>
      </c>
      <c r="G145" s="86">
        <v>0.20499999999999999</v>
      </c>
      <c r="H145" s="86">
        <f t="shared" ref="H145" si="99">F145*G145</f>
        <v>31.979999999999997</v>
      </c>
      <c r="I145" s="86">
        <v>26</v>
      </c>
      <c r="J145" s="86">
        <v>4</v>
      </c>
      <c r="K145" s="86">
        <f>F145*I145</f>
        <v>4056</v>
      </c>
      <c r="L145" s="86">
        <f t="shared" ref="L145" si="100">K145*J145</f>
        <v>16224</v>
      </c>
      <c r="M145" s="89" t="s">
        <v>18</v>
      </c>
    </row>
    <row r="146" spans="1:13" ht="14.25" customHeight="1" x14ac:dyDescent="0.3">
      <c r="A146" s="84" t="s">
        <v>168</v>
      </c>
      <c r="B146" s="85" t="s">
        <v>23</v>
      </c>
      <c r="C146" s="86" t="s">
        <v>33</v>
      </c>
      <c r="D146" s="86" t="s">
        <v>34</v>
      </c>
      <c r="E146" s="87" t="s">
        <v>35</v>
      </c>
      <c r="F146" s="86"/>
      <c r="G146" s="88" t="s">
        <v>77</v>
      </c>
      <c r="H146" s="86"/>
      <c r="I146" s="86"/>
      <c r="J146" s="86"/>
      <c r="K146" s="86">
        <v>7650</v>
      </c>
      <c r="L146" s="86">
        <f t="shared" ref="L146:L147" si="101">K146</f>
        <v>7650</v>
      </c>
      <c r="M146" s="90" t="s">
        <v>26</v>
      </c>
    </row>
    <row r="147" spans="1:13" ht="14.25" customHeight="1" x14ac:dyDescent="0.3">
      <c r="A147" s="84" t="s">
        <v>168</v>
      </c>
      <c r="B147" s="85" t="s">
        <v>23</v>
      </c>
      <c r="C147" s="86" t="s">
        <v>33</v>
      </c>
      <c r="D147" s="86" t="s">
        <v>34</v>
      </c>
      <c r="E147" s="93" t="s">
        <v>39</v>
      </c>
      <c r="F147" s="86"/>
      <c r="G147" s="88" t="s">
        <v>36</v>
      </c>
      <c r="H147" s="86"/>
      <c r="I147" s="86"/>
      <c r="J147" s="86"/>
      <c r="K147" s="86">
        <v>2500</v>
      </c>
      <c r="L147" s="86">
        <f t="shared" si="101"/>
        <v>2500</v>
      </c>
      <c r="M147" s="89" t="s">
        <v>18</v>
      </c>
    </row>
    <row r="148" spans="1:13" ht="14.25" customHeight="1" x14ac:dyDescent="0.3">
      <c r="A148" s="84" t="s">
        <v>168</v>
      </c>
      <c r="B148" s="85" t="s">
        <v>23</v>
      </c>
      <c r="C148" s="86" t="s">
        <v>33</v>
      </c>
      <c r="D148" s="86" t="s">
        <v>34</v>
      </c>
      <c r="E148" s="92" t="s">
        <v>30</v>
      </c>
      <c r="F148" s="86"/>
      <c r="G148" s="88" t="s">
        <v>78</v>
      </c>
      <c r="H148" s="86"/>
      <c r="I148" s="86"/>
      <c r="J148" s="86"/>
      <c r="K148" s="86">
        <v>2100</v>
      </c>
      <c r="L148" s="86">
        <f>K148</f>
        <v>2100</v>
      </c>
      <c r="M148" s="89" t="s">
        <v>31</v>
      </c>
    </row>
    <row r="149" spans="1:13" ht="14.25" customHeight="1" x14ac:dyDescent="0.3">
      <c r="A149" s="84" t="s">
        <v>168</v>
      </c>
      <c r="B149" s="86" t="s">
        <v>14</v>
      </c>
      <c r="C149" s="86" t="s">
        <v>89</v>
      </c>
      <c r="D149" s="86" t="s">
        <v>90</v>
      </c>
      <c r="E149" s="86" t="s">
        <v>21</v>
      </c>
      <c r="F149" s="86">
        <v>57</v>
      </c>
      <c r="G149" s="86">
        <v>0.13500000000000001</v>
      </c>
      <c r="H149" s="86">
        <f t="shared" ref="H149" si="102">F149*G149</f>
        <v>7.6950000000000003</v>
      </c>
      <c r="I149" s="86">
        <v>77</v>
      </c>
      <c r="J149" s="86">
        <v>1</v>
      </c>
      <c r="K149" s="86">
        <f t="shared" ref="K149" si="103">F149*I149</f>
        <v>4389</v>
      </c>
      <c r="L149" s="86">
        <f t="shared" ref="L149" si="104">K149*J149</f>
        <v>4389</v>
      </c>
      <c r="M149" s="89" t="s">
        <v>37</v>
      </c>
    </row>
    <row r="150" spans="1:13" ht="14.25" customHeight="1" x14ac:dyDescent="0.3">
      <c r="A150" s="84" t="s">
        <v>168</v>
      </c>
      <c r="B150" s="86" t="s">
        <v>14</v>
      </c>
      <c r="C150" s="86" t="s">
        <v>89</v>
      </c>
      <c r="D150" s="86" t="s">
        <v>90</v>
      </c>
      <c r="E150" s="86" t="s">
        <v>25</v>
      </c>
      <c r="F150" s="86"/>
      <c r="G150" s="86"/>
      <c r="H150" s="86"/>
      <c r="I150" s="86"/>
      <c r="J150" s="86"/>
      <c r="K150" s="86">
        <v>4000</v>
      </c>
      <c r="L150" s="86">
        <f t="shared" ref="L150" si="105">K150</f>
        <v>4000</v>
      </c>
      <c r="M150" s="89" t="s">
        <v>31</v>
      </c>
    </row>
    <row r="151" spans="1:13" ht="14.25" customHeight="1" x14ac:dyDescent="0.3">
      <c r="A151" s="84" t="s">
        <v>168</v>
      </c>
      <c r="B151" s="86" t="s">
        <v>14</v>
      </c>
      <c r="C151" s="86" t="s">
        <v>56</v>
      </c>
      <c r="D151" s="86" t="s">
        <v>57</v>
      </c>
      <c r="E151" s="86" t="s">
        <v>21</v>
      </c>
      <c r="F151" s="86">
        <v>36</v>
      </c>
      <c r="G151" s="86">
        <v>0.105</v>
      </c>
      <c r="H151" s="86">
        <f>G151*F151</f>
        <v>3.78</v>
      </c>
      <c r="I151" s="86">
        <v>111</v>
      </c>
      <c r="J151" s="86">
        <v>1</v>
      </c>
      <c r="K151" s="86">
        <f t="shared" ref="K151" si="106">F151*I151</f>
        <v>3996</v>
      </c>
      <c r="L151" s="86">
        <f t="shared" ref="L151" si="107">K151*J151</f>
        <v>3996</v>
      </c>
      <c r="M151" s="89" t="s">
        <v>169</v>
      </c>
    </row>
    <row r="152" spans="1:13" ht="14.25" customHeight="1" x14ac:dyDescent="0.3">
      <c r="A152" s="84" t="s">
        <v>170</v>
      </c>
      <c r="B152" s="85" t="s">
        <v>23</v>
      </c>
      <c r="C152" s="86" t="s">
        <v>33</v>
      </c>
      <c r="D152" s="86" t="s">
        <v>34</v>
      </c>
      <c r="E152" s="87" t="s">
        <v>35</v>
      </c>
      <c r="F152" s="86"/>
      <c r="G152" s="88" t="s">
        <v>77</v>
      </c>
      <c r="H152" s="86"/>
      <c r="I152" s="86"/>
      <c r="J152" s="86"/>
      <c r="K152" s="86">
        <v>3658</v>
      </c>
      <c r="L152" s="86">
        <f t="shared" ref="L152:L153" si="108">K152</f>
        <v>3658</v>
      </c>
      <c r="M152" s="90" t="s">
        <v>26</v>
      </c>
    </row>
    <row r="153" spans="1:13" ht="14.25" customHeight="1" x14ac:dyDescent="0.3">
      <c r="A153" s="84" t="s">
        <v>170</v>
      </c>
      <c r="B153" s="85" t="s">
        <v>23</v>
      </c>
      <c r="C153" s="86" t="s">
        <v>33</v>
      </c>
      <c r="D153" s="86" t="s">
        <v>34</v>
      </c>
      <c r="E153" s="93" t="s">
        <v>39</v>
      </c>
      <c r="F153" s="86"/>
      <c r="G153" s="88" t="s">
        <v>36</v>
      </c>
      <c r="H153" s="86"/>
      <c r="I153" s="86"/>
      <c r="J153" s="86"/>
      <c r="K153" s="86">
        <v>6000</v>
      </c>
      <c r="L153" s="86">
        <f t="shared" si="108"/>
        <v>6000</v>
      </c>
      <c r="M153" s="89" t="s">
        <v>18</v>
      </c>
    </row>
    <row r="154" spans="1:13" ht="14.25" customHeight="1" x14ac:dyDescent="0.3">
      <c r="A154" s="84" t="s">
        <v>170</v>
      </c>
      <c r="B154" s="85" t="s">
        <v>23</v>
      </c>
      <c r="C154" s="86" t="s">
        <v>33</v>
      </c>
      <c r="D154" s="86" t="s">
        <v>34</v>
      </c>
      <c r="E154" s="92" t="s">
        <v>30</v>
      </c>
      <c r="F154" s="86"/>
      <c r="G154" s="88" t="s">
        <v>78</v>
      </c>
      <c r="H154" s="86"/>
      <c r="I154" s="86"/>
      <c r="J154" s="86"/>
      <c r="K154" s="86">
        <v>7000</v>
      </c>
      <c r="L154" s="86">
        <f>K154</f>
        <v>7000</v>
      </c>
      <c r="M154" s="89" t="s">
        <v>31</v>
      </c>
    </row>
    <row r="155" spans="1:13" ht="14.25" customHeight="1" x14ac:dyDescent="0.3">
      <c r="A155" s="84" t="s">
        <v>170</v>
      </c>
      <c r="B155" s="86" t="s">
        <v>14</v>
      </c>
      <c r="C155" s="86" t="s">
        <v>89</v>
      </c>
      <c r="D155" s="86" t="s">
        <v>90</v>
      </c>
      <c r="E155" s="86" t="s">
        <v>21</v>
      </c>
      <c r="F155" s="86">
        <v>25</v>
      </c>
      <c r="G155" s="86">
        <v>0.13500000000000001</v>
      </c>
      <c r="H155" s="86">
        <f t="shared" ref="H155" si="109">F155*G155</f>
        <v>3.375</v>
      </c>
      <c r="I155" s="86">
        <v>77</v>
      </c>
      <c r="J155" s="86">
        <v>1</v>
      </c>
      <c r="K155" s="86">
        <f t="shared" ref="K155" si="110">F155*I155</f>
        <v>1925</v>
      </c>
      <c r="L155" s="86">
        <f t="shared" ref="L155" si="111">K155*J155</f>
        <v>1925</v>
      </c>
      <c r="M155" s="89" t="s">
        <v>37</v>
      </c>
    </row>
    <row r="156" spans="1:13" ht="14.25" customHeight="1" x14ac:dyDescent="0.3">
      <c r="A156" s="84" t="s">
        <v>170</v>
      </c>
      <c r="B156" s="86" t="s">
        <v>14</v>
      </c>
      <c r="C156" s="86" t="s">
        <v>89</v>
      </c>
      <c r="D156" s="86" t="s">
        <v>90</v>
      </c>
      <c r="E156" s="86" t="s">
        <v>25</v>
      </c>
      <c r="F156" s="86"/>
      <c r="G156" s="86"/>
      <c r="H156" s="86"/>
      <c r="I156" s="86"/>
      <c r="J156" s="86"/>
      <c r="K156" s="86">
        <v>2000</v>
      </c>
      <c r="L156" s="86">
        <f t="shared" ref="L156" si="112">K156</f>
        <v>2000</v>
      </c>
      <c r="M156" s="89" t="s">
        <v>31</v>
      </c>
    </row>
    <row r="157" spans="1:13" ht="14.25" customHeight="1" x14ac:dyDescent="0.3">
      <c r="A157" s="84" t="s">
        <v>170</v>
      </c>
      <c r="B157" s="95" t="s">
        <v>44</v>
      </c>
      <c r="C157" s="86" t="s">
        <v>45</v>
      </c>
      <c r="D157" s="86" t="s">
        <v>46</v>
      </c>
      <c r="E157" s="86" t="s">
        <v>21</v>
      </c>
      <c r="F157" s="86">
        <v>84</v>
      </c>
      <c r="G157" s="86">
        <v>0.46</v>
      </c>
      <c r="H157" s="86">
        <f t="shared" ref="H157" si="113">F157*G157</f>
        <v>38.64</v>
      </c>
      <c r="I157" s="86">
        <v>22</v>
      </c>
      <c r="J157" s="86">
        <v>2</v>
      </c>
      <c r="K157" s="86">
        <f t="shared" ref="K157" si="114">F157*I157</f>
        <v>1848</v>
      </c>
      <c r="L157" s="86">
        <f t="shared" ref="L157" si="115">K157*J157</f>
        <v>3696</v>
      </c>
      <c r="M157" s="89" t="s">
        <v>22</v>
      </c>
    </row>
    <row r="158" spans="1:13" ht="14.25" customHeight="1" x14ac:dyDescent="0.3">
      <c r="A158" s="84" t="s">
        <v>170</v>
      </c>
      <c r="B158" s="95" t="s">
        <v>44</v>
      </c>
      <c r="C158" s="86" t="s">
        <v>45</v>
      </c>
      <c r="D158" s="86" t="s">
        <v>46</v>
      </c>
      <c r="E158" s="86" t="s">
        <v>25</v>
      </c>
      <c r="F158" s="86"/>
      <c r="G158" s="86"/>
      <c r="H158" s="86"/>
      <c r="I158" s="86"/>
      <c r="J158" s="86"/>
      <c r="K158" s="86">
        <v>1000</v>
      </c>
      <c r="L158" s="86">
        <f t="shared" ref="L158:L162" si="116">K158</f>
        <v>1000</v>
      </c>
      <c r="M158" s="89" t="s">
        <v>37</v>
      </c>
    </row>
    <row r="159" spans="1:13" ht="14.25" customHeight="1" x14ac:dyDescent="0.3">
      <c r="A159" s="84" t="s">
        <v>170</v>
      </c>
      <c r="B159" s="95" t="s">
        <v>44</v>
      </c>
      <c r="C159" s="86" t="s">
        <v>45</v>
      </c>
      <c r="D159" s="86" t="s">
        <v>46</v>
      </c>
      <c r="E159" s="86" t="s">
        <v>30</v>
      </c>
      <c r="F159" s="86"/>
      <c r="G159" s="86"/>
      <c r="H159" s="86"/>
      <c r="I159" s="86"/>
      <c r="J159" s="86"/>
      <c r="K159" s="86">
        <v>788</v>
      </c>
      <c r="L159" s="86">
        <f t="shared" si="116"/>
        <v>788</v>
      </c>
      <c r="M159" s="89" t="s">
        <v>169</v>
      </c>
    </row>
    <row r="160" spans="1:13" ht="14.25" customHeight="1" x14ac:dyDescent="0.3">
      <c r="A160" s="84" t="s">
        <v>170</v>
      </c>
      <c r="B160" s="95" t="s">
        <v>44</v>
      </c>
      <c r="C160" s="86" t="s">
        <v>45</v>
      </c>
      <c r="D160" s="86" t="s">
        <v>46</v>
      </c>
      <c r="E160" s="86" t="s">
        <v>47</v>
      </c>
      <c r="F160" s="86"/>
      <c r="G160" s="86"/>
      <c r="H160" s="86"/>
      <c r="I160" s="86"/>
      <c r="J160" s="86"/>
      <c r="K160" s="86">
        <v>750</v>
      </c>
      <c r="L160" s="86">
        <f t="shared" si="116"/>
        <v>750</v>
      </c>
      <c r="M160" s="89" t="s">
        <v>48</v>
      </c>
    </row>
    <row r="161" spans="1:13" ht="14.25" customHeight="1" x14ac:dyDescent="0.3">
      <c r="A161" s="84" t="s">
        <v>171</v>
      </c>
      <c r="B161" s="85" t="s">
        <v>23</v>
      </c>
      <c r="C161" s="86" t="s">
        <v>33</v>
      </c>
      <c r="D161" s="86" t="s">
        <v>34</v>
      </c>
      <c r="E161" s="87" t="s">
        <v>35</v>
      </c>
      <c r="F161" s="86"/>
      <c r="G161" s="88" t="s">
        <v>77</v>
      </c>
      <c r="H161" s="86"/>
      <c r="I161" s="86"/>
      <c r="J161" s="86"/>
      <c r="K161" s="86">
        <v>600</v>
      </c>
      <c r="L161" s="86">
        <f t="shared" si="116"/>
        <v>600</v>
      </c>
      <c r="M161" s="90" t="s">
        <v>26</v>
      </c>
    </row>
    <row r="162" spans="1:13" ht="14.25" customHeight="1" x14ac:dyDescent="0.3">
      <c r="A162" s="84" t="s">
        <v>171</v>
      </c>
      <c r="B162" s="85" t="s">
        <v>23</v>
      </c>
      <c r="C162" s="86" t="s">
        <v>33</v>
      </c>
      <c r="D162" s="86" t="s">
        <v>34</v>
      </c>
      <c r="E162" s="93" t="s">
        <v>39</v>
      </c>
      <c r="F162" s="86"/>
      <c r="G162" s="88" t="s">
        <v>36</v>
      </c>
      <c r="H162" s="86"/>
      <c r="I162" s="86"/>
      <c r="J162" s="86"/>
      <c r="K162" s="86">
        <v>6500</v>
      </c>
      <c r="L162" s="86">
        <f t="shared" si="116"/>
        <v>6500</v>
      </c>
      <c r="M162" s="89" t="s">
        <v>18</v>
      </c>
    </row>
    <row r="163" spans="1:13" ht="14.25" customHeight="1" x14ac:dyDescent="0.3">
      <c r="A163" s="84" t="s">
        <v>171</v>
      </c>
      <c r="B163" s="85" t="s">
        <v>23</v>
      </c>
      <c r="C163" s="86" t="s">
        <v>33</v>
      </c>
      <c r="D163" s="86" t="s">
        <v>34</v>
      </c>
      <c r="E163" s="92" t="s">
        <v>30</v>
      </c>
      <c r="F163" s="86"/>
      <c r="G163" s="88" t="s">
        <v>78</v>
      </c>
      <c r="H163" s="86"/>
      <c r="I163" s="86"/>
      <c r="J163" s="86"/>
      <c r="K163" s="86">
        <v>6500</v>
      </c>
      <c r="L163" s="86">
        <f>K163</f>
        <v>6500</v>
      </c>
      <c r="M163" s="89" t="s">
        <v>31</v>
      </c>
    </row>
    <row r="164" spans="1:13" ht="14.25" customHeight="1" x14ac:dyDescent="0.3">
      <c r="A164" s="84" t="s">
        <v>171</v>
      </c>
      <c r="B164" s="95" t="s">
        <v>44</v>
      </c>
      <c r="C164" s="86" t="s">
        <v>45</v>
      </c>
      <c r="D164" s="86" t="s">
        <v>46</v>
      </c>
      <c r="E164" s="86" t="s">
        <v>21</v>
      </c>
      <c r="F164" s="86">
        <v>310</v>
      </c>
      <c r="G164" s="86">
        <v>0.46</v>
      </c>
      <c r="H164" s="86">
        <f t="shared" ref="H164" si="117">F164*G164</f>
        <v>142.6</v>
      </c>
      <c r="I164" s="86">
        <v>22</v>
      </c>
      <c r="J164" s="86">
        <v>2</v>
      </c>
      <c r="K164" s="86">
        <f t="shared" ref="K164" si="118">F164*I164</f>
        <v>6820</v>
      </c>
      <c r="L164" s="86">
        <f t="shared" ref="L164" si="119">K164*J164</f>
        <v>13640</v>
      </c>
      <c r="M164" s="89" t="s">
        <v>22</v>
      </c>
    </row>
    <row r="165" spans="1:13" ht="14.25" customHeight="1" x14ac:dyDescent="0.3">
      <c r="A165" s="84" t="s">
        <v>171</v>
      </c>
      <c r="B165" s="95" t="s">
        <v>44</v>
      </c>
      <c r="C165" s="86" t="s">
        <v>45</v>
      </c>
      <c r="D165" s="86" t="s">
        <v>46</v>
      </c>
      <c r="E165" s="86" t="s">
        <v>21</v>
      </c>
      <c r="F165" s="86">
        <v>97</v>
      </c>
      <c r="G165" s="86">
        <v>0.46</v>
      </c>
      <c r="H165" s="86">
        <f t="shared" ref="H165" si="120">F165*G165</f>
        <v>44.620000000000005</v>
      </c>
      <c r="I165" s="86">
        <v>22</v>
      </c>
      <c r="J165" s="86">
        <v>2</v>
      </c>
      <c r="K165" s="86">
        <f t="shared" ref="K165" si="121">F165*I165</f>
        <v>2134</v>
      </c>
      <c r="L165" s="86">
        <f t="shared" ref="L165" si="122">K165*J165</f>
        <v>4268</v>
      </c>
      <c r="M165" s="89" t="s">
        <v>22</v>
      </c>
    </row>
    <row r="166" spans="1:13" ht="14.25" customHeight="1" x14ac:dyDescent="0.3">
      <c r="A166" s="84" t="s">
        <v>171</v>
      </c>
      <c r="B166" s="95" t="s">
        <v>44</v>
      </c>
      <c r="C166" s="86" t="s">
        <v>45</v>
      </c>
      <c r="D166" s="86" t="s">
        <v>46</v>
      </c>
      <c r="E166" s="86" t="s">
        <v>25</v>
      </c>
      <c r="F166" s="86"/>
      <c r="G166" s="86"/>
      <c r="H166" s="86"/>
      <c r="I166" s="86"/>
      <c r="J166" s="86"/>
      <c r="K166" s="86">
        <v>3000</v>
      </c>
      <c r="L166" s="86">
        <f t="shared" ref="L166:L170" si="123">K166</f>
        <v>3000</v>
      </c>
      <c r="M166" s="89" t="s">
        <v>37</v>
      </c>
    </row>
    <row r="167" spans="1:13" ht="14.25" customHeight="1" x14ac:dyDescent="0.3">
      <c r="A167" s="84" t="s">
        <v>171</v>
      </c>
      <c r="B167" s="95" t="s">
        <v>44</v>
      </c>
      <c r="C167" s="86" t="s">
        <v>45</v>
      </c>
      <c r="D167" s="86" t="s">
        <v>46</v>
      </c>
      <c r="E167" s="86" t="s">
        <v>30</v>
      </c>
      <c r="F167" s="86"/>
      <c r="G167" s="86"/>
      <c r="H167" s="86"/>
      <c r="I167" s="86"/>
      <c r="J167" s="86"/>
      <c r="K167" s="86">
        <v>3000</v>
      </c>
      <c r="L167" s="86">
        <f t="shared" si="123"/>
        <v>3000</v>
      </c>
      <c r="M167" s="89" t="s">
        <v>169</v>
      </c>
    </row>
    <row r="168" spans="1:13" ht="14.25" customHeight="1" x14ac:dyDescent="0.3">
      <c r="A168" s="84" t="s">
        <v>171</v>
      </c>
      <c r="B168" s="95" t="s">
        <v>44</v>
      </c>
      <c r="C168" s="86" t="s">
        <v>45</v>
      </c>
      <c r="D168" s="86" t="s">
        <v>46</v>
      </c>
      <c r="E168" s="86" t="s">
        <v>47</v>
      </c>
      <c r="F168" s="86"/>
      <c r="G168" s="86"/>
      <c r="H168" s="86"/>
      <c r="I168" s="86"/>
      <c r="J168" s="86"/>
      <c r="K168" s="86">
        <v>3000</v>
      </c>
      <c r="L168" s="86">
        <f t="shared" si="123"/>
        <v>3000</v>
      </c>
      <c r="M168" s="89" t="s">
        <v>48</v>
      </c>
    </row>
    <row r="169" spans="1:13" ht="14.25" customHeight="1" x14ac:dyDescent="0.3">
      <c r="A169" s="84" t="s">
        <v>171</v>
      </c>
      <c r="B169" s="85" t="s">
        <v>23</v>
      </c>
      <c r="C169" s="86">
        <v>65548</v>
      </c>
      <c r="D169" s="91" t="s">
        <v>24</v>
      </c>
      <c r="E169" s="87" t="s">
        <v>25</v>
      </c>
      <c r="F169" s="86"/>
      <c r="G169" s="88"/>
      <c r="H169" s="86"/>
      <c r="I169" s="86"/>
      <c r="J169" s="86"/>
      <c r="K169" s="86">
        <v>2600</v>
      </c>
      <c r="L169" s="86">
        <f t="shared" si="123"/>
        <v>2600</v>
      </c>
      <c r="M169" s="97" t="s">
        <v>153</v>
      </c>
    </row>
    <row r="170" spans="1:13" ht="14.25" customHeight="1" x14ac:dyDescent="0.3">
      <c r="A170" s="84" t="s">
        <v>171</v>
      </c>
      <c r="B170" s="85" t="s">
        <v>23</v>
      </c>
      <c r="C170" s="86">
        <v>65548</v>
      </c>
      <c r="D170" s="91" t="s">
        <v>24</v>
      </c>
      <c r="E170" s="92" t="s">
        <v>30</v>
      </c>
      <c r="F170" s="86"/>
      <c r="G170" s="88" t="s">
        <v>36</v>
      </c>
      <c r="H170" s="86"/>
      <c r="I170" s="86"/>
      <c r="J170" s="86"/>
      <c r="K170" s="86">
        <v>300</v>
      </c>
      <c r="L170" s="86">
        <f t="shared" si="123"/>
        <v>300</v>
      </c>
      <c r="M170" s="89" t="s">
        <v>31</v>
      </c>
    </row>
    <row r="171" spans="1:13" ht="14.25" customHeight="1" x14ac:dyDescent="0.3">
      <c r="A171" s="84" t="s">
        <v>175</v>
      </c>
      <c r="B171" s="85" t="s">
        <v>23</v>
      </c>
      <c r="C171" s="86">
        <v>65548</v>
      </c>
      <c r="D171" s="91" t="s">
        <v>24</v>
      </c>
      <c r="E171" s="87" t="s">
        <v>25</v>
      </c>
      <c r="F171" s="86"/>
      <c r="G171" s="88"/>
      <c r="H171" s="86"/>
      <c r="I171" s="86"/>
      <c r="J171" s="86"/>
      <c r="K171" s="86">
        <v>6600</v>
      </c>
      <c r="L171" s="86">
        <f t="shared" ref="L171:L176" si="124">K171</f>
        <v>6600</v>
      </c>
      <c r="M171" s="97" t="s">
        <v>153</v>
      </c>
    </row>
    <row r="172" spans="1:13" ht="14.25" customHeight="1" x14ac:dyDescent="0.3">
      <c r="A172" s="84" t="s">
        <v>175</v>
      </c>
      <c r="B172" s="85" t="s">
        <v>23</v>
      </c>
      <c r="C172" s="86">
        <v>65548</v>
      </c>
      <c r="D172" s="91" t="s">
        <v>24</v>
      </c>
      <c r="E172" s="92" t="s">
        <v>30</v>
      </c>
      <c r="F172" s="86"/>
      <c r="G172" s="88" t="s">
        <v>36</v>
      </c>
      <c r="H172" s="86"/>
      <c r="I172" s="86"/>
      <c r="J172" s="86"/>
      <c r="K172" s="86">
        <v>4300</v>
      </c>
      <c r="L172" s="86">
        <f t="shared" si="124"/>
        <v>4300</v>
      </c>
      <c r="M172" s="89" t="s">
        <v>31</v>
      </c>
    </row>
    <row r="173" spans="1:13" ht="14.25" customHeight="1" x14ac:dyDescent="0.3">
      <c r="A173" s="84" t="s">
        <v>175</v>
      </c>
      <c r="B173" s="95" t="s">
        <v>44</v>
      </c>
      <c r="C173" s="86" t="s">
        <v>45</v>
      </c>
      <c r="D173" s="86" t="s">
        <v>46</v>
      </c>
      <c r="E173" s="86" t="s">
        <v>25</v>
      </c>
      <c r="F173" s="86"/>
      <c r="G173" s="86"/>
      <c r="H173" s="86"/>
      <c r="I173" s="86"/>
      <c r="J173" s="86"/>
      <c r="K173" s="86">
        <v>2250</v>
      </c>
      <c r="L173" s="86">
        <f t="shared" si="124"/>
        <v>2250</v>
      </c>
      <c r="M173" s="89" t="s">
        <v>37</v>
      </c>
    </row>
    <row r="174" spans="1:13" ht="14.25" customHeight="1" x14ac:dyDescent="0.3">
      <c r="A174" s="84" t="s">
        <v>175</v>
      </c>
      <c r="B174" s="95" t="s">
        <v>44</v>
      </c>
      <c r="C174" s="86" t="s">
        <v>45</v>
      </c>
      <c r="D174" s="86" t="s">
        <v>46</v>
      </c>
      <c r="E174" s="86" t="s">
        <v>30</v>
      </c>
      <c r="F174" s="86"/>
      <c r="G174" s="86"/>
      <c r="H174" s="86"/>
      <c r="I174" s="86"/>
      <c r="J174" s="86"/>
      <c r="K174" s="86">
        <v>2300</v>
      </c>
      <c r="L174" s="86">
        <f t="shared" si="124"/>
        <v>2300</v>
      </c>
      <c r="M174" s="89" t="s">
        <v>169</v>
      </c>
    </row>
    <row r="175" spans="1:13" ht="14.25" customHeight="1" x14ac:dyDescent="0.3">
      <c r="A175" s="84" t="s">
        <v>175</v>
      </c>
      <c r="B175" s="95" t="s">
        <v>44</v>
      </c>
      <c r="C175" s="86" t="s">
        <v>45</v>
      </c>
      <c r="D175" s="86" t="s">
        <v>46</v>
      </c>
      <c r="E175" s="86" t="s">
        <v>47</v>
      </c>
      <c r="F175" s="86"/>
      <c r="G175" s="86"/>
      <c r="H175" s="86"/>
      <c r="I175" s="86"/>
      <c r="J175" s="86"/>
      <c r="K175" s="86">
        <v>2500</v>
      </c>
      <c r="L175" s="86">
        <f t="shared" si="124"/>
        <v>2500</v>
      </c>
      <c r="M175" s="89" t="s">
        <v>48</v>
      </c>
    </row>
    <row r="176" spans="1:13" ht="14.25" customHeight="1" x14ac:dyDescent="0.3">
      <c r="A176" s="84" t="s">
        <v>175</v>
      </c>
      <c r="B176" s="85" t="s">
        <v>23</v>
      </c>
      <c r="C176" s="86" t="s">
        <v>33</v>
      </c>
      <c r="D176" s="86" t="s">
        <v>34</v>
      </c>
      <c r="E176" s="87" t="s">
        <v>35</v>
      </c>
      <c r="F176" s="86"/>
      <c r="G176" s="88" t="s">
        <v>77</v>
      </c>
      <c r="H176" s="86"/>
      <c r="I176" s="86"/>
      <c r="J176" s="86"/>
      <c r="K176" s="86">
        <v>3020</v>
      </c>
      <c r="L176" s="86">
        <f t="shared" si="124"/>
        <v>3020</v>
      </c>
      <c r="M176" s="90" t="s">
        <v>26</v>
      </c>
    </row>
    <row r="177" spans="1:13" ht="14.25" customHeight="1" x14ac:dyDescent="0.3">
      <c r="A177" s="84" t="s">
        <v>175</v>
      </c>
      <c r="B177" s="101" t="s">
        <v>41</v>
      </c>
      <c r="C177" s="86" t="s">
        <v>42</v>
      </c>
      <c r="D177" s="86" t="s">
        <v>93</v>
      </c>
      <c r="E177" s="86" t="s">
        <v>21</v>
      </c>
      <c r="F177" s="86">
        <v>20</v>
      </c>
      <c r="G177" s="86">
        <v>0</v>
      </c>
      <c r="H177" s="86">
        <f>G177*F177</f>
        <v>0</v>
      </c>
      <c r="I177" s="86">
        <v>42</v>
      </c>
      <c r="J177" s="86">
        <v>4</v>
      </c>
      <c r="K177" s="86">
        <f>F177*I177</f>
        <v>840</v>
      </c>
      <c r="L177" s="86">
        <f>K177*J177</f>
        <v>3360</v>
      </c>
      <c r="M177" s="89" t="s">
        <v>22</v>
      </c>
    </row>
    <row r="178" spans="1:13" ht="14.25" customHeight="1" x14ac:dyDescent="0.3">
      <c r="A178" s="84"/>
      <c r="B178" s="95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9"/>
    </row>
    <row r="179" spans="1:13" ht="14.25" customHeight="1" x14ac:dyDescent="0.3">
      <c r="A179" s="84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9"/>
    </row>
    <row r="180" spans="1:13" ht="22.5" customHeight="1" x14ac:dyDescent="0.3">
      <c r="A180" s="84"/>
      <c r="B180" s="86"/>
      <c r="C180" s="86"/>
      <c r="D180" s="86"/>
      <c r="E180" s="86"/>
      <c r="F180" s="86">
        <f t="shared" ref="F180:L180" si="125">SUM(F3:F179)</f>
        <v>5192</v>
      </c>
      <c r="G180" s="86">
        <f t="shared" si="125"/>
        <v>22.880000000000006</v>
      </c>
      <c r="H180" s="98">
        <f t="shared" si="125"/>
        <v>2393.7149999999997</v>
      </c>
      <c r="I180" s="86">
        <f>SUM(I3:I179)</f>
        <v>2204</v>
      </c>
      <c r="J180" s="86">
        <f t="shared" si="125"/>
        <v>112</v>
      </c>
      <c r="K180" s="96">
        <f>SUM(K3:K179)</f>
        <v>671540</v>
      </c>
      <c r="L180" s="86">
        <f t="shared" si="125"/>
        <v>812130</v>
      </c>
      <c r="M180" s="89"/>
    </row>
    <row r="181" spans="1:13" ht="14.25" customHeight="1" x14ac:dyDescent="0.3"/>
    <row r="182" spans="1:13" ht="14.25" customHeight="1" x14ac:dyDescent="0.3">
      <c r="H182" s="98">
        <f>SUM(H60:H179)</f>
        <v>2079.19</v>
      </c>
    </row>
    <row r="183" spans="1:13" ht="14.25" customHeight="1" x14ac:dyDescent="0.3"/>
  </sheetData>
  <autoFilter ref="A2:M177"/>
  <mergeCells count="14">
    <mergeCell ref="Q17:R18"/>
    <mergeCell ref="S17:T18"/>
    <mergeCell ref="Q6:Q7"/>
    <mergeCell ref="R6:R7"/>
    <mergeCell ref="S6:T7"/>
    <mergeCell ref="Q13:R13"/>
    <mergeCell ref="Q15:R16"/>
    <mergeCell ref="S15:T16"/>
    <mergeCell ref="A1:M1"/>
    <mergeCell ref="Q2:T2"/>
    <mergeCell ref="Q3:T3"/>
    <mergeCell ref="Q4:Q5"/>
    <mergeCell ref="R4:R5"/>
    <mergeCell ref="S4:T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6"/>
  <sheetViews>
    <sheetView topLeftCell="A106" workbookViewId="0">
      <selection activeCell="Q196" sqref="Q196"/>
    </sheetView>
  </sheetViews>
  <sheetFormatPr defaultRowHeight="15" x14ac:dyDescent="0.25"/>
  <cols>
    <col min="2" max="2" width="9" customWidth="1"/>
    <col min="4" max="4" width="12.7109375" customWidth="1"/>
    <col min="20" max="20" width="5.7109375" bestFit="1" customWidth="1"/>
  </cols>
  <sheetData>
    <row r="1" spans="1:13" ht="29.25" x14ac:dyDescent="0.25">
      <c r="A1" s="292" t="s">
        <v>176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</row>
    <row r="2" spans="1:13" ht="25.5" x14ac:dyDescent="0.25">
      <c r="A2" s="107" t="s">
        <v>0</v>
      </c>
      <c r="B2" s="107" t="s">
        <v>1</v>
      </c>
      <c r="C2" s="107" t="s">
        <v>2</v>
      </c>
      <c r="D2" s="107" t="s">
        <v>3</v>
      </c>
      <c r="E2" s="107" t="s">
        <v>4</v>
      </c>
      <c r="F2" s="107" t="s">
        <v>5</v>
      </c>
      <c r="G2" s="107" t="s">
        <v>6</v>
      </c>
      <c r="H2" s="107" t="s">
        <v>7</v>
      </c>
      <c r="I2" s="107" t="s">
        <v>8</v>
      </c>
      <c r="J2" s="107" t="s">
        <v>9</v>
      </c>
      <c r="K2" s="107" t="s">
        <v>10</v>
      </c>
      <c r="L2" s="107" t="s">
        <v>11</v>
      </c>
      <c r="M2" s="107" t="s">
        <v>12</v>
      </c>
    </row>
    <row r="3" spans="1:13" ht="15" customHeight="1" x14ac:dyDescent="0.25">
      <c r="A3" s="118" t="s">
        <v>177</v>
      </c>
      <c r="B3" s="85" t="s">
        <v>23</v>
      </c>
      <c r="C3" s="114">
        <v>65548</v>
      </c>
      <c r="D3" s="91" t="s">
        <v>24</v>
      </c>
      <c r="E3" s="87" t="s">
        <v>25</v>
      </c>
      <c r="F3" s="114"/>
      <c r="G3" s="115"/>
      <c r="H3" s="114"/>
      <c r="I3" s="114"/>
      <c r="J3" s="114"/>
      <c r="K3" s="114">
        <v>5940</v>
      </c>
      <c r="L3" s="114">
        <f t="shared" ref="L3:L6" si="0">K3</f>
        <v>5940</v>
      </c>
      <c r="M3" s="111" t="s">
        <v>179</v>
      </c>
    </row>
    <row r="4" spans="1:13" ht="15" customHeight="1" x14ac:dyDescent="0.25">
      <c r="A4" s="118" t="s">
        <v>177</v>
      </c>
      <c r="B4" s="85" t="s">
        <v>23</v>
      </c>
      <c r="C4" s="114">
        <v>65548</v>
      </c>
      <c r="D4" s="91" t="s">
        <v>24</v>
      </c>
      <c r="E4" s="92" t="s">
        <v>30</v>
      </c>
      <c r="F4" s="114"/>
      <c r="G4" s="115" t="s">
        <v>36</v>
      </c>
      <c r="H4" s="114"/>
      <c r="I4" s="114"/>
      <c r="J4" s="114"/>
      <c r="K4" s="114">
        <f>1077+5330</f>
        <v>6407</v>
      </c>
      <c r="L4" s="114">
        <f t="shared" si="0"/>
        <v>6407</v>
      </c>
      <c r="M4" s="111" t="s">
        <v>18</v>
      </c>
    </row>
    <row r="5" spans="1:13" x14ac:dyDescent="0.25">
      <c r="A5" s="118" t="s">
        <v>177</v>
      </c>
      <c r="B5" s="85" t="s">
        <v>23</v>
      </c>
      <c r="C5" s="114">
        <v>66772</v>
      </c>
      <c r="D5" s="86" t="s">
        <v>34</v>
      </c>
      <c r="E5" s="87" t="s">
        <v>35</v>
      </c>
      <c r="F5" s="114"/>
      <c r="G5" s="115" t="s">
        <v>77</v>
      </c>
      <c r="H5" s="114"/>
      <c r="I5" s="114"/>
      <c r="J5" s="114"/>
      <c r="K5" s="114">
        <v>5400</v>
      </c>
      <c r="L5" s="114">
        <f t="shared" si="0"/>
        <v>5400</v>
      </c>
      <c r="M5" s="111" t="s">
        <v>180</v>
      </c>
    </row>
    <row r="6" spans="1:13" x14ac:dyDescent="0.25">
      <c r="A6" s="118" t="s">
        <v>177</v>
      </c>
      <c r="B6" s="85" t="s">
        <v>23</v>
      </c>
      <c r="C6" s="114">
        <v>66772</v>
      </c>
      <c r="D6" s="86" t="s">
        <v>34</v>
      </c>
      <c r="E6" s="93" t="s">
        <v>39</v>
      </c>
      <c r="F6" s="114"/>
      <c r="G6" s="115" t="s">
        <v>36</v>
      </c>
      <c r="H6" s="114"/>
      <c r="I6" s="114"/>
      <c r="J6" s="114"/>
      <c r="K6" s="114">
        <v>1350</v>
      </c>
      <c r="L6" s="114">
        <f t="shared" si="0"/>
        <v>1350</v>
      </c>
      <c r="M6" s="111" t="s">
        <v>26</v>
      </c>
    </row>
    <row r="7" spans="1:13" x14ac:dyDescent="0.25">
      <c r="A7" s="118" t="s">
        <v>177</v>
      </c>
      <c r="B7" s="101" t="s">
        <v>41</v>
      </c>
      <c r="C7" s="114" t="s">
        <v>42</v>
      </c>
      <c r="D7" s="86" t="s">
        <v>93</v>
      </c>
      <c r="E7" s="86" t="s">
        <v>21</v>
      </c>
      <c r="F7" s="114">
        <v>51</v>
      </c>
      <c r="G7" s="114">
        <v>0</v>
      </c>
      <c r="H7" s="114">
        <f>G7*F7</f>
        <v>0</v>
      </c>
      <c r="I7" s="114">
        <v>42</v>
      </c>
      <c r="J7" s="114">
        <v>4</v>
      </c>
      <c r="K7" s="114">
        <f>F7*I7</f>
        <v>2142</v>
      </c>
      <c r="L7" s="114">
        <f>K7*J7</f>
        <v>8568</v>
      </c>
      <c r="M7" s="111" t="s">
        <v>22</v>
      </c>
    </row>
    <row r="8" spans="1:13" x14ac:dyDescent="0.25">
      <c r="A8" s="118" t="s">
        <v>177</v>
      </c>
      <c r="B8" s="95" t="s">
        <v>44</v>
      </c>
      <c r="C8" s="114" t="s">
        <v>45</v>
      </c>
      <c r="D8" s="86" t="s">
        <v>46</v>
      </c>
      <c r="E8" s="86" t="s">
        <v>25</v>
      </c>
      <c r="F8" s="114"/>
      <c r="G8" s="114"/>
      <c r="H8" s="114"/>
      <c r="I8" s="114"/>
      <c r="J8" s="114"/>
      <c r="K8" s="114">
        <v>3383</v>
      </c>
      <c r="L8" s="114">
        <f t="shared" ref="L8:L10" si="1">K8</f>
        <v>3383</v>
      </c>
      <c r="M8" s="111" t="s">
        <v>37</v>
      </c>
    </row>
    <row r="9" spans="1:13" x14ac:dyDescent="0.25">
      <c r="A9" s="118" t="s">
        <v>177</v>
      </c>
      <c r="B9" s="95" t="s">
        <v>44</v>
      </c>
      <c r="C9" s="114" t="s">
        <v>45</v>
      </c>
      <c r="D9" s="86" t="s">
        <v>46</v>
      </c>
      <c r="E9" s="86" t="s">
        <v>30</v>
      </c>
      <c r="F9" s="114"/>
      <c r="G9" s="114"/>
      <c r="H9" s="114"/>
      <c r="I9" s="114"/>
      <c r="J9" s="114"/>
      <c r="K9" s="114">
        <v>3150</v>
      </c>
      <c r="L9" s="114">
        <f t="shared" si="1"/>
        <v>3150</v>
      </c>
      <c r="M9" s="111" t="s">
        <v>169</v>
      </c>
    </row>
    <row r="10" spans="1:13" x14ac:dyDescent="0.25">
      <c r="A10" s="118" t="s">
        <v>177</v>
      </c>
      <c r="B10" s="95" t="s">
        <v>44</v>
      </c>
      <c r="C10" s="114" t="s">
        <v>45</v>
      </c>
      <c r="D10" s="86" t="s">
        <v>46</v>
      </c>
      <c r="E10" s="86" t="s">
        <v>47</v>
      </c>
      <c r="F10" s="114"/>
      <c r="G10" s="114"/>
      <c r="H10" s="114"/>
      <c r="I10" s="114"/>
      <c r="J10" s="114"/>
      <c r="K10" s="114">
        <v>2500</v>
      </c>
      <c r="L10" s="114">
        <f t="shared" si="1"/>
        <v>2500</v>
      </c>
      <c r="M10" s="111" t="s">
        <v>48</v>
      </c>
    </row>
    <row r="11" spans="1:13" x14ac:dyDescent="0.25">
      <c r="A11" s="118" t="s">
        <v>177</v>
      </c>
      <c r="B11" s="86" t="s">
        <v>14</v>
      </c>
      <c r="C11" s="114">
        <v>6380</v>
      </c>
      <c r="D11" s="86" t="s">
        <v>16</v>
      </c>
      <c r="E11" s="86" t="s">
        <v>17</v>
      </c>
      <c r="F11" s="114">
        <v>3</v>
      </c>
      <c r="G11" s="114">
        <v>0.42499999999999999</v>
      </c>
      <c r="H11" s="114">
        <f t="shared" ref="H11:H12" si="2">F11*G11</f>
        <v>1.2749999999999999</v>
      </c>
      <c r="I11" s="114">
        <v>56</v>
      </c>
      <c r="J11" s="114">
        <v>4</v>
      </c>
      <c r="K11" s="114">
        <f t="shared" ref="K11" si="3">F11*I11</f>
        <v>168</v>
      </c>
      <c r="L11" s="114">
        <f t="shared" ref="L11:L13" si="4">K11*J11</f>
        <v>672</v>
      </c>
      <c r="M11" s="111" t="s">
        <v>18</v>
      </c>
    </row>
    <row r="12" spans="1:13" x14ac:dyDescent="0.25">
      <c r="A12" s="118" t="s">
        <v>177</v>
      </c>
      <c r="B12" s="86" t="s">
        <v>14</v>
      </c>
      <c r="C12" s="114" t="s">
        <v>51</v>
      </c>
      <c r="D12" s="86" t="s">
        <v>52</v>
      </c>
      <c r="E12" s="86" t="s">
        <v>17</v>
      </c>
      <c r="F12" s="114">
        <v>35</v>
      </c>
      <c r="G12" s="114">
        <v>0.20499999999999999</v>
      </c>
      <c r="H12" s="114">
        <f t="shared" si="2"/>
        <v>7.1749999999999998</v>
      </c>
      <c r="I12" s="114">
        <v>26</v>
      </c>
      <c r="J12" s="114">
        <v>4</v>
      </c>
      <c r="K12" s="114">
        <f>F12*I12</f>
        <v>910</v>
      </c>
      <c r="L12" s="114">
        <f t="shared" si="4"/>
        <v>3640</v>
      </c>
      <c r="M12" s="111" t="s">
        <v>18</v>
      </c>
    </row>
    <row r="13" spans="1:13" x14ac:dyDescent="0.25">
      <c r="A13" s="118" t="s">
        <v>177</v>
      </c>
      <c r="B13" s="86" t="s">
        <v>14</v>
      </c>
      <c r="C13" s="114" t="s">
        <v>49</v>
      </c>
      <c r="D13" s="86" t="s">
        <v>50</v>
      </c>
      <c r="E13" s="86" t="s">
        <v>17</v>
      </c>
      <c r="F13" s="114">
        <v>37</v>
      </c>
      <c r="G13" s="114">
        <v>0.26</v>
      </c>
      <c r="H13" s="114">
        <f>F13*G13</f>
        <v>9.620000000000001</v>
      </c>
      <c r="I13" s="114">
        <v>28</v>
      </c>
      <c r="J13" s="114">
        <v>1</v>
      </c>
      <c r="K13" s="114">
        <f t="shared" ref="K13" si="5">F13*I13</f>
        <v>1036</v>
      </c>
      <c r="L13" s="114">
        <f t="shared" si="4"/>
        <v>1036</v>
      </c>
      <c r="M13" s="111" t="s">
        <v>22</v>
      </c>
    </row>
    <row r="14" spans="1:13" x14ac:dyDescent="0.25">
      <c r="A14" s="118" t="s">
        <v>177</v>
      </c>
      <c r="B14" s="86" t="s">
        <v>14</v>
      </c>
      <c r="C14" s="114" t="s">
        <v>56</v>
      </c>
      <c r="D14" s="86" t="s">
        <v>57</v>
      </c>
      <c r="E14" s="94" t="s">
        <v>35</v>
      </c>
      <c r="F14" s="114"/>
      <c r="G14" s="114" t="s">
        <v>77</v>
      </c>
      <c r="H14" s="114"/>
      <c r="I14" s="114"/>
      <c r="J14" s="114">
        <v>1</v>
      </c>
      <c r="K14" s="114">
        <v>500</v>
      </c>
      <c r="L14" s="114">
        <f t="shared" ref="L14:L20" si="6">K14</f>
        <v>500</v>
      </c>
      <c r="M14" s="111" t="s">
        <v>91</v>
      </c>
    </row>
    <row r="15" spans="1:13" x14ac:dyDescent="0.25">
      <c r="A15" s="118" t="s">
        <v>178</v>
      </c>
      <c r="B15" s="85" t="s">
        <v>23</v>
      </c>
      <c r="C15" s="114">
        <v>65548</v>
      </c>
      <c r="D15" s="91" t="s">
        <v>24</v>
      </c>
      <c r="E15" s="92" t="s">
        <v>30</v>
      </c>
      <c r="F15" s="114"/>
      <c r="G15" s="115" t="s">
        <v>36</v>
      </c>
      <c r="H15" s="114"/>
      <c r="I15" s="114"/>
      <c r="J15" s="114"/>
      <c r="K15" s="114">
        <v>4040</v>
      </c>
      <c r="L15" s="114">
        <f t="shared" si="6"/>
        <v>4040</v>
      </c>
      <c r="M15" s="111" t="s">
        <v>26</v>
      </c>
    </row>
    <row r="16" spans="1:13" x14ac:dyDescent="0.25">
      <c r="A16" s="118" t="s">
        <v>178</v>
      </c>
      <c r="B16" s="85" t="s">
        <v>23</v>
      </c>
      <c r="C16" s="114">
        <v>66772</v>
      </c>
      <c r="D16" s="86" t="s">
        <v>34</v>
      </c>
      <c r="E16" s="87" t="s">
        <v>35</v>
      </c>
      <c r="F16" s="114"/>
      <c r="G16" s="115" t="s">
        <v>77</v>
      </c>
      <c r="H16" s="114"/>
      <c r="I16" s="114"/>
      <c r="J16" s="114"/>
      <c r="K16" s="114">
        <v>3329</v>
      </c>
      <c r="L16" s="114">
        <f t="shared" si="6"/>
        <v>3329</v>
      </c>
      <c r="M16" s="111" t="s">
        <v>179</v>
      </c>
    </row>
    <row r="17" spans="1:23" x14ac:dyDescent="0.25">
      <c r="A17" s="118" t="s">
        <v>178</v>
      </c>
      <c r="B17" s="85" t="s">
        <v>23</v>
      </c>
      <c r="C17" s="114">
        <v>66772</v>
      </c>
      <c r="D17" s="86" t="s">
        <v>34</v>
      </c>
      <c r="E17" s="93" t="s">
        <v>39</v>
      </c>
      <c r="F17" s="114"/>
      <c r="G17" s="115" t="s">
        <v>36</v>
      </c>
      <c r="H17" s="114"/>
      <c r="I17" s="114"/>
      <c r="J17" s="114"/>
      <c r="K17" s="114">
        <v>9350</v>
      </c>
      <c r="L17" s="114">
        <f t="shared" si="6"/>
        <v>9350</v>
      </c>
      <c r="M17" s="111" t="s">
        <v>179</v>
      </c>
      <c r="Q17" s="103">
        <v>26.06</v>
      </c>
      <c r="R17" s="103">
        <v>56864</v>
      </c>
      <c r="S17" s="103">
        <v>62170</v>
      </c>
      <c r="T17" s="104">
        <v>0.84099999999999997</v>
      </c>
      <c r="U17" s="103">
        <v>18.475000000000001</v>
      </c>
      <c r="V17" s="103">
        <v>17.908999999999999</v>
      </c>
      <c r="W17" s="103">
        <v>116</v>
      </c>
    </row>
    <row r="18" spans="1:23" x14ac:dyDescent="0.25">
      <c r="A18" s="118" t="s">
        <v>178</v>
      </c>
      <c r="B18" s="85" t="s">
        <v>23</v>
      </c>
      <c r="C18" s="114">
        <v>66772</v>
      </c>
      <c r="D18" s="86" t="s">
        <v>34</v>
      </c>
      <c r="E18" s="92" t="s">
        <v>30</v>
      </c>
      <c r="F18" s="114"/>
      <c r="G18" s="115" t="s">
        <v>78</v>
      </c>
      <c r="H18" s="114"/>
      <c r="I18" s="114"/>
      <c r="J18" s="114"/>
      <c r="K18" s="114">
        <v>2750</v>
      </c>
      <c r="L18" s="114">
        <f>K18</f>
        <v>2750</v>
      </c>
      <c r="M18" s="111" t="s">
        <v>180</v>
      </c>
      <c r="Q18" s="103">
        <v>27.06</v>
      </c>
      <c r="R18" s="103">
        <v>57024</v>
      </c>
      <c r="S18" s="103">
        <v>62374</v>
      </c>
      <c r="T18" s="104">
        <v>0.84099999999999997</v>
      </c>
      <c r="U18" s="103">
        <v>18.475000000000001</v>
      </c>
      <c r="V18" s="103">
        <v>17.908999999999999</v>
      </c>
      <c r="W18" s="103">
        <f t="shared" ref="W18:W25" si="7">R18-R17</f>
        <v>160</v>
      </c>
    </row>
    <row r="19" spans="1:23" x14ac:dyDescent="0.25">
      <c r="A19" s="118" t="s">
        <v>178</v>
      </c>
      <c r="B19" s="95" t="s">
        <v>44</v>
      </c>
      <c r="C19" s="114" t="s">
        <v>45</v>
      </c>
      <c r="D19" s="86" t="s">
        <v>46</v>
      </c>
      <c r="E19" s="86" t="s">
        <v>25</v>
      </c>
      <c r="F19" s="114"/>
      <c r="G19" s="114"/>
      <c r="H19" s="114"/>
      <c r="I19" s="114"/>
      <c r="J19" s="114"/>
      <c r="K19" s="114">
        <v>600</v>
      </c>
      <c r="L19" s="114">
        <f t="shared" si="6"/>
        <v>600</v>
      </c>
      <c r="M19" s="111" t="s">
        <v>37</v>
      </c>
      <c r="Q19" s="103">
        <v>28.06</v>
      </c>
      <c r="R19" s="103">
        <v>57177</v>
      </c>
      <c r="S19" s="103">
        <v>62567</v>
      </c>
      <c r="T19" s="104">
        <v>0.83499999999999996</v>
      </c>
      <c r="U19" s="103">
        <v>18.475000000000001</v>
      </c>
      <c r="V19" s="103">
        <v>17.908999999999999</v>
      </c>
      <c r="W19" s="103">
        <f t="shared" si="7"/>
        <v>153</v>
      </c>
    </row>
    <row r="20" spans="1:23" x14ac:dyDescent="0.25">
      <c r="A20" s="118" t="s">
        <v>178</v>
      </c>
      <c r="B20" s="95" t="s">
        <v>44</v>
      </c>
      <c r="C20" s="114" t="s">
        <v>45</v>
      </c>
      <c r="D20" s="86" t="s">
        <v>46</v>
      </c>
      <c r="E20" s="86" t="s">
        <v>30</v>
      </c>
      <c r="F20" s="114"/>
      <c r="G20" s="114"/>
      <c r="H20" s="114"/>
      <c r="I20" s="114"/>
      <c r="J20" s="114"/>
      <c r="K20" s="114">
        <v>600</v>
      </c>
      <c r="L20" s="114">
        <f t="shared" si="6"/>
        <v>600</v>
      </c>
      <c r="M20" s="111" t="s">
        <v>181</v>
      </c>
      <c r="Q20" s="103">
        <v>29.06</v>
      </c>
      <c r="R20" s="103">
        <v>57332</v>
      </c>
      <c r="S20" s="103">
        <v>62754</v>
      </c>
      <c r="T20" s="104">
        <v>0.83499999999999996</v>
      </c>
      <c r="U20" s="103">
        <v>18.475000000000001</v>
      </c>
      <c r="V20" s="103">
        <v>17.908999999999999</v>
      </c>
      <c r="W20" s="103">
        <f t="shared" si="7"/>
        <v>155</v>
      </c>
    </row>
    <row r="21" spans="1:23" x14ac:dyDescent="0.25">
      <c r="A21" s="118" t="s">
        <v>178</v>
      </c>
      <c r="B21" s="86" t="s">
        <v>14</v>
      </c>
      <c r="C21" s="114" t="s">
        <v>49</v>
      </c>
      <c r="D21" s="86" t="s">
        <v>50</v>
      </c>
      <c r="E21" s="86" t="s">
        <v>17</v>
      </c>
      <c r="F21" s="114">
        <v>37</v>
      </c>
      <c r="G21" s="114">
        <v>0.26</v>
      </c>
      <c r="H21" s="114">
        <f>F21*G21</f>
        <v>9.620000000000001</v>
      </c>
      <c r="I21" s="114">
        <v>28</v>
      </c>
      <c r="J21" s="114">
        <v>1</v>
      </c>
      <c r="K21" s="114">
        <v>172</v>
      </c>
      <c r="L21" s="114">
        <f t="shared" ref="L21:L22" si="8">K21*J21</f>
        <v>172</v>
      </c>
      <c r="M21" s="111" t="s">
        <v>22</v>
      </c>
      <c r="Q21" s="103">
        <v>30.06</v>
      </c>
      <c r="R21" s="103">
        <v>57440</v>
      </c>
      <c r="S21" s="103">
        <v>62842</v>
      </c>
      <c r="T21" s="104">
        <v>0.83499999999999996</v>
      </c>
      <c r="U21" s="103">
        <v>18.475000000000001</v>
      </c>
      <c r="V21" s="103">
        <v>17.908999999999999</v>
      </c>
      <c r="W21" s="103">
        <f t="shared" si="7"/>
        <v>108</v>
      </c>
    </row>
    <row r="22" spans="1:23" x14ac:dyDescent="0.25">
      <c r="A22" s="118" t="s">
        <v>178</v>
      </c>
      <c r="B22" s="86" t="s">
        <v>14</v>
      </c>
      <c r="C22" s="114">
        <v>2576</v>
      </c>
      <c r="D22" s="86" t="s">
        <v>84</v>
      </c>
      <c r="E22" s="86" t="s">
        <v>17</v>
      </c>
      <c r="F22" s="114">
        <v>226</v>
      </c>
      <c r="G22" s="114">
        <v>0.1</v>
      </c>
      <c r="H22" s="114">
        <f>F22*G22</f>
        <v>22.6</v>
      </c>
      <c r="I22" s="114">
        <v>17</v>
      </c>
      <c r="J22" s="114">
        <v>1</v>
      </c>
      <c r="K22" s="114">
        <f t="shared" ref="K22" si="9">F22*I22</f>
        <v>3842</v>
      </c>
      <c r="L22" s="114">
        <f t="shared" si="8"/>
        <v>3842</v>
      </c>
      <c r="M22" s="111" t="s">
        <v>22</v>
      </c>
      <c r="Q22" s="103">
        <v>1.07</v>
      </c>
      <c r="R22" s="103">
        <v>57612</v>
      </c>
      <c r="S22" s="103">
        <v>63198</v>
      </c>
      <c r="T22" s="104">
        <v>0.81499999999999995</v>
      </c>
      <c r="U22" s="104">
        <v>18.66</v>
      </c>
      <c r="V22" s="103">
        <v>17.908999999999999</v>
      </c>
      <c r="W22" s="103">
        <f t="shared" si="7"/>
        <v>172</v>
      </c>
    </row>
    <row r="23" spans="1:23" x14ac:dyDescent="0.25">
      <c r="A23" s="118" t="s">
        <v>178</v>
      </c>
      <c r="B23" s="86" t="s">
        <v>14</v>
      </c>
      <c r="C23" s="114" t="s">
        <v>56</v>
      </c>
      <c r="D23" s="86" t="s">
        <v>57</v>
      </c>
      <c r="E23" s="94" t="s">
        <v>35</v>
      </c>
      <c r="F23" s="114"/>
      <c r="G23" s="114" t="s">
        <v>77</v>
      </c>
      <c r="H23" s="114"/>
      <c r="I23" s="114"/>
      <c r="J23" s="114">
        <v>1</v>
      </c>
      <c r="K23" s="114">
        <v>1000</v>
      </c>
      <c r="L23" s="114">
        <f t="shared" ref="L23" si="10">K23</f>
        <v>1000</v>
      </c>
      <c r="M23" s="111" t="s">
        <v>91</v>
      </c>
      <c r="Q23" s="103">
        <v>2.0699999999999998</v>
      </c>
      <c r="R23" s="103">
        <v>57768</v>
      </c>
      <c r="S23" s="103">
        <v>63453</v>
      </c>
      <c r="T23" s="104">
        <v>0.80400000000000005</v>
      </c>
      <c r="U23" s="104">
        <v>18.66</v>
      </c>
      <c r="V23" s="103">
        <v>17.908999999999999</v>
      </c>
      <c r="W23" s="103">
        <f t="shared" si="7"/>
        <v>156</v>
      </c>
    </row>
    <row r="24" spans="1:23" x14ac:dyDescent="0.25">
      <c r="A24" s="118" t="s">
        <v>178</v>
      </c>
      <c r="B24" s="86" t="s">
        <v>14</v>
      </c>
      <c r="C24" s="114" t="s">
        <v>56</v>
      </c>
      <c r="D24" s="86" t="s">
        <v>57</v>
      </c>
      <c r="E24" s="86" t="s">
        <v>39</v>
      </c>
      <c r="F24" s="114"/>
      <c r="G24" s="114" t="s">
        <v>36</v>
      </c>
      <c r="H24" s="114"/>
      <c r="I24" s="114"/>
      <c r="J24" s="114">
        <v>2</v>
      </c>
      <c r="K24" s="114">
        <v>120</v>
      </c>
      <c r="L24" s="114">
        <f>K24*2</f>
        <v>240</v>
      </c>
      <c r="M24" s="111" t="s">
        <v>181</v>
      </c>
      <c r="Q24" s="103">
        <v>3.07</v>
      </c>
      <c r="R24" s="103">
        <v>57900</v>
      </c>
      <c r="S24" s="103">
        <v>63665</v>
      </c>
      <c r="T24" s="104">
        <v>0.79600000000000004</v>
      </c>
      <c r="U24" s="104">
        <v>18.66</v>
      </c>
      <c r="V24" s="103">
        <v>17.908999999999999</v>
      </c>
      <c r="W24" s="103">
        <f t="shared" si="7"/>
        <v>132</v>
      </c>
    </row>
    <row r="25" spans="1:23" x14ac:dyDescent="0.25">
      <c r="A25" s="118" t="s">
        <v>178</v>
      </c>
      <c r="B25" s="86" t="s">
        <v>14</v>
      </c>
      <c r="C25" s="114">
        <v>6078</v>
      </c>
      <c r="D25" s="86" t="s">
        <v>16</v>
      </c>
      <c r="E25" s="86" t="s">
        <v>17</v>
      </c>
      <c r="F25" s="114">
        <v>39</v>
      </c>
      <c r="G25" s="114">
        <v>0.32500000000000001</v>
      </c>
      <c r="H25" s="114">
        <f t="shared" ref="H25" si="11">F25*G25</f>
        <v>12.675000000000001</v>
      </c>
      <c r="I25" s="114">
        <v>62</v>
      </c>
      <c r="J25" s="114">
        <v>4</v>
      </c>
      <c r="K25" s="114">
        <f t="shared" ref="K25:K26" si="12">F25*I25</f>
        <v>2418</v>
      </c>
      <c r="L25" s="114">
        <f>K25*J25</f>
        <v>9672</v>
      </c>
      <c r="M25" s="111" t="s">
        <v>18</v>
      </c>
      <c r="Q25" s="103">
        <v>6.07</v>
      </c>
      <c r="R25" s="103">
        <v>58358</v>
      </c>
      <c r="S25" s="103">
        <v>64280</v>
      </c>
      <c r="T25" s="104">
        <v>0.79</v>
      </c>
      <c r="U25" s="103">
        <v>20.366</v>
      </c>
      <c r="V25" s="103">
        <v>17.908999999999999</v>
      </c>
      <c r="W25" s="103">
        <f t="shared" si="7"/>
        <v>458</v>
      </c>
    </row>
    <row r="26" spans="1:23" x14ac:dyDescent="0.25">
      <c r="A26" s="118" t="s">
        <v>182</v>
      </c>
      <c r="B26" s="86" t="s">
        <v>14</v>
      </c>
      <c r="C26" s="114">
        <v>2576</v>
      </c>
      <c r="D26" s="86" t="s">
        <v>84</v>
      </c>
      <c r="E26" s="86" t="s">
        <v>17</v>
      </c>
      <c r="F26" s="114">
        <v>132</v>
      </c>
      <c r="G26" s="114">
        <v>0.1</v>
      </c>
      <c r="H26" s="114">
        <f>F26*G26</f>
        <v>13.200000000000001</v>
      </c>
      <c r="I26" s="114">
        <v>17</v>
      </c>
      <c r="J26" s="114">
        <v>1</v>
      </c>
      <c r="K26" s="114">
        <f t="shared" si="12"/>
        <v>2244</v>
      </c>
      <c r="L26" s="114">
        <f t="shared" ref="L26" si="13">K26*J26</f>
        <v>2244</v>
      </c>
      <c r="M26" s="111" t="s">
        <v>22</v>
      </c>
      <c r="Q26" s="103">
        <v>7.07</v>
      </c>
      <c r="R26" s="103">
        <v>58440</v>
      </c>
      <c r="S26" s="103">
        <v>64392</v>
      </c>
      <c r="T26" s="104">
        <v>0.78900000000000003</v>
      </c>
      <c r="U26" s="103">
        <v>20.366</v>
      </c>
      <c r="V26" s="103">
        <v>17.908999999999999</v>
      </c>
      <c r="W26" s="103">
        <f t="shared" ref="W26" si="14">R26-R25</f>
        <v>82</v>
      </c>
    </row>
    <row r="27" spans="1:23" x14ac:dyDescent="0.25">
      <c r="A27" s="118" t="s">
        <v>182</v>
      </c>
      <c r="B27" s="86" t="s">
        <v>14</v>
      </c>
      <c r="C27" s="114">
        <v>6078</v>
      </c>
      <c r="D27" s="86" t="s">
        <v>16</v>
      </c>
      <c r="E27" s="86" t="s">
        <v>17</v>
      </c>
      <c r="F27" s="114">
        <v>90</v>
      </c>
      <c r="G27" s="114">
        <v>0.32500000000000001</v>
      </c>
      <c r="H27" s="114">
        <f t="shared" ref="H27" si="15">F27*G27</f>
        <v>29.25</v>
      </c>
      <c r="I27" s="114">
        <v>62</v>
      </c>
      <c r="J27" s="114">
        <v>4</v>
      </c>
      <c r="K27" s="114">
        <f t="shared" ref="K27" si="16">F27*I27</f>
        <v>5580</v>
      </c>
      <c r="L27" s="114">
        <f>K27*J27</f>
        <v>22320</v>
      </c>
      <c r="M27" s="111" t="s">
        <v>22</v>
      </c>
      <c r="Q27" s="103">
        <v>8.07</v>
      </c>
      <c r="R27" s="103">
        <v>58600</v>
      </c>
      <c r="S27" s="103">
        <v>64596</v>
      </c>
      <c r="T27" s="104">
        <v>0.78900000000000003</v>
      </c>
      <c r="U27" s="103">
        <v>20.366</v>
      </c>
      <c r="V27" s="103">
        <v>17.908999999999999</v>
      </c>
      <c r="W27" s="103">
        <f t="shared" ref="W27" si="17">R27-R26</f>
        <v>160</v>
      </c>
    </row>
    <row r="28" spans="1:23" x14ac:dyDescent="0.25">
      <c r="A28" s="118" t="s">
        <v>182</v>
      </c>
      <c r="B28" s="85" t="s">
        <v>23</v>
      </c>
      <c r="C28" s="114">
        <v>66772</v>
      </c>
      <c r="D28" s="86" t="s">
        <v>34</v>
      </c>
      <c r="E28" s="93" t="s">
        <v>39</v>
      </c>
      <c r="F28" s="114"/>
      <c r="G28" s="115" t="s">
        <v>36</v>
      </c>
      <c r="H28" s="114"/>
      <c r="I28" s="114"/>
      <c r="J28" s="114"/>
      <c r="K28" s="114">
        <v>1060</v>
      </c>
      <c r="L28" s="114">
        <f t="shared" ref="L28" si="18">K28</f>
        <v>1060</v>
      </c>
      <c r="M28" s="111" t="s">
        <v>179</v>
      </c>
    </row>
    <row r="29" spans="1:23" x14ac:dyDescent="0.25">
      <c r="A29" s="118" t="s">
        <v>182</v>
      </c>
      <c r="B29" s="85" t="s">
        <v>23</v>
      </c>
      <c r="C29" s="114">
        <v>66772</v>
      </c>
      <c r="D29" s="86" t="s">
        <v>34</v>
      </c>
      <c r="E29" s="92" t="s">
        <v>30</v>
      </c>
      <c r="F29" s="114"/>
      <c r="G29" s="115" t="s">
        <v>78</v>
      </c>
      <c r="H29" s="114"/>
      <c r="I29" s="114"/>
      <c r="J29" s="114"/>
      <c r="K29" s="114">
        <v>7500</v>
      </c>
      <c r="L29" s="114">
        <f>K29</f>
        <v>7500</v>
      </c>
      <c r="M29" s="111" t="s">
        <v>180</v>
      </c>
    </row>
    <row r="30" spans="1:23" x14ac:dyDescent="0.25">
      <c r="A30" s="118" t="s">
        <v>182</v>
      </c>
      <c r="B30" s="86" t="s">
        <v>14</v>
      </c>
      <c r="C30" s="114" t="s">
        <v>56</v>
      </c>
      <c r="D30" s="86" t="s">
        <v>57</v>
      </c>
      <c r="E30" s="94" t="s">
        <v>35</v>
      </c>
      <c r="F30" s="114"/>
      <c r="G30" s="114" t="s">
        <v>77</v>
      </c>
      <c r="H30" s="114"/>
      <c r="I30" s="114"/>
      <c r="J30" s="114">
        <v>1</v>
      </c>
      <c r="K30" s="114">
        <v>6500</v>
      </c>
      <c r="L30" s="114">
        <f t="shared" ref="L30" si="19">K30</f>
        <v>6500</v>
      </c>
      <c r="M30" s="111" t="s">
        <v>91</v>
      </c>
      <c r="Q30" s="103">
        <v>20.07</v>
      </c>
      <c r="R30" s="103">
        <v>60247</v>
      </c>
      <c r="S30" s="103">
        <v>66764</v>
      </c>
      <c r="T30" s="104">
        <v>0.78600000000000003</v>
      </c>
      <c r="U30" s="103">
        <v>20.727</v>
      </c>
      <c r="V30" s="103">
        <v>17.908999999999999</v>
      </c>
      <c r="W30" s="103">
        <f>R30-R27</f>
        <v>1647</v>
      </c>
    </row>
    <row r="31" spans="1:23" x14ac:dyDescent="0.25">
      <c r="A31" s="118" t="s">
        <v>182</v>
      </c>
      <c r="B31" s="86" t="s">
        <v>14</v>
      </c>
      <c r="C31" s="114" t="s">
        <v>56</v>
      </c>
      <c r="D31" s="86" t="s">
        <v>57</v>
      </c>
      <c r="E31" s="86" t="s">
        <v>39</v>
      </c>
      <c r="F31" s="114"/>
      <c r="G31" s="114" t="s">
        <v>36</v>
      </c>
      <c r="H31" s="114"/>
      <c r="I31" s="114"/>
      <c r="J31" s="114">
        <v>2</v>
      </c>
      <c r="K31" s="114">
        <v>3500</v>
      </c>
      <c r="L31" s="114">
        <f>K31*2</f>
        <v>7000</v>
      </c>
      <c r="M31" s="111" t="s">
        <v>181</v>
      </c>
      <c r="Q31" s="103">
        <v>23.07</v>
      </c>
      <c r="R31" s="103">
        <v>60606</v>
      </c>
      <c r="S31" s="103">
        <v>67188</v>
      </c>
      <c r="T31" s="104">
        <v>0.78400000000000003</v>
      </c>
      <c r="U31" s="103">
        <v>20.727</v>
      </c>
      <c r="V31" s="103">
        <v>17.908999999999999</v>
      </c>
      <c r="W31" s="103">
        <f>R31-R30</f>
        <v>359</v>
      </c>
    </row>
    <row r="32" spans="1:23" x14ac:dyDescent="0.25">
      <c r="A32" s="118" t="s">
        <v>182</v>
      </c>
      <c r="B32" s="86" t="s">
        <v>14</v>
      </c>
      <c r="C32" s="114" t="s">
        <v>49</v>
      </c>
      <c r="D32" s="86" t="s">
        <v>50</v>
      </c>
      <c r="E32" s="86" t="s">
        <v>25</v>
      </c>
      <c r="F32" s="114"/>
      <c r="G32" s="114"/>
      <c r="H32" s="114"/>
      <c r="I32" s="114"/>
      <c r="J32" s="114"/>
      <c r="K32" s="114">
        <v>4050</v>
      </c>
      <c r="L32" s="114">
        <f t="shared" ref="L32" si="20">K32</f>
        <v>4050</v>
      </c>
      <c r="M32" s="111" t="s">
        <v>37</v>
      </c>
      <c r="Q32" s="103">
        <v>24.07</v>
      </c>
      <c r="R32" s="103">
        <v>60781</v>
      </c>
      <c r="S32" s="103">
        <v>67421</v>
      </c>
      <c r="T32" s="104">
        <v>0.78300000000000003</v>
      </c>
      <c r="U32" s="103">
        <v>20.727</v>
      </c>
      <c r="V32" s="103">
        <v>17.908999999999999</v>
      </c>
      <c r="W32" s="103">
        <f>R32-R31</f>
        <v>175</v>
      </c>
    </row>
    <row r="33" spans="1:23" x14ac:dyDescent="0.25">
      <c r="A33" s="118" t="s">
        <v>183</v>
      </c>
      <c r="B33" s="86" t="s">
        <v>14</v>
      </c>
      <c r="C33" s="114">
        <v>10065</v>
      </c>
      <c r="D33" s="86" t="s">
        <v>16</v>
      </c>
      <c r="E33" s="86" t="s">
        <v>17</v>
      </c>
      <c r="F33" s="114">
        <v>68</v>
      </c>
      <c r="G33" s="114">
        <v>0.67500000000000004</v>
      </c>
      <c r="H33" s="114">
        <f>G33*F33</f>
        <v>45.900000000000006</v>
      </c>
      <c r="I33" s="114">
        <v>42</v>
      </c>
      <c r="J33" s="114">
        <v>4</v>
      </c>
      <c r="K33" s="114">
        <f t="shared" ref="K33" si="21">F33*I33</f>
        <v>2856</v>
      </c>
      <c r="L33" s="114">
        <f>K33*J33</f>
        <v>11424</v>
      </c>
      <c r="M33" s="111" t="s">
        <v>18</v>
      </c>
    </row>
    <row r="34" spans="1:23" x14ac:dyDescent="0.25">
      <c r="A34" s="118" t="s">
        <v>183</v>
      </c>
      <c r="B34" s="85" t="s">
        <v>23</v>
      </c>
      <c r="C34" s="114">
        <v>66772</v>
      </c>
      <c r="D34" s="86" t="s">
        <v>34</v>
      </c>
      <c r="E34" s="92" t="s">
        <v>30</v>
      </c>
      <c r="F34" s="114"/>
      <c r="G34" s="115" t="s">
        <v>78</v>
      </c>
      <c r="H34" s="114"/>
      <c r="I34" s="114"/>
      <c r="J34" s="114"/>
      <c r="K34" s="114">
        <f>892+500</f>
        <v>1392</v>
      </c>
      <c r="L34" s="114">
        <f>K34</f>
        <v>1392</v>
      </c>
      <c r="M34" s="111" t="s">
        <v>180</v>
      </c>
    </row>
    <row r="35" spans="1:23" x14ac:dyDescent="0.25">
      <c r="A35" s="118" t="s">
        <v>183</v>
      </c>
      <c r="B35" s="86" t="s">
        <v>14</v>
      </c>
      <c r="C35" s="114" t="s">
        <v>49</v>
      </c>
      <c r="D35" s="86" t="s">
        <v>50</v>
      </c>
      <c r="E35" s="86" t="s">
        <v>25</v>
      </c>
      <c r="F35" s="114"/>
      <c r="G35" s="114"/>
      <c r="H35" s="114"/>
      <c r="I35" s="114"/>
      <c r="J35" s="114"/>
      <c r="K35" s="114">
        <v>2397</v>
      </c>
      <c r="L35" s="114">
        <f t="shared" ref="L35:L36" si="22">K35</f>
        <v>2397</v>
      </c>
      <c r="M35" s="111" t="s">
        <v>37</v>
      </c>
    </row>
    <row r="36" spans="1:23" x14ac:dyDescent="0.25">
      <c r="A36" s="118" t="s">
        <v>183</v>
      </c>
      <c r="B36" s="86" t="s">
        <v>14</v>
      </c>
      <c r="C36" s="114" t="s">
        <v>56</v>
      </c>
      <c r="D36" s="86" t="s">
        <v>57</v>
      </c>
      <c r="E36" s="94" t="s">
        <v>35</v>
      </c>
      <c r="F36" s="114"/>
      <c r="G36" s="114" t="s">
        <v>77</v>
      </c>
      <c r="H36" s="114"/>
      <c r="I36" s="114"/>
      <c r="J36" s="114">
        <v>1</v>
      </c>
      <c r="K36" s="114">
        <v>7000</v>
      </c>
      <c r="L36" s="114">
        <f t="shared" si="22"/>
        <v>7000</v>
      </c>
      <c r="M36" s="111" t="s">
        <v>91</v>
      </c>
    </row>
    <row r="37" spans="1:23" x14ac:dyDescent="0.25">
      <c r="A37" s="118" t="s">
        <v>183</v>
      </c>
      <c r="B37" s="86" t="s">
        <v>14</v>
      </c>
      <c r="C37" s="114" t="s">
        <v>56</v>
      </c>
      <c r="D37" s="86" t="s">
        <v>57</v>
      </c>
      <c r="E37" s="86" t="s">
        <v>39</v>
      </c>
      <c r="F37" s="114"/>
      <c r="G37" s="114" t="s">
        <v>36</v>
      </c>
      <c r="H37" s="114"/>
      <c r="I37" s="114"/>
      <c r="J37" s="114">
        <v>2</v>
      </c>
      <c r="K37" s="114">
        <v>4120</v>
      </c>
      <c r="L37" s="114">
        <f>K37*2</f>
        <v>8240</v>
      </c>
      <c r="M37" s="111" t="s">
        <v>181</v>
      </c>
    </row>
    <row r="38" spans="1:23" x14ac:dyDescent="0.25">
      <c r="A38" s="118" t="s">
        <v>183</v>
      </c>
      <c r="B38" s="86" t="s">
        <v>14</v>
      </c>
      <c r="C38" s="114">
        <v>6078</v>
      </c>
      <c r="D38" s="86" t="s">
        <v>16</v>
      </c>
      <c r="E38" s="86" t="s">
        <v>17</v>
      </c>
      <c r="F38" s="114">
        <v>95</v>
      </c>
      <c r="G38" s="114">
        <v>0.32500000000000001</v>
      </c>
      <c r="H38" s="114">
        <f t="shared" ref="H38" si="23">F38*G38</f>
        <v>30.875</v>
      </c>
      <c r="I38" s="114">
        <v>62</v>
      </c>
      <c r="J38" s="114">
        <v>4</v>
      </c>
      <c r="K38" s="114">
        <f t="shared" ref="K38:K40" si="24">F38*I38</f>
        <v>5890</v>
      </c>
      <c r="L38" s="114">
        <f>K38*J38</f>
        <v>23560</v>
      </c>
      <c r="M38" s="111" t="s">
        <v>22</v>
      </c>
    </row>
    <row r="39" spans="1:23" ht="15.75" x14ac:dyDescent="0.3">
      <c r="A39" s="118" t="s">
        <v>183</v>
      </c>
      <c r="B39" s="86" t="s">
        <v>14</v>
      </c>
      <c r="C39" s="114" t="s">
        <v>56</v>
      </c>
      <c r="D39" s="86" t="s">
        <v>57</v>
      </c>
      <c r="E39" s="86" t="s">
        <v>21</v>
      </c>
      <c r="F39" s="114">
        <v>43</v>
      </c>
      <c r="G39" s="114">
        <v>0.105</v>
      </c>
      <c r="H39" s="114">
        <f>G39*F39</f>
        <v>4.5149999999999997</v>
      </c>
      <c r="I39" s="114">
        <v>111</v>
      </c>
      <c r="J39" s="114">
        <v>1</v>
      </c>
      <c r="K39" s="114">
        <f t="shared" si="24"/>
        <v>4773</v>
      </c>
      <c r="L39" s="114">
        <f t="shared" ref="L39:L40" si="25">K39*J39</f>
        <v>4773</v>
      </c>
      <c r="M39" s="111" t="s">
        <v>181</v>
      </c>
      <c r="W39" s="105">
        <f>SUM(W17:W38)</f>
        <v>4033</v>
      </c>
    </row>
    <row r="40" spans="1:23" x14ac:dyDescent="0.25">
      <c r="A40" s="118" t="s">
        <v>183</v>
      </c>
      <c r="B40" s="112" t="s">
        <v>130</v>
      </c>
      <c r="C40" s="114" t="s">
        <v>131</v>
      </c>
      <c r="D40" s="86" t="s">
        <v>16</v>
      </c>
      <c r="E40" s="86" t="s">
        <v>17</v>
      </c>
      <c r="F40" s="114">
        <v>8</v>
      </c>
      <c r="G40" s="114"/>
      <c r="H40" s="114"/>
      <c r="I40" s="114">
        <v>100</v>
      </c>
      <c r="J40" s="114">
        <v>1</v>
      </c>
      <c r="K40" s="114">
        <f t="shared" si="24"/>
        <v>800</v>
      </c>
      <c r="L40" s="114">
        <f t="shared" si="25"/>
        <v>800</v>
      </c>
      <c r="M40" s="111" t="s">
        <v>22</v>
      </c>
    </row>
    <row r="41" spans="1:23" x14ac:dyDescent="0.25">
      <c r="A41" s="118" t="s">
        <v>184</v>
      </c>
      <c r="B41" s="85" t="s">
        <v>23</v>
      </c>
      <c r="C41" s="114">
        <v>66772</v>
      </c>
      <c r="D41" s="86" t="s">
        <v>34</v>
      </c>
      <c r="E41" s="87" t="s">
        <v>35</v>
      </c>
      <c r="F41" s="114"/>
      <c r="G41" s="115" t="s">
        <v>77</v>
      </c>
      <c r="H41" s="114"/>
      <c r="I41" s="114"/>
      <c r="J41" s="114"/>
      <c r="K41" s="114">
        <v>3620</v>
      </c>
      <c r="L41" s="114">
        <f t="shared" ref="L41:L42" si="26">K41</f>
        <v>3620</v>
      </c>
      <c r="M41" s="111" t="s">
        <v>26</v>
      </c>
    </row>
    <row r="42" spans="1:23" x14ac:dyDescent="0.25">
      <c r="A42" s="118" t="s">
        <v>184</v>
      </c>
      <c r="B42" s="85" t="s">
        <v>23</v>
      </c>
      <c r="C42" s="114">
        <v>66772</v>
      </c>
      <c r="D42" s="86" t="s">
        <v>34</v>
      </c>
      <c r="E42" s="93" t="s">
        <v>39</v>
      </c>
      <c r="F42" s="114"/>
      <c r="G42" s="115" t="s">
        <v>36</v>
      </c>
      <c r="H42" s="114"/>
      <c r="I42" s="114"/>
      <c r="J42" s="114"/>
      <c r="K42" s="114">
        <v>3620</v>
      </c>
      <c r="L42" s="114">
        <f t="shared" si="26"/>
        <v>3620</v>
      </c>
      <c r="M42" s="111" t="s">
        <v>179</v>
      </c>
    </row>
    <row r="43" spans="1:23" x14ac:dyDescent="0.25">
      <c r="A43" s="118" t="s">
        <v>184</v>
      </c>
      <c r="B43" s="85" t="s">
        <v>23</v>
      </c>
      <c r="C43" s="114">
        <v>66772</v>
      </c>
      <c r="D43" s="86" t="s">
        <v>34</v>
      </c>
      <c r="E43" s="92" t="s">
        <v>30</v>
      </c>
      <c r="F43" s="114"/>
      <c r="G43" s="115" t="s">
        <v>78</v>
      </c>
      <c r="H43" s="114"/>
      <c r="I43" s="114"/>
      <c r="J43" s="114"/>
      <c r="K43" s="114">
        <v>3620</v>
      </c>
      <c r="L43" s="114">
        <f>K43</f>
        <v>3620</v>
      </c>
      <c r="M43" s="111" t="s">
        <v>180</v>
      </c>
    </row>
    <row r="44" spans="1:23" x14ac:dyDescent="0.25">
      <c r="A44" s="118" t="s">
        <v>184</v>
      </c>
      <c r="B44" s="86" t="s">
        <v>14</v>
      </c>
      <c r="C44" s="114" t="s">
        <v>56</v>
      </c>
      <c r="D44" s="86" t="s">
        <v>57</v>
      </c>
      <c r="E44" s="86" t="s">
        <v>21</v>
      </c>
      <c r="F44" s="114">
        <v>70</v>
      </c>
      <c r="G44" s="114">
        <v>0.105</v>
      </c>
      <c r="H44" s="114">
        <f>G44*F44</f>
        <v>7.35</v>
      </c>
      <c r="I44" s="114">
        <v>111</v>
      </c>
      <c r="J44" s="114">
        <v>1</v>
      </c>
      <c r="K44" s="114">
        <f t="shared" ref="K44" si="27">F44*I44</f>
        <v>7770</v>
      </c>
      <c r="L44" s="114">
        <f t="shared" ref="L44" si="28">K44*J44</f>
        <v>7770</v>
      </c>
      <c r="M44" s="111" t="s">
        <v>37</v>
      </c>
    </row>
    <row r="45" spans="1:23" x14ac:dyDescent="0.25">
      <c r="A45" s="118" t="s">
        <v>184</v>
      </c>
      <c r="B45" s="86" t="s">
        <v>14</v>
      </c>
      <c r="C45" s="114" t="s">
        <v>56</v>
      </c>
      <c r="D45" s="86" t="s">
        <v>57</v>
      </c>
      <c r="E45" s="94" t="s">
        <v>35</v>
      </c>
      <c r="F45" s="114"/>
      <c r="G45" s="114" t="s">
        <v>77</v>
      </c>
      <c r="H45" s="114"/>
      <c r="I45" s="114"/>
      <c r="J45" s="114">
        <v>1</v>
      </c>
      <c r="K45" s="114">
        <v>7500</v>
      </c>
      <c r="L45" s="114">
        <f t="shared" ref="L45" si="29">K45</f>
        <v>7500</v>
      </c>
      <c r="M45" s="111" t="s">
        <v>91</v>
      </c>
    </row>
    <row r="46" spans="1:23" x14ac:dyDescent="0.25">
      <c r="A46" s="118" t="s">
        <v>184</v>
      </c>
      <c r="B46" s="86" t="s">
        <v>14</v>
      </c>
      <c r="C46" s="114" t="s">
        <v>56</v>
      </c>
      <c r="D46" s="86" t="s">
        <v>57</v>
      </c>
      <c r="E46" s="86" t="s">
        <v>39</v>
      </c>
      <c r="F46" s="114"/>
      <c r="G46" s="114" t="s">
        <v>36</v>
      </c>
      <c r="H46" s="114"/>
      <c r="I46" s="114"/>
      <c r="J46" s="114">
        <v>2</v>
      </c>
      <c r="K46" s="114">
        <v>4280</v>
      </c>
      <c r="L46" s="114">
        <f>K46*2</f>
        <v>8560</v>
      </c>
      <c r="M46" s="111" t="s">
        <v>181</v>
      </c>
    </row>
    <row r="47" spans="1:23" x14ac:dyDescent="0.25">
      <c r="A47" s="118" t="s">
        <v>184</v>
      </c>
      <c r="B47" s="112" t="s">
        <v>130</v>
      </c>
      <c r="C47" s="114" t="s">
        <v>131</v>
      </c>
      <c r="D47" s="86" t="s">
        <v>16</v>
      </c>
      <c r="E47" s="86" t="s">
        <v>17</v>
      </c>
      <c r="F47" s="114">
        <v>43</v>
      </c>
      <c r="G47" s="114"/>
      <c r="H47" s="114"/>
      <c r="I47" s="114">
        <v>100</v>
      </c>
      <c r="J47" s="114">
        <v>1</v>
      </c>
      <c r="K47" s="114">
        <f t="shared" ref="K47" si="30">F47*I47</f>
        <v>4300</v>
      </c>
      <c r="L47" s="114">
        <f t="shared" ref="L47" si="31">K47*J47</f>
        <v>4300</v>
      </c>
      <c r="M47" s="111" t="s">
        <v>22</v>
      </c>
    </row>
    <row r="48" spans="1:23" x14ac:dyDescent="0.25">
      <c r="A48" s="118" t="s">
        <v>185</v>
      </c>
      <c r="B48" s="85" t="s">
        <v>23</v>
      </c>
      <c r="C48" s="114">
        <v>66772</v>
      </c>
      <c r="D48" s="86" t="s">
        <v>34</v>
      </c>
      <c r="E48" s="87" t="s">
        <v>35</v>
      </c>
      <c r="F48" s="114"/>
      <c r="G48" s="115" t="s">
        <v>77</v>
      </c>
      <c r="H48" s="114"/>
      <c r="I48" s="114"/>
      <c r="J48" s="114"/>
      <c r="K48" s="114">
        <v>7350</v>
      </c>
      <c r="L48" s="114">
        <f t="shared" ref="L48:L49" si="32">K48</f>
        <v>7350</v>
      </c>
      <c r="M48" s="111" t="s">
        <v>26</v>
      </c>
    </row>
    <row r="49" spans="1:13" x14ac:dyDescent="0.25">
      <c r="A49" s="118" t="s">
        <v>185</v>
      </c>
      <c r="B49" s="85" t="s">
        <v>23</v>
      </c>
      <c r="C49" s="114">
        <v>66772</v>
      </c>
      <c r="D49" s="86" t="s">
        <v>34</v>
      </c>
      <c r="E49" s="93" t="s">
        <v>39</v>
      </c>
      <c r="F49" s="114"/>
      <c r="G49" s="115" t="s">
        <v>36</v>
      </c>
      <c r="H49" s="114"/>
      <c r="I49" s="114"/>
      <c r="J49" s="114"/>
      <c r="K49" s="114">
        <v>7000</v>
      </c>
      <c r="L49" s="114">
        <f t="shared" si="32"/>
        <v>7000</v>
      </c>
      <c r="M49" s="111" t="s">
        <v>179</v>
      </c>
    </row>
    <row r="50" spans="1:13" x14ac:dyDescent="0.25">
      <c r="A50" s="118" t="s">
        <v>185</v>
      </c>
      <c r="B50" s="85" t="s">
        <v>23</v>
      </c>
      <c r="C50" s="114">
        <v>66772</v>
      </c>
      <c r="D50" s="86" t="s">
        <v>34</v>
      </c>
      <c r="E50" s="92" t="s">
        <v>30</v>
      </c>
      <c r="F50" s="114"/>
      <c r="G50" s="115" t="s">
        <v>78</v>
      </c>
      <c r="H50" s="114"/>
      <c r="I50" s="114"/>
      <c r="J50" s="114"/>
      <c r="K50" s="114">
        <v>6900</v>
      </c>
      <c r="L50" s="114">
        <f>K50</f>
        <v>6900</v>
      </c>
      <c r="M50" s="111" t="s">
        <v>180</v>
      </c>
    </row>
    <row r="51" spans="1:13" x14ac:dyDescent="0.25">
      <c r="A51" s="118" t="s">
        <v>185</v>
      </c>
      <c r="B51" s="86" t="s">
        <v>14</v>
      </c>
      <c r="C51" s="114" t="s">
        <v>56</v>
      </c>
      <c r="D51" s="86" t="s">
        <v>57</v>
      </c>
      <c r="E51" s="86" t="s">
        <v>21</v>
      </c>
      <c r="F51" s="114">
        <v>136</v>
      </c>
      <c r="G51" s="114">
        <v>0.105</v>
      </c>
      <c r="H51" s="114">
        <f>G51*F51</f>
        <v>14.28</v>
      </c>
      <c r="I51" s="114">
        <v>111</v>
      </c>
      <c r="J51" s="114">
        <v>1</v>
      </c>
      <c r="K51" s="114">
        <f t="shared" ref="K51" si="33">F51*I51</f>
        <v>15096</v>
      </c>
      <c r="L51" s="114">
        <f t="shared" ref="L51" si="34">K51*J51</f>
        <v>15096</v>
      </c>
      <c r="M51" s="111" t="s">
        <v>37</v>
      </c>
    </row>
    <row r="52" spans="1:13" x14ac:dyDescent="0.25">
      <c r="A52" s="118" t="s">
        <v>185</v>
      </c>
      <c r="B52" s="86" t="s">
        <v>14</v>
      </c>
      <c r="C52" s="114" t="s">
        <v>56</v>
      </c>
      <c r="D52" s="86" t="s">
        <v>57</v>
      </c>
      <c r="E52" s="94" t="s">
        <v>35</v>
      </c>
      <c r="F52" s="114"/>
      <c r="G52" s="114" t="s">
        <v>77</v>
      </c>
      <c r="H52" s="114"/>
      <c r="I52" s="114"/>
      <c r="J52" s="114">
        <v>1</v>
      </c>
      <c r="K52" s="114">
        <v>8000</v>
      </c>
      <c r="L52" s="114">
        <f t="shared" ref="L52" si="35">K52</f>
        <v>8000</v>
      </c>
      <c r="M52" s="111" t="s">
        <v>91</v>
      </c>
    </row>
    <row r="53" spans="1:13" x14ac:dyDescent="0.25">
      <c r="A53" s="118" t="s">
        <v>185</v>
      </c>
      <c r="B53" s="86" t="s">
        <v>14</v>
      </c>
      <c r="C53" s="114" t="s">
        <v>56</v>
      </c>
      <c r="D53" s="86" t="s">
        <v>57</v>
      </c>
      <c r="E53" s="86" t="s">
        <v>39</v>
      </c>
      <c r="F53" s="114"/>
      <c r="G53" s="114" t="s">
        <v>36</v>
      </c>
      <c r="H53" s="114"/>
      <c r="I53" s="114"/>
      <c r="J53" s="114">
        <v>2</v>
      </c>
      <c r="K53" s="114">
        <v>4400</v>
      </c>
      <c r="L53" s="114">
        <f>K53*2</f>
        <v>8800</v>
      </c>
      <c r="M53" s="111" t="s">
        <v>181</v>
      </c>
    </row>
    <row r="54" spans="1:13" x14ac:dyDescent="0.25">
      <c r="A54" s="118" t="s">
        <v>185</v>
      </c>
      <c r="B54" s="86" t="s">
        <v>14</v>
      </c>
      <c r="C54" s="114">
        <v>6078</v>
      </c>
      <c r="D54" s="86" t="s">
        <v>16</v>
      </c>
      <c r="E54" s="86" t="s">
        <v>17</v>
      </c>
      <c r="F54" s="114">
        <v>176</v>
      </c>
      <c r="G54" s="114">
        <v>0.32500000000000001</v>
      </c>
      <c r="H54" s="114">
        <f t="shared" ref="H54" si="36">F54*G54</f>
        <v>57.2</v>
      </c>
      <c r="I54" s="114">
        <v>62</v>
      </c>
      <c r="J54" s="114">
        <v>4</v>
      </c>
      <c r="K54" s="114">
        <f t="shared" ref="K54" si="37">F54*I54</f>
        <v>10912</v>
      </c>
      <c r="L54" s="114">
        <f>K54*J54</f>
        <v>43648</v>
      </c>
      <c r="M54" s="111" t="s">
        <v>22</v>
      </c>
    </row>
    <row r="55" spans="1:13" x14ac:dyDescent="0.25">
      <c r="A55" s="118" t="s">
        <v>186</v>
      </c>
      <c r="B55" s="85" t="s">
        <v>23</v>
      </c>
      <c r="C55" s="114">
        <v>66772</v>
      </c>
      <c r="D55" s="86" t="s">
        <v>34</v>
      </c>
      <c r="E55" s="87" t="s">
        <v>35</v>
      </c>
      <c r="F55" s="114"/>
      <c r="G55" s="115" t="s">
        <v>77</v>
      </c>
      <c r="H55" s="114"/>
      <c r="I55" s="114"/>
      <c r="J55" s="114"/>
      <c r="K55" s="114">
        <v>1770</v>
      </c>
      <c r="L55" s="114">
        <f t="shared" ref="L55:L56" si="38">K55</f>
        <v>1770</v>
      </c>
      <c r="M55" s="111" t="s">
        <v>26</v>
      </c>
    </row>
    <row r="56" spans="1:13" x14ac:dyDescent="0.25">
      <c r="A56" s="118" t="s">
        <v>186</v>
      </c>
      <c r="B56" s="85" t="s">
        <v>23</v>
      </c>
      <c r="C56" s="114">
        <v>66772</v>
      </c>
      <c r="D56" s="86" t="s">
        <v>34</v>
      </c>
      <c r="E56" s="93" t="s">
        <v>39</v>
      </c>
      <c r="F56" s="114"/>
      <c r="G56" s="115" t="s">
        <v>36</v>
      </c>
      <c r="H56" s="114"/>
      <c r="I56" s="114"/>
      <c r="J56" s="114"/>
      <c r="K56" s="114">
        <v>1981</v>
      </c>
      <c r="L56" s="114">
        <f t="shared" si="38"/>
        <v>1981</v>
      </c>
      <c r="M56" s="111" t="s">
        <v>179</v>
      </c>
    </row>
    <row r="57" spans="1:13" x14ac:dyDescent="0.25">
      <c r="A57" s="118" t="s">
        <v>186</v>
      </c>
      <c r="B57" s="86" t="s">
        <v>14</v>
      </c>
      <c r="C57" s="114" t="s">
        <v>56</v>
      </c>
      <c r="D57" s="86" t="s">
        <v>57</v>
      </c>
      <c r="E57" s="86" t="s">
        <v>21</v>
      </c>
      <c r="F57" s="114">
        <v>63</v>
      </c>
      <c r="G57" s="114">
        <v>0.105</v>
      </c>
      <c r="H57" s="114">
        <f>G57*F57</f>
        <v>6.6149999999999993</v>
      </c>
      <c r="I57" s="114">
        <v>111</v>
      </c>
      <c r="J57" s="114">
        <v>1</v>
      </c>
      <c r="K57" s="114">
        <f t="shared" ref="K57" si="39">F57*I57</f>
        <v>6993</v>
      </c>
      <c r="L57" s="114">
        <f t="shared" ref="L57" si="40">K57*J57</f>
        <v>6993</v>
      </c>
      <c r="M57" s="111" t="s">
        <v>37</v>
      </c>
    </row>
    <row r="58" spans="1:13" x14ac:dyDescent="0.25">
      <c r="A58" s="118" t="s">
        <v>186</v>
      </c>
      <c r="B58" s="86" t="s">
        <v>14</v>
      </c>
      <c r="C58" s="114" t="s">
        <v>56</v>
      </c>
      <c r="D58" s="86" t="s">
        <v>57</v>
      </c>
      <c r="E58" s="94" t="s">
        <v>35</v>
      </c>
      <c r="F58" s="114"/>
      <c r="G58" s="114" t="s">
        <v>77</v>
      </c>
      <c r="H58" s="114"/>
      <c r="I58" s="114"/>
      <c r="J58" s="114">
        <v>1</v>
      </c>
      <c r="K58" s="114">
        <v>4000</v>
      </c>
      <c r="L58" s="114">
        <f t="shared" ref="L58" si="41">K58</f>
        <v>4000</v>
      </c>
      <c r="M58" s="111" t="s">
        <v>91</v>
      </c>
    </row>
    <row r="59" spans="1:13" x14ac:dyDescent="0.25">
      <c r="A59" s="118" t="s">
        <v>186</v>
      </c>
      <c r="B59" s="86" t="s">
        <v>14</v>
      </c>
      <c r="C59" s="114" t="s">
        <v>56</v>
      </c>
      <c r="D59" s="86" t="s">
        <v>57</v>
      </c>
      <c r="E59" s="86" t="s">
        <v>39</v>
      </c>
      <c r="F59" s="114"/>
      <c r="G59" s="114" t="s">
        <v>36</v>
      </c>
      <c r="H59" s="114"/>
      <c r="I59" s="114"/>
      <c r="J59" s="114">
        <v>2</v>
      </c>
      <c r="K59" s="114">
        <v>2037</v>
      </c>
      <c r="L59" s="114">
        <f>K59*2</f>
        <v>4074</v>
      </c>
      <c r="M59" s="111" t="s">
        <v>181</v>
      </c>
    </row>
    <row r="60" spans="1:13" x14ac:dyDescent="0.25">
      <c r="A60" s="118" t="s">
        <v>186</v>
      </c>
      <c r="B60" s="86" t="s">
        <v>14</v>
      </c>
      <c r="C60" s="114">
        <v>6078</v>
      </c>
      <c r="D60" s="86" t="s">
        <v>16</v>
      </c>
      <c r="E60" s="86" t="s">
        <v>17</v>
      </c>
      <c r="F60" s="114">
        <v>80</v>
      </c>
      <c r="G60" s="114">
        <v>0.32500000000000001</v>
      </c>
      <c r="H60" s="114">
        <f t="shared" ref="H60" si="42">F60*G60</f>
        <v>26</v>
      </c>
      <c r="I60" s="114">
        <v>62</v>
      </c>
      <c r="J60" s="114">
        <v>4</v>
      </c>
      <c r="K60" s="114">
        <f t="shared" ref="K60" si="43">F60*I60</f>
        <v>4960</v>
      </c>
      <c r="L60" s="114">
        <f>K60*J60</f>
        <v>19840</v>
      </c>
      <c r="M60" s="111" t="s">
        <v>22</v>
      </c>
    </row>
    <row r="61" spans="1:13" x14ac:dyDescent="0.25">
      <c r="A61" s="118" t="s">
        <v>187</v>
      </c>
      <c r="B61" s="85" t="s">
        <v>23</v>
      </c>
      <c r="C61" s="114">
        <v>66772</v>
      </c>
      <c r="D61" s="86" t="s">
        <v>34</v>
      </c>
      <c r="E61" s="87" t="s">
        <v>35</v>
      </c>
      <c r="F61" s="114"/>
      <c r="G61" s="115" t="s">
        <v>77</v>
      </c>
      <c r="H61" s="114"/>
      <c r="I61" s="114"/>
      <c r="J61" s="114"/>
      <c r="K61" s="114">
        <v>2480</v>
      </c>
      <c r="L61" s="114">
        <f t="shared" ref="L61:L62" si="44">K61</f>
        <v>2480</v>
      </c>
      <c r="M61" s="111" t="s">
        <v>26</v>
      </c>
    </row>
    <row r="62" spans="1:13" x14ac:dyDescent="0.25">
      <c r="A62" s="118" t="s">
        <v>187</v>
      </c>
      <c r="B62" s="85" t="s">
        <v>23</v>
      </c>
      <c r="C62" s="114">
        <v>66772</v>
      </c>
      <c r="D62" s="86" t="s">
        <v>34</v>
      </c>
      <c r="E62" s="93" t="s">
        <v>39</v>
      </c>
      <c r="F62" s="114"/>
      <c r="G62" s="115" t="s">
        <v>36</v>
      </c>
      <c r="H62" s="114"/>
      <c r="I62" s="114"/>
      <c r="J62" s="114"/>
      <c r="K62" s="114">
        <v>2600</v>
      </c>
      <c r="L62" s="114">
        <f t="shared" si="44"/>
        <v>2600</v>
      </c>
      <c r="M62" s="111" t="s">
        <v>179</v>
      </c>
    </row>
    <row r="63" spans="1:13" x14ac:dyDescent="0.25">
      <c r="A63" s="118" t="s">
        <v>187</v>
      </c>
      <c r="B63" s="85" t="s">
        <v>23</v>
      </c>
      <c r="C63" s="114">
        <v>66772</v>
      </c>
      <c r="D63" s="86" t="s">
        <v>34</v>
      </c>
      <c r="E63" s="92" t="s">
        <v>30</v>
      </c>
      <c r="F63" s="114"/>
      <c r="G63" s="115" t="s">
        <v>78</v>
      </c>
      <c r="H63" s="114"/>
      <c r="I63" s="114"/>
      <c r="J63" s="114"/>
      <c r="K63" s="114">
        <v>4676</v>
      </c>
      <c r="L63" s="114">
        <f>K63</f>
        <v>4676</v>
      </c>
      <c r="M63" s="111" t="s">
        <v>180</v>
      </c>
    </row>
    <row r="64" spans="1:13" x14ac:dyDescent="0.25">
      <c r="A64" s="118" t="s">
        <v>187</v>
      </c>
      <c r="B64" s="86" t="s">
        <v>14</v>
      </c>
      <c r="C64" s="114" t="s">
        <v>56</v>
      </c>
      <c r="D64" s="86" t="s">
        <v>57</v>
      </c>
      <c r="E64" s="86" t="s">
        <v>21</v>
      </c>
      <c r="F64" s="114">
        <v>100</v>
      </c>
      <c r="G64" s="114">
        <v>0.105</v>
      </c>
      <c r="H64" s="114">
        <f>G64*F64</f>
        <v>10.5</v>
      </c>
      <c r="I64" s="114">
        <v>111</v>
      </c>
      <c r="J64" s="114">
        <v>1</v>
      </c>
      <c r="K64" s="114">
        <f t="shared" ref="K64" si="45">F64*I64</f>
        <v>11100</v>
      </c>
      <c r="L64" s="114">
        <f t="shared" ref="L64" si="46">K64*J64</f>
        <v>11100</v>
      </c>
      <c r="M64" s="111" t="s">
        <v>37</v>
      </c>
    </row>
    <row r="65" spans="1:13" x14ac:dyDescent="0.25">
      <c r="A65" s="118" t="s">
        <v>187</v>
      </c>
      <c r="B65" s="86" t="s">
        <v>14</v>
      </c>
      <c r="C65" s="114" t="s">
        <v>56</v>
      </c>
      <c r="D65" s="86" t="s">
        <v>57</v>
      </c>
      <c r="E65" s="94" t="s">
        <v>35</v>
      </c>
      <c r="F65" s="114"/>
      <c r="G65" s="114" t="s">
        <v>77</v>
      </c>
      <c r="H65" s="114"/>
      <c r="I65" s="114"/>
      <c r="J65" s="114">
        <v>1</v>
      </c>
      <c r="K65" s="114">
        <v>8000</v>
      </c>
      <c r="L65" s="114">
        <f t="shared" ref="L65" si="47">K65</f>
        <v>8000</v>
      </c>
      <c r="M65" s="111" t="s">
        <v>91</v>
      </c>
    </row>
    <row r="66" spans="1:13" x14ac:dyDescent="0.25">
      <c r="A66" s="118" t="s">
        <v>187</v>
      </c>
      <c r="B66" s="86" t="s">
        <v>14</v>
      </c>
      <c r="C66" s="114" t="s">
        <v>56</v>
      </c>
      <c r="D66" s="86" t="s">
        <v>57</v>
      </c>
      <c r="E66" s="86" t="s">
        <v>39</v>
      </c>
      <c r="F66" s="114"/>
      <c r="G66" s="114" t="s">
        <v>36</v>
      </c>
      <c r="H66" s="114"/>
      <c r="I66" s="114"/>
      <c r="J66" s="114">
        <v>2</v>
      </c>
      <c r="K66" s="114">
        <v>4733</v>
      </c>
      <c r="L66" s="114">
        <f>K66*2</f>
        <v>9466</v>
      </c>
      <c r="M66" s="111" t="s">
        <v>181</v>
      </c>
    </row>
    <row r="67" spans="1:13" x14ac:dyDescent="0.25">
      <c r="A67" s="118" t="s">
        <v>187</v>
      </c>
      <c r="B67" s="86" t="s">
        <v>14</v>
      </c>
      <c r="C67" s="114">
        <v>6380</v>
      </c>
      <c r="D67" s="86" t="s">
        <v>16</v>
      </c>
      <c r="E67" s="86" t="s">
        <v>17</v>
      </c>
      <c r="F67" s="114">
        <v>25</v>
      </c>
      <c r="G67" s="114">
        <v>0.42499999999999999</v>
      </c>
      <c r="H67" s="114">
        <f t="shared" ref="H67" si="48">F67*G67</f>
        <v>10.625</v>
      </c>
      <c r="I67" s="114">
        <v>56</v>
      </c>
      <c r="J67" s="114">
        <v>4</v>
      </c>
      <c r="K67" s="114">
        <f t="shared" ref="K67" si="49">F67*I67</f>
        <v>1400</v>
      </c>
      <c r="L67" s="114">
        <f t="shared" ref="L67" si="50">K67*J67</f>
        <v>5600</v>
      </c>
      <c r="M67" s="111" t="s">
        <v>22</v>
      </c>
    </row>
    <row r="68" spans="1:13" x14ac:dyDescent="0.25">
      <c r="A68" s="118" t="s">
        <v>187</v>
      </c>
      <c r="B68" s="86" t="s">
        <v>14</v>
      </c>
      <c r="C68" s="114">
        <v>7479</v>
      </c>
      <c r="D68" s="86" t="s">
        <v>20</v>
      </c>
      <c r="E68" s="86" t="s">
        <v>21</v>
      </c>
      <c r="F68" s="114">
        <v>128</v>
      </c>
      <c r="G68" s="114">
        <v>0.15</v>
      </c>
      <c r="H68" s="114">
        <f>G68*F68</f>
        <v>19.2</v>
      </c>
      <c r="I68" s="114">
        <v>80</v>
      </c>
      <c r="J68" s="114">
        <v>1</v>
      </c>
      <c r="K68" s="114">
        <f>F68*I68</f>
        <v>10240</v>
      </c>
      <c r="L68" s="114">
        <f>K68*J68</f>
        <v>10240</v>
      </c>
      <c r="M68" s="111" t="s">
        <v>22</v>
      </c>
    </row>
    <row r="69" spans="1:13" x14ac:dyDescent="0.25">
      <c r="A69" s="118" t="s">
        <v>187</v>
      </c>
      <c r="B69" s="86" t="s">
        <v>14</v>
      </c>
      <c r="C69" s="114">
        <v>7479</v>
      </c>
      <c r="D69" s="86" t="s">
        <v>20</v>
      </c>
      <c r="E69" s="86" t="s">
        <v>25</v>
      </c>
      <c r="F69" s="114"/>
      <c r="G69" s="114"/>
      <c r="H69" s="114"/>
      <c r="I69" s="114"/>
      <c r="J69" s="114">
        <v>1</v>
      </c>
      <c r="K69" s="114">
        <v>2500</v>
      </c>
      <c r="L69" s="114">
        <f t="shared" ref="L69:L71" si="51">K69</f>
        <v>2500</v>
      </c>
      <c r="M69" s="111" t="s">
        <v>37</v>
      </c>
    </row>
    <row r="70" spans="1:13" x14ac:dyDescent="0.25">
      <c r="A70" s="118" t="s">
        <v>187</v>
      </c>
      <c r="B70" s="85" t="s">
        <v>23</v>
      </c>
      <c r="C70" s="114">
        <v>65548</v>
      </c>
      <c r="D70" s="91" t="s">
        <v>24</v>
      </c>
      <c r="E70" s="87" t="s">
        <v>25</v>
      </c>
      <c r="F70" s="114"/>
      <c r="G70" s="115"/>
      <c r="H70" s="114"/>
      <c r="I70" s="114"/>
      <c r="J70" s="114"/>
      <c r="K70" s="114">
        <v>2650</v>
      </c>
      <c r="L70" s="114">
        <f t="shared" si="51"/>
        <v>2650</v>
      </c>
      <c r="M70" s="111" t="s">
        <v>179</v>
      </c>
    </row>
    <row r="71" spans="1:13" x14ac:dyDescent="0.25">
      <c r="A71" s="118" t="s">
        <v>187</v>
      </c>
      <c r="B71" s="85" t="s">
        <v>23</v>
      </c>
      <c r="C71" s="114">
        <v>65548</v>
      </c>
      <c r="D71" s="91" t="s">
        <v>24</v>
      </c>
      <c r="E71" s="92" t="s">
        <v>30</v>
      </c>
      <c r="F71" s="114"/>
      <c r="G71" s="115" t="s">
        <v>36</v>
      </c>
      <c r="H71" s="114"/>
      <c r="I71" s="114"/>
      <c r="J71" s="114"/>
      <c r="K71" s="114">
        <v>1300</v>
      </c>
      <c r="L71" s="114">
        <f t="shared" si="51"/>
        <v>1300</v>
      </c>
      <c r="M71" s="111" t="s">
        <v>18</v>
      </c>
    </row>
    <row r="72" spans="1:13" x14ac:dyDescent="0.25">
      <c r="A72" s="118" t="s">
        <v>188</v>
      </c>
      <c r="B72" s="85" t="s">
        <v>23</v>
      </c>
      <c r="C72" s="114">
        <v>65548</v>
      </c>
      <c r="D72" s="91" t="s">
        <v>24</v>
      </c>
      <c r="E72" s="87" t="s">
        <v>25</v>
      </c>
      <c r="F72" s="114"/>
      <c r="G72" s="115"/>
      <c r="H72" s="114"/>
      <c r="I72" s="114"/>
      <c r="J72" s="114"/>
      <c r="K72" s="114">
        <v>6700</v>
      </c>
      <c r="L72" s="114">
        <f t="shared" ref="L72:L73" si="52">K72</f>
        <v>6700</v>
      </c>
      <c r="M72" s="111" t="s">
        <v>179</v>
      </c>
    </row>
    <row r="73" spans="1:13" x14ac:dyDescent="0.25">
      <c r="A73" s="118" t="s">
        <v>188</v>
      </c>
      <c r="B73" s="85" t="s">
        <v>23</v>
      </c>
      <c r="C73" s="114">
        <v>65548</v>
      </c>
      <c r="D73" s="91" t="s">
        <v>24</v>
      </c>
      <c r="E73" s="92" t="s">
        <v>30</v>
      </c>
      <c r="F73" s="114"/>
      <c r="G73" s="115" t="s">
        <v>36</v>
      </c>
      <c r="H73" s="114"/>
      <c r="I73" s="114"/>
      <c r="J73" s="114"/>
      <c r="K73" s="114">
        <v>7000</v>
      </c>
      <c r="L73" s="114">
        <f t="shared" si="52"/>
        <v>7000</v>
      </c>
      <c r="M73" s="111" t="s">
        <v>18</v>
      </c>
    </row>
    <row r="74" spans="1:13" x14ac:dyDescent="0.25">
      <c r="A74" s="118" t="s">
        <v>188</v>
      </c>
      <c r="B74" s="86" t="s">
        <v>14</v>
      </c>
      <c r="C74" s="114" t="s">
        <v>56</v>
      </c>
      <c r="D74" s="86" t="s">
        <v>57</v>
      </c>
      <c r="E74" s="94" t="s">
        <v>35</v>
      </c>
      <c r="F74" s="114"/>
      <c r="G74" s="114" t="s">
        <v>77</v>
      </c>
      <c r="H74" s="114"/>
      <c r="I74" s="114"/>
      <c r="J74" s="114">
        <v>1</v>
      </c>
      <c r="K74" s="114">
        <v>8000</v>
      </c>
      <c r="L74" s="114">
        <f t="shared" ref="L74" si="53">K74</f>
        <v>8000</v>
      </c>
      <c r="M74" s="111" t="s">
        <v>91</v>
      </c>
    </row>
    <row r="75" spans="1:13" x14ac:dyDescent="0.25">
      <c r="A75" s="118" t="s">
        <v>188</v>
      </c>
      <c r="B75" s="86" t="s">
        <v>14</v>
      </c>
      <c r="C75" s="114" t="s">
        <v>56</v>
      </c>
      <c r="D75" s="86" t="s">
        <v>57</v>
      </c>
      <c r="E75" s="86" t="s">
        <v>39</v>
      </c>
      <c r="F75" s="114"/>
      <c r="G75" s="114" t="s">
        <v>36</v>
      </c>
      <c r="H75" s="114"/>
      <c r="I75" s="114"/>
      <c r="J75" s="114">
        <v>2</v>
      </c>
      <c r="K75" s="114">
        <v>4000</v>
      </c>
      <c r="L75" s="114">
        <f>K75*2</f>
        <v>8000</v>
      </c>
      <c r="M75" s="111" t="s">
        <v>181</v>
      </c>
    </row>
    <row r="76" spans="1:13" x14ac:dyDescent="0.25">
      <c r="A76" s="118" t="s">
        <v>188</v>
      </c>
      <c r="B76" s="86" t="s">
        <v>14</v>
      </c>
      <c r="C76" s="114">
        <v>7479</v>
      </c>
      <c r="D76" s="86" t="s">
        <v>20</v>
      </c>
      <c r="E76" s="86" t="s">
        <v>21</v>
      </c>
      <c r="F76" s="114">
        <v>71</v>
      </c>
      <c r="G76" s="114">
        <v>0.15</v>
      </c>
      <c r="H76" s="114">
        <f>G76*F76</f>
        <v>10.65</v>
      </c>
      <c r="I76" s="114">
        <v>80</v>
      </c>
      <c r="J76" s="114">
        <v>1</v>
      </c>
      <c r="K76" s="114">
        <f>F76*I76</f>
        <v>5680</v>
      </c>
      <c r="L76" s="114">
        <f>K76*J76</f>
        <v>5680</v>
      </c>
      <c r="M76" s="111" t="s">
        <v>22</v>
      </c>
    </row>
    <row r="77" spans="1:13" x14ac:dyDescent="0.25">
      <c r="A77" s="118" t="s">
        <v>188</v>
      </c>
      <c r="B77" s="86" t="s">
        <v>14</v>
      </c>
      <c r="C77" s="114">
        <v>7479</v>
      </c>
      <c r="D77" s="86" t="s">
        <v>20</v>
      </c>
      <c r="E77" s="86" t="s">
        <v>25</v>
      </c>
      <c r="F77" s="114"/>
      <c r="G77" s="114"/>
      <c r="H77" s="114"/>
      <c r="I77" s="114"/>
      <c r="J77" s="114">
        <v>1</v>
      </c>
      <c r="K77" s="114">
        <v>5100</v>
      </c>
      <c r="L77" s="114">
        <f t="shared" ref="L77" si="54">K77</f>
        <v>5100</v>
      </c>
      <c r="M77" s="111" t="s">
        <v>37</v>
      </c>
    </row>
    <row r="78" spans="1:13" x14ac:dyDescent="0.25">
      <c r="A78" s="118" t="s">
        <v>188</v>
      </c>
      <c r="B78" s="86" t="s">
        <v>14</v>
      </c>
      <c r="C78" s="114">
        <v>10065</v>
      </c>
      <c r="D78" s="86" t="s">
        <v>16</v>
      </c>
      <c r="E78" s="86" t="s">
        <v>17</v>
      </c>
      <c r="F78" s="114">
        <v>69</v>
      </c>
      <c r="G78" s="114">
        <v>0.67500000000000004</v>
      </c>
      <c r="H78" s="114">
        <f>G78*F78</f>
        <v>46.575000000000003</v>
      </c>
      <c r="I78" s="114">
        <v>42</v>
      </c>
      <c r="J78" s="114">
        <v>4</v>
      </c>
      <c r="K78" s="114">
        <f t="shared" ref="K78" si="55">F78*I78</f>
        <v>2898</v>
      </c>
      <c r="L78" s="114">
        <f>K78*J78</f>
        <v>11592</v>
      </c>
      <c r="M78" s="111" t="s">
        <v>179</v>
      </c>
    </row>
    <row r="79" spans="1:13" x14ac:dyDescent="0.25">
      <c r="A79" s="118" t="s">
        <v>188</v>
      </c>
      <c r="B79" s="86" t="s">
        <v>14</v>
      </c>
      <c r="C79" s="114">
        <v>12028</v>
      </c>
      <c r="D79" s="86" t="s">
        <v>16</v>
      </c>
      <c r="E79" s="86" t="s">
        <v>17</v>
      </c>
      <c r="F79" s="114">
        <v>69</v>
      </c>
      <c r="G79" s="114">
        <v>0.67500000000000004</v>
      </c>
      <c r="H79" s="114">
        <f>G79*F79</f>
        <v>46.575000000000003</v>
      </c>
      <c r="I79" s="114">
        <v>42</v>
      </c>
      <c r="J79" s="114">
        <v>4</v>
      </c>
      <c r="K79" s="114">
        <f t="shared" ref="K79:K80" si="56">F79*I79</f>
        <v>2898</v>
      </c>
      <c r="L79" s="114">
        <f>K79*J79</f>
        <v>11592</v>
      </c>
      <c r="M79" s="111" t="s">
        <v>179</v>
      </c>
    </row>
    <row r="80" spans="1:13" x14ac:dyDescent="0.25">
      <c r="A80" s="118" t="s">
        <v>188</v>
      </c>
      <c r="B80" s="86" t="s">
        <v>14</v>
      </c>
      <c r="C80" s="114">
        <v>6871</v>
      </c>
      <c r="D80" s="86" t="s">
        <v>16</v>
      </c>
      <c r="E80" s="86" t="s">
        <v>17</v>
      </c>
      <c r="F80" s="114">
        <v>33</v>
      </c>
      <c r="G80" s="114">
        <v>0.64</v>
      </c>
      <c r="H80" s="114">
        <f>G80*F80</f>
        <v>21.12</v>
      </c>
      <c r="I80" s="114">
        <v>70</v>
      </c>
      <c r="J80" s="114">
        <v>2</v>
      </c>
      <c r="K80" s="114">
        <f t="shared" si="56"/>
        <v>2310</v>
      </c>
      <c r="L80" s="114">
        <f t="shared" ref="L80" si="57">K80*J80</f>
        <v>4620</v>
      </c>
      <c r="M80" s="111" t="s">
        <v>22</v>
      </c>
    </row>
    <row r="81" spans="1:13" x14ac:dyDescent="0.25">
      <c r="A81" s="118" t="s">
        <v>188</v>
      </c>
      <c r="B81" s="86" t="s">
        <v>14</v>
      </c>
      <c r="C81" s="114">
        <v>7479</v>
      </c>
      <c r="D81" s="86" t="s">
        <v>20</v>
      </c>
      <c r="E81" s="86" t="s">
        <v>21</v>
      </c>
      <c r="F81" s="114">
        <v>5</v>
      </c>
      <c r="G81" s="114">
        <v>0.15</v>
      </c>
      <c r="H81" s="114">
        <f>G81*F81</f>
        <v>0.75</v>
      </c>
      <c r="I81" s="114">
        <v>80</v>
      </c>
      <c r="J81" s="114">
        <v>1</v>
      </c>
      <c r="K81" s="114">
        <f>F81*I81</f>
        <v>400</v>
      </c>
      <c r="L81" s="114">
        <f>K81*J81</f>
        <v>400</v>
      </c>
      <c r="M81" s="111" t="s">
        <v>22</v>
      </c>
    </row>
    <row r="82" spans="1:13" x14ac:dyDescent="0.25">
      <c r="A82" s="118" t="s">
        <v>189</v>
      </c>
      <c r="B82" s="85" t="s">
        <v>23</v>
      </c>
      <c r="C82" s="114">
        <v>65548</v>
      </c>
      <c r="D82" s="91" t="s">
        <v>24</v>
      </c>
      <c r="E82" s="87" t="s">
        <v>25</v>
      </c>
      <c r="F82" s="114"/>
      <c r="G82" s="115"/>
      <c r="H82" s="114"/>
      <c r="I82" s="114"/>
      <c r="J82" s="114"/>
      <c r="K82" s="114">
        <v>666</v>
      </c>
      <c r="L82" s="114">
        <f t="shared" ref="L82:L83" si="58">K82</f>
        <v>666</v>
      </c>
      <c r="M82" s="111" t="s">
        <v>26</v>
      </c>
    </row>
    <row r="83" spans="1:13" x14ac:dyDescent="0.25">
      <c r="A83" s="118" t="s">
        <v>189</v>
      </c>
      <c r="B83" s="85" t="s">
        <v>23</v>
      </c>
      <c r="C83" s="114">
        <v>65548</v>
      </c>
      <c r="D83" s="91" t="s">
        <v>24</v>
      </c>
      <c r="E83" s="92" t="s">
        <v>30</v>
      </c>
      <c r="F83" s="114"/>
      <c r="G83" s="115" t="s">
        <v>36</v>
      </c>
      <c r="H83" s="114"/>
      <c r="I83" s="114"/>
      <c r="J83" s="114"/>
      <c r="K83" s="114">
        <v>4440</v>
      </c>
      <c r="L83" s="114">
        <f t="shared" si="58"/>
        <v>4440</v>
      </c>
      <c r="M83" s="111" t="s">
        <v>180</v>
      </c>
    </row>
    <row r="84" spans="1:13" x14ac:dyDescent="0.25">
      <c r="A84" s="118" t="s">
        <v>189</v>
      </c>
      <c r="B84" s="86" t="s">
        <v>14</v>
      </c>
      <c r="C84" s="114">
        <v>7479</v>
      </c>
      <c r="D84" s="86" t="s">
        <v>20</v>
      </c>
      <c r="E84" s="86" t="s">
        <v>21</v>
      </c>
      <c r="F84" s="114">
        <v>124</v>
      </c>
      <c r="G84" s="114">
        <v>0.15</v>
      </c>
      <c r="H84" s="114">
        <f>G84*F84</f>
        <v>18.599999999999998</v>
      </c>
      <c r="I84" s="114">
        <v>80</v>
      </c>
      <c r="J84" s="114">
        <v>1</v>
      </c>
      <c r="K84" s="114">
        <f>F84*I84</f>
        <v>9920</v>
      </c>
      <c r="L84" s="114">
        <f>K84*J84</f>
        <v>9920</v>
      </c>
      <c r="M84" s="111" t="s">
        <v>22</v>
      </c>
    </row>
    <row r="85" spans="1:13" x14ac:dyDescent="0.25">
      <c r="A85" s="118" t="s">
        <v>189</v>
      </c>
      <c r="B85" s="86" t="s">
        <v>14</v>
      </c>
      <c r="C85" s="114">
        <v>7479</v>
      </c>
      <c r="D85" s="86" t="s">
        <v>20</v>
      </c>
      <c r="E85" s="86" t="s">
        <v>25</v>
      </c>
      <c r="F85" s="114"/>
      <c r="G85" s="114"/>
      <c r="H85" s="114"/>
      <c r="I85" s="114"/>
      <c r="J85" s="114">
        <v>1</v>
      </c>
      <c r="K85" s="114">
        <v>5900</v>
      </c>
      <c r="L85" s="114">
        <f t="shared" ref="L85" si="59">K85</f>
        <v>5900</v>
      </c>
      <c r="M85" s="111" t="s">
        <v>37</v>
      </c>
    </row>
    <row r="86" spans="1:13" x14ac:dyDescent="0.25">
      <c r="A86" s="118" t="s">
        <v>189</v>
      </c>
      <c r="B86" s="86" t="s">
        <v>14</v>
      </c>
      <c r="C86" s="114" t="s">
        <v>83</v>
      </c>
      <c r="D86" s="86" t="s">
        <v>84</v>
      </c>
      <c r="E86" s="86" t="s">
        <v>17</v>
      </c>
      <c r="F86" s="114">
        <v>28</v>
      </c>
      <c r="G86" s="114">
        <v>0.44</v>
      </c>
      <c r="H86" s="114">
        <v>22</v>
      </c>
      <c r="I86" s="114">
        <v>50</v>
      </c>
      <c r="J86" s="114">
        <v>1</v>
      </c>
      <c r="K86" s="114">
        <f>F86*I86</f>
        <v>1400</v>
      </c>
      <c r="L86" s="114">
        <f>K86*J86</f>
        <v>1400</v>
      </c>
      <c r="M86" s="111" t="s">
        <v>22</v>
      </c>
    </row>
    <row r="87" spans="1:13" x14ac:dyDescent="0.25">
      <c r="A87" s="118" t="s">
        <v>189</v>
      </c>
      <c r="B87" s="86" t="s">
        <v>14</v>
      </c>
      <c r="C87" s="114" t="s">
        <v>83</v>
      </c>
      <c r="D87" s="86" t="s">
        <v>84</v>
      </c>
      <c r="E87" s="86" t="s">
        <v>25</v>
      </c>
      <c r="F87" s="114"/>
      <c r="G87" s="114"/>
      <c r="H87" s="114"/>
      <c r="I87" s="114"/>
      <c r="J87" s="114"/>
      <c r="K87" s="114">
        <v>1600</v>
      </c>
      <c r="L87" s="114">
        <v>350</v>
      </c>
      <c r="M87" s="111" t="s">
        <v>180</v>
      </c>
    </row>
    <row r="88" spans="1:13" x14ac:dyDescent="0.25">
      <c r="A88" s="118" t="s">
        <v>189</v>
      </c>
      <c r="B88" s="86" t="s">
        <v>14</v>
      </c>
      <c r="C88" s="114" t="s">
        <v>71</v>
      </c>
      <c r="D88" s="86" t="s">
        <v>72</v>
      </c>
      <c r="E88" s="86" t="s">
        <v>21</v>
      </c>
      <c r="F88" s="114">
        <v>98</v>
      </c>
      <c r="G88" s="114">
        <v>1.095</v>
      </c>
      <c r="H88" s="114">
        <f>F88*G88</f>
        <v>107.31</v>
      </c>
      <c r="I88" s="114">
        <v>58</v>
      </c>
      <c r="J88" s="114">
        <v>1</v>
      </c>
      <c r="K88" s="114">
        <f t="shared" ref="K88:K89" si="60">F88*I88</f>
        <v>5684</v>
      </c>
      <c r="L88" s="114">
        <f t="shared" ref="L88:L89" si="61">K88*J88</f>
        <v>5684</v>
      </c>
      <c r="M88" s="111" t="s">
        <v>179</v>
      </c>
    </row>
    <row r="89" spans="1:13" x14ac:dyDescent="0.25">
      <c r="A89" s="118" t="s">
        <v>189</v>
      </c>
      <c r="B89" s="86" t="s">
        <v>14</v>
      </c>
      <c r="C89" s="114" t="s">
        <v>56</v>
      </c>
      <c r="D89" s="86" t="s">
        <v>57</v>
      </c>
      <c r="E89" s="86" t="s">
        <v>21</v>
      </c>
      <c r="F89" s="114">
        <v>153</v>
      </c>
      <c r="G89" s="114">
        <v>0.105</v>
      </c>
      <c r="H89" s="114">
        <f>G89*F89</f>
        <v>16.064999999999998</v>
      </c>
      <c r="I89" s="114">
        <v>111</v>
      </c>
      <c r="J89" s="114">
        <v>1</v>
      </c>
      <c r="K89" s="114">
        <f t="shared" si="60"/>
        <v>16983</v>
      </c>
      <c r="L89" s="114">
        <f t="shared" si="61"/>
        <v>16983</v>
      </c>
      <c r="M89" s="111" t="s">
        <v>181</v>
      </c>
    </row>
    <row r="90" spans="1:13" x14ac:dyDescent="0.25">
      <c r="A90" s="118" t="s">
        <v>189</v>
      </c>
      <c r="B90" s="86" t="s">
        <v>14</v>
      </c>
      <c r="C90" s="114" t="s">
        <v>56</v>
      </c>
      <c r="D90" s="86" t="s">
        <v>57</v>
      </c>
      <c r="E90" s="94" t="s">
        <v>35</v>
      </c>
      <c r="F90" s="114"/>
      <c r="G90" s="114" t="s">
        <v>77</v>
      </c>
      <c r="H90" s="114"/>
      <c r="I90" s="114"/>
      <c r="J90" s="114">
        <v>1</v>
      </c>
      <c r="K90" s="114">
        <v>6000</v>
      </c>
      <c r="L90" s="114">
        <f t="shared" ref="L90:L91" si="62">K90</f>
        <v>6000</v>
      </c>
      <c r="M90" s="111" t="s">
        <v>91</v>
      </c>
    </row>
    <row r="91" spans="1:13" x14ac:dyDescent="0.25">
      <c r="A91" s="118" t="s">
        <v>190</v>
      </c>
      <c r="B91" s="86" t="s">
        <v>14</v>
      </c>
      <c r="C91" s="114" t="s">
        <v>56</v>
      </c>
      <c r="D91" s="86" t="s">
        <v>57</v>
      </c>
      <c r="E91" s="94" t="s">
        <v>35</v>
      </c>
      <c r="F91" s="114"/>
      <c r="G91" s="114" t="s">
        <v>77</v>
      </c>
      <c r="H91" s="114"/>
      <c r="I91" s="114"/>
      <c r="J91" s="114">
        <v>1</v>
      </c>
      <c r="K91" s="114">
        <v>5000</v>
      </c>
      <c r="L91" s="114">
        <f t="shared" si="62"/>
        <v>5000</v>
      </c>
      <c r="M91" s="111" t="s">
        <v>91</v>
      </c>
    </row>
    <row r="92" spans="1:13" x14ac:dyDescent="0.25">
      <c r="A92" s="118" t="s">
        <v>190</v>
      </c>
      <c r="B92" s="86" t="s">
        <v>14</v>
      </c>
      <c r="C92" s="114" t="s">
        <v>56</v>
      </c>
      <c r="D92" s="86" t="s">
        <v>57</v>
      </c>
      <c r="E92" s="86" t="s">
        <v>39</v>
      </c>
      <c r="F92" s="114"/>
      <c r="G92" s="114" t="s">
        <v>36</v>
      </c>
      <c r="H92" s="114"/>
      <c r="I92" s="114"/>
      <c r="J92" s="114">
        <v>2</v>
      </c>
      <c r="K92" s="114">
        <v>3000</v>
      </c>
      <c r="L92" s="114">
        <f>K92*2</f>
        <v>6000</v>
      </c>
      <c r="M92" s="111" t="s">
        <v>181</v>
      </c>
    </row>
    <row r="93" spans="1:13" x14ac:dyDescent="0.25">
      <c r="A93" s="118" t="s">
        <v>190</v>
      </c>
      <c r="B93" s="86" t="s">
        <v>14</v>
      </c>
      <c r="C93" s="114" t="s">
        <v>83</v>
      </c>
      <c r="D93" s="86" t="s">
        <v>84</v>
      </c>
      <c r="E93" s="86" t="s">
        <v>17</v>
      </c>
      <c r="F93" s="114">
        <v>74</v>
      </c>
      <c r="G93" s="114">
        <v>0.44</v>
      </c>
      <c r="H93" s="114">
        <v>22</v>
      </c>
      <c r="I93" s="114">
        <v>50</v>
      </c>
      <c r="J93" s="114">
        <v>1</v>
      </c>
      <c r="K93" s="114">
        <f>F93*I93</f>
        <v>3700</v>
      </c>
      <c r="L93" s="114">
        <f>K93*J93</f>
        <v>3700</v>
      </c>
      <c r="M93" s="111" t="s">
        <v>22</v>
      </c>
    </row>
    <row r="94" spans="1:13" x14ac:dyDescent="0.25">
      <c r="A94" s="118" t="s">
        <v>190</v>
      </c>
      <c r="B94" s="86" t="s">
        <v>14</v>
      </c>
      <c r="C94" s="114" t="s">
        <v>83</v>
      </c>
      <c r="D94" s="86" t="s">
        <v>84</v>
      </c>
      <c r="E94" s="86" t="s">
        <v>25</v>
      </c>
      <c r="F94" s="114"/>
      <c r="G94" s="114"/>
      <c r="H94" s="114"/>
      <c r="I94" s="114"/>
      <c r="J94" s="114"/>
      <c r="K94" s="114">
        <v>3500</v>
      </c>
      <c r="L94" s="114">
        <v>350</v>
      </c>
      <c r="M94" s="111" t="s">
        <v>180</v>
      </c>
    </row>
    <row r="95" spans="1:13" x14ac:dyDescent="0.25">
      <c r="A95" s="118" t="s">
        <v>190</v>
      </c>
      <c r="B95" s="86" t="s">
        <v>14</v>
      </c>
      <c r="C95" s="114">
        <v>7479</v>
      </c>
      <c r="D95" s="86" t="s">
        <v>20</v>
      </c>
      <c r="E95" s="86" t="s">
        <v>21</v>
      </c>
      <c r="F95" s="114">
        <v>60</v>
      </c>
      <c r="G95" s="114">
        <v>0.15</v>
      </c>
      <c r="H95" s="114">
        <f>G95*F95</f>
        <v>9</v>
      </c>
      <c r="I95" s="114">
        <v>80</v>
      </c>
      <c r="J95" s="114">
        <v>1</v>
      </c>
      <c r="K95" s="114">
        <f>F95*I95</f>
        <v>4800</v>
      </c>
      <c r="L95" s="114">
        <f>K95*J95</f>
        <v>4800</v>
      </c>
      <c r="M95" s="111" t="s">
        <v>22</v>
      </c>
    </row>
    <row r="96" spans="1:13" x14ac:dyDescent="0.25">
      <c r="A96" s="118" t="s">
        <v>190</v>
      </c>
      <c r="B96" s="86" t="s">
        <v>14</v>
      </c>
      <c r="C96" s="114">
        <v>7479</v>
      </c>
      <c r="D96" s="86" t="s">
        <v>20</v>
      </c>
      <c r="E96" s="86" t="s">
        <v>25</v>
      </c>
      <c r="F96" s="114"/>
      <c r="G96" s="114"/>
      <c r="H96" s="114"/>
      <c r="I96" s="114"/>
      <c r="J96" s="114">
        <v>1</v>
      </c>
      <c r="K96" s="114">
        <v>5430</v>
      </c>
      <c r="L96" s="114">
        <f t="shared" ref="L96:L98" si="63">K96</f>
        <v>5430</v>
      </c>
      <c r="M96" s="111" t="s">
        <v>37</v>
      </c>
    </row>
    <row r="97" spans="1:17" x14ac:dyDescent="0.25">
      <c r="A97" s="118" t="s">
        <v>190</v>
      </c>
      <c r="B97" s="85" t="s">
        <v>23</v>
      </c>
      <c r="C97" s="114">
        <v>66772</v>
      </c>
      <c r="D97" s="86" t="s">
        <v>34</v>
      </c>
      <c r="E97" s="87" t="s">
        <v>35</v>
      </c>
      <c r="F97" s="114"/>
      <c r="G97" s="115" t="s">
        <v>77</v>
      </c>
      <c r="H97" s="114"/>
      <c r="I97" s="114"/>
      <c r="J97" s="114"/>
      <c r="K97" s="114">
        <v>3500</v>
      </c>
      <c r="L97" s="114">
        <f t="shared" si="63"/>
        <v>3500</v>
      </c>
      <c r="M97" s="111" t="s">
        <v>26</v>
      </c>
    </row>
    <row r="98" spans="1:17" x14ac:dyDescent="0.25">
      <c r="A98" s="118" t="s">
        <v>190</v>
      </c>
      <c r="B98" s="85" t="s">
        <v>23</v>
      </c>
      <c r="C98" s="114">
        <v>66772</v>
      </c>
      <c r="D98" s="86" t="s">
        <v>34</v>
      </c>
      <c r="E98" s="93" t="s">
        <v>39</v>
      </c>
      <c r="F98" s="114"/>
      <c r="G98" s="115" t="s">
        <v>36</v>
      </c>
      <c r="H98" s="114"/>
      <c r="I98" s="114"/>
      <c r="J98" s="114"/>
      <c r="K98" s="114">
        <v>3000</v>
      </c>
      <c r="L98" s="114">
        <f t="shared" si="63"/>
        <v>3000</v>
      </c>
      <c r="M98" s="111" t="s">
        <v>18</v>
      </c>
    </row>
    <row r="99" spans="1:17" x14ac:dyDescent="0.25">
      <c r="A99" s="121" t="s">
        <v>190</v>
      </c>
      <c r="B99" s="101" t="s">
        <v>23</v>
      </c>
      <c r="C99" s="101">
        <v>66772</v>
      </c>
      <c r="D99" s="101" t="s">
        <v>34</v>
      </c>
      <c r="E99" s="101" t="s">
        <v>30</v>
      </c>
      <c r="F99" s="101"/>
      <c r="G99" s="122" t="s">
        <v>78</v>
      </c>
      <c r="H99" s="101"/>
      <c r="I99" s="101"/>
      <c r="J99" s="101"/>
      <c r="K99" s="101">
        <v>1300</v>
      </c>
      <c r="L99" s="101">
        <f>K99</f>
        <v>1300</v>
      </c>
      <c r="M99" s="119" t="s">
        <v>180</v>
      </c>
      <c r="N99" s="293" t="s">
        <v>199</v>
      </c>
      <c r="O99" s="294"/>
      <c r="P99" s="294"/>
      <c r="Q99" s="294"/>
    </row>
    <row r="100" spans="1:17" x14ac:dyDescent="0.25">
      <c r="A100" s="118" t="s">
        <v>191</v>
      </c>
      <c r="B100" s="85" t="s">
        <v>23</v>
      </c>
      <c r="C100" s="114">
        <v>66772</v>
      </c>
      <c r="D100" s="86" t="s">
        <v>34</v>
      </c>
      <c r="E100" s="87" t="s">
        <v>35</v>
      </c>
      <c r="F100" s="114"/>
      <c r="G100" s="115" t="s">
        <v>77</v>
      </c>
      <c r="H100" s="114"/>
      <c r="I100" s="114"/>
      <c r="J100" s="114"/>
      <c r="K100" s="114">
        <v>4200</v>
      </c>
      <c r="L100" s="114">
        <f t="shared" ref="L100:L101" si="64">K100</f>
        <v>4200</v>
      </c>
      <c r="M100" s="111" t="s">
        <v>26</v>
      </c>
    </row>
    <row r="101" spans="1:17" x14ac:dyDescent="0.25">
      <c r="A101" s="118" t="s">
        <v>191</v>
      </c>
      <c r="B101" s="85" t="s">
        <v>23</v>
      </c>
      <c r="C101" s="114">
        <v>66772</v>
      </c>
      <c r="D101" s="86" t="s">
        <v>34</v>
      </c>
      <c r="E101" s="93" t="s">
        <v>39</v>
      </c>
      <c r="F101" s="114"/>
      <c r="G101" s="115" t="s">
        <v>36</v>
      </c>
      <c r="H101" s="114"/>
      <c r="I101" s="114"/>
      <c r="J101" s="114"/>
      <c r="K101" s="114">
        <v>4000</v>
      </c>
      <c r="L101" s="114">
        <f t="shared" si="64"/>
        <v>4000</v>
      </c>
      <c r="M101" s="111" t="s">
        <v>18</v>
      </c>
    </row>
    <row r="102" spans="1:17" x14ac:dyDescent="0.25">
      <c r="A102" s="118" t="s">
        <v>191</v>
      </c>
      <c r="B102" s="85" t="s">
        <v>23</v>
      </c>
      <c r="C102" s="114">
        <v>66772</v>
      </c>
      <c r="D102" s="86" t="s">
        <v>34</v>
      </c>
      <c r="E102" s="92" t="s">
        <v>30</v>
      </c>
      <c r="F102" s="114"/>
      <c r="G102" s="115" t="s">
        <v>78</v>
      </c>
      <c r="H102" s="114"/>
      <c r="I102" s="114"/>
      <c r="J102" s="114"/>
      <c r="K102" s="114">
        <v>3500</v>
      </c>
      <c r="L102" s="114">
        <f>K102</f>
        <v>3500</v>
      </c>
      <c r="M102" s="111" t="s">
        <v>180</v>
      </c>
    </row>
    <row r="103" spans="1:17" x14ac:dyDescent="0.25">
      <c r="A103" s="118" t="s">
        <v>191</v>
      </c>
      <c r="B103" s="86" t="s">
        <v>14</v>
      </c>
      <c r="C103" s="114" t="s">
        <v>56</v>
      </c>
      <c r="D103" s="86" t="s">
        <v>57</v>
      </c>
      <c r="E103" s="94" t="s">
        <v>35</v>
      </c>
      <c r="F103" s="114"/>
      <c r="G103" s="114" t="s">
        <v>77</v>
      </c>
      <c r="H103" s="114"/>
      <c r="I103" s="114"/>
      <c r="J103" s="114">
        <v>1</v>
      </c>
      <c r="K103" s="114">
        <v>3000</v>
      </c>
      <c r="L103" s="114">
        <f t="shared" ref="L103" si="65">K103</f>
        <v>3000</v>
      </c>
      <c r="M103" s="111" t="s">
        <v>91</v>
      </c>
    </row>
    <row r="104" spans="1:17" x14ac:dyDescent="0.25">
      <c r="A104" s="118" t="s">
        <v>191</v>
      </c>
      <c r="B104" s="86" t="s">
        <v>14</v>
      </c>
      <c r="C104" s="114">
        <v>7479</v>
      </c>
      <c r="D104" s="86" t="s">
        <v>20</v>
      </c>
      <c r="E104" s="86" t="s">
        <v>21</v>
      </c>
      <c r="F104" s="114">
        <v>112</v>
      </c>
      <c r="G104" s="114">
        <v>0.15</v>
      </c>
      <c r="H104" s="114">
        <f>G104*F104</f>
        <v>16.8</v>
      </c>
      <c r="I104" s="114">
        <v>80</v>
      </c>
      <c r="J104" s="114">
        <v>1</v>
      </c>
      <c r="K104" s="114">
        <f>F104*I104</f>
        <v>8960</v>
      </c>
      <c r="L104" s="114">
        <f>K104*J104</f>
        <v>8960</v>
      </c>
      <c r="M104" s="111" t="s">
        <v>22</v>
      </c>
    </row>
    <row r="105" spans="1:17" x14ac:dyDescent="0.25">
      <c r="A105" s="118" t="s">
        <v>191</v>
      </c>
      <c r="B105" s="86" t="s">
        <v>14</v>
      </c>
      <c r="C105" s="114">
        <v>7479</v>
      </c>
      <c r="D105" s="86" t="s">
        <v>20</v>
      </c>
      <c r="E105" s="86" t="s">
        <v>25</v>
      </c>
      <c r="F105" s="114"/>
      <c r="G105" s="114"/>
      <c r="H105" s="114"/>
      <c r="I105" s="114"/>
      <c r="J105" s="114">
        <v>1</v>
      </c>
      <c r="K105" s="114">
        <v>3770</v>
      </c>
      <c r="L105" s="114">
        <f t="shared" ref="L105" si="66">K105</f>
        <v>3770</v>
      </c>
      <c r="M105" s="111" t="s">
        <v>37</v>
      </c>
    </row>
    <row r="106" spans="1:17" x14ac:dyDescent="0.25">
      <c r="A106" s="118" t="s">
        <v>191</v>
      </c>
      <c r="B106" s="86" t="s">
        <v>14</v>
      </c>
      <c r="C106" s="114" t="s">
        <v>86</v>
      </c>
      <c r="D106" s="86" t="s">
        <v>84</v>
      </c>
      <c r="E106" s="86" t="s">
        <v>17</v>
      </c>
      <c r="F106" s="114">
        <v>18</v>
      </c>
      <c r="G106" s="114">
        <v>0.46</v>
      </c>
      <c r="H106" s="114">
        <v>36.340000000000003</v>
      </c>
      <c r="I106" s="114">
        <v>38</v>
      </c>
      <c r="J106" s="114">
        <v>1</v>
      </c>
      <c r="K106" s="114">
        <f t="shared" ref="K106" si="67">F106*I106</f>
        <v>684</v>
      </c>
      <c r="L106" s="114">
        <f>K106*J106</f>
        <v>684</v>
      </c>
      <c r="M106" s="111" t="s">
        <v>22</v>
      </c>
    </row>
    <row r="107" spans="1:17" x14ac:dyDescent="0.25">
      <c r="A107" s="118" t="s">
        <v>191</v>
      </c>
      <c r="B107" s="95" t="s">
        <v>44</v>
      </c>
      <c r="C107" s="114" t="s">
        <v>45</v>
      </c>
      <c r="D107" s="86" t="s">
        <v>46</v>
      </c>
      <c r="E107" s="86" t="s">
        <v>47</v>
      </c>
      <c r="F107" s="114"/>
      <c r="G107" s="114"/>
      <c r="H107" s="114"/>
      <c r="I107" s="114"/>
      <c r="J107" s="114"/>
      <c r="K107" s="114">
        <v>800</v>
      </c>
      <c r="L107" s="114">
        <f t="shared" ref="L107" si="68">K107</f>
        <v>800</v>
      </c>
      <c r="M107" s="111" t="s">
        <v>48</v>
      </c>
    </row>
    <row r="108" spans="1:17" x14ac:dyDescent="0.25">
      <c r="A108" s="118" t="s">
        <v>191</v>
      </c>
      <c r="B108" s="86" t="s">
        <v>14</v>
      </c>
      <c r="C108" s="114" t="s">
        <v>192</v>
      </c>
      <c r="D108" s="86" t="s">
        <v>84</v>
      </c>
      <c r="E108" s="86" t="s">
        <v>21</v>
      </c>
      <c r="F108" s="114">
        <v>31</v>
      </c>
      <c r="G108" s="114">
        <v>0.42</v>
      </c>
      <c r="H108" s="114">
        <v>27.3</v>
      </c>
      <c r="I108" s="114">
        <v>66</v>
      </c>
      <c r="J108" s="114">
        <v>1</v>
      </c>
      <c r="K108" s="114">
        <f t="shared" ref="K108" si="69">F108*I108</f>
        <v>2046</v>
      </c>
      <c r="L108" s="114">
        <f>K108*J108</f>
        <v>2046</v>
      </c>
      <c r="M108" s="111" t="s">
        <v>22</v>
      </c>
    </row>
    <row r="109" spans="1:17" x14ac:dyDescent="0.25">
      <c r="A109" s="118" t="s">
        <v>193</v>
      </c>
      <c r="B109" s="85" t="s">
        <v>23</v>
      </c>
      <c r="C109" s="114">
        <v>66772</v>
      </c>
      <c r="D109" s="86" t="s">
        <v>34</v>
      </c>
      <c r="E109" s="87" t="s">
        <v>35</v>
      </c>
      <c r="F109" s="114"/>
      <c r="G109" s="115" t="s">
        <v>77</v>
      </c>
      <c r="H109" s="114"/>
      <c r="I109" s="114"/>
      <c r="J109" s="114"/>
      <c r="K109" s="114">
        <v>6675</v>
      </c>
      <c r="L109" s="114">
        <f t="shared" ref="L109:L110" si="70">K109</f>
        <v>6675</v>
      </c>
      <c r="M109" s="111" t="s">
        <v>26</v>
      </c>
    </row>
    <row r="110" spans="1:17" x14ac:dyDescent="0.25">
      <c r="A110" s="118" t="s">
        <v>193</v>
      </c>
      <c r="B110" s="85" t="s">
        <v>23</v>
      </c>
      <c r="C110" s="114">
        <v>66772</v>
      </c>
      <c r="D110" s="86" t="s">
        <v>34</v>
      </c>
      <c r="E110" s="93" t="s">
        <v>39</v>
      </c>
      <c r="F110" s="114"/>
      <c r="G110" s="115" t="s">
        <v>36</v>
      </c>
      <c r="H110" s="114"/>
      <c r="I110" s="114"/>
      <c r="J110" s="114"/>
      <c r="K110" s="114">
        <v>7000</v>
      </c>
      <c r="L110" s="114">
        <f t="shared" si="70"/>
        <v>7000</v>
      </c>
      <c r="M110" s="111" t="s">
        <v>18</v>
      </c>
    </row>
    <row r="111" spans="1:17" x14ac:dyDescent="0.25">
      <c r="A111" s="118" t="s">
        <v>193</v>
      </c>
      <c r="B111" s="85" t="s">
        <v>23</v>
      </c>
      <c r="C111" s="114">
        <v>66772</v>
      </c>
      <c r="D111" s="86" t="s">
        <v>34</v>
      </c>
      <c r="E111" s="92" t="s">
        <v>30</v>
      </c>
      <c r="F111" s="114"/>
      <c r="G111" s="115" t="s">
        <v>78</v>
      </c>
      <c r="H111" s="114"/>
      <c r="I111" s="114"/>
      <c r="J111" s="114"/>
      <c r="K111" s="114">
        <v>7000</v>
      </c>
      <c r="L111" s="114">
        <f>K111</f>
        <v>7000</v>
      </c>
      <c r="M111" s="111" t="s">
        <v>180</v>
      </c>
    </row>
    <row r="112" spans="1:17" x14ac:dyDescent="0.25">
      <c r="A112" s="118" t="s">
        <v>193</v>
      </c>
      <c r="B112" s="95" t="s">
        <v>44</v>
      </c>
      <c r="C112" s="114" t="s">
        <v>45</v>
      </c>
      <c r="D112" s="86" t="s">
        <v>46</v>
      </c>
      <c r="E112" s="86" t="s">
        <v>47</v>
      </c>
      <c r="F112" s="114"/>
      <c r="G112" s="114"/>
      <c r="H112" s="114"/>
      <c r="I112" s="114"/>
      <c r="J112" s="114"/>
      <c r="K112" s="114">
        <v>2000</v>
      </c>
      <c r="L112" s="114">
        <f t="shared" ref="L112" si="71">K112</f>
        <v>2000</v>
      </c>
      <c r="M112" s="111" t="s">
        <v>48</v>
      </c>
    </row>
    <row r="113" spans="1:13" x14ac:dyDescent="0.25">
      <c r="A113" s="118" t="s">
        <v>193</v>
      </c>
      <c r="B113" s="86" t="s">
        <v>14</v>
      </c>
      <c r="C113" s="114" t="s">
        <v>86</v>
      </c>
      <c r="D113" s="86" t="s">
        <v>84</v>
      </c>
      <c r="E113" s="86" t="s">
        <v>17</v>
      </c>
      <c r="F113" s="114">
        <v>50</v>
      </c>
      <c r="G113" s="114">
        <v>0.46</v>
      </c>
      <c r="H113" s="114">
        <v>36.340000000000003</v>
      </c>
      <c r="I113" s="114">
        <v>38</v>
      </c>
      <c r="J113" s="114">
        <v>1</v>
      </c>
      <c r="K113" s="114">
        <f t="shared" ref="K113" si="72">F113*I113</f>
        <v>1900</v>
      </c>
      <c r="L113" s="114">
        <f>K113*J113</f>
        <v>1900</v>
      </c>
      <c r="M113" s="111" t="s">
        <v>22</v>
      </c>
    </row>
    <row r="114" spans="1:13" x14ac:dyDescent="0.25">
      <c r="A114" s="118" t="s">
        <v>193</v>
      </c>
      <c r="B114" s="86" t="s">
        <v>14</v>
      </c>
      <c r="C114" s="114">
        <v>7479</v>
      </c>
      <c r="D114" s="86" t="s">
        <v>20</v>
      </c>
      <c r="E114" s="86" t="s">
        <v>25</v>
      </c>
      <c r="F114" s="114"/>
      <c r="G114" s="114"/>
      <c r="H114" s="114"/>
      <c r="I114" s="114"/>
      <c r="J114" s="114">
        <v>1</v>
      </c>
      <c r="K114" s="114">
        <v>5900</v>
      </c>
      <c r="L114" s="114">
        <f t="shared" ref="L114" si="73">K114</f>
        <v>5900</v>
      </c>
      <c r="M114" s="111" t="s">
        <v>37</v>
      </c>
    </row>
    <row r="115" spans="1:13" x14ac:dyDescent="0.25">
      <c r="A115" s="118" t="s">
        <v>193</v>
      </c>
      <c r="B115" s="86" t="s">
        <v>14</v>
      </c>
      <c r="C115" s="114" t="s">
        <v>56</v>
      </c>
      <c r="D115" s="86" t="s">
        <v>57</v>
      </c>
      <c r="E115" s="86" t="s">
        <v>39</v>
      </c>
      <c r="F115" s="114"/>
      <c r="G115" s="114" t="s">
        <v>36</v>
      </c>
      <c r="H115" s="114"/>
      <c r="I115" s="114"/>
      <c r="J115" s="114">
        <v>2</v>
      </c>
      <c r="K115" s="114">
        <v>3600</v>
      </c>
      <c r="L115" s="114">
        <f>K115*2</f>
        <v>7200</v>
      </c>
      <c r="M115" s="111" t="s">
        <v>181</v>
      </c>
    </row>
    <row r="116" spans="1:13" x14ac:dyDescent="0.25">
      <c r="A116" s="118" t="s">
        <v>193</v>
      </c>
      <c r="B116" s="86" t="s">
        <v>14</v>
      </c>
      <c r="C116" s="114">
        <v>6871</v>
      </c>
      <c r="D116" s="86" t="s">
        <v>16</v>
      </c>
      <c r="E116" s="86" t="s">
        <v>17</v>
      </c>
      <c r="F116" s="114">
        <v>38</v>
      </c>
      <c r="G116" s="114">
        <v>0.64</v>
      </c>
      <c r="H116" s="114">
        <f>G116*F116</f>
        <v>24.32</v>
      </c>
      <c r="I116" s="114">
        <v>70</v>
      </c>
      <c r="J116" s="114">
        <v>2</v>
      </c>
      <c r="K116" s="114">
        <f t="shared" ref="K116" si="74">F116*I116</f>
        <v>2660</v>
      </c>
      <c r="L116" s="114">
        <f t="shared" ref="L116" si="75">K116*J116</f>
        <v>5320</v>
      </c>
      <c r="M116" s="111" t="s">
        <v>22</v>
      </c>
    </row>
    <row r="117" spans="1:13" x14ac:dyDescent="0.25">
      <c r="A117" s="118" t="s">
        <v>193</v>
      </c>
      <c r="B117" s="86" t="s">
        <v>14</v>
      </c>
      <c r="C117" s="114" t="s">
        <v>86</v>
      </c>
      <c r="D117" s="86" t="s">
        <v>84</v>
      </c>
      <c r="E117" s="86" t="s">
        <v>25</v>
      </c>
      <c r="F117" s="114"/>
      <c r="G117" s="114"/>
      <c r="H117" s="114"/>
      <c r="I117" s="114"/>
      <c r="J117" s="114"/>
      <c r="K117" s="114">
        <v>1800</v>
      </c>
      <c r="L117" s="114">
        <f t="shared" ref="L117" si="76">K117</f>
        <v>1800</v>
      </c>
      <c r="M117" s="111" t="s">
        <v>22</v>
      </c>
    </row>
    <row r="118" spans="1:13" x14ac:dyDescent="0.25">
      <c r="A118" s="118" t="s">
        <v>194</v>
      </c>
      <c r="B118" s="86" t="s">
        <v>14</v>
      </c>
      <c r="C118" s="114" t="s">
        <v>86</v>
      </c>
      <c r="D118" s="86" t="s">
        <v>84</v>
      </c>
      <c r="E118" s="86" t="s">
        <v>25</v>
      </c>
      <c r="F118" s="114"/>
      <c r="G118" s="114"/>
      <c r="H118" s="114"/>
      <c r="I118" s="114"/>
      <c r="J118" s="114"/>
      <c r="K118" s="114">
        <v>200</v>
      </c>
      <c r="L118" s="114">
        <f t="shared" ref="L118:L120" si="77">K118</f>
        <v>200</v>
      </c>
      <c r="M118" s="111" t="s">
        <v>22</v>
      </c>
    </row>
    <row r="119" spans="1:13" x14ac:dyDescent="0.25">
      <c r="A119" s="118" t="s">
        <v>194</v>
      </c>
      <c r="B119" s="85" t="s">
        <v>23</v>
      </c>
      <c r="C119" s="114">
        <v>66772</v>
      </c>
      <c r="D119" s="86" t="s">
        <v>34</v>
      </c>
      <c r="E119" s="87" t="s">
        <v>35</v>
      </c>
      <c r="F119" s="114"/>
      <c r="G119" s="115" t="s">
        <v>77</v>
      </c>
      <c r="H119" s="114"/>
      <c r="I119" s="114"/>
      <c r="J119" s="114"/>
      <c r="K119" s="114">
        <v>625</v>
      </c>
      <c r="L119" s="114">
        <f t="shared" si="77"/>
        <v>625</v>
      </c>
      <c r="M119" s="111" t="s">
        <v>26</v>
      </c>
    </row>
    <row r="120" spans="1:13" x14ac:dyDescent="0.25">
      <c r="A120" s="118" t="s">
        <v>194</v>
      </c>
      <c r="B120" s="85" t="s">
        <v>23</v>
      </c>
      <c r="C120" s="114">
        <v>66772</v>
      </c>
      <c r="D120" s="86" t="s">
        <v>34</v>
      </c>
      <c r="E120" s="93" t="s">
        <v>39</v>
      </c>
      <c r="F120" s="114"/>
      <c r="G120" s="115" t="s">
        <v>36</v>
      </c>
      <c r="H120" s="114"/>
      <c r="I120" s="114"/>
      <c r="J120" s="114"/>
      <c r="K120" s="114">
        <v>1000</v>
      </c>
      <c r="L120" s="114">
        <f t="shared" si="77"/>
        <v>1000</v>
      </c>
      <c r="M120" s="111" t="s">
        <v>18</v>
      </c>
    </row>
    <row r="121" spans="1:13" x14ac:dyDescent="0.25">
      <c r="A121" s="118" t="s">
        <v>194</v>
      </c>
      <c r="B121" s="85" t="s">
        <v>23</v>
      </c>
      <c r="C121" s="114">
        <v>66772</v>
      </c>
      <c r="D121" s="86" t="s">
        <v>34</v>
      </c>
      <c r="E121" s="92" t="s">
        <v>30</v>
      </c>
      <c r="F121" s="114"/>
      <c r="G121" s="115" t="s">
        <v>78</v>
      </c>
      <c r="H121" s="114"/>
      <c r="I121" s="114"/>
      <c r="J121" s="114"/>
      <c r="K121" s="114">
        <v>3200</v>
      </c>
      <c r="L121" s="114">
        <f>K121</f>
        <v>3200</v>
      </c>
      <c r="M121" s="111" t="s">
        <v>180</v>
      </c>
    </row>
    <row r="122" spans="1:13" x14ac:dyDescent="0.25">
      <c r="A122" s="118" t="s">
        <v>194</v>
      </c>
      <c r="B122" s="86" t="s">
        <v>14</v>
      </c>
      <c r="C122" s="114">
        <v>7479</v>
      </c>
      <c r="D122" s="86" t="s">
        <v>20</v>
      </c>
      <c r="E122" s="86" t="s">
        <v>25</v>
      </c>
      <c r="F122" s="114"/>
      <c r="G122" s="114"/>
      <c r="H122" s="114"/>
      <c r="I122" s="114"/>
      <c r="J122" s="114">
        <v>1</v>
      </c>
      <c r="K122" s="114">
        <v>7600</v>
      </c>
      <c r="L122" s="114">
        <f t="shared" ref="L122" si="78">K122</f>
        <v>7600</v>
      </c>
      <c r="M122" s="111" t="s">
        <v>37</v>
      </c>
    </row>
    <row r="123" spans="1:13" x14ac:dyDescent="0.25">
      <c r="A123" s="118" t="s">
        <v>194</v>
      </c>
      <c r="B123" s="86" t="s">
        <v>14</v>
      </c>
      <c r="C123" s="114" t="s">
        <v>56</v>
      </c>
      <c r="D123" s="86" t="s">
        <v>57</v>
      </c>
      <c r="E123" s="86" t="s">
        <v>39</v>
      </c>
      <c r="F123" s="114"/>
      <c r="G123" s="114" t="s">
        <v>36</v>
      </c>
      <c r="H123" s="114"/>
      <c r="I123" s="114"/>
      <c r="J123" s="114">
        <v>2</v>
      </c>
      <c r="K123" s="114">
        <v>3550</v>
      </c>
      <c r="L123" s="114">
        <f>K123*2</f>
        <v>7100</v>
      </c>
      <c r="M123" s="111" t="s">
        <v>181</v>
      </c>
    </row>
    <row r="124" spans="1:13" x14ac:dyDescent="0.25">
      <c r="A124" s="118" t="s">
        <v>194</v>
      </c>
      <c r="B124" s="85" t="s">
        <v>23</v>
      </c>
      <c r="C124" s="114">
        <v>65548</v>
      </c>
      <c r="D124" s="91" t="s">
        <v>24</v>
      </c>
      <c r="E124" s="87" t="s">
        <v>25</v>
      </c>
      <c r="F124" s="114"/>
      <c r="G124" s="115"/>
      <c r="H124" s="114"/>
      <c r="I124" s="114"/>
      <c r="J124" s="114"/>
      <c r="K124" s="114">
        <v>4200</v>
      </c>
      <c r="L124" s="114">
        <f t="shared" ref="L124:L125" si="79">K124</f>
        <v>4200</v>
      </c>
      <c r="M124" s="111" t="s">
        <v>179</v>
      </c>
    </row>
    <row r="125" spans="1:13" x14ac:dyDescent="0.25">
      <c r="A125" s="118" t="s">
        <v>194</v>
      </c>
      <c r="B125" s="85" t="s">
        <v>23</v>
      </c>
      <c r="C125" s="114">
        <v>65548</v>
      </c>
      <c r="D125" s="91" t="s">
        <v>24</v>
      </c>
      <c r="E125" s="92" t="s">
        <v>30</v>
      </c>
      <c r="F125" s="114"/>
      <c r="G125" s="115" t="s">
        <v>36</v>
      </c>
      <c r="H125" s="114"/>
      <c r="I125" s="114"/>
      <c r="J125" s="114"/>
      <c r="K125" s="114">
        <v>3600</v>
      </c>
      <c r="L125" s="114">
        <f t="shared" si="79"/>
        <v>3600</v>
      </c>
      <c r="M125" s="111" t="s">
        <v>180</v>
      </c>
    </row>
    <row r="126" spans="1:13" x14ac:dyDescent="0.25">
      <c r="A126" s="118" t="s">
        <v>194</v>
      </c>
      <c r="B126" s="86" t="s">
        <v>14</v>
      </c>
      <c r="C126" s="114">
        <v>6380</v>
      </c>
      <c r="D126" s="86" t="s">
        <v>16</v>
      </c>
      <c r="E126" s="86" t="s">
        <v>17</v>
      </c>
      <c r="F126" s="114">
        <v>11</v>
      </c>
      <c r="G126" s="114">
        <v>0.42499999999999999</v>
      </c>
      <c r="H126" s="114">
        <f t="shared" ref="H126" si="80">F126*G126</f>
        <v>4.6749999999999998</v>
      </c>
      <c r="I126" s="114">
        <v>56</v>
      </c>
      <c r="J126" s="114">
        <v>4</v>
      </c>
      <c r="K126" s="114">
        <f t="shared" ref="K126" si="81">F126*I126</f>
        <v>616</v>
      </c>
      <c r="L126" s="114">
        <f t="shared" ref="L126" si="82">K126*J126</f>
        <v>2464</v>
      </c>
      <c r="M126" s="111" t="s">
        <v>18</v>
      </c>
    </row>
    <row r="127" spans="1:13" x14ac:dyDescent="0.25">
      <c r="A127" s="118" t="s">
        <v>194</v>
      </c>
      <c r="B127" s="86" t="s">
        <v>14</v>
      </c>
      <c r="C127" s="86" t="s">
        <v>89</v>
      </c>
      <c r="D127" s="86" t="s">
        <v>90</v>
      </c>
      <c r="E127" s="86" t="s">
        <v>21</v>
      </c>
      <c r="F127" s="86">
        <v>15</v>
      </c>
      <c r="G127" s="86">
        <v>0.13500000000000001</v>
      </c>
      <c r="H127" s="86">
        <f t="shared" ref="H127" si="83">F127*G127</f>
        <v>2.0250000000000004</v>
      </c>
      <c r="I127" s="86">
        <v>77</v>
      </c>
      <c r="J127" s="86">
        <v>1</v>
      </c>
      <c r="K127" s="86">
        <f t="shared" ref="K127" si="84">F127*I127</f>
        <v>1155</v>
      </c>
      <c r="L127" s="86">
        <f t="shared" ref="L127" si="85">K127*J127</f>
        <v>1155</v>
      </c>
      <c r="M127" s="89" t="s">
        <v>37</v>
      </c>
    </row>
    <row r="128" spans="1:13" x14ac:dyDescent="0.25">
      <c r="A128" s="118" t="s">
        <v>194</v>
      </c>
      <c r="B128" s="86" t="s">
        <v>14</v>
      </c>
      <c r="C128" s="86" t="s">
        <v>89</v>
      </c>
      <c r="D128" s="86" t="s">
        <v>90</v>
      </c>
      <c r="E128" s="86" t="s">
        <v>25</v>
      </c>
      <c r="F128" s="86"/>
      <c r="G128" s="86"/>
      <c r="H128" s="86"/>
      <c r="I128" s="86"/>
      <c r="J128" s="86"/>
      <c r="K128" s="86">
        <v>650</v>
      </c>
      <c r="L128" s="86">
        <f t="shared" ref="L128:L130" si="86">K128</f>
        <v>650</v>
      </c>
      <c r="M128" s="89" t="s">
        <v>31</v>
      </c>
    </row>
    <row r="129" spans="1:14" x14ac:dyDescent="0.25">
      <c r="A129" s="118" t="s">
        <v>195</v>
      </c>
      <c r="B129" s="85" t="s">
        <v>23</v>
      </c>
      <c r="C129" s="114">
        <v>65548</v>
      </c>
      <c r="D129" s="91" t="s">
        <v>24</v>
      </c>
      <c r="E129" s="87" t="s">
        <v>25</v>
      </c>
      <c r="F129" s="114"/>
      <c r="G129" s="115"/>
      <c r="H129" s="114"/>
      <c r="I129" s="114"/>
      <c r="J129" s="114"/>
      <c r="K129" s="114">
        <v>8500</v>
      </c>
      <c r="L129" s="114">
        <f t="shared" si="86"/>
        <v>8500</v>
      </c>
      <c r="M129" s="111" t="s">
        <v>179</v>
      </c>
    </row>
    <row r="130" spans="1:14" x14ac:dyDescent="0.25">
      <c r="A130" s="118" t="s">
        <v>195</v>
      </c>
      <c r="B130" s="85" t="s">
        <v>23</v>
      </c>
      <c r="C130" s="114">
        <v>65548</v>
      </c>
      <c r="D130" s="91" t="s">
        <v>24</v>
      </c>
      <c r="E130" s="92" t="s">
        <v>30</v>
      </c>
      <c r="F130" s="114"/>
      <c r="G130" s="115" t="s">
        <v>36</v>
      </c>
      <c r="H130" s="114"/>
      <c r="I130" s="114"/>
      <c r="J130" s="114"/>
      <c r="K130" s="114">
        <v>6470</v>
      </c>
      <c r="L130" s="114">
        <f t="shared" si="86"/>
        <v>6470</v>
      </c>
      <c r="M130" s="111" t="s">
        <v>180</v>
      </c>
    </row>
    <row r="131" spans="1:14" x14ac:dyDescent="0.25">
      <c r="A131" s="118" t="s">
        <v>195</v>
      </c>
      <c r="B131" s="86" t="s">
        <v>14</v>
      </c>
      <c r="C131" s="114">
        <v>5036</v>
      </c>
      <c r="D131" s="86" t="s">
        <v>16</v>
      </c>
      <c r="E131" s="86" t="s">
        <v>17</v>
      </c>
      <c r="F131" s="114">
        <v>53</v>
      </c>
      <c r="G131" s="114">
        <v>0.32500000000000001</v>
      </c>
      <c r="H131" s="114">
        <f t="shared" ref="H131:H132" si="87">F131*G131</f>
        <v>17.225000000000001</v>
      </c>
      <c r="I131" s="114">
        <v>62</v>
      </c>
      <c r="J131" s="114">
        <v>4</v>
      </c>
      <c r="K131" s="114">
        <f t="shared" ref="K131:K132" si="88">F131*I131</f>
        <v>3286</v>
      </c>
      <c r="L131" s="114">
        <f>K131*J131</f>
        <v>13144</v>
      </c>
      <c r="M131" s="111" t="s">
        <v>22</v>
      </c>
    </row>
    <row r="132" spans="1:14" x14ac:dyDescent="0.25">
      <c r="A132" s="118" t="s">
        <v>195</v>
      </c>
      <c r="B132" s="86" t="s">
        <v>14</v>
      </c>
      <c r="C132" s="86" t="s">
        <v>89</v>
      </c>
      <c r="D132" s="86" t="s">
        <v>90</v>
      </c>
      <c r="E132" s="86" t="s">
        <v>21</v>
      </c>
      <c r="F132" s="86">
        <v>83</v>
      </c>
      <c r="G132" s="86">
        <v>0.13500000000000001</v>
      </c>
      <c r="H132" s="86">
        <f t="shared" si="87"/>
        <v>11.205</v>
      </c>
      <c r="I132" s="86">
        <v>77</v>
      </c>
      <c r="J132" s="86">
        <v>1</v>
      </c>
      <c r="K132" s="86">
        <f t="shared" si="88"/>
        <v>6391</v>
      </c>
      <c r="L132" s="86">
        <f t="shared" ref="L132" si="89">K132*J132</f>
        <v>6391</v>
      </c>
      <c r="M132" s="89" t="s">
        <v>37</v>
      </c>
    </row>
    <row r="133" spans="1:14" x14ac:dyDescent="0.25">
      <c r="A133" s="118" t="s">
        <v>195</v>
      </c>
      <c r="B133" s="86" t="s">
        <v>14</v>
      </c>
      <c r="C133" s="86" t="s">
        <v>89</v>
      </c>
      <c r="D133" s="86" t="s">
        <v>90</v>
      </c>
      <c r="E133" s="86" t="s">
        <v>25</v>
      </c>
      <c r="F133" s="86"/>
      <c r="G133" s="86"/>
      <c r="H133" s="86"/>
      <c r="I133" s="86"/>
      <c r="J133" s="86"/>
      <c r="K133" s="86">
        <v>3250</v>
      </c>
      <c r="L133" s="86">
        <f t="shared" ref="L133:L134" si="90">K133</f>
        <v>3250</v>
      </c>
      <c r="M133" s="89" t="s">
        <v>31</v>
      </c>
    </row>
    <row r="134" spans="1:14" x14ac:dyDescent="0.25">
      <c r="A134" s="118" t="s">
        <v>195</v>
      </c>
      <c r="B134" s="95" t="s">
        <v>44</v>
      </c>
      <c r="C134" s="114" t="s">
        <v>45</v>
      </c>
      <c r="D134" s="86" t="s">
        <v>46</v>
      </c>
      <c r="E134" s="86" t="s">
        <v>47</v>
      </c>
      <c r="F134" s="114"/>
      <c r="G134" s="114"/>
      <c r="H134" s="114"/>
      <c r="I134" s="114"/>
      <c r="J134" s="114"/>
      <c r="K134" s="114">
        <v>2000</v>
      </c>
      <c r="L134" s="114">
        <f t="shared" si="90"/>
        <v>2000</v>
      </c>
      <c r="M134" s="111" t="s">
        <v>48</v>
      </c>
    </row>
    <row r="135" spans="1:14" x14ac:dyDescent="0.25">
      <c r="A135" s="118" t="s">
        <v>195</v>
      </c>
      <c r="B135" s="86" t="s">
        <v>14</v>
      </c>
      <c r="C135" s="114">
        <v>7479</v>
      </c>
      <c r="D135" s="86" t="s">
        <v>20</v>
      </c>
      <c r="E135" s="86" t="s">
        <v>25</v>
      </c>
      <c r="F135" s="114"/>
      <c r="G135" s="114"/>
      <c r="H135" s="114"/>
      <c r="I135" s="114"/>
      <c r="J135" s="114">
        <v>1</v>
      </c>
      <c r="K135" s="114">
        <v>4250</v>
      </c>
      <c r="L135" s="114">
        <f t="shared" ref="L135" si="91">K135</f>
        <v>4250</v>
      </c>
      <c r="M135" s="111" t="s">
        <v>37</v>
      </c>
    </row>
    <row r="136" spans="1:14" x14ac:dyDescent="0.25">
      <c r="A136" s="118" t="s">
        <v>195</v>
      </c>
      <c r="B136" s="86" t="s">
        <v>14</v>
      </c>
      <c r="C136" s="114">
        <v>7479</v>
      </c>
      <c r="D136" s="86" t="s">
        <v>20</v>
      </c>
      <c r="E136" s="86" t="s">
        <v>21</v>
      </c>
      <c r="F136" s="114">
        <v>85</v>
      </c>
      <c r="G136" s="114">
        <v>0.15</v>
      </c>
      <c r="H136" s="114">
        <f>G136*F136</f>
        <v>12.75</v>
      </c>
      <c r="I136" s="114">
        <v>80</v>
      </c>
      <c r="J136" s="114">
        <v>1</v>
      </c>
      <c r="K136" s="114">
        <f>F136*I136</f>
        <v>6800</v>
      </c>
      <c r="L136" s="114">
        <f>K136*J136</f>
        <v>6800</v>
      </c>
      <c r="M136" s="111" t="s">
        <v>22</v>
      </c>
      <c r="N136" s="119" t="s">
        <v>115</v>
      </c>
    </row>
    <row r="137" spans="1:14" x14ac:dyDescent="0.25">
      <c r="A137" s="118" t="s">
        <v>196</v>
      </c>
      <c r="B137" s="85" t="s">
        <v>23</v>
      </c>
      <c r="C137" s="114">
        <v>65548</v>
      </c>
      <c r="D137" s="91" t="s">
        <v>24</v>
      </c>
      <c r="E137" s="87" t="s">
        <v>25</v>
      </c>
      <c r="F137" s="114"/>
      <c r="G137" s="115"/>
      <c r="H137" s="114"/>
      <c r="I137" s="114"/>
      <c r="J137" s="114"/>
      <c r="K137" s="114">
        <v>2381</v>
      </c>
      <c r="L137" s="114">
        <f t="shared" ref="L137:L138" si="92">K137</f>
        <v>2381</v>
      </c>
      <c r="M137" s="111" t="s">
        <v>179</v>
      </c>
      <c r="N137" s="120"/>
    </row>
    <row r="138" spans="1:14" x14ac:dyDescent="0.25">
      <c r="A138" s="118" t="s">
        <v>196</v>
      </c>
      <c r="B138" s="85" t="s">
        <v>23</v>
      </c>
      <c r="C138" s="114">
        <v>65548</v>
      </c>
      <c r="D138" s="91" t="s">
        <v>24</v>
      </c>
      <c r="E138" s="92" t="s">
        <v>30</v>
      </c>
      <c r="F138" s="114"/>
      <c r="G138" s="115" t="s">
        <v>36</v>
      </c>
      <c r="H138" s="114"/>
      <c r="I138" s="114"/>
      <c r="J138" s="114"/>
      <c r="K138" s="114">
        <v>5044</v>
      </c>
      <c r="L138" s="114">
        <f t="shared" si="92"/>
        <v>5044</v>
      </c>
      <c r="M138" s="111" t="s">
        <v>180</v>
      </c>
      <c r="N138" s="120"/>
    </row>
    <row r="139" spans="1:14" x14ac:dyDescent="0.25">
      <c r="A139" s="118" t="s">
        <v>196</v>
      </c>
      <c r="B139" s="86" t="s">
        <v>14</v>
      </c>
      <c r="C139" s="114">
        <v>5036</v>
      </c>
      <c r="D139" s="86" t="s">
        <v>16</v>
      </c>
      <c r="E139" s="86" t="s">
        <v>17</v>
      </c>
      <c r="F139" s="114">
        <v>50</v>
      </c>
      <c r="G139" s="114">
        <v>0.32500000000000001</v>
      </c>
      <c r="H139" s="114">
        <f t="shared" ref="H139:H140" si="93">F139*G139</f>
        <v>16.25</v>
      </c>
      <c r="I139" s="114">
        <v>62</v>
      </c>
      <c r="J139" s="114">
        <v>4</v>
      </c>
      <c r="K139" s="114">
        <f t="shared" ref="K139:K140" si="94">F139*I139</f>
        <v>3100</v>
      </c>
      <c r="L139" s="114">
        <f>K139*J139</f>
        <v>12400</v>
      </c>
      <c r="M139" s="111" t="s">
        <v>22</v>
      </c>
      <c r="N139" s="120"/>
    </row>
    <row r="140" spans="1:14" x14ac:dyDescent="0.25">
      <c r="A140" s="118" t="s">
        <v>196</v>
      </c>
      <c r="B140" s="86" t="s">
        <v>14</v>
      </c>
      <c r="C140" s="86" t="s">
        <v>89</v>
      </c>
      <c r="D140" s="86" t="s">
        <v>90</v>
      </c>
      <c r="E140" s="86" t="s">
        <v>21</v>
      </c>
      <c r="F140" s="86">
        <v>150</v>
      </c>
      <c r="G140" s="86">
        <v>0.13500000000000001</v>
      </c>
      <c r="H140" s="86">
        <f t="shared" si="93"/>
        <v>20.25</v>
      </c>
      <c r="I140" s="86">
        <v>77</v>
      </c>
      <c r="J140" s="86">
        <v>1</v>
      </c>
      <c r="K140" s="86">
        <f t="shared" si="94"/>
        <v>11550</v>
      </c>
      <c r="L140" s="86">
        <f t="shared" ref="L140" si="95">K140*J140</f>
        <v>11550</v>
      </c>
      <c r="M140" s="89" t="s">
        <v>37</v>
      </c>
      <c r="N140" s="120"/>
    </row>
    <row r="141" spans="1:14" x14ac:dyDescent="0.25">
      <c r="A141" s="118" t="s">
        <v>196</v>
      </c>
      <c r="B141" s="86" t="s">
        <v>14</v>
      </c>
      <c r="C141" s="86" t="s">
        <v>89</v>
      </c>
      <c r="D141" s="86" t="s">
        <v>90</v>
      </c>
      <c r="E141" s="86" t="s">
        <v>25</v>
      </c>
      <c r="F141" s="86"/>
      <c r="G141" s="86"/>
      <c r="H141" s="86"/>
      <c r="I141" s="86"/>
      <c r="J141" s="86"/>
      <c r="K141" s="86">
        <v>4500</v>
      </c>
      <c r="L141" s="86">
        <f t="shared" ref="L141:L142" si="96">K141</f>
        <v>4500</v>
      </c>
      <c r="M141" s="89" t="s">
        <v>31</v>
      </c>
      <c r="N141" s="120"/>
    </row>
    <row r="142" spans="1:14" x14ac:dyDescent="0.25">
      <c r="A142" s="118" t="s">
        <v>196</v>
      </c>
      <c r="B142" s="86" t="s">
        <v>14</v>
      </c>
      <c r="C142" s="114">
        <v>7479</v>
      </c>
      <c r="D142" s="86" t="s">
        <v>20</v>
      </c>
      <c r="E142" s="86" t="s">
        <v>25</v>
      </c>
      <c r="F142" s="114"/>
      <c r="G142" s="114"/>
      <c r="H142" s="114"/>
      <c r="I142" s="114"/>
      <c r="J142" s="114">
        <v>1</v>
      </c>
      <c r="K142" s="114">
        <v>2100</v>
      </c>
      <c r="L142" s="114">
        <f t="shared" si="96"/>
        <v>2100</v>
      </c>
      <c r="M142" s="111" t="s">
        <v>37</v>
      </c>
      <c r="N142" s="120"/>
    </row>
    <row r="143" spans="1:14" x14ac:dyDescent="0.25">
      <c r="A143" s="118" t="s">
        <v>196</v>
      </c>
      <c r="B143" s="86" t="s">
        <v>14</v>
      </c>
      <c r="C143" s="114">
        <v>7479</v>
      </c>
      <c r="D143" s="86" t="s">
        <v>20</v>
      </c>
      <c r="E143" s="86" t="s">
        <v>21</v>
      </c>
      <c r="F143" s="114">
        <v>108</v>
      </c>
      <c r="G143" s="114">
        <v>0.15</v>
      </c>
      <c r="H143" s="114">
        <f>G143*F143</f>
        <v>16.2</v>
      </c>
      <c r="I143" s="114">
        <v>80</v>
      </c>
      <c r="J143" s="114">
        <v>1</v>
      </c>
      <c r="K143" s="114">
        <f>F143*I143</f>
        <v>8640</v>
      </c>
      <c r="L143" s="114">
        <f>K143*J143</f>
        <v>8640</v>
      </c>
      <c r="M143" s="111" t="s">
        <v>22</v>
      </c>
      <c r="N143" s="120"/>
    </row>
    <row r="144" spans="1:14" x14ac:dyDescent="0.25">
      <c r="A144" s="118" t="s">
        <v>196</v>
      </c>
      <c r="B144" s="86" t="s">
        <v>14</v>
      </c>
      <c r="C144" s="114">
        <v>6380</v>
      </c>
      <c r="D144" s="86" t="s">
        <v>16</v>
      </c>
      <c r="E144" s="86" t="s">
        <v>17</v>
      </c>
      <c r="F144" s="114">
        <v>66</v>
      </c>
      <c r="G144" s="114">
        <v>0.42499999999999999</v>
      </c>
      <c r="H144" s="114">
        <f t="shared" ref="H144" si="97">F144*G144</f>
        <v>28.05</v>
      </c>
      <c r="I144" s="114">
        <v>56</v>
      </c>
      <c r="J144" s="114">
        <v>4</v>
      </c>
      <c r="K144" s="114">
        <f t="shared" ref="K144" si="98">F144*I144</f>
        <v>3696</v>
      </c>
      <c r="L144" s="114">
        <f t="shared" ref="L144" si="99">K144*J144</f>
        <v>14784</v>
      </c>
      <c r="M144" s="111" t="s">
        <v>18</v>
      </c>
      <c r="N144" s="120"/>
    </row>
    <row r="145" spans="1:14" x14ac:dyDescent="0.25">
      <c r="A145" s="118" t="s">
        <v>196</v>
      </c>
      <c r="B145" s="86" t="s">
        <v>14</v>
      </c>
      <c r="C145" s="114" t="s">
        <v>192</v>
      </c>
      <c r="D145" s="86" t="s">
        <v>84</v>
      </c>
      <c r="E145" s="86" t="s">
        <v>25</v>
      </c>
      <c r="F145" s="114"/>
      <c r="G145" s="114"/>
      <c r="H145" s="114"/>
      <c r="I145" s="114"/>
      <c r="J145" s="114"/>
      <c r="K145" s="114">
        <v>600</v>
      </c>
      <c r="L145" s="114">
        <f t="shared" ref="L145:L146" si="100">K145</f>
        <v>600</v>
      </c>
      <c r="M145" s="111" t="s">
        <v>37</v>
      </c>
      <c r="N145" s="120"/>
    </row>
    <row r="146" spans="1:14" x14ac:dyDescent="0.25">
      <c r="A146" s="118" t="s">
        <v>197</v>
      </c>
      <c r="B146" s="86" t="s">
        <v>14</v>
      </c>
      <c r="C146" s="114">
        <v>7479</v>
      </c>
      <c r="D146" s="86" t="s">
        <v>20</v>
      </c>
      <c r="E146" s="86" t="s">
        <v>25</v>
      </c>
      <c r="F146" s="114"/>
      <c r="G146" s="114"/>
      <c r="H146" s="114"/>
      <c r="I146" s="114"/>
      <c r="J146" s="114">
        <v>1</v>
      </c>
      <c r="K146" s="114">
        <v>6362</v>
      </c>
      <c r="L146" s="114">
        <f t="shared" si="100"/>
        <v>6362</v>
      </c>
      <c r="M146" s="111" t="s">
        <v>37</v>
      </c>
    </row>
    <row r="147" spans="1:14" x14ac:dyDescent="0.25">
      <c r="A147" s="118" t="s">
        <v>197</v>
      </c>
      <c r="B147" s="86" t="s">
        <v>14</v>
      </c>
      <c r="C147" s="114">
        <v>6380</v>
      </c>
      <c r="D147" s="86" t="s">
        <v>16</v>
      </c>
      <c r="E147" s="86" t="s">
        <v>17</v>
      </c>
      <c r="F147" s="114">
        <v>135</v>
      </c>
      <c r="G147" s="114">
        <v>0.42499999999999999</v>
      </c>
      <c r="H147" s="114">
        <f t="shared" ref="H147" si="101">F147*G147</f>
        <v>57.375</v>
      </c>
      <c r="I147" s="114">
        <v>56</v>
      </c>
      <c r="J147" s="114">
        <v>4</v>
      </c>
      <c r="K147" s="114">
        <f t="shared" ref="K147" si="102">F147*I147</f>
        <v>7560</v>
      </c>
      <c r="L147" s="114">
        <f t="shared" ref="L147" si="103">K147*J147</f>
        <v>30240</v>
      </c>
      <c r="M147" s="111" t="s">
        <v>18</v>
      </c>
    </row>
    <row r="148" spans="1:14" x14ac:dyDescent="0.25">
      <c r="A148" s="118" t="s">
        <v>197</v>
      </c>
      <c r="B148" s="86" t="s">
        <v>14</v>
      </c>
      <c r="C148" s="114" t="s">
        <v>192</v>
      </c>
      <c r="D148" s="86" t="s">
        <v>84</v>
      </c>
      <c r="E148" s="86" t="s">
        <v>25</v>
      </c>
      <c r="F148" s="114"/>
      <c r="G148" s="114"/>
      <c r="H148" s="114"/>
      <c r="I148" s="114"/>
      <c r="J148" s="114"/>
      <c r="K148" s="114">
        <v>1400</v>
      </c>
      <c r="L148" s="114">
        <f t="shared" ref="L148" si="104">K148</f>
        <v>1400</v>
      </c>
      <c r="M148" s="111" t="s">
        <v>37</v>
      </c>
    </row>
    <row r="149" spans="1:14" x14ac:dyDescent="0.25">
      <c r="A149" s="118" t="s">
        <v>197</v>
      </c>
      <c r="B149" s="86" t="s">
        <v>14</v>
      </c>
      <c r="C149" s="86" t="s">
        <v>89</v>
      </c>
      <c r="D149" s="86" t="s">
        <v>90</v>
      </c>
      <c r="E149" s="86" t="s">
        <v>21</v>
      </c>
      <c r="F149" s="86">
        <v>61</v>
      </c>
      <c r="G149" s="86">
        <v>0.13500000000000001</v>
      </c>
      <c r="H149" s="86">
        <f t="shared" ref="H149" si="105">F149*G149</f>
        <v>8.2350000000000012</v>
      </c>
      <c r="I149" s="86">
        <v>77</v>
      </c>
      <c r="J149" s="86">
        <v>1</v>
      </c>
      <c r="K149" s="86">
        <f t="shared" ref="K149" si="106">F149*I149</f>
        <v>4697</v>
      </c>
      <c r="L149" s="86">
        <f t="shared" ref="L149" si="107">K149*J149</f>
        <v>4697</v>
      </c>
      <c r="M149" s="89" t="s">
        <v>37</v>
      </c>
    </row>
    <row r="150" spans="1:14" x14ac:dyDescent="0.25">
      <c r="A150" s="118" t="s">
        <v>197</v>
      </c>
      <c r="B150" s="86" t="s">
        <v>14</v>
      </c>
      <c r="C150" s="86" t="s">
        <v>89</v>
      </c>
      <c r="D150" s="86" t="s">
        <v>90</v>
      </c>
      <c r="E150" s="86" t="s">
        <v>25</v>
      </c>
      <c r="F150" s="86"/>
      <c r="G150" s="86"/>
      <c r="H150" s="86"/>
      <c r="I150" s="86"/>
      <c r="J150" s="86"/>
      <c r="K150" s="86">
        <v>5125</v>
      </c>
      <c r="L150" s="86">
        <f t="shared" ref="L150:L151" si="108">K150</f>
        <v>5125</v>
      </c>
      <c r="M150" s="89" t="s">
        <v>31</v>
      </c>
    </row>
    <row r="151" spans="1:14" x14ac:dyDescent="0.25">
      <c r="A151" s="118" t="s">
        <v>197</v>
      </c>
      <c r="B151" s="95" t="s">
        <v>44</v>
      </c>
      <c r="C151" s="114" t="s">
        <v>45</v>
      </c>
      <c r="D151" s="86" t="s">
        <v>46</v>
      </c>
      <c r="E151" s="86" t="s">
        <v>47</v>
      </c>
      <c r="F151" s="114"/>
      <c r="G151" s="114"/>
      <c r="H151" s="114"/>
      <c r="I151" s="114"/>
      <c r="J151" s="114"/>
      <c r="K151" s="114">
        <v>1050</v>
      </c>
      <c r="L151" s="114">
        <f t="shared" si="108"/>
        <v>1050</v>
      </c>
      <c r="M151" s="111" t="s">
        <v>48</v>
      </c>
    </row>
    <row r="152" spans="1:14" x14ac:dyDescent="0.25">
      <c r="A152" s="118" t="s">
        <v>197</v>
      </c>
      <c r="B152" s="86" t="s">
        <v>14</v>
      </c>
      <c r="C152" s="86">
        <v>2576</v>
      </c>
      <c r="D152" s="86" t="s">
        <v>90</v>
      </c>
      <c r="E152" s="86" t="s">
        <v>25</v>
      </c>
      <c r="F152" s="86"/>
      <c r="G152" s="86"/>
      <c r="H152" s="86"/>
      <c r="I152" s="86"/>
      <c r="J152" s="86"/>
      <c r="K152" s="86">
        <v>2833</v>
      </c>
      <c r="L152" s="86">
        <f t="shared" ref="L152" si="109">K152</f>
        <v>2833</v>
      </c>
      <c r="M152" s="89" t="s">
        <v>31</v>
      </c>
    </row>
    <row r="153" spans="1:14" x14ac:dyDescent="0.25">
      <c r="A153" s="118" t="s">
        <v>197</v>
      </c>
      <c r="B153" s="86" t="s">
        <v>14</v>
      </c>
      <c r="C153" s="114" t="s">
        <v>56</v>
      </c>
      <c r="D153" s="86" t="s">
        <v>57</v>
      </c>
      <c r="E153" s="86" t="s">
        <v>21</v>
      </c>
      <c r="F153" s="114">
        <v>62</v>
      </c>
      <c r="G153" s="114">
        <v>0.105</v>
      </c>
      <c r="H153" s="114">
        <f>G153*F153</f>
        <v>6.51</v>
      </c>
      <c r="I153" s="114">
        <v>111</v>
      </c>
      <c r="J153" s="114">
        <v>1</v>
      </c>
      <c r="K153" s="114">
        <f t="shared" ref="K153" si="110">F153*I153</f>
        <v>6882</v>
      </c>
      <c r="L153" s="114">
        <f t="shared" ref="L153" si="111">K153*J153</f>
        <v>6882</v>
      </c>
      <c r="M153" s="111" t="s">
        <v>181</v>
      </c>
    </row>
    <row r="154" spans="1:14" x14ac:dyDescent="0.25">
      <c r="A154" s="118" t="s">
        <v>198</v>
      </c>
      <c r="B154" s="86" t="s">
        <v>14</v>
      </c>
      <c r="C154" s="86" t="s">
        <v>89</v>
      </c>
      <c r="D154" s="86" t="s">
        <v>90</v>
      </c>
      <c r="E154" s="86" t="s">
        <v>25</v>
      </c>
      <c r="F154" s="86"/>
      <c r="G154" s="86"/>
      <c r="H154" s="86"/>
      <c r="I154" s="86"/>
      <c r="J154" s="86"/>
      <c r="K154" s="86">
        <v>1300</v>
      </c>
      <c r="L154" s="86">
        <f t="shared" ref="L154" si="112">K154</f>
        <v>1300</v>
      </c>
      <c r="M154" s="89" t="s">
        <v>31</v>
      </c>
    </row>
    <row r="155" spans="1:14" x14ac:dyDescent="0.25">
      <c r="A155" s="118" t="s">
        <v>198</v>
      </c>
      <c r="B155" s="86" t="s">
        <v>14</v>
      </c>
      <c r="C155" s="114">
        <v>6380</v>
      </c>
      <c r="D155" s="86" t="s">
        <v>16</v>
      </c>
      <c r="E155" s="86" t="s">
        <v>17</v>
      </c>
      <c r="F155" s="114">
        <v>41</v>
      </c>
      <c r="G155" s="114">
        <v>0.42499999999999999</v>
      </c>
      <c r="H155" s="114">
        <f t="shared" ref="H155" si="113">F155*G155</f>
        <v>17.425000000000001</v>
      </c>
      <c r="I155" s="114">
        <v>56</v>
      </c>
      <c r="J155" s="114">
        <v>4</v>
      </c>
      <c r="K155" s="114">
        <f t="shared" ref="K155:K156" si="114">F155*I155</f>
        <v>2296</v>
      </c>
      <c r="L155" s="114">
        <f t="shared" ref="L155:L157" si="115">K155*J155</f>
        <v>9184</v>
      </c>
      <c r="M155" s="111" t="s">
        <v>18</v>
      </c>
    </row>
    <row r="156" spans="1:14" x14ac:dyDescent="0.25">
      <c r="A156" s="118" t="s">
        <v>198</v>
      </c>
      <c r="B156" s="86" t="s">
        <v>14</v>
      </c>
      <c r="C156" s="114" t="s">
        <v>56</v>
      </c>
      <c r="D156" s="86" t="s">
        <v>57</v>
      </c>
      <c r="E156" s="86" t="s">
        <v>21</v>
      </c>
      <c r="F156" s="114">
        <v>163</v>
      </c>
      <c r="G156" s="114">
        <v>0.105</v>
      </c>
      <c r="H156" s="114">
        <f>G156*F156</f>
        <v>17.114999999999998</v>
      </c>
      <c r="I156" s="114">
        <v>111</v>
      </c>
      <c r="J156" s="114">
        <v>1</v>
      </c>
      <c r="K156" s="114">
        <f t="shared" si="114"/>
        <v>18093</v>
      </c>
      <c r="L156" s="114">
        <f t="shared" si="115"/>
        <v>18093</v>
      </c>
      <c r="M156" s="111" t="s">
        <v>181</v>
      </c>
    </row>
    <row r="157" spans="1:14" x14ac:dyDescent="0.25">
      <c r="A157" s="118" t="s">
        <v>198</v>
      </c>
      <c r="B157" s="86" t="s">
        <v>14</v>
      </c>
      <c r="C157" s="114" t="s">
        <v>51</v>
      </c>
      <c r="D157" s="86" t="s">
        <v>52</v>
      </c>
      <c r="E157" s="86" t="s">
        <v>17</v>
      </c>
      <c r="F157" s="114">
        <v>101</v>
      </c>
      <c r="G157" s="114">
        <v>0.20499999999999999</v>
      </c>
      <c r="H157" s="114">
        <f t="shared" ref="H157" si="116">F157*G157</f>
        <v>20.704999999999998</v>
      </c>
      <c r="I157" s="114">
        <v>26</v>
      </c>
      <c r="J157" s="114">
        <v>4</v>
      </c>
      <c r="K157" s="114">
        <f>F157*I157</f>
        <v>2626</v>
      </c>
      <c r="L157" s="114">
        <f t="shared" si="115"/>
        <v>10504</v>
      </c>
      <c r="M157" s="111" t="s">
        <v>18</v>
      </c>
    </row>
    <row r="158" spans="1:14" x14ac:dyDescent="0.25">
      <c r="A158" s="118" t="s">
        <v>198</v>
      </c>
      <c r="B158" s="86" t="s">
        <v>14</v>
      </c>
      <c r="C158" s="114">
        <v>7479</v>
      </c>
      <c r="D158" s="86" t="s">
        <v>20</v>
      </c>
      <c r="E158" s="86" t="s">
        <v>25</v>
      </c>
      <c r="F158" s="114"/>
      <c r="G158" s="114"/>
      <c r="H158" s="114"/>
      <c r="I158" s="114"/>
      <c r="J158" s="114">
        <v>1</v>
      </c>
      <c r="K158" s="114">
        <v>8800</v>
      </c>
      <c r="L158" s="114">
        <f t="shared" ref="L158" si="117">K158</f>
        <v>8800</v>
      </c>
      <c r="M158" s="111" t="s">
        <v>37</v>
      </c>
    </row>
    <row r="159" spans="1:14" x14ac:dyDescent="0.25">
      <c r="A159" s="118" t="s">
        <v>198</v>
      </c>
      <c r="B159" s="86" t="s">
        <v>14</v>
      </c>
      <c r="C159" s="86" t="s">
        <v>49</v>
      </c>
      <c r="D159" s="86" t="s">
        <v>50</v>
      </c>
      <c r="E159" s="86" t="s">
        <v>17</v>
      </c>
      <c r="F159" s="86">
        <v>168</v>
      </c>
      <c r="G159" s="86">
        <v>0.26</v>
      </c>
      <c r="H159" s="86">
        <f>F159*G159</f>
        <v>43.68</v>
      </c>
      <c r="I159" s="86">
        <v>28</v>
      </c>
      <c r="J159" s="86">
        <v>1</v>
      </c>
      <c r="K159" s="86">
        <f t="shared" ref="K159" si="118">F159*I159</f>
        <v>4704</v>
      </c>
      <c r="L159" s="86">
        <f t="shared" ref="L159" si="119">K159*J159</f>
        <v>4704</v>
      </c>
      <c r="M159" s="89" t="s">
        <v>22</v>
      </c>
    </row>
    <row r="160" spans="1:14" x14ac:dyDescent="0.25">
      <c r="A160" s="118" t="s">
        <v>198</v>
      </c>
      <c r="B160" s="86" t="s">
        <v>14</v>
      </c>
      <c r="C160" s="86" t="s">
        <v>49</v>
      </c>
      <c r="D160" s="86" t="s">
        <v>50</v>
      </c>
      <c r="E160" s="86" t="s">
        <v>25</v>
      </c>
      <c r="F160" s="86"/>
      <c r="G160" s="86"/>
      <c r="H160" s="86"/>
      <c r="I160" s="86"/>
      <c r="J160" s="86"/>
      <c r="K160" s="86">
        <v>2200</v>
      </c>
      <c r="L160" s="86">
        <f t="shared" ref="L160:L162" si="120">K160</f>
        <v>2200</v>
      </c>
      <c r="M160" s="89" t="s">
        <v>31</v>
      </c>
    </row>
    <row r="161" spans="1:13" x14ac:dyDescent="0.25">
      <c r="A161" s="118" t="s">
        <v>198</v>
      </c>
      <c r="B161" s="85" t="s">
        <v>23</v>
      </c>
      <c r="C161" s="114">
        <v>66772</v>
      </c>
      <c r="D161" s="86" t="s">
        <v>34</v>
      </c>
      <c r="E161" s="87" t="s">
        <v>35</v>
      </c>
      <c r="F161" s="114"/>
      <c r="G161" s="115" t="s">
        <v>77</v>
      </c>
      <c r="H161" s="114"/>
      <c r="I161" s="114"/>
      <c r="J161" s="114"/>
      <c r="K161" s="114">
        <v>3300</v>
      </c>
      <c r="L161" s="114">
        <f t="shared" si="120"/>
        <v>3300</v>
      </c>
      <c r="M161" s="111" t="s">
        <v>26</v>
      </c>
    </row>
    <row r="162" spans="1:13" x14ac:dyDescent="0.25">
      <c r="A162" s="118" t="s">
        <v>198</v>
      </c>
      <c r="B162" s="85" t="s">
        <v>23</v>
      </c>
      <c r="C162" s="114">
        <v>66772</v>
      </c>
      <c r="D162" s="86" t="s">
        <v>34</v>
      </c>
      <c r="E162" s="93" t="s">
        <v>39</v>
      </c>
      <c r="F162" s="114"/>
      <c r="G162" s="115" t="s">
        <v>36</v>
      </c>
      <c r="H162" s="114"/>
      <c r="I162" s="114"/>
      <c r="J162" s="114"/>
      <c r="K162" s="114">
        <v>2500</v>
      </c>
      <c r="L162" s="114">
        <f t="shared" si="120"/>
        <v>2500</v>
      </c>
      <c r="M162" s="111" t="s">
        <v>179</v>
      </c>
    </row>
    <row r="163" spans="1:13" x14ac:dyDescent="0.25">
      <c r="A163" s="118" t="s">
        <v>198</v>
      </c>
      <c r="B163" s="85" t="s">
        <v>23</v>
      </c>
      <c r="C163" s="114">
        <v>66772</v>
      </c>
      <c r="D163" s="86" t="s">
        <v>34</v>
      </c>
      <c r="E163" s="92" t="s">
        <v>30</v>
      </c>
      <c r="F163" s="114"/>
      <c r="G163" s="115" t="s">
        <v>78</v>
      </c>
      <c r="H163" s="114"/>
      <c r="I163" s="114"/>
      <c r="J163" s="114"/>
      <c r="K163" s="114">
        <v>2420</v>
      </c>
      <c r="L163" s="114">
        <f>K163</f>
        <v>2420</v>
      </c>
      <c r="M163" s="111" t="s">
        <v>180</v>
      </c>
    </row>
    <row r="164" spans="1:13" x14ac:dyDescent="0.25">
      <c r="A164" s="118" t="s">
        <v>200</v>
      </c>
      <c r="B164" s="85" t="s">
        <v>23</v>
      </c>
      <c r="C164" s="114">
        <v>66772</v>
      </c>
      <c r="D164" s="86" t="s">
        <v>34</v>
      </c>
      <c r="E164" s="87" t="s">
        <v>35</v>
      </c>
      <c r="F164" s="114"/>
      <c r="G164" s="115" t="s">
        <v>77</v>
      </c>
      <c r="H164" s="114"/>
      <c r="I164" s="114"/>
      <c r="J164" s="114"/>
      <c r="K164" s="114">
        <v>3450</v>
      </c>
      <c r="L164" s="114">
        <f t="shared" ref="L164:L165" si="121">K164</f>
        <v>3450</v>
      </c>
      <c r="M164" s="111" t="s">
        <v>26</v>
      </c>
    </row>
    <row r="165" spans="1:13" x14ac:dyDescent="0.25">
      <c r="A165" s="118" t="s">
        <v>200</v>
      </c>
      <c r="B165" s="85" t="s">
        <v>23</v>
      </c>
      <c r="C165" s="114">
        <v>66772</v>
      </c>
      <c r="D165" s="86" t="s">
        <v>34</v>
      </c>
      <c r="E165" s="93" t="s">
        <v>39</v>
      </c>
      <c r="F165" s="114"/>
      <c r="G165" s="115" t="s">
        <v>36</v>
      </c>
      <c r="H165" s="114"/>
      <c r="I165" s="114"/>
      <c r="J165" s="114"/>
      <c r="K165" s="114">
        <v>4250</v>
      </c>
      <c r="L165" s="114">
        <f t="shared" si="121"/>
        <v>4250</v>
      </c>
      <c r="M165" s="111" t="s">
        <v>179</v>
      </c>
    </row>
    <row r="166" spans="1:13" x14ac:dyDescent="0.25">
      <c r="A166" s="118" t="s">
        <v>200</v>
      </c>
      <c r="B166" s="85" t="s">
        <v>23</v>
      </c>
      <c r="C166" s="114">
        <v>66772</v>
      </c>
      <c r="D166" s="86" t="s">
        <v>34</v>
      </c>
      <c r="E166" s="92" t="s">
        <v>30</v>
      </c>
      <c r="F166" s="114"/>
      <c r="G166" s="115" t="s">
        <v>78</v>
      </c>
      <c r="H166" s="114"/>
      <c r="I166" s="114"/>
      <c r="J166" s="114"/>
      <c r="K166" s="114">
        <v>4200</v>
      </c>
      <c r="L166" s="114">
        <f>K166</f>
        <v>4200</v>
      </c>
      <c r="M166" s="111" t="s">
        <v>180</v>
      </c>
    </row>
    <row r="167" spans="1:13" x14ac:dyDescent="0.25">
      <c r="A167" s="118" t="s">
        <v>200</v>
      </c>
      <c r="B167" s="86" t="s">
        <v>14</v>
      </c>
      <c r="C167" s="86" t="s">
        <v>49</v>
      </c>
      <c r="D167" s="86" t="s">
        <v>50</v>
      </c>
      <c r="E167" s="86" t="s">
        <v>17</v>
      </c>
      <c r="F167" s="86">
        <v>138</v>
      </c>
      <c r="G167" s="86">
        <v>0.26</v>
      </c>
      <c r="H167" s="86">
        <f>F167*G167</f>
        <v>35.880000000000003</v>
      </c>
      <c r="I167" s="86">
        <v>28</v>
      </c>
      <c r="J167" s="86">
        <v>1</v>
      </c>
      <c r="K167" s="86">
        <f t="shared" ref="K167" si="122">F167*I167</f>
        <v>3864</v>
      </c>
      <c r="L167" s="86">
        <f t="shared" ref="L167" si="123">K167*J167</f>
        <v>3864</v>
      </c>
      <c r="M167" s="89" t="s">
        <v>22</v>
      </c>
    </row>
    <row r="168" spans="1:13" x14ac:dyDescent="0.25">
      <c r="A168" s="118" t="s">
        <v>200</v>
      </c>
      <c r="B168" s="101" t="s">
        <v>41</v>
      </c>
      <c r="C168" s="114" t="s">
        <v>42</v>
      </c>
      <c r="D168" s="86" t="s">
        <v>93</v>
      </c>
      <c r="E168" s="86" t="s">
        <v>21</v>
      </c>
      <c r="F168" s="114">
        <v>13</v>
      </c>
      <c r="G168" s="114">
        <v>0</v>
      </c>
      <c r="H168" s="114">
        <f>G168*F168</f>
        <v>0</v>
      </c>
      <c r="I168" s="114">
        <v>42</v>
      </c>
      <c r="J168" s="114">
        <v>4</v>
      </c>
      <c r="K168" s="114">
        <f>F168*I168</f>
        <v>546</v>
      </c>
      <c r="L168" s="114">
        <f>K168*J168</f>
        <v>2184</v>
      </c>
      <c r="M168" s="111" t="s">
        <v>22</v>
      </c>
    </row>
    <row r="169" spans="1:13" x14ac:dyDescent="0.25">
      <c r="A169" s="118" t="s">
        <v>200</v>
      </c>
      <c r="B169" s="86" t="s">
        <v>14</v>
      </c>
      <c r="C169" s="114" t="s">
        <v>51</v>
      </c>
      <c r="D169" s="86" t="s">
        <v>52</v>
      </c>
      <c r="E169" s="86" t="s">
        <v>17</v>
      </c>
      <c r="F169" s="114">
        <v>102</v>
      </c>
      <c r="G169" s="114">
        <v>0.20499999999999999</v>
      </c>
      <c r="H169" s="114">
        <f t="shared" ref="H169" si="124">F169*G169</f>
        <v>20.91</v>
      </c>
      <c r="I169" s="114">
        <v>26</v>
      </c>
      <c r="J169" s="114">
        <v>4</v>
      </c>
      <c r="K169" s="114">
        <f>F169*I169</f>
        <v>2652</v>
      </c>
      <c r="L169" s="114">
        <f t="shared" ref="L169" si="125">K169*J169</f>
        <v>10608</v>
      </c>
      <c r="M169" s="111" t="s">
        <v>18</v>
      </c>
    </row>
    <row r="170" spans="1:13" x14ac:dyDescent="0.25">
      <c r="A170" s="118" t="s">
        <v>201</v>
      </c>
      <c r="B170" s="85" t="s">
        <v>23</v>
      </c>
      <c r="C170" s="114">
        <v>66772</v>
      </c>
      <c r="D170" s="86" t="s">
        <v>34</v>
      </c>
      <c r="E170" s="87" t="s">
        <v>35</v>
      </c>
      <c r="F170" s="114"/>
      <c r="G170" s="115" t="s">
        <v>77</v>
      </c>
      <c r="H170" s="114"/>
      <c r="I170" s="114"/>
      <c r="J170" s="114"/>
      <c r="K170" s="114">
        <v>5715</v>
      </c>
      <c r="L170" s="114">
        <f t="shared" ref="L170:L171" si="126">K170</f>
        <v>5715</v>
      </c>
      <c r="M170" s="111" t="s">
        <v>26</v>
      </c>
    </row>
    <row r="171" spans="1:13" x14ac:dyDescent="0.25">
      <c r="A171" s="118" t="s">
        <v>201</v>
      </c>
      <c r="B171" s="85" t="s">
        <v>23</v>
      </c>
      <c r="C171" s="114">
        <v>66772</v>
      </c>
      <c r="D171" s="86" t="s">
        <v>34</v>
      </c>
      <c r="E171" s="93" t="s">
        <v>39</v>
      </c>
      <c r="F171" s="114"/>
      <c r="G171" s="115" t="s">
        <v>36</v>
      </c>
      <c r="H171" s="114"/>
      <c r="I171" s="114"/>
      <c r="J171" s="114"/>
      <c r="K171" s="114">
        <v>5715</v>
      </c>
      <c r="L171" s="114">
        <f t="shared" si="126"/>
        <v>5715</v>
      </c>
      <c r="M171" s="111" t="s">
        <v>179</v>
      </c>
    </row>
    <row r="172" spans="1:13" x14ac:dyDescent="0.25">
      <c r="A172" s="118" t="s">
        <v>201</v>
      </c>
      <c r="B172" s="85" t="s">
        <v>23</v>
      </c>
      <c r="C172" s="114">
        <v>66772</v>
      </c>
      <c r="D172" s="86" t="s">
        <v>34</v>
      </c>
      <c r="E172" s="92" t="s">
        <v>30</v>
      </c>
      <c r="F172" s="114"/>
      <c r="G172" s="115" t="s">
        <v>78</v>
      </c>
      <c r="H172" s="114"/>
      <c r="I172" s="114"/>
      <c r="J172" s="114"/>
      <c r="K172" s="114">
        <v>6800</v>
      </c>
      <c r="L172" s="114">
        <f>K172</f>
        <v>6800</v>
      </c>
      <c r="M172" s="111" t="s">
        <v>180</v>
      </c>
    </row>
    <row r="173" spans="1:13" x14ac:dyDescent="0.25">
      <c r="A173" s="118" t="s">
        <v>201</v>
      </c>
      <c r="B173" s="86" t="s">
        <v>14</v>
      </c>
      <c r="C173" s="114" t="s">
        <v>51</v>
      </c>
      <c r="D173" s="86" t="s">
        <v>52</v>
      </c>
      <c r="E173" s="86" t="s">
        <v>17</v>
      </c>
      <c r="F173" s="114">
        <v>191</v>
      </c>
      <c r="G173" s="114">
        <v>0.20499999999999999</v>
      </c>
      <c r="H173" s="114">
        <f t="shared" ref="H173" si="127">F173*G173</f>
        <v>39.155000000000001</v>
      </c>
      <c r="I173" s="114">
        <v>26</v>
      </c>
      <c r="J173" s="114">
        <v>4</v>
      </c>
      <c r="K173" s="114">
        <f>F173*I173</f>
        <v>4966</v>
      </c>
      <c r="L173" s="114">
        <f t="shared" ref="L173" si="128">K173*J173</f>
        <v>19864</v>
      </c>
      <c r="M173" s="111" t="s">
        <v>18</v>
      </c>
    </row>
    <row r="174" spans="1:13" x14ac:dyDescent="0.25">
      <c r="A174" s="118" t="s">
        <v>201</v>
      </c>
      <c r="B174" s="101" t="s">
        <v>41</v>
      </c>
      <c r="C174" s="114" t="s">
        <v>42</v>
      </c>
      <c r="D174" s="86" t="s">
        <v>93</v>
      </c>
      <c r="E174" s="86" t="s">
        <v>21</v>
      </c>
      <c r="F174" s="114">
        <v>36</v>
      </c>
      <c r="G174" s="114">
        <v>0</v>
      </c>
      <c r="H174" s="114">
        <f>G174*F174</f>
        <v>0</v>
      </c>
      <c r="I174" s="114">
        <v>42</v>
      </c>
      <c r="J174" s="114">
        <v>4</v>
      </c>
      <c r="K174" s="114">
        <f>F174*I174</f>
        <v>1512</v>
      </c>
      <c r="L174" s="114">
        <f>K174*J174</f>
        <v>6048</v>
      </c>
      <c r="M174" s="111" t="s">
        <v>37</v>
      </c>
    </row>
    <row r="175" spans="1:13" x14ac:dyDescent="0.25">
      <c r="A175" s="118" t="s">
        <v>201</v>
      </c>
      <c r="B175" s="86" t="s">
        <v>14</v>
      </c>
      <c r="C175" s="114" t="s">
        <v>49</v>
      </c>
      <c r="D175" s="86" t="s">
        <v>50</v>
      </c>
      <c r="E175" s="86" t="s">
        <v>17</v>
      </c>
      <c r="F175" s="114">
        <v>40</v>
      </c>
      <c r="G175" s="114">
        <v>0.26</v>
      </c>
      <c r="H175" s="114">
        <f>F175*G175</f>
        <v>10.4</v>
      </c>
      <c r="I175" s="114">
        <v>28</v>
      </c>
      <c r="J175" s="114">
        <v>1</v>
      </c>
      <c r="K175" s="114">
        <f t="shared" ref="K175" si="129">F175*I175</f>
        <v>1120</v>
      </c>
      <c r="L175" s="114">
        <f t="shared" ref="L175" si="130">K175*J175</f>
        <v>1120</v>
      </c>
      <c r="M175" s="111" t="s">
        <v>22</v>
      </c>
    </row>
    <row r="176" spans="1:13" x14ac:dyDescent="0.25">
      <c r="A176" s="118" t="s">
        <v>201</v>
      </c>
      <c r="B176" s="86" t="s">
        <v>14</v>
      </c>
      <c r="C176" s="86" t="s">
        <v>49</v>
      </c>
      <c r="D176" s="86" t="s">
        <v>50</v>
      </c>
      <c r="E176" s="86" t="s">
        <v>25</v>
      </c>
      <c r="F176" s="86"/>
      <c r="G176" s="86"/>
      <c r="H176" s="86"/>
      <c r="I176" s="86"/>
      <c r="J176" s="86"/>
      <c r="K176" s="86">
        <v>3500</v>
      </c>
      <c r="L176" s="86">
        <f t="shared" ref="L176:L178" si="131">K176</f>
        <v>3500</v>
      </c>
      <c r="M176" s="89" t="s">
        <v>31</v>
      </c>
    </row>
    <row r="177" spans="1:13" x14ac:dyDescent="0.25">
      <c r="A177" s="118" t="s">
        <v>202</v>
      </c>
      <c r="B177" s="85" t="s">
        <v>23</v>
      </c>
      <c r="C177" s="114">
        <v>66772</v>
      </c>
      <c r="D177" s="86" t="s">
        <v>34</v>
      </c>
      <c r="E177" s="87" t="s">
        <v>35</v>
      </c>
      <c r="F177" s="114"/>
      <c r="G177" s="115" t="s">
        <v>77</v>
      </c>
      <c r="H177" s="114"/>
      <c r="I177" s="114"/>
      <c r="J177" s="114"/>
      <c r="K177" s="114">
        <v>2508</v>
      </c>
      <c r="L177" s="114">
        <f t="shared" si="131"/>
        <v>2508</v>
      </c>
      <c r="M177" s="111" t="s">
        <v>26</v>
      </c>
    </row>
    <row r="178" spans="1:13" x14ac:dyDescent="0.25">
      <c r="A178" s="118" t="s">
        <v>202</v>
      </c>
      <c r="B178" s="85" t="s">
        <v>23</v>
      </c>
      <c r="C178" s="114">
        <v>66772</v>
      </c>
      <c r="D178" s="86" t="s">
        <v>34</v>
      </c>
      <c r="E178" s="93" t="s">
        <v>39</v>
      </c>
      <c r="F178" s="114"/>
      <c r="G178" s="115" t="s">
        <v>36</v>
      </c>
      <c r="H178" s="114"/>
      <c r="I178" s="114"/>
      <c r="J178" s="114"/>
      <c r="K178" s="114">
        <v>2536</v>
      </c>
      <c r="L178" s="114">
        <f t="shared" si="131"/>
        <v>2536</v>
      </c>
      <c r="M178" s="111" t="s">
        <v>179</v>
      </c>
    </row>
    <row r="179" spans="1:13" x14ac:dyDescent="0.25">
      <c r="A179" s="118" t="s">
        <v>202</v>
      </c>
      <c r="B179" s="85" t="s">
        <v>23</v>
      </c>
      <c r="C179" s="114">
        <v>66772</v>
      </c>
      <c r="D179" s="86" t="s">
        <v>34</v>
      </c>
      <c r="E179" s="92" t="s">
        <v>30</v>
      </c>
      <c r="F179" s="114"/>
      <c r="G179" s="115" t="s">
        <v>78</v>
      </c>
      <c r="H179" s="114"/>
      <c r="I179" s="114"/>
      <c r="J179" s="114"/>
      <c r="K179" s="114">
        <v>2535</v>
      </c>
      <c r="L179" s="114">
        <f>K179</f>
        <v>2535</v>
      </c>
      <c r="M179" s="111" t="s">
        <v>180</v>
      </c>
    </row>
    <row r="180" spans="1:13" x14ac:dyDescent="0.25">
      <c r="A180" s="118" t="s">
        <v>202</v>
      </c>
      <c r="B180" s="86" t="s">
        <v>14</v>
      </c>
      <c r="C180" s="114" t="s">
        <v>56</v>
      </c>
      <c r="D180" s="86" t="s">
        <v>57</v>
      </c>
      <c r="E180" s="86" t="s">
        <v>21</v>
      </c>
      <c r="F180" s="114">
        <v>150</v>
      </c>
      <c r="G180" s="114">
        <v>0.105</v>
      </c>
      <c r="H180" s="114">
        <f>G180*F180</f>
        <v>15.75</v>
      </c>
      <c r="I180" s="114">
        <v>111</v>
      </c>
      <c r="J180" s="114">
        <v>1</v>
      </c>
      <c r="K180" s="114">
        <f t="shared" ref="K180" si="132">F180*I180</f>
        <v>16650</v>
      </c>
      <c r="L180" s="114">
        <f t="shared" ref="L180" si="133">K180*J180</f>
        <v>16650</v>
      </c>
      <c r="M180" s="111" t="s">
        <v>181</v>
      </c>
    </row>
    <row r="181" spans="1:13" x14ac:dyDescent="0.25">
      <c r="A181" s="118" t="s">
        <v>202</v>
      </c>
      <c r="B181" s="101" t="s">
        <v>41</v>
      </c>
      <c r="C181" s="114" t="s">
        <v>42</v>
      </c>
      <c r="D181" s="86" t="s">
        <v>93</v>
      </c>
      <c r="E181" s="86" t="s">
        <v>21</v>
      </c>
      <c r="F181" s="114">
        <v>51</v>
      </c>
      <c r="G181" s="114">
        <v>0</v>
      </c>
      <c r="H181" s="114">
        <f>G181*F181</f>
        <v>0</v>
      </c>
      <c r="I181" s="114">
        <v>42</v>
      </c>
      <c r="J181" s="114">
        <v>4</v>
      </c>
      <c r="K181" s="114">
        <f>F181*I181</f>
        <v>2142</v>
      </c>
      <c r="L181" s="114">
        <f>K181*J181</f>
        <v>8568</v>
      </c>
      <c r="M181" s="111" t="s">
        <v>37</v>
      </c>
    </row>
    <row r="182" spans="1:13" x14ac:dyDescent="0.25">
      <c r="A182" s="118" t="s">
        <v>202</v>
      </c>
      <c r="B182" s="86" t="s">
        <v>14</v>
      </c>
      <c r="C182" s="86" t="s">
        <v>49</v>
      </c>
      <c r="D182" s="86" t="s">
        <v>50</v>
      </c>
      <c r="E182" s="86" t="s">
        <v>25</v>
      </c>
      <c r="F182" s="86"/>
      <c r="G182" s="86"/>
      <c r="H182" s="86"/>
      <c r="I182" s="86"/>
      <c r="J182" s="86"/>
      <c r="K182" s="86">
        <v>4000</v>
      </c>
      <c r="L182" s="86">
        <f t="shared" ref="L182:L185" si="134">K182</f>
        <v>4000</v>
      </c>
      <c r="M182" s="89" t="s">
        <v>22</v>
      </c>
    </row>
    <row r="183" spans="1:13" x14ac:dyDescent="0.25">
      <c r="A183" s="118" t="s">
        <v>202</v>
      </c>
      <c r="B183" s="86" t="s">
        <v>14</v>
      </c>
      <c r="C183" s="86" t="s">
        <v>89</v>
      </c>
      <c r="D183" s="86" t="s">
        <v>90</v>
      </c>
      <c r="E183" s="86" t="s">
        <v>25</v>
      </c>
      <c r="F183" s="86"/>
      <c r="G183" s="86"/>
      <c r="H183" s="86"/>
      <c r="I183" s="86"/>
      <c r="J183" s="86"/>
      <c r="K183" s="86">
        <v>850</v>
      </c>
      <c r="L183" s="86">
        <f t="shared" si="134"/>
        <v>850</v>
      </c>
      <c r="M183" s="89" t="s">
        <v>37</v>
      </c>
    </row>
    <row r="184" spans="1:13" x14ac:dyDescent="0.25">
      <c r="A184" s="118" t="s">
        <v>202</v>
      </c>
      <c r="B184" s="85" t="s">
        <v>23</v>
      </c>
      <c r="C184" s="114">
        <v>66772</v>
      </c>
      <c r="D184" s="86" t="s">
        <v>34</v>
      </c>
      <c r="E184" s="87" t="s">
        <v>35</v>
      </c>
      <c r="F184" s="114"/>
      <c r="G184" s="115" t="s">
        <v>77</v>
      </c>
      <c r="H184" s="114"/>
      <c r="I184" s="114"/>
      <c r="J184" s="114"/>
      <c r="K184" s="114">
        <v>5150</v>
      </c>
      <c r="L184" s="114">
        <f t="shared" si="134"/>
        <v>5150</v>
      </c>
      <c r="M184" s="111" t="s">
        <v>26</v>
      </c>
    </row>
    <row r="185" spans="1:13" x14ac:dyDescent="0.25">
      <c r="A185" s="118" t="s">
        <v>202</v>
      </c>
      <c r="B185" s="85" t="s">
        <v>23</v>
      </c>
      <c r="C185" s="114">
        <v>66772</v>
      </c>
      <c r="D185" s="86" t="s">
        <v>34</v>
      </c>
      <c r="E185" s="93" t="s">
        <v>39</v>
      </c>
      <c r="F185" s="114"/>
      <c r="G185" s="115" t="s">
        <v>36</v>
      </c>
      <c r="H185" s="114"/>
      <c r="I185" s="114"/>
      <c r="J185" s="114"/>
      <c r="K185" s="114">
        <v>1500</v>
      </c>
      <c r="L185" s="114">
        <f t="shared" si="134"/>
        <v>1500</v>
      </c>
      <c r="M185" s="111" t="s">
        <v>179</v>
      </c>
    </row>
    <row r="186" spans="1:13" x14ac:dyDescent="0.25">
      <c r="A186" s="118" t="s">
        <v>202</v>
      </c>
      <c r="B186" s="85" t="s">
        <v>23</v>
      </c>
      <c r="C186" s="114">
        <v>66772</v>
      </c>
      <c r="D186" s="86" t="s">
        <v>34</v>
      </c>
      <c r="E186" s="92" t="s">
        <v>30</v>
      </c>
      <c r="F186" s="114"/>
      <c r="G186" s="115" t="s">
        <v>78</v>
      </c>
      <c r="H186" s="114"/>
      <c r="I186" s="114"/>
      <c r="J186" s="114"/>
      <c r="K186" s="101">
        <v>1050</v>
      </c>
      <c r="L186" s="114">
        <f>K186</f>
        <v>1050</v>
      </c>
      <c r="M186" s="111" t="s">
        <v>180</v>
      </c>
    </row>
    <row r="187" spans="1:13" x14ac:dyDescent="0.25">
      <c r="A187" s="118" t="s">
        <v>202</v>
      </c>
      <c r="B187" s="95" t="s">
        <v>44</v>
      </c>
      <c r="C187" s="114" t="s">
        <v>45</v>
      </c>
      <c r="D187" s="86" t="s">
        <v>46</v>
      </c>
      <c r="E187" s="86" t="s">
        <v>47</v>
      </c>
      <c r="F187" s="114"/>
      <c r="G187" s="114"/>
      <c r="H187" s="114"/>
      <c r="I187" s="114"/>
      <c r="J187" s="114"/>
      <c r="K187" s="114">
        <v>2000</v>
      </c>
      <c r="L187" s="114">
        <f t="shared" ref="L187" si="135">K187</f>
        <v>2000</v>
      </c>
      <c r="M187" s="111" t="s">
        <v>48</v>
      </c>
    </row>
    <row r="188" spans="1:13" x14ac:dyDescent="0.25">
      <c r="A188" s="118" t="s">
        <v>202</v>
      </c>
      <c r="B188" s="86" t="s">
        <v>14</v>
      </c>
      <c r="C188" s="114">
        <v>5036</v>
      </c>
      <c r="D188" s="86" t="s">
        <v>16</v>
      </c>
      <c r="E188" s="86" t="s">
        <v>17</v>
      </c>
      <c r="F188" s="114">
        <v>31</v>
      </c>
      <c r="G188" s="114">
        <v>0.32500000000000001</v>
      </c>
      <c r="H188" s="114">
        <f t="shared" ref="H188" si="136">F188*G188</f>
        <v>10.075000000000001</v>
      </c>
      <c r="I188" s="114">
        <v>62</v>
      </c>
      <c r="J188" s="114">
        <v>4</v>
      </c>
      <c r="K188" s="114">
        <f t="shared" ref="K188" si="137">F188*I188</f>
        <v>1922</v>
      </c>
      <c r="L188" s="114">
        <f>K188*J188</f>
        <v>7688</v>
      </c>
      <c r="M188" s="111" t="s">
        <v>18</v>
      </c>
    </row>
    <row r="189" spans="1:13" x14ac:dyDescent="0.25">
      <c r="A189" s="118" t="s">
        <v>203</v>
      </c>
      <c r="B189" s="85" t="s">
        <v>23</v>
      </c>
      <c r="C189" s="114">
        <v>66772</v>
      </c>
      <c r="D189" s="86" t="s">
        <v>34</v>
      </c>
      <c r="E189" s="87" t="s">
        <v>35</v>
      </c>
      <c r="F189" s="114"/>
      <c r="G189" s="115" t="s">
        <v>77</v>
      </c>
      <c r="H189" s="114"/>
      <c r="I189" s="114"/>
      <c r="J189" s="114"/>
      <c r="K189" s="114">
        <v>7000</v>
      </c>
      <c r="L189" s="114">
        <f t="shared" ref="L189:L190" si="138">K189</f>
        <v>7000</v>
      </c>
      <c r="M189" s="111" t="s">
        <v>26</v>
      </c>
    </row>
    <row r="190" spans="1:13" x14ac:dyDescent="0.25">
      <c r="A190" s="118" t="s">
        <v>203</v>
      </c>
      <c r="B190" s="85" t="s">
        <v>23</v>
      </c>
      <c r="C190" s="114">
        <v>66772</v>
      </c>
      <c r="D190" s="86" t="s">
        <v>34</v>
      </c>
      <c r="E190" s="93" t="s">
        <v>39</v>
      </c>
      <c r="F190" s="114"/>
      <c r="G190" s="115" t="s">
        <v>36</v>
      </c>
      <c r="H190" s="114"/>
      <c r="I190" s="114"/>
      <c r="J190" s="114"/>
      <c r="K190" s="114">
        <v>9000</v>
      </c>
      <c r="L190" s="114">
        <f t="shared" si="138"/>
        <v>9000</v>
      </c>
      <c r="M190" s="111" t="s">
        <v>179</v>
      </c>
    </row>
    <row r="191" spans="1:13" x14ac:dyDescent="0.25">
      <c r="A191" s="118" t="s">
        <v>203</v>
      </c>
      <c r="B191" s="85" t="s">
        <v>23</v>
      </c>
      <c r="C191" s="114">
        <v>66772</v>
      </c>
      <c r="D191" s="86" t="s">
        <v>34</v>
      </c>
      <c r="E191" s="92" t="s">
        <v>30</v>
      </c>
      <c r="F191" s="114"/>
      <c r="G191" s="115" t="s">
        <v>78</v>
      </c>
      <c r="H191" s="114"/>
      <c r="I191" s="114"/>
      <c r="J191" s="114"/>
      <c r="K191" s="101">
        <v>8350</v>
      </c>
      <c r="L191" s="114">
        <f>K191</f>
        <v>8350</v>
      </c>
      <c r="M191" s="111" t="s">
        <v>180</v>
      </c>
    </row>
    <row r="192" spans="1:13" x14ac:dyDescent="0.25">
      <c r="A192" s="118" t="s">
        <v>203</v>
      </c>
      <c r="B192" s="86" t="s">
        <v>14</v>
      </c>
      <c r="C192" s="114">
        <v>5036</v>
      </c>
      <c r="D192" s="86" t="s">
        <v>16</v>
      </c>
      <c r="E192" s="86" t="s">
        <v>17</v>
      </c>
      <c r="F192" s="114">
        <v>83</v>
      </c>
      <c r="G192" s="114">
        <v>0.32500000000000001</v>
      </c>
      <c r="H192" s="114">
        <f t="shared" ref="H192" si="139">F192*G192</f>
        <v>26.975000000000001</v>
      </c>
      <c r="I192" s="114">
        <v>62</v>
      </c>
      <c r="J192" s="114">
        <v>4</v>
      </c>
      <c r="K192" s="114">
        <f t="shared" ref="K192:K193" si="140">F192*I192</f>
        <v>5146</v>
      </c>
      <c r="L192" s="114">
        <f>K192*J192</f>
        <v>20584</v>
      </c>
      <c r="M192" s="111" t="s">
        <v>18</v>
      </c>
    </row>
    <row r="193" spans="1:13" x14ac:dyDescent="0.25">
      <c r="A193" s="118" t="s">
        <v>203</v>
      </c>
      <c r="B193" s="86" t="s">
        <v>14</v>
      </c>
      <c r="C193" s="114">
        <v>2576</v>
      </c>
      <c r="D193" s="86" t="s">
        <v>84</v>
      </c>
      <c r="E193" s="86" t="s">
        <v>17</v>
      </c>
      <c r="F193" s="114">
        <v>62</v>
      </c>
      <c r="G193" s="114">
        <v>0.1</v>
      </c>
      <c r="H193" s="114">
        <f>F193*G193</f>
        <v>6.2</v>
      </c>
      <c r="I193" s="114">
        <v>17</v>
      </c>
      <c r="J193" s="114">
        <v>1</v>
      </c>
      <c r="K193" s="114">
        <f t="shared" si="140"/>
        <v>1054</v>
      </c>
      <c r="L193" s="114">
        <f t="shared" ref="L193" si="141">K193*J193</f>
        <v>1054</v>
      </c>
      <c r="M193" s="111" t="s">
        <v>22</v>
      </c>
    </row>
    <row r="194" spans="1:13" x14ac:dyDescent="0.25">
      <c r="A194" s="118" t="s">
        <v>203</v>
      </c>
      <c r="B194" s="86" t="s">
        <v>14</v>
      </c>
      <c r="C194" s="114" t="s">
        <v>56</v>
      </c>
      <c r="D194" s="86" t="s">
        <v>57</v>
      </c>
      <c r="E194" s="94" t="s">
        <v>35</v>
      </c>
      <c r="F194" s="114"/>
      <c r="G194" s="114" t="s">
        <v>77</v>
      </c>
      <c r="H194" s="114"/>
      <c r="I194" s="114"/>
      <c r="J194" s="114">
        <v>1</v>
      </c>
      <c r="K194" s="114">
        <v>5000</v>
      </c>
      <c r="L194" s="114">
        <f t="shared" ref="L194" si="142">K194</f>
        <v>5000</v>
      </c>
      <c r="M194" s="111" t="s">
        <v>91</v>
      </c>
    </row>
    <row r="195" spans="1:13" x14ac:dyDescent="0.25">
      <c r="A195" s="118" t="s">
        <v>203</v>
      </c>
      <c r="B195" s="86" t="s">
        <v>14</v>
      </c>
      <c r="C195" s="114" t="s">
        <v>56</v>
      </c>
      <c r="D195" s="86" t="s">
        <v>57</v>
      </c>
      <c r="E195" s="86" t="s">
        <v>39</v>
      </c>
      <c r="F195" s="114"/>
      <c r="G195" s="114" t="s">
        <v>36</v>
      </c>
      <c r="H195" s="114"/>
      <c r="I195" s="114"/>
      <c r="J195" s="114">
        <v>2</v>
      </c>
      <c r="K195" s="114">
        <v>700</v>
      </c>
      <c r="L195" s="114">
        <f>K195*2</f>
        <v>1400</v>
      </c>
      <c r="M195" s="111" t="s">
        <v>181</v>
      </c>
    </row>
    <row r="196" spans="1:13" x14ac:dyDescent="0.25">
      <c r="A196" s="118" t="s">
        <v>203</v>
      </c>
      <c r="B196" s="86" t="s">
        <v>14</v>
      </c>
      <c r="C196" s="114" t="s">
        <v>56</v>
      </c>
      <c r="D196" s="86" t="s">
        <v>57</v>
      </c>
      <c r="E196" s="86" t="s">
        <v>39</v>
      </c>
      <c r="F196" s="114"/>
      <c r="G196" s="114" t="s">
        <v>36</v>
      </c>
      <c r="H196" s="114"/>
      <c r="I196" s="114"/>
      <c r="J196" s="114">
        <v>2</v>
      </c>
      <c r="K196" s="114">
        <v>2400</v>
      </c>
      <c r="L196" s="114">
        <f>K196*1</f>
        <v>2400</v>
      </c>
      <c r="M196" s="111" t="s">
        <v>181</v>
      </c>
    </row>
    <row r="197" spans="1:13" x14ac:dyDescent="0.25">
      <c r="A197" s="118" t="s">
        <v>204</v>
      </c>
      <c r="B197" s="85" t="s">
        <v>23</v>
      </c>
      <c r="C197" s="114">
        <v>66772</v>
      </c>
      <c r="D197" s="86" t="s">
        <v>34</v>
      </c>
      <c r="E197" s="87" t="s">
        <v>35</v>
      </c>
      <c r="F197" s="114"/>
      <c r="G197" s="115" t="s">
        <v>77</v>
      </c>
      <c r="H197" s="114"/>
      <c r="I197" s="114"/>
      <c r="J197" s="114"/>
      <c r="K197" s="114">
        <v>7500</v>
      </c>
      <c r="L197" s="114">
        <f t="shared" ref="L197:L198" si="143">K197</f>
        <v>7500</v>
      </c>
      <c r="M197" s="111" t="s">
        <v>26</v>
      </c>
    </row>
    <row r="198" spans="1:13" x14ac:dyDescent="0.25">
      <c r="A198" s="118" t="s">
        <v>204</v>
      </c>
      <c r="B198" s="85" t="s">
        <v>23</v>
      </c>
      <c r="C198" s="114">
        <v>66772</v>
      </c>
      <c r="D198" s="86" t="s">
        <v>34</v>
      </c>
      <c r="E198" s="93" t="s">
        <v>39</v>
      </c>
      <c r="F198" s="114"/>
      <c r="G198" s="115" t="s">
        <v>36</v>
      </c>
      <c r="H198" s="114"/>
      <c r="I198" s="114"/>
      <c r="J198" s="114"/>
      <c r="K198" s="114">
        <v>8500</v>
      </c>
      <c r="L198" s="114">
        <f t="shared" si="143"/>
        <v>8500</v>
      </c>
      <c r="M198" s="111" t="s">
        <v>179</v>
      </c>
    </row>
    <row r="199" spans="1:13" x14ac:dyDescent="0.25">
      <c r="A199" s="118" t="s">
        <v>204</v>
      </c>
      <c r="B199" s="85" t="s">
        <v>23</v>
      </c>
      <c r="C199" s="114">
        <v>66772</v>
      </c>
      <c r="D199" s="86" t="s">
        <v>34</v>
      </c>
      <c r="E199" s="92" t="s">
        <v>30</v>
      </c>
      <c r="F199" s="114"/>
      <c r="G199" s="115" t="s">
        <v>78</v>
      </c>
      <c r="H199" s="114"/>
      <c r="I199" s="114"/>
      <c r="J199" s="114"/>
      <c r="K199" s="101">
        <v>8160</v>
      </c>
      <c r="L199" s="114">
        <f>K199</f>
        <v>8160</v>
      </c>
      <c r="M199" s="111" t="s">
        <v>180</v>
      </c>
    </row>
    <row r="200" spans="1:13" x14ac:dyDescent="0.25">
      <c r="A200" s="118" t="s">
        <v>204</v>
      </c>
      <c r="B200" s="86" t="s">
        <v>14</v>
      </c>
      <c r="C200" s="114">
        <v>5036</v>
      </c>
      <c r="D200" s="86" t="s">
        <v>16</v>
      </c>
      <c r="E200" s="86" t="s">
        <v>17</v>
      </c>
      <c r="F200" s="114">
        <v>38</v>
      </c>
      <c r="G200" s="114">
        <v>0.32500000000000001</v>
      </c>
      <c r="H200" s="114">
        <f t="shared" ref="H200" si="144">F200*G200</f>
        <v>12.35</v>
      </c>
      <c r="I200" s="114">
        <v>62</v>
      </c>
      <c r="J200" s="114">
        <v>4</v>
      </c>
      <c r="K200" s="114">
        <f t="shared" ref="K200:K201" si="145">F200*I200</f>
        <v>2356</v>
      </c>
      <c r="L200" s="114">
        <f>K200*J200</f>
        <v>9424</v>
      </c>
      <c r="M200" s="111" t="s">
        <v>18</v>
      </c>
    </row>
    <row r="201" spans="1:13" x14ac:dyDescent="0.25">
      <c r="A201" s="118" t="s">
        <v>204</v>
      </c>
      <c r="B201" s="86" t="s">
        <v>14</v>
      </c>
      <c r="C201" s="114">
        <v>2576</v>
      </c>
      <c r="D201" s="86" t="s">
        <v>84</v>
      </c>
      <c r="E201" s="86" t="s">
        <v>17</v>
      </c>
      <c r="F201" s="114">
        <v>127</v>
      </c>
      <c r="G201" s="114">
        <v>0.1</v>
      </c>
      <c r="H201" s="114">
        <f>F201*G201</f>
        <v>12.700000000000001</v>
      </c>
      <c r="I201" s="114">
        <v>17</v>
      </c>
      <c r="J201" s="114">
        <v>1</v>
      </c>
      <c r="K201" s="114">
        <f t="shared" si="145"/>
        <v>2159</v>
      </c>
      <c r="L201" s="114">
        <f t="shared" ref="L201" si="146">K201*J201</f>
        <v>2159</v>
      </c>
      <c r="M201" s="111" t="s">
        <v>22</v>
      </c>
    </row>
    <row r="202" spans="1:13" x14ac:dyDescent="0.25">
      <c r="A202" s="118" t="s">
        <v>204</v>
      </c>
      <c r="B202" s="86" t="s">
        <v>14</v>
      </c>
      <c r="C202" s="114" t="s">
        <v>56</v>
      </c>
      <c r="D202" s="86" t="s">
        <v>57</v>
      </c>
      <c r="E202" s="94" t="s">
        <v>35</v>
      </c>
      <c r="F202" s="114"/>
      <c r="G202" s="114" t="s">
        <v>77</v>
      </c>
      <c r="H202" s="114"/>
      <c r="I202" s="114"/>
      <c r="J202" s="114">
        <v>1</v>
      </c>
      <c r="K202" s="114">
        <v>5000</v>
      </c>
      <c r="L202" s="114">
        <f t="shared" ref="L202" si="147">K202</f>
        <v>5000</v>
      </c>
      <c r="M202" s="111" t="s">
        <v>91</v>
      </c>
    </row>
    <row r="203" spans="1:13" x14ac:dyDescent="0.25">
      <c r="A203" s="118" t="s">
        <v>204</v>
      </c>
      <c r="B203" s="86" t="s">
        <v>14</v>
      </c>
      <c r="C203" s="114">
        <v>6078</v>
      </c>
      <c r="D203" s="86" t="s">
        <v>16</v>
      </c>
      <c r="E203" s="86" t="s">
        <v>17</v>
      </c>
      <c r="F203" s="114">
        <v>71</v>
      </c>
      <c r="G203" s="114">
        <v>0.32500000000000001</v>
      </c>
      <c r="H203" s="114">
        <f t="shared" ref="H203" si="148">F203*G203</f>
        <v>23.074999999999999</v>
      </c>
      <c r="I203" s="114">
        <v>62</v>
      </c>
      <c r="J203" s="114">
        <v>4</v>
      </c>
      <c r="K203" s="114">
        <f t="shared" ref="K203" si="149">F203*I203</f>
        <v>4402</v>
      </c>
      <c r="L203" s="114">
        <f>K203*J203</f>
        <v>17608</v>
      </c>
      <c r="M203" s="111" t="s">
        <v>18</v>
      </c>
    </row>
    <row r="204" spans="1:13" x14ac:dyDescent="0.25">
      <c r="A204" s="118" t="s">
        <v>204</v>
      </c>
      <c r="B204" s="86" t="s">
        <v>14</v>
      </c>
      <c r="C204" s="114" t="s">
        <v>86</v>
      </c>
      <c r="D204" s="86" t="s">
        <v>84</v>
      </c>
      <c r="E204" s="86" t="s">
        <v>17</v>
      </c>
      <c r="F204" s="114">
        <v>35</v>
      </c>
      <c r="G204" s="114">
        <v>0.46</v>
      </c>
      <c r="H204" s="114">
        <v>36.340000000000003</v>
      </c>
      <c r="I204" s="114">
        <v>38</v>
      </c>
      <c r="J204" s="114">
        <v>1</v>
      </c>
      <c r="K204" s="114">
        <f t="shared" ref="K204" si="150">F204*I204</f>
        <v>1330</v>
      </c>
      <c r="L204" s="114">
        <f>K204*J204</f>
        <v>1330</v>
      </c>
      <c r="M204" s="111" t="s">
        <v>22</v>
      </c>
    </row>
    <row r="205" spans="1:13" x14ac:dyDescent="0.25">
      <c r="A205" s="118" t="s">
        <v>204</v>
      </c>
      <c r="B205" s="86" t="s">
        <v>14</v>
      </c>
      <c r="C205" s="114" t="s">
        <v>86</v>
      </c>
      <c r="D205" s="86" t="s">
        <v>84</v>
      </c>
      <c r="E205" s="86" t="s">
        <v>25</v>
      </c>
      <c r="F205" s="114"/>
      <c r="G205" s="114"/>
      <c r="H205" s="114"/>
      <c r="I205" s="114"/>
      <c r="J205" s="114"/>
      <c r="K205" s="114">
        <v>1255</v>
      </c>
      <c r="L205" s="114">
        <f t="shared" ref="L205:L207" si="151">K205</f>
        <v>1255</v>
      </c>
      <c r="M205" s="111" t="s">
        <v>37</v>
      </c>
    </row>
    <row r="206" spans="1:13" x14ac:dyDescent="0.25">
      <c r="A206" s="118" t="s">
        <v>205</v>
      </c>
      <c r="B206" s="85" t="s">
        <v>23</v>
      </c>
      <c r="C206" s="114">
        <v>66772</v>
      </c>
      <c r="D206" s="86" t="s">
        <v>34</v>
      </c>
      <c r="E206" s="87" t="s">
        <v>35</v>
      </c>
      <c r="F206" s="114"/>
      <c r="G206" s="115" t="s">
        <v>77</v>
      </c>
      <c r="H206" s="114"/>
      <c r="I206" s="114"/>
      <c r="J206" s="114"/>
      <c r="K206" s="114">
        <v>1285</v>
      </c>
      <c r="L206" s="114">
        <f t="shared" si="151"/>
        <v>1285</v>
      </c>
      <c r="M206" s="111" t="s">
        <v>26</v>
      </c>
    </row>
    <row r="207" spans="1:13" x14ac:dyDescent="0.25">
      <c r="A207" s="118" t="s">
        <v>205</v>
      </c>
      <c r="B207" s="85" t="s">
        <v>23</v>
      </c>
      <c r="C207" s="114">
        <v>66772</v>
      </c>
      <c r="D207" s="86" t="s">
        <v>34</v>
      </c>
      <c r="E207" s="93" t="s">
        <v>39</v>
      </c>
      <c r="F207" s="114"/>
      <c r="G207" s="115" t="s">
        <v>36</v>
      </c>
      <c r="H207" s="114"/>
      <c r="I207" s="114"/>
      <c r="J207" s="114"/>
      <c r="K207" s="114">
        <v>1905</v>
      </c>
      <c r="L207" s="114">
        <f t="shared" si="151"/>
        <v>1905</v>
      </c>
      <c r="M207" s="111" t="s">
        <v>179</v>
      </c>
    </row>
    <row r="208" spans="1:13" x14ac:dyDescent="0.25">
      <c r="A208" s="118" t="s">
        <v>205</v>
      </c>
      <c r="B208" s="85" t="s">
        <v>23</v>
      </c>
      <c r="C208" s="114">
        <v>66772</v>
      </c>
      <c r="D208" s="86" t="s">
        <v>34</v>
      </c>
      <c r="E208" s="92" t="s">
        <v>30</v>
      </c>
      <c r="F208" s="114"/>
      <c r="G208" s="115" t="s">
        <v>78</v>
      </c>
      <c r="H208" s="114"/>
      <c r="I208" s="114"/>
      <c r="J208" s="114"/>
      <c r="K208" s="101">
        <v>2840</v>
      </c>
      <c r="L208" s="114">
        <f>K208</f>
        <v>2840</v>
      </c>
      <c r="M208" s="111" t="s">
        <v>180</v>
      </c>
    </row>
    <row r="209" spans="1:13" x14ac:dyDescent="0.25">
      <c r="A209" s="118" t="s">
        <v>205</v>
      </c>
      <c r="B209" s="85" t="s">
        <v>23</v>
      </c>
      <c r="C209" s="114">
        <v>65548</v>
      </c>
      <c r="D209" s="91" t="s">
        <v>24</v>
      </c>
      <c r="E209" s="87" t="s">
        <v>25</v>
      </c>
      <c r="F209" s="114"/>
      <c r="G209" s="115"/>
      <c r="H209" s="114"/>
      <c r="I209" s="114"/>
      <c r="J209" s="114"/>
      <c r="K209" s="114">
        <v>3500</v>
      </c>
      <c r="L209" s="114">
        <f t="shared" ref="L209:L210" si="152">K209</f>
        <v>3500</v>
      </c>
      <c r="M209" s="111" t="s">
        <v>179</v>
      </c>
    </row>
    <row r="210" spans="1:13" x14ac:dyDescent="0.25">
      <c r="A210" s="118" t="s">
        <v>205</v>
      </c>
      <c r="B210" s="85" t="s">
        <v>23</v>
      </c>
      <c r="C210" s="114">
        <v>65548</v>
      </c>
      <c r="D210" s="91" t="s">
        <v>24</v>
      </c>
      <c r="E210" s="92" t="s">
        <v>30</v>
      </c>
      <c r="F210" s="114"/>
      <c r="G210" s="115" t="s">
        <v>36</v>
      </c>
      <c r="H210" s="114"/>
      <c r="I210" s="114"/>
      <c r="J210" s="114"/>
      <c r="K210" s="114">
        <v>2600</v>
      </c>
      <c r="L210" s="114">
        <f t="shared" si="152"/>
        <v>2600</v>
      </c>
      <c r="M210" s="111" t="s">
        <v>180</v>
      </c>
    </row>
    <row r="211" spans="1:13" x14ac:dyDescent="0.25">
      <c r="A211" s="118" t="s">
        <v>205</v>
      </c>
      <c r="B211" s="86" t="s">
        <v>14</v>
      </c>
      <c r="C211" s="114">
        <v>6078</v>
      </c>
      <c r="D211" s="86" t="s">
        <v>16</v>
      </c>
      <c r="E211" s="86" t="s">
        <v>17</v>
      </c>
      <c r="F211" s="114">
        <v>30</v>
      </c>
      <c r="G211" s="114">
        <v>0.32500000000000001</v>
      </c>
      <c r="H211" s="114">
        <f t="shared" ref="H211" si="153">F211*G211</f>
        <v>9.75</v>
      </c>
      <c r="I211" s="114">
        <v>62</v>
      </c>
      <c r="J211" s="114">
        <v>4</v>
      </c>
      <c r="K211" s="114">
        <f t="shared" ref="K211:K212" si="154">F211*I211</f>
        <v>1860</v>
      </c>
      <c r="L211" s="114">
        <f>K211*J211</f>
        <v>7440</v>
      </c>
      <c r="M211" s="111" t="s">
        <v>18</v>
      </c>
    </row>
    <row r="212" spans="1:13" x14ac:dyDescent="0.25">
      <c r="A212" s="118" t="s">
        <v>205</v>
      </c>
      <c r="B212" s="86" t="s">
        <v>14</v>
      </c>
      <c r="C212" s="86" t="s">
        <v>86</v>
      </c>
      <c r="D212" s="86" t="s">
        <v>84</v>
      </c>
      <c r="E212" s="86" t="s">
        <v>17</v>
      </c>
      <c r="F212" s="86">
        <v>105</v>
      </c>
      <c r="G212" s="86">
        <v>0.46</v>
      </c>
      <c r="H212" s="86">
        <v>36.340000000000003</v>
      </c>
      <c r="I212" s="86">
        <v>38</v>
      </c>
      <c r="J212" s="86">
        <v>1</v>
      </c>
      <c r="K212" s="86">
        <f t="shared" si="154"/>
        <v>3990</v>
      </c>
      <c r="L212" s="86">
        <f>K212*J212</f>
        <v>3990</v>
      </c>
      <c r="M212" s="89" t="s">
        <v>22</v>
      </c>
    </row>
    <row r="213" spans="1:13" x14ac:dyDescent="0.25">
      <c r="A213" s="118" t="s">
        <v>205</v>
      </c>
      <c r="B213" s="86" t="s">
        <v>14</v>
      </c>
      <c r="C213" s="86" t="s">
        <v>86</v>
      </c>
      <c r="D213" s="86" t="s">
        <v>84</v>
      </c>
      <c r="E213" s="86" t="s">
        <v>25</v>
      </c>
      <c r="F213" s="86"/>
      <c r="G213" s="86"/>
      <c r="H213" s="86"/>
      <c r="I213" s="86"/>
      <c r="J213" s="86"/>
      <c r="K213" s="86">
        <v>4900</v>
      </c>
      <c r="L213" s="86">
        <f t="shared" ref="L213" si="155">K213</f>
        <v>4900</v>
      </c>
      <c r="M213" s="89" t="s">
        <v>37</v>
      </c>
    </row>
    <row r="214" spans="1:13" x14ac:dyDescent="0.25">
      <c r="A214" s="118" t="s">
        <v>205</v>
      </c>
      <c r="B214" s="86" t="s">
        <v>14</v>
      </c>
      <c r="C214" s="86" t="s">
        <v>83</v>
      </c>
      <c r="D214" s="86" t="s">
        <v>84</v>
      </c>
      <c r="E214" s="86" t="s">
        <v>17</v>
      </c>
      <c r="F214" s="86">
        <v>8</v>
      </c>
      <c r="G214" s="86">
        <v>0.44</v>
      </c>
      <c r="H214" s="86">
        <v>22</v>
      </c>
      <c r="I214" s="86">
        <v>50</v>
      </c>
      <c r="J214" s="86">
        <v>1</v>
      </c>
      <c r="K214" s="86">
        <f t="shared" ref="K214" si="156">F214*I214</f>
        <v>400</v>
      </c>
      <c r="L214" s="86">
        <f>K214*J214</f>
        <v>400</v>
      </c>
      <c r="M214" s="89" t="s">
        <v>22</v>
      </c>
    </row>
    <row r="215" spans="1:13" x14ac:dyDescent="0.25">
      <c r="A215" s="118" t="s">
        <v>205</v>
      </c>
      <c r="B215" s="95" t="s">
        <v>44</v>
      </c>
      <c r="C215" s="86" t="s">
        <v>45</v>
      </c>
      <c r="D215" s="86" t="s">
        <v>46</v>
      </c>
      <c r="E215" s="86" t="s">
        <v>21</v>
      </c>
      <c r="F215" s="86">
        <v>15</v>
      </c>
      <c r="G215" s="86">
        <v>0.46</v>
      </c>
      <c r="H215" s="86">
        <f t="shared" ref="H215" si="157">F215*G215</f>
        <v>6.9</v>
      </c>
      <c r="I215" s="86">
        <v>22</v>
      </c>
      <c r="J215" s="86">
        <v>2</v>
      </c>
      <c r="K215" s="86">
        <f t="shared" ref="K215" si="158">F215*I215</f>
        <v>330</v>
      </c>
      <c r="L215" s="86">
        <f t="shared" ref="L215" si="159">K215*J215</f>
        <v>660</v>
      </c>
      <c r="M215" s="89" t="s">
        <v>22</v>
      </c>
    </row>
    <row r="216" spans="1:13" x14ac:dyDescent="0.25">
      <c r="A216" s="118" t="s">
        <v>205</v>
      </c>
      <c r="B216" s="86" t="s">
        <v>14</v>
      </c>
      <c r="C216" s="114" t="s">
        <v>56</v>
      </c>
      <c r="D216" s="86" t="s">
        <v>57</v>
      </c>
      <c r="E216" s="94" t="s">
        <v>35</v>
      </c>
      <c r="F216" s="114"/>
      <c r="G216" s="114" t="s">
        <v>77</v>
      </c>
      <c r="H216" s="114"/>
      <c r="I216" s="114"/>
      <c r="J216" s="114">
        <v>1</v>
      </c>
      <c r="K216" s="114">
        <v>2500</v>
      </c>
      <c r="L216" s="114">
        <f t="shared" ref="L216" si="160">K216</f>
        <v>2500</v>
      </c>
      <c r="M216" s="111" t="s">
        <v>91</v>
      </c>
    </row>
    <row r="217" spans="1:13" x14ac:dyDescent="0.25">
      <c r="A217" s="118" t="s">
        <v>205</v>
      </c>
      <c r="B217" s="86" t="s">
        <v>14</v>
      </c>
      <c r="C217" s="114" t="s">
        <v>56</v>
      </c>
      <c r="D217" s="86" t="s">
        <v>57</v>
      </c>
      <c r="E217" s="86" t="s">
        <v>39</v>
      </c>
      <c r="F217" s="114"/>
      <c r="G217" s="114" t="s">
        <v>36</v>
      </c>
      <c r="H217" s="114"/>
      <c r="I217" s="114"/>
      <c r="J217" s="114">
        <v>2</v>
      </c>
      <c r="K217" s="114">
        <v>2000</v>
      </c>
      <c r="L217" s="114">
        <f>K217*2</f>
        <v>4000</v>
      </c>
      <c r="M217" s="111" t="s">
        <v>181</v>
      </c>
    </row>
    <row r="218" spans="1:13" x14ac:dyDescent="0.25">
      <c r="A218" s="118" t="s">
        <v>206</v>
      </c>
      <c r="B218" s="85" t="s">
        <v>23</v>
      </c>
      <c r="C218" s="114">
        <v>65548</v>
      </c>
      <c r="D218" s="91" t="s">
        <v>24</v>
      </c>
      <c r="E218" s="87" t="s">
        <v>25</v>
      </c>
      <c r="F218" s="114"/>
      <c r="G218" s="115"/>
      <c r="H218" s="114"/>
      <c r="I218" s="114"/>
      <c r="J218" s="114"/>
      <c r="K218" s="114">
        <v>8000</v>
      </c>
      <c r="L218" s="114">
        <f t="shared" ref="L218:L219" si="161">K218</f>
        <v>8000</v>
      </c>
      <c r="M218" s="111" t="s">
        <v>179</v>
      </c>
    </row>
    <row r="219" spans="1:13" x14ac:dyDescent="0.25">
      <c r="A219" s="118" t="s">
        <v>206</v>
      </c>
      <c r="B219" s="85" t="s">
        <v>23</v>
      </c>
      <c r="C219" s="114">
        <v>65548</v>
      </c>
      <c r="D219" s="91" t="s">
        <v>24</v>
      </c>
      <c r="E219" s="92" t="s">
        <v>30</v>
      </c>
      <c r="F219" s="114"/>
      <c r="G219" s="115" t="s">
        <v>36</v>
      </c>
      <c r="H219" s="114"/>
      <c r="I219" s="114"/>
      <c r="J219" s="114"/>
      <c r="K219" s="114">
        <v>6800</v>
      </c>
      <c r="L219" s="114">
        <f t="shared" si="161"/>
        <v>6800</v>
      </c>
      <c r="M219" s="111" t="s">
        <v>180</v>
      </c>
    </row>
    <row r="220" spans="1:13" x14ac:dyDescent="0.25">
      <c r="A220" s="118" t="s">
        <v>206</v>
      </c>
      <c r="B220" s="85" t="s">
        <v>23</v>
      </c>
      <c r="C220" s="114">
        <v>66772</v>
      </c>
      <c r="D220" s="86" t="s">
        <v>34</v>
      </c>
      <c r="E220" s="87" t="s">
        <v>35</v>
      </c>
      <c r="F220" s="114"/>
      <c r="G220" s="115" t="s">
        <v>77</v>
      </c>
      <c r="H220" s="114"/>
      <c r="I220" s="114"/>
      <c r="J220" s="114"/>
      <c r="K220" s="114">
        <v>5120</v>
      </c>
      <c r="L220" s="114">
        <f t="shared" ref="L220" si="162">K220</f>
        <v>5120</v>
      </c>
      <c r="M220" s="111" t="s">
        <v>26</v>
      </c>
    </row>
    <row r="221" spans="1:13" x14ac:dyDescent="0.25">
      <c r="A221" s="118" t="s">
        <v>206</v>
      </c>
      <c r="B221" s="95" t="s">
        <v>44</v>
      </c>
      <c r="C221" s="86" t="s">
        <v>45</v>
      </c>
      <c r="D221" s="86" t="s">
        <v>46</v>
      </c>
      <c r="E221" s="86" t="s">
        <v>21</v>
      </c>
      <c r="F221" s="86">
        <v>121</v>
      </c>
      <c r="G221" s="86">
        <v>0.46</v>
      </c>
      <c r="H221" s="86">
        <f t="shared" ref="H221" si="163">F221*G221</f>
        <v>55.660000000000004</v>
      </c>
      <c r="I221" s="86">
        <v>22</v>
      </c>
      <c r="J221" s="86">
        <v>2</v>
      </c>
      <c r="K221" s="86">
        <f t="shared" ref="K221:K222" si="164">F221*I221</f>
        <v>2662</v>
      </c>
      <c r="L221" s="86">
        <f t="shared" ref="L221" si="165">K221*J221</f>
        <v>5324</v>
      </c>
      <c r="M221" s="89" t="s">
        <v>22</v>
      </c>
    </row>
    <row r="222" spans="1:13" x14ac:dyDescent="0.25">
      <c r="A222" s="118" t="s">
        <v>206</v>
      </c>
      <c r="B222" s="86" t="s">
        <v>14</v>
      </c>
      <c r="C222" s="86" t="s">
        <v>83</v>
      </c>
      <c r="D222" s="86" t="s">
        <v>84</v>
      </c>
      <c r="E222" s="86" t="s">
        <v>17</v>
      </c>
      <c r="F222" s="86">
        <v>52</v>
      </c>
      <c r="G222" s="86">
        <v>0.44</v>
      </c>
      <c r="H222" s="86">
        <v>22</v>
      </c>
      <c r="I222" s="86">
        <v>50</v>
      </c>
      <c r="J222" s="86">
        <v>1</v>
      </c>
      <c r="K222" s="86">
        <f t="shared" si="164"/>
        <v>2600</v>
      </c>
      <c r="L222" s="86">
        <f>K222*J222</f>
        <v>2600</v>
      </c>
      <c r="M222" s="89" t="s">
        <v>22</v>
      </c>
    </row>
    <row r="223" spans="1:13" x14ac:dyDescent="0.25">
      <c r="A223" s="118" t="s">
        <v>206</v>
      </c>
      <c r="B223" s="86" t="s">
        <v>14</v>
      </c>
      <c r="C223" s="86" t="s">
        <v>83</v>
      </c>
      <c r="D223" s="86" t="s">
        <v>84</v>
      </c>
      <c r="E223" s="86" t="s">
        <v>25</v>
      </c>
      <c r="F223" s="86"/>
      <c r="G223" s="86"/>
      <c r="H223" s="86"/>
      <c r="I223" s="86"/>
      <c r="J223" s="86"/>
      <c r="K223" s="86">
        <v>4425</v>
      </c>
      <c r="L223" s="114">
        <f t="shared" ref="L223:L225" si="166">K223</f>
        <v>4425</v>
      </c>
      <c r="M223" s="89" t="s">
        <v>22</v>
      </c>
    </row>
    <row r="224" spans="1:13" x14ac:dyDescent="0.25">
      <c r="A224" s="118" t="s">
        <v>206</v>
      </c>
      <c r="B224" s="86" t="s">
        <v>14</v>
      </c>
      <c r="C224" s="86" t="s">
        <v>86</v>
      </c>
      <c r="D224" s="86" t="s">
        <v>84</v>
      </c>
      <c r="E224" s="86" t="s">
        <v>25</v>
      </c>
      <c r="F224" s="86"/>
      <c r="G224" s="86"/>
      <c r="H224" s="86"/>
      <c r="I224" s="86"/>
      <c r="J224" s="86"/>
      <c r="K224" s="86">
        <v>427</v>
      </c>
      <c r="L224" s="86">
        <f t="shared" si="166"/>
        <v>427</v>
      </c>
      <c r="M224" s="89" t="s">
        <v>37</v>
      </c>
    </row>
    <row r="225" spans="1:13" x14ac:dyDescent="0.25">
      <c r="A225" s="118" t="s">
        <v>206</v>
      </c>
      <c r="B225" s="86" t="s">
        <v>14</v>
      </c>
      <c r="C225" s="114" t="s">
        <v>56</v>
      </c>
      <c r="D225" s="86" t="s">
        <v>57</v>
      </c>
      <c r="E225" s="94" t="s">
        <v>35</v>
      </c>
      <c r="F225" s="114"/>
      <c r="G225" s="114" t="s">
        <v>77</v>
      </c>
      <c r="H225" s="114"/>
      <c r="I225" s="114"/>
      <c r="J225" s="114">
        <v>1</v>
      </c>
      <c r="K225" s="114">
        <v>6500</v>
      </c>
      <c r="L225" s="114">
        <f t="shared" si="166"/>
        <v>6500</v>
      </c>
      <c r="M225" s="111" t="s">
        <v>91</v>
      </c>
    </row>
    <row r="226" spans="1:13" x14ac:dyDescent="0.25">
      <c r="A226" s="118" t="s">
        <v>206</v>
      </c>
      <c r="B226" s="86" t="s">
        <v>14</v>
      </c>
      <c r="C226" s="114" t="s">
        <v>56</v>
      </c>
      <c r="D226" s="86" t="s">
        <v>57</v>
      </c>
      <c r="E226" s="86" t="s">
        <v>39</v>
      </c>
      <c r="F226" s="114"/>
      <c r="G226" s="114" t="s">
        <v>36</v>
      </c>
      <c r="H226" s="114"/>
      <c r="I226" s="114"/>
      <c r="J226" s="114">
        <v>2</v>
      </c>
      <c r="K226" s="114">
        <v>6500</v>
      </c>
      <c r="L226" s="114">
        <f>K226*2</f>
        <v>13000</v>
      </c>
      <c r="M226" s="111" t="s">
        <v>181</v>
      </c>
    </row>
    <row r="227" spans="1:13" x14ac:dyDescent="0.25">
      <c r="A227" s="118" t="s">
        <v>206</v>
      </c>
      <c r="B227" s="86" t="s">
        <v>14</v>
      </c>
      <c r="C227" s="86">
        <v>7479</v>
      </c>
      <c r="D227" s="86" t="s">
        <v>20</v>
      </c>
      <c r="E227" s="86" t="s">
        <v>21</v>
      </c>
      <c r="F227" s="86">
        <v>35</v>
      </c>
      <c r="G227" s="86">
        <v>0.15</v>
      </c>
      <c r="H227" s="86">
        <f>G227*F227</f>
        <v>5.25</v>
      </c>
      <c r="I227" s="86">
        <v>80</v>
      </c>
      <c r="J227" s="86">
        <v>1</v>
      </c>
      <c r="K227" s="86">
        <f>F227*I227</f>
        <v>2800</v>
      </c>
      <c r="L227" s="86">
        <f>K227*J227</f>
        <v>2800</v>
      </c>
      <c r="M227" s="89" t="s">
        <v>22</v>
      </c>
    </row>
    <row r="228" spans="1:13" x14ac:dyDescent="0.25">
      <c r="A228" s="118" t="s">
        <v>207</v>
      </c>
      <c r="B228" s="85" t="s">
        <v>23</v>
      </c>
      <c r="C228" s="114">
        <v>65548</v>
      </c>
      <c r="D228" s="91" t="s">
        <v>24</v>
      </c>
      <c r="E228" s="87" t="s">
        <v>25</v>
      </c>
      <c r="F228" s="114"/>
      <c r="G228" s="115"/>
      <c r="H228" s="114"/>
      <c r="I228" s="114"/>
      <c r="J228" s="114"/>
      <c r="K228" s="114">
        <v>3420</v>
      </c>
      <c r="L228" s="114">
        <f t="shared" ref="L228:L230" si="167">K228</f>
        <v>3420</v>
      </c>
      <c r="M228" s="111" t="s">
        <v>179</v>
      </c>
    </row>
    <row r="229" spans="1:13" x14ac:dyDescent="0.25">
      <c r="A229" s="118" t="s">
        <v>207</v>
      </c>
      <c r="B229" s="85" t="s">
        <v>23</v>
      </c>
      <c r="C229" s="114">
        <v>65548</v>
      </c>
      <c r="D229" s="91" t="s">
        <v>24</v>
      </c>
      <c r="E229" s="92" t="s">
        <v>30</v>
      </c>
      <c r="F229" s="114"/>
      <c r="G229" s="115" t="s">
        <v>36</v>
      </c>
      <c r="H229" s="114"/>
      <c r="I229" s="114"/>
      <c r="J229" s="114"/>
      <c r="K229" s="114">
        <v>3636</v>
      </c>
      <c r="L229" s="114">
        <f t="shared" si="167"/>
        <v>3636</v>
      </c>
      <c r="M229" s="111" t="s">
        <v>180</v>
      </c>
    </row>
    <row r="230" spans="1:13" x14ac:dyDescent="0.25">
      <c r="A230" s="118" t="s">
        <v>207</v>
      </c>
      <c r="B230" s="85" t="s">
        <v>23</v>
      </c>
      <c r="C230" s="114">
        <v>66772</v>
      </c>
      <c r="D230" s="86" t="s">
        <v>34</v>
      </c>
      <c r="E230" s="87" t="s">
        <v>35</v>
      </c>
      <c r="F230" s="114"/>
      <c r="G230" s="115" t="s">
        <v>77</v>
      </c>
      <c r="H230" s="114"/>
      <c r="I230" s="114"/>
      <c r="J230" s="114"/>
      <c r="K230" s="114">
        <v>5120</v>
      </c>
      <c r="L230" s="114">
        <f t="shared" si="167"/>
        <v>5120</v>
      </c>
      <c r="M230" s="111" t="s">
        <v>26</v>
      </c>
    </row>
    <row r="231" spans="1:13" x14ac:dyDescent="0.25">
      <c r="A231" s="118" t="s">
        <v>207</v>
      </c>
      <c r="B231" s="95" t="s">
        <v>44</v>
      </c>
      <c r="C231" s="86" t="s">
        <v>45</v>
      </c>
      <c r="D231" s="86" t="s">
        <v>46</v>
      </c>
      <c r="E231" s="86" t="s">
        <v>21</v>
      </c>
      <c r="F231" s="86">
        <v>311</v>
      </c>
      <c r="G231" s="86">
        <v>0.46</v>
      </c>
      <c r="H231" s="86">
        <f t="shared" ref="H231" si="168">F231*G231</f>
        <v>143.06</v>
      </c>
      <c r="I231" s="86">
        <v>22</v>
      </c>
      <c r="J231" s="86">
        <v>2</v>
      </c>
      <c r="K231" s="86">
        <f>F231*I231</f>
        <v>6842</v>
      </c>
      <c r="L231" s="86">
        <f>K231*J231</f>
        <v>13684</v>
      </c>
      <c r="M231" s="89" t="s">
        <v>18</v>
      </c>
    </row>
    <row r="232" spans="1:13" x14ac:dyDescent="0.25">
      <c r="A232" s="118" t="s">
        <v>207</v>
      </c>
      <c r="B232" s="86" t="s">
        <v>14</v>
      </c>
      <c r="C232" s="86">
        <v>7479</v>
      </c>
      <c r="D232" s="86" t="s">
        <v>20</v>
      </c>
      <c r="E232" s="86" t="s">
        <v>21</v>
      </c>
      <c r="F232" s="86">
        <v>120</v>
      </c>
      <c r="G232" s="86">
        <v>0.15</v>
      </c>
      <c r="H232" s="86">
        <f>G232*F232</f>
        <v>18</v>
      </c>
      <c r="I232" s="86">
        <v>80</v>
      </c>
      <c r="J232" s="86">
        <v>1</v>
      </c>
      <c r="K232" s="86">
        <f>F232*I232</f>
        <v>9600</v>
      </c>
      <c r="L232" s="86">
        <f>K232*J232</f>
        <v>9600</v>
      </c>
      <c r="M232" s="89" t="s">
        <v>22</v>
      </c>
    </row>
    <row r="233" spans="1:13" x14ac:dyDescent="0.25">
      <c r="A233" s="118" t="s">
        <v>207</v>
      </c>
      <c r="B233" s="86" t="s">
        <v>14</v>
      </c>
      <c r="C233" s="86">
        <v>7479</v>
      </c>
      <c r="D233" s="86" t="s">
        <v>20</v>
      </c>
      <c r="E233" s="86" t="s">
        <v>25</v>
      </c>
      <c r="F233" s="86"/>
      <c r="G233" s="86"/>
      <c r="H233" s="86"/>
      <c r="I233" s="86"/>
      <c r="J233" s="86">
        <v>1</v>
      </c>
      <c r="K233" s="86">
        <v>4400</v>
      </c>
      <c r="L233" s="86">
        <f t="shared" ref="L233:L238" si="169">K233</f>
        <v>4400</v>
      </c>
      <c r="M233" s="89" t="s">
        <v>31</v>
      </c>
    </row>
    <row r="234" spans="1:13" x14ac:dyDescent="0.25">
      <c r="A234" s="118" t="s">
        <v>207</v>
      </c>
      <c r="B234" s="95" t="s">
        <v>44</v>
      </c>
      <c r="C234" s="86" t="s">
        <v>45</v>
      </c>
      <c r="D234" s="86" t="s">
        <v>46</v>
      </c>
      <c r="E234" s="86" t="s">
        <v>25</v>
      </c>
      <c r="F234" s="86"/>
      <c r="G234" s="86"/>
      <c r="H234" s="86"/>
      <c r="I234" s="86"/>
      <c r="J234" s="86"/>
      <c r="K234" s="86">
        <v>250</v>
      </c>
      <c r="L234" s="86">
        <f t="shared" si="169"/>
        <v>250</v>
      </c>
      <c r="M234" s="89" t="s">
        <v>37</v>
      </c>
    </row>
    <row r="235" spans="1:13" x14ac:dyDescent="0.25">
      <c r="A235" s="118" t="s">
        <v>208</v>
      </c>
      <c r="B235" s="85" t="s">
        <v>23</v>
      </c>
      <c r="C235" s="114">
        <v>65548</v>
      </c>
      <c r="D235" s="91" t="s">
        <v>24</v>
      </c>
      <c r="E235" s="87" t="s">
        <v>25</v>
      </c>
      <c r="F235" s="114"/>
      <c r="G235" s="115"/>
      <c r="H235" s="114"/>
      <c r="I235" s="114"/>
      <c r="J235" s="114"/>
      <c r="K235" s="114">
        <v>8000</v>
      </c>
      <c r="L235" s="114">
        <f t="shared" si="169"/>
        <v>8000</v>
      </c>
      <c r="M235" s="111" t="s">
        <v>179</v>
      </c>
    </row>
    <row r="236" spans="1:13" x14ac:dyDescent="0.25">
      <c r="A236" s="118" t="s">
        <v>208</v>
      </c>
      <c r="B236" s="85" t="s">
        <v>23</v>
      </c>
      <c r="C236" s="114">
        <v>65548</v>
      </c>
      <c r="D236" s="91" t="s">
        <v>24</v>
      </c>
      <c r="E236" s="92" t="s">
        <v>30</v>
      </c>
      <c r="F236" s="114"/>
      <c r="G236" s="115" t="s">
        <v>36</v>
      </c>
      <c r="H236" s="114"/>
      <c r="I236" s="114"/>
      <c r="J236" s="114"/>
      <c r="K236" s="114">
        <v>5360</v>
      </c>
      <c r="L236" s="114">
        <f t="shared" si="169"/>
        <v>5360</v>
      </c>
      <c r="M236" s="111" t="s">
        <v>180</v>
      </c>
    </row>
    <row r="237" spans="1:13" x14ac:dyDescent="0.25">
      <c r="A237" s="118" t="s">
        <v>208</v>
      </c>
      <c r="B237" s="85" t="s">
        <v>23</v>
      </c>
      <c r="C237" s="114">
        <v>66772</v>
      </c>
      <c r="D237" s="86" t="s">
        <v>34</v>
      </c>
      <c r="E237" s="87" t="s">
        <v>35</v>
      </c>
      <c r="F237" s="114"/>
      <c r="G237" s="115" t="s">
        <v>77</v>
      </c>
      <c r="H237" s="114"/>
      <c r="I237" s="114"/>
      <c r="J237" s="114"/>
      <c r="K237" s="114">
        <v>5300</v>
      </c>
      <c r="L237" s="114">
        <f t="shared" si="169"/>
        <v>5300</v>
      </c>
      <c r="M237" s="111" t="s">
        <v>26</v>
      </c>
    </row>
    <row r="238" spans="1:13" x14ac:dyDescent="0.25">
      <c r="A238" s="118" t="s">
        <v>208</v>
      </c>
      <c r="B238" s="85" t="s">
        <v>23</v>
      </c>
      <c r="C238" s="114">
        <v>66772</v>
      </c>
      <c r="D238" s="86" t="s">
        <v>34</v>
      </c>
      <c r="E238" s="93" t="s">
        <v>39</v>
      </c>
      <c r="F238" s="114"/>
      <c r="G238" s="115" t="s">
        <v>36</v>
      </c>
      <c r="H238" s="114"/>
      <c r="I238" s="114"/>
      <c r="J238" s="114"/>
      <c r="K238" s="114">
        <v>6000</v>
      </c>
      <c r="L238" s="114">
        <f t="shared" si="169"/>
        <v>6000</v>
      </c>
      <c r="M238" s="111" t="s">
        <v>179</v>
      </c>
    </row>
    <row r="239" spans="1:13" x14ac:dyDescent="0.25">
      <c r="A239" s="118" t="s">
        <v>208</v>
      </c>
      <c r="B239" s="86" t="s">
        <v>14</v>
      </c>
      <c r="C239" s="86">
        <v>7479</v>
      </c>
      <c r="D239" s="86" t="s">
        <v>20</v>
      </c>
      <c r="E239" s="86" t="s">
        <v>25</v>
      </c>
      <c r="F239" s="86"/>
      <c r="G239" s="86"/>
      <c r="H239" s="86"/>
      <c r="I239" s="86"/>
      <c r="J239" s="86">
        <v>1</v>
      </c>
      <c r="K239" s="86">
        <v>4500</v>
      </c>
      <c r="L239" s="86">
        <f t="shared" ref="L239" si="170">K239</f>
        <v>4500</v>
      </c>
      <c r="M239" s="89" t="s">
        <v>31</v>
      </c>
    </row>
    <row r="240" spans="1:13" x14ac:dyDescent="0.25">
      <c r="A240" s="118" t="s">
        <v>208</v>
      </c>
      <c r="B240" s="86" t="s">
        <v>14</v>
      </c>
      <c r="C240" s="114" t="s">
        <v>56</v>
      </c>
      <c r="D240" s="86" t="s">
        <v>57</v>
      </c>
      <c r="E240" s="86" t="s">
        <v>39</v>
      </c>
      <c r="F240" s="114"/>
      <c r="G240" s="114" t="s">
        <v>36</v>
      </c>
      <c r="H240" s="114"/>
      <c r="I240" s="114"/>
      <c r="J240" s="114">
        <v>2</v>
      </c>
      <c r="K240" s="114">
        <v>4500</v>
      </c>
      <c r="L240" s="114">
        <f>K240*1</f>
        <v>4500</v>
      </c>
      <c r="M240" s="111" t="s">
        <v>181</v>
      </c>
    </row>
    <row r="241" spans="1:14" x14ac:dyDescent="0.25">
      <c r="A241" s="118" t="s">
        <v>208</v>
      </c>
      <c r="B241" s="95" t="s">
        <v>44</v>
      </c>
      <c r="C241" s="86" t="s">
        <v>45</v>
      </c>
      <c r="D241" s="86" t="s">
        <v>46</v>
      </c>
      <c r="E241" s="86" t="s">
        <v>21</v>
      </c>
      <c r="F241" s="86">
        <v>83</v>
      </c>
      <c r="G241" s="86">
        <v>0.46</v>
      </c>
      <c r="H241" s="86">
        <f t="shared" ref="H241" si="171">F241*G241</f>
        <v>38.18</v>
      </c>
      <c r="I241" s="86">
        <v>22</v>
      </c>
      <c r="J241" s="86">
        <v>2</v>
      </c>
      <c r="K241" s="86">
        <f>F241*I241</f>
        <v>1826</v>
      </c>
      <c r="L241" s="86">
        <f>K241*J241</f>
        <v>3652</v>
      </c>
      <c r="M241" s="89" t="s">
        <v>18</v>
      </c>
    </row>
    <row r="242" spans="1:14" ht="15.75" x14ac:dyDescent="0.3">
      <c r="A242" s="118" t="s">
        <v>208</v>
      </c>
      <c r="B242" s="95" t="s">
        <v>44</v>
      </c>
      <c r="C242" s="86" t="s">
        <v>45</v>
      </c>
      <c r="D242" s="86" t="s">
        <v>46</v>
      </c>
      <c r="E242" s="86" t="s">
        <v>25</v>
      </c>
      <c r="F242" s="86"/>
      <c r="G242" s="86"/>
      <c r="H242" s="86"/>
      <c r="I242" s="86"/>
      <c r="J242" s="86"/>
      <c r="K242" s="86">
        <v>2500</v>
      </c>
      <c r="L242" s="86">
        <f t="shared" ref="L242:L248" si="172">K242</f>
        <v>2500</v>
      </c>
      <c r="M242" s="89" t="s">
        <v>37</v>
      </c>
      <c r="N242" s="76"/>
    </row>
    <row r="243" spans="1:14" ht="15.75" x14ac:dyDescent="0.3">
      <c r="A243" s="118" t="s">
        <v>208</v>
      </c>
      <c r="B243" s="95" t="s">
        <v>44</v>
      </c>
      <c r="C243" s="86" t="s">
        <v>45</v>
      </c>
      <c r="D243" s="86" t="s">
        <v>46</v>
      </c>
      <c r="E243" s="86" t="s">
        <v>30</v>
      </c>
      <c r="F243" s="86"/>
      <c r="G243" s="86"/>
      <c r="H243" s="86"/>
      <c r="I243" s="86"/>
      <c r="J243" s="86"/>
      <c r="K243" s="86">
        <v>2500</v>
      </c>
      <c r="L243" s="86">
        <f t="shared" si="172"/>
        <v>2500</v>
      </c>
      <c r="M243" s="89" t="s">
        <v>169</v>
      </c>
      <c r="N243" s="76"/>
    </row>
    <row r="244" spans="1:14" ht="15.75" x14ac:dyDescent="0.3">
      <c r="A244" s="118" t="s">
        <v>208</v>
      </c>
      <c r="B244" s="95" t="s">
        <v>44</v>
      </c>
      <c r="C244" s="86" t="s">
        <v>45</v>
      </c>
      <c r="D244" s="86" t="s">
        <v>46</v>
      </c>
      <c r="E244" s="86" t="s">
        <v>47</v>
      </c>
      <c r="F244" s="86"/>
      <c r="G244" s="86"/>
      <c r="H244" s="86"/>
      <c r="I244" s="86"/>
      <c r="J244" s="86"/>
      <c r="K244" s="86">
        <v>650</v>
      </c>
      <c r="L244" s="86">
        <f t="shared" si="172"/>
        <v>650</v>
      </c>
      <c r="M244" s="89" t="s">
        <v>48</v>
      </c>
      <c r="N244" s="76"/>
    </row>
    <row r="245" spans="1:14" x14ac:dyDescent="0.25">
      <c r="A245" s="118" t="s">
        <v>209</v>
      </c>
      <c r="B245" s="85" t="s">
        <v>23</v>
      </c>
      <c r="C245" s="114">
        <v>65548</v>
      </c>
      <c r="D245" s="91" t="s">
        <v>24</v>
      </c>
      <c r="E245" s="87" t="s">
        <v>25</v>
      </c>
      <c r="F245" s="114"/>
      <c r="G245" s="115"/>
      <c r="H245" s="114"/>
      <c r="I245" s="114"/>
      <c r="J245" s="114"/>
      <c r="K245" s="114">
        <v>2150</v>
      </c>
      <c r="L245" s="114">
        <f t="shared" si="172"/>
        <v>2150</v>
      </c>
      <c r="M245" s="111" t="s">
        <v>179</v>
      </c>
    </row>
    <row r="246" spans="1:14" x14ac:dyDescent="0.25">
      <c r="A246" s="118" t="s">
        <v>209</v>
      </c>
      <c r="B246" s="85" t="s">
        <v>23</v>
      </c>
      <c r="C246" s="114">
        <v>65548</v>
      </c>
      <c r="D246" s="91" t="s">
        <v>24</v>
      </c>
      <c r="E246" s="92" t="s">
        <v>30</v>
      </c>
      <c r="F246" s="114"/>
      <c r="G246" s="115" t="s">
        <v>36</v>
      </c>
      <c r="H246" s="114"/>
      <c r="I246" s="114"/>
      <c r="J246" s="114"/>
      <c r="K246" s="114">
        <v>2300</v>
      </c>
      <c r="L246" s="114">
        <f t="shared" si="172"/>
        <v>2300</v>
      </c>
      <c r="M246" s="111" t="s">
        <v>180</v>
      </c>
    </row>
    <row r="247" spans="1:14" x14ac:dyDescent="0.25">
      <c r="A247" s="118" t="s">
        <v>209</v>
      </c>
      <c r="B247" s="85" t="s">
        <v>23</v>
      </c>
      <c r="C247" s="114">
        <v>66772</v>
      </c>
      <c r="D247" s="86" t="s">
        <v>34</v>
      </c>
      <c r="E247" s="87" t="s">
        <v>35</v>
      </c>
      <c r="F247" s="114"/>
      <c r="G247" s="115" t="s">
        <v>77</v>
      </c>
      <c r="H247" s="114"/>
      <c r="I247" s="114"/>
      <c r="J247" s="114"/>
      <c r="K247" s="114">
        <v>940</v>
      </c>
      <c r="L247" s="114">
        <f t="shared" si="172"/>
        <v>940</v>
      </c>
      <c r="M247" s="111" t="s">
        <v>26</v>
      </c>
    </row>
    <row r="248" spans="1:14" x14ac:dyDescent="0.25">
      <c r="A248" s="118" t="s">
        <v>209</v>
      </c>
      <c r="B248" s="85" t="s">
        <v>23</v>
      </c>
      <c r="C248" s="114">
        <v>66772</v>
      </c>
      <c r="D248" s="86" t="s">
        <v>34</v>
      </c>
      <c r="E248" s="93" t="s">
        <v>39</v>
      </c>
      <c r="F248" s="114"/>
      <c r="G248" s="115" t="s">
        <v>36</v>
      </c>
      <c r="H248" s="114"/>
      <c r="I248" s="114"/>
      <c r="J248" s="114"/>
      <c r="K248" s="114">
        <v>5300</v>
      </c>
      <c r="L248" s="114">
        <f t="shared" si="172"/>
        <v>5300</v>
      </c>
      <c r="M248" s="111" t="s">
        <v>179</v>
      </c>
    </row>
    <row r="249" spans="1:14" x14ac:dyDescent="0.25">
      <c r="A249" s="118" t="s">
        <v>209</v>
      </c>
      <c r="B249" s="85" t="s">
        <v>23</v>
      </c>
      <c r="C249" s="114">
        <v>66772</v>
      </c>
      <c r="D249" s="86" t="s">
        <v>34</v>
      </c>
      <c r="E249" s="92" t="s">
        <v>30</v>
      </c>
      <c r="F249" s="114"/>
      <c r="G249" s="115" t="s">
        <v>78</v>
      </c>
      <c r="H249" s="114"/>
      <c r="I249" s="114"/>
      <c r="J249" s="114"/>
      <c r="K249" s="99">
        <v>5300</v>
      </c>
      <c r="L249" s="114">
        <f>K249</f>
        <v>5300</v>
      </c>
      <c r="M249" s="111" t="s">
        <v>180</v>
      </c>
    </row>
    <row r="250" spans="1:14" x14ac:dyDescent="0.25">
      <c r="A250" s="118" t="s">
        <v>209</v>
      </c>
      <c r="B250" s="95" t="s">
        <v>44</v>
      </c>
      <c r="C250" s="86" t="s">
        <v>45</v>
      </c>
      <c r="D250" s="86" t="s">
        <v>46</v>
      </c>
      <c r="E250" s="86" t="s">
        <v>25</v>
      </c>
      <c r="F250" s="86"/>
      <c r="G250" s="86"/>
      <c r="H250" s="86"/>
      <c r="I250" s="86"/>
      <c r="J250" s="86"/>
      <c r="K250" s="86">
        <v>2000</v>
      </c>
      <c r="L250" s="86">
        <f t="shared" ref="L250:L253" si="173">K250</f>
        <v>2000</v>
      </c>
      <c r="M250" s="89" t="s">
        <v>37</v>
      </c>
    </row>
    <row r="251" spans="1:14" x14ac:dyDescent="0.25">
      <c r="A251" s="118" t="s">
        <v>209</v>
      </c>
      <c r="B251" s="95" t="s">
        <v>44</v>
      </c>
      <c r="C251" s="86" t="s">
        <v>45</v>
      </c>
      <c r="D251" s="86" t="s">
        <v>46</v>
      </c>
      <c r="E251" s="86" t="s">
        <v>30</v>
      </c>
      <c r="F251" s="86"/>
      <c r="G251" s="86"/>
      <c r="H251" s="86"/>
      <c r="I251" s="86"/>
      <c r="J251" s="86"/>
      <c r="K251" s="86">
        <v>2000</v>
      </c>
      <c r="L251" s="86">
        <f t="shared" si="173"/>
        <v>2000</v>
      </c>
      <c r="M251" s="89" t="s">
        <v>169</v>
      </c>
    </row>
    <row r="252" spans="1:14" x14ac:dyDescent="0.25">
      <c r="A252" s="118" t="s">
        <v>209</v>
      </c>
      <c r="B252" s="95" t="s">
        <v>44</v>
      </c>
      <c r="C252" s="86" t="s">
        <v>45</v>
      </c>
      <c r="D252" s="86" t="s">
        <v>46</v>
      </c>
      <c r="E252" s="86" t="s">
        <v>47</v>
      </c>
      <c r="F252" s="86"/>
      <c r="G252" s="86"/>
      <c r="H252" s="86"/>
      <c r="I252" s="86"/>
      <c r="J252" s="86"/>
      <c r="K252" s="86">
        <v>3300</v>
      </c>
      <c r="L252" s="86">
        <f t="shared" si="173"/>
        <v>3300</v>
      </c>
      <c r="M252" s="89" t="s">
        <v>48</v>
      </c>
    </row>
    <row r="253" spans="1:14" x14ac:dyDescent="0.25">
      <c r="A253" s="118" t="s">
        <v>209</v>
      </c>
      <c r="B253" s="86" t="s">
        <v>14</v>
      </c>
      <c r="C253" s="86">
        <v>7479</v>
      </c>
      <c r="D253" s="86" t="s">
        <v>20</v>
      </c>
      <c r="E253" s="86" t="s">
        <v>25</v>
      </c>
      <c r="F253" s="86"/>
      <c r="G253" s="86"/>
      <c r="H253" s="86"/>
      <c r="I253" s="86"/>
      <c r="J253" s="86">
        <v>1</v>
      </c>
      <c r="K253" s="86">
        <v>700</v>
      </c>
      <c r="L253" s="86">
        <f t="shared" si="173"/>
        <v>700</v>
      </c>
      <c r="M253" s="89" t="s">
        <v>31</v>
      </c>
    </row>
    <row r="254" spans="1:14" x14ac:dyDescent="0.25">
      <c r="A254" s="118" t="s">
        <v>209</v>
      </c>
      <c r="B254" s="124" t="s">
        <v>130</v>
      </c>
      <c r="C254" s="86" t="s">
        <v>131</v>
      </c>
      <c r="D254" s="86" t="s">
        <v>16</v>
      </c>
      <c r="E254" s="86" t="s">
        <v>17</v>
      </c>
      <c r="F254" s="86">
        <v>10</v>
      </c>
      <c r="G254" s="86"/>
      <c r="H254" s="86"/>
      <c r="I254" s="86">
        <v>98</v>
      </c>
      <c r="J254" s="86">
        <v>1</v>
      </c>
      <c r="K254" s="86">
        <f t="shared" ref="K254" si="174">F254*I254</f>
        <v>980</v>
      </c>
      <c r="L254" s="86">
        <f t="shared" ref="L254" si="175">K254*J254</f>
        <v>980</v>
      </c>
      <c r="M254" s="89" t="s">
        <v>91</v>
      </c>
    </row>
    <row r="255" spans="1:14" ht="17.25" customHeight="1" x14ac:dyDescent="0.25">
      <c r="A255" s="118" t="s">
        <v>210</v>
      </c>
      <c r="B255" s="125" t="s">
        <v>27</v>
      </c>
      <c r="C255" s="126" t="s">
        <v>28</v>
      </c>
      <c r="D255" s="86" t="s">
        <v>29</v>
      </c>
      <c r="E255" s="86" t="s">
        <v>21</v>
      </c>
      <c r="F255" s="86">
        <v>230</v>
      </c>
      <c r="G255" s="86"/>
      <c r="H255" s="86"/>
      <c r="I255" s="86">
        <v>16</v>
      </c>
      <c r="J255" s="86">
        <v>1</v>
      </c>
      <c r="K255" s="86">
        <f t="shared" ref="K255" si="176">F255*I255</f>
        <v>3680</v>
      </c>
      <c r="L255" s="86">
        <f t="shared" ref="L255" si="177">K255*J255</f>
        <v>3680</v>
      </c>
      <c r="M255" s="89" t="s">
        <v>22</v>
      </c>
    </row>
    <row r="256" spans="1:14" ht="17.25" customHeight="1" x14ac:dyDescent="0.25">
      <c r="A256" s="118" t="s">
        <v>210</v>
      </c>
      <c r="B256" s="125" t="s">
        <v>27</v>
      </c>
      <c r="C256" s="126" t="s">
        <v>28</v>
      </c>
      <c r="D256" s="86" t="s">
        <v>29</v>
      </c>
      <c r="E256" s="86" t="s">
        <v>30</v>
      </c>
      <c r="F256" s="86"/>
      <c r="G256" s="86"/>
      <c r="H256" s="86"/>
      <c r="I256" s="86"/>
      <c r="J256" s="86"/>
      <c r="K256" s="86">
        <v>1400</v>
      </c>
      <c r="L256" s="86">
        <v>0</v>
      </c>
      <c r="M256" s="89" t="s">
        <v>31</v>
      </c>
    </row>
    <row r="257" spans="1:13" x14ac:dyDescent="0.25">
      <c r="A257" s="118" t="s">
        <v>210</v>
      </c>
      <c r="B257" s="85" t="s">
        <v>23</v>
      </c>
      <c r="C257" s="114">
        <v>65548</v>
      </c>
      <c r="D257" s="91" t="s">
        <v>24</v>
      </c>
      <c r="E257" s="92" t="s">
        <v>30</v>
      </c>
      <c r="F257" s="114"/>
      <c r="G257" s="115" t="s">
        <v>36</v>
      </c>
      <c r="H257" s="114"/>
      <c r="I257" s="114"/>
      <c r="J257" s="114"/>
      <c r="K257" s="114">
        <v>4370</v>
      </c>
      <c r="L257" s="114">
        <f t="shared" ref="L257:L258" si="178">K257</f>
        <v>4370</v>
      </c>
      <c r="M257" s="111" t="s">
        <v>180</v>
      </c>
    </row>
    <row r="258" spans="1:13" x14ac:dyDescent="0.25">
      <c r="A258" s="118" t="s">
        <v>210</v>
      </c>
      <c r="B258" s="85" t="s">
        <v>23</v>
      </c>
      <c r="C258" s="114">
        <v>66772</v>
      </c>
      <c r="D258" s="86" t="s">
        <v>34</v>
      </c>
      <c r="E258" s="93" t="s">
        <v>39</v>
      </c>
      <c r="F258" s="114"/>
      <c r="G258" s="115" t="s">
        <v>36</v>
      </c>
      <c r="H258" s="114"/>
      <c r="I258" s="114"/>
      <c r="J258" s="114"/>
      <c r="K258" s="114">
        <v>4000</v>
      </c>
      <c r="L258" s="114">
        <f t="shared" si="178"/>
        <v>4000</v>
      </c>
      <c r="M258" s="111" t="s">
        <v>179</v>
      </c>
    </row>
    <row r="259" spans="1:13" x14ac:dyDescent="0.25">
      <c r="A259" s="118" t="s">
        <v>210</v>
      </c>
      <c r="B259" s="85" t="s">
        <v>23</v>
      </c>
      <c r="C259" s="114">
        <v>66772</v>
      </c>
      <c r="D259" s="86" t="s">
        <v>34</v>
      </c>
      <c r="E259" s="92" t="s">
        <v>30</v>
      </c>
      <c r="F259" s="114"/>
      <c r="G259" s="115" t="s">
        <v>78</v>
      </c>
      <c r="H259" s="114"/>
      <c r="I259" s="114"/>
      <c r="J259" s="114"/>
      <c r="K259" s="99">
        <v>9200</v>
      </c>
      <c r="L259" s="114">
        <f>K259</f>
        <v>9200</v>
      </c>
      <c r="M259" s="111" t="s">
        <v>180</v>
      </c>
    </row>
    <row r="260" spans="1:13" x14ac:dyDescent="0.25">
      <c r="A260" s="118" t="s">
        <v>210</v>
      </c>
      <c r="B260" s="95" t="s">
        <v>44</v>
      </c>
      <c r="C260" s="86" t="s">
        <v>45</v>
      </c>
      <c r="D260" s="86" t="s">
        <v>46</v>
      </c>
      <c r="E260" s="86" t="s">
        <v>25</v>
      </c>
      <c r="F260" s="86"/>
      <c r="G260" s="86"/>
      <c r="H260" s="86"/>
      <c r="I260" s="86"/>
      <c r="J260" s="86"/>
      <c r="K260" s="86">
        <v>1000</v>
      </c>
      <c r="L260" s="86">
        <f t="shared" ref="L260:L261" si="179">K260</f>
        <v>1000</v>
      </c>
      <c r="M260" s="89" t="s">
        <v>37</v>
      </c>
    </row>
    <row r="261" spans="1:13" x14ac:dyDescent="0.25">
      <c r="A261" s="118" t="s">
        <v>210</v>
      </c>
      <c r="B261" s="95" t="s">
        <v>44</v>
      </c>
      <c r="C261" s="86" t="s">
        <v>45</v>
      </c>
      <c r="D261" s="86" t="s">
        <v>46</v>
      </c>
      <c r="E261" s="86" t="s">
        <v>30</v>
      </c>
      <c r="F261" s="86"/>
      <c r="G261" s="86"/>
      <c r="H261" s="86"/>
      <c r="I261" s="86"/>
      <c r="J261" s="86"/>
      <c r="K261" s="86">
        <v>1000</v>
      </c>
      <c r="L261" s="86">
        <f t="shared" si="179"/>
        <v>1000</v>
      </c>
      <c r="M261" s="89" t="s">
        <v>169</v>
      </c>
    </row>
    <row r="262" spans="1:13" x14ac:dyDescent="0.25">
      <c r="A262" s="116"/>
      <c r="B262" s="113"/>
      <c r="C262" s="116"/>
      <c r="D262" s="113"/>
      <c r="E262" s="113"/>
      <c r="F262" s="116"/>
      <c r="G262" s="116"/>
      <c r="H262" s="116"/>
      <c r="I262" s="116"/>
      <c r="J262" s="116"/>
      <c r="K262" s="116"/>
      <c r="L262" s="116"/>
      <c r="M262" s="116"/>
    </row>
    <row r="263" spans="1:13" x14ac:dyDescent="0.25">
      <c r="C263" s="117"/>
    </row>
    <row r="264" spans="1:13" x14ac:dyDescent="0.25">
      <c r="A264" s="84"/>
      <c r="B264" s="86"/>
      <c r="C264" s="86"/>
      <c r="D264" s="86"/>
      <c r="E264" s="86"/>
      <c r="F264" s="86">
        <f t="shared" ref="F264:L264" si="180">SUM(F3:F263)</f>
        <v>6358</v>
      </c>
      <c r="G264" s="86">
        <f t="shared" si="180"/>
        <v>22.215000000000011</v>
      </c>
      <c r="H264" s="109">
        <f t="shared" si="180"/>
        <v>1706.845</v>
      </c>
      <c r="I264" s="86">
        <f t="shared" si="180"/>
        <v>4811</v>
      </c>
      <c r="J264" s="86">
        <f t="shared" si="180"/>
        <v>236</v>
      </c>
      <c r="K264" s="108">
        <f t="shared" si="180"/>
        <v>1050376</v>
      </c>
      <c r="L264" s="110">
        <f t="shared" si="180"/>
        <v>1388894</v>
      </c>
      <c r="M264" s="89"/>
    </row>
    <row r="266" spans="1:13" x14ac:dyDescent="0.25">
      <c r="H266" s="123">
        <f>SUM(H100:H263)</f>
        <v>1047.7250000000004</v>
      </c>
    </row>
  </sheetData>
  <autoFilter ref="A2:M261"/>
  <mergeCells count="2">
    <mergeCell ref="A1:M1"/>
    <mergeCell ref="N99:Q99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23"/>
  <sheetViews>
    <sheetView workbookViewId="0">
      <selection activeCell="A50" sqref="A50:M50"/>
    </sheetView>
  </sheetViews>
  <sheetFormatPr defaultRowHeight="15" x14ac:dyDescent="0.25"/>
  <cols>
    <col min="2" max="2" width="9" customWidth="1"/>
    <col min="4" max="4" width="12.7109375" customWidth="1"/>
    <col min="20" max="20" width="5.7109375" bestFit="1" customWidth="1"/>
  </cols>
  <sheetData>
    <row r="1" spans="1:23" ht="29.25" x14ac:dyDescent="0.25">
      <c r="A1" s="295" t="s">
        <v>211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</row>
    <row r="2" spans="1:23" ht="25.5" x14ac:dyDescent="0.25">
      <c r="A2" s="127" t="s">
        <v>0</v>
      </c>
      <c r="B2" s="127" t="s">
        <v>1</v>
      </c>
      <c r="C2" s="127" t="s">
        <v>2</v>
      </c>
      <c r="D2" s="127" t="s">
        <v>3</v>
      </c>
      <c r="E2" s="127" t="s">
        <v>4</v>
      </c>
      <c r="F2" s="127" t="s">
        <v>5</v>
      </c>
      <c r="G2" s="127" t="s">
        <v>6</v>
      </c>
      <c r="H2" s="127" t="s">
        <v>7</v>
      </c>
      <c r="I2" s="127" t="s">
        <v>8</v>
      </c>
      <c r="J2" s="127" t="s">
        <v>9</v>
      </c>
      <c r="K2" s="127" t="s">
        <v>10</v>
      </c>
      <c r="L2" s="127" t="s">
        <v>11</v>
      </c>
      <c r="M2" s="127" t="s">
        <v>12</v>
      </c>
    </row>
    <row r="3" spans="1:23" ht="15" hidden="1" customHeight="1" x14ac:dyDescent="0.25">
      <c r="A3" s="118" t="s">
        <v>212</v>
      </c>
      <c r="B3" s="85" t="s">
        <v>23</v>
      </c>
      <c r="C3" s="114">
        <v>65548</v>
      </c>
      <c r="D3" s="91" t="s">
        <v>24</v>
      </c>
      <c r="E3" s="87" t="s">
        <v>25</v>
      </c>
      <c r="F3" s="114"/>
      <c r="G3" s="115"/>
      <c r="H3" s="114"/>
      <c r="I3" s="114"/>
      <c r="J3" s="114"/>
      <c r="K3" s="114">
        <v>6235</v>
      </c>
      <c r="L3" s="114">
        <f t="shared" ref="L3:L7" si="0">K3</f>
        <v>6235</v>
      </c>
      <c r="M3" s="111" t="s">
        <v>26</v>
      </c>
    </row>
    <row r="4" spans="1:23" ht="15" hidden="1" customHeight="1" x14ac:dyDescent="0.25">
      <c r="A4" s="118" t="s">
        <v>212</v>
      </c>
      <c r="B4" s="95" t="s">
        <v>44</v>
      </c>
      <c r="C4" s="86" t="s">
        <v>45</v>
      </c>
      <c r="D4" s="86" t="s">
        <v>46</v>
      </c>
      <c r="E4" s="86" t="s">
        <v>25</v>
      </c>
      <c r="F4" s="86"/>
      <c r="G4" s="86"/>
      <c r="H4" s="86"/>
      <c r="I4" s="86"/>
      <c r="J4" s="86"/>
      <c r="K4" s="86">
        <v>1500</v>
      </c>
      <c r="L4" s="86">
        <f t="shared" si="0"/>
        <v>1500</v>
      </c>
      <c r="M4" s="89" t="s">
        <v>37</v>
      </c>
    </row>
    <row r="5" spans="1:23" hidden="1" x14ac:dyDescent="0.25">
      <c r="A5" s="118" t="s">
        <v>212</v>
      </c>
      <c r="B5" s="95" t="s">
        <v>44</v>
      </c>
      <c r="C5" s="86" t="s">
        <v>45</v>
      </c>
      <c r="D5" s="86" t="s">
        <v>46</v>
      </c>
      <c r="E5" s="86" t="s">
        <v>30</v>
      </c>
      <c r="F5" s="86"/>
      <c r="G5" s="86"/>
      <c r="H5" s="86"/>
      <c r="I5" s="86"/>
      <c r="J5" s="86"/>
      <c r="K5" s="86">
        <v>1500</v>
      </c>
      <c r="L5" s="86">
        <f t="shared" si="0"/>
        <v>1500</v>
      </c>
      <c r="M5" s="89" t="s">
        <v>169</v>
      </c>
    </row>
    <row r="6" spans="1:23" hidden="1" x14ac:dyDescent="0.25">
      <c r="A6" s="118" t="s">
        <v>212</v>
      </c>
      <c r="B6" s="125" t="s">
        <v>27</v>
      </c>
      <c r="C6" s="126" t="s">
        <v>28</v>
      </c>
      <c r="D6" s="86" t="s">
        <v>29</v>
      </c>
      <c r="E6" s="86" t="s">
        <v>21</v>
      </c>
      <c r="F6" s="86">
        <v>186</v>
      </c>
      <c r="G6" s="86"/>
      <c r="H6" s="86"/>
      <c r="I6" s="86">
        <v>16</v>
      </c>
      <c r="J6" s="86">
        <v>1</v>
      </c>
      <c r="K6" s="86">
        <f t="shared" ref="K6" si="1">F6*I6</f>
        <v>2976</v>
      </c>
      <c r="L6" s="86">
        <f t="shared" ref="L6" si="2">K6*J6</f>
        <v>2976</v>
      </c>
      <c r="M6" s="89" t="s">
        <v>22</v>
      </c>
    </row>
    <row r="7" spans="1:23" hidden="1" x14ac:dyDescent="0.25">
      <c r="A7" s="118" t="s">
        <v>212</v>
      </c>
      <c r="B7" s="125" t="s">
        <v>27</v>
      </c>
      <c r="C7" s="126" t="s">
        <v>28</v>
      </c>
      <c r="D7" s="86" t="s">
        <v>29</v>
      </c>
      <c r="E7" s="86" t="s">
        <v>30</v>
      </c>
      <c r="F7" s="86"/>
      <c r="G7" s="86"/>
      <c r="H7" s="86"/>
      <c r="I7" s="86"/>
      <c r="J7" s="86"/>
      <c r="K7" s="86">
        <v>2300</v>
      </c>
      <c r="L7" s="86">
        <f t="shared" si="0"/>
        <v>2300</v>
      </c>
      <c r="M7" s="89" t="s">
        <v>31</v>
      </c>
    </row>
    <row r="8" spans="1:23" hidden="1" x14ac:dyDescent="0.25">
      <c r="A8" s="118" t="s">
        <v>212</v>
      </c>
      <c r="B8" s="85" t="s">
        <v>23</v>
      </c>
      <c r="C8" s="114">
        <v>66772</v>
      </c>
      <c r="D8" s="86" t="s">
        <v>34</v>
      </c>
      <c r="E8" s="92" t="s">
        <v>30</v>
      </c>
      <c r="F8" s="114"/>
      <c r="G8" s="115" t="s">
        <v>78</v>
      </c>
      <c r="H8" s="114"/>
      <c r="I8" s="114"/>
      <c r="J8" s="114"/>
      <c r="K8" s="86">
        <v>1000</v>
      </c>
      <c r="L8" s="114">
        <f>K8</f>
        <v>1000</v>
      </c>
      <c r="M8" s="111" t="s">
        <v>26</v>
      </c>
      <c r="Q8" s="103">
        <v>26.06</v>
      </c>
      <c r="R8" s="103">
        <v>56864</v>
      </c>
      <c r="S8" s="103">
        <v>62170</v>
      </c>
      <c r="T8" s="104">
        <v>0.84099999999999997</v>
      </c>
      <c r="U8" s="103">
        <v>18.475000000000001</v>
      </c>
      <c r="V8" s="103">
        <v>17.908999999999999</v>
      </c>
      <c r="W8" s="103">
        <v>116</v>
      </c>
    </row>
    <row r="9" spans="1:23" hidden="1" x14ac:dyDescent="0.25">
      <c r="A9" s="118" t="s">
        <v>213</v>
      </c>
      <c r="B9" s="85" t="s">
        <v>23</v>
      </c>
      <c r="C9" s="114">
        <v>65548</v>
      </c>
      <c r="D9" s="91" t="s">
        <v>24</v>
      </c>
      <c r="E9" s="87" t="s">
        <v>25</v>
      </c>
      <c r="F9" s="114"/>
      <c r="G9" s="115"/>
      <c r="H9" s="114"/>
      <c r="I9" s="114"/>
      <c r="J9" s="114"/>
      <c r="K9" s="114">
        <v>5800</v>
      </c>
      <c r="L9" s="114">
        <f t="shared" ref="L9:L14" si="3">K9</f>
        <v>5800</v>
      </c>
      <c r="M9" s="111" t="s">
        <v>26</v>
      </c>
      <c r="Q9" s="103">
        <v>27.06</v>
      </c>
      <c r="R9" s="103">
        <v>57024</v>
      </c>
      <c r="S9" s="103">
        <v>62374</v>
      </c>
      <c r="T9" s="104">
        <v>0.84099999999999997</v>
      </c>
      <c r="U9" s="103">
        <v>18.475000000000001</v>
      </c>
      <c r="V9" s="103">
        <v>17.908999999999999</v>
      </c>
      <c r="W9" s="103">
        <f t="shared" ref="W9:W18" si="4">R9-R8</f>
        <v>160</v>
      </c>
    </row>
    <row r="10" spans="1:23" hidden="1" x14ac:dyDescent="0.25">
      <c r="A10" s="118" t="s">
        <v>213</v>
      </c>
      <c r="B10" s="85" t="s">
        <v>23</v>
      </c>
      <c r="C10" s="114">
        <v>65548</v>
      </c>
      <c r="D10" s="91" t="s">
        <v>24</v>
      </c>
      <c r="E10" s="92" t="s">
        <v>30</v>
      </c>
      <c r="F10" s="114"/>
      <c r="G10" s="115" t="s">
        <v>36</v>
      </c>
      <c r="H10" s="114"/>
      <c r="I10" s="114"/>
      <c r="J10" s="114"/>
      <c r="K10" s="114">
        <v>4200</v>
      </c>
      <c r="L10" s="114">
        <f t="shared" si="3"/>
        <v>4200</v>
      </c>
      <c r="M10" s="111" t="s">
        <v>180</v>
      </c>
      <c r="Q10" s="103">
        <v>28.06</v>
      </c>
      <c r="R10" s="103">
        <v>57177</v>
      </c>
      <c r="S10" s="103">
        <v>62567</v>
      </c>
      <c r="T10" s="104">
        <v>0.83499999999999996</v>
      </c>
      <c r="U10" s="103">
        <v>18.475000000000001</v>
      </c>
      <c r="V10" s="103">
        <v>17.908999999999999</v>
      </c>
      <c r="W10" s="103">
        <f t="shared" si="4"/>
        <v>153</v>
      </c>
    </row>
    <row r="11" spans="1:23" hidden="1" x14ac:dyDescent="0.25">
      <c r="A11" s="118" t="s">
        <v>213</v>
      </c>
      <c r="B11" s="85" t="s">
        <v>23</v>
      </c>
      <c r="C11" s="114">
        <v>66772</v>
      </c>
      <c r="D11" s="86" t="s">
        <v>34</v>
      </c>
      <c r="E11" s="87" t="s">
        <v>35</v>
      </c>
      <c r="F11" s="114"/>
      <c r="G11" s="115" t="s">
        <v>77</v>
      </c>
      <c r="H11" s="114"/>
      <c r="I11" s="114"/>
      <c r="J11" s="114"/>
      <c r="K11" s="114">
        <v>4750</v>
      </c>
      <c r="L11" s="114">
        <f t="shared" si="3"/>
        <v>4750</v>
      </c>
      <c r="M11" s="111" t="s">
        <v>179</v>
      </c>
      <c r="Q11" s="103">
        <v>29.06</v>
      </c>
      <c r="R11" s="103">
        <v>57332</v>
      </c>
      <c r="S11" s="103">
        <v>62754</v>
      </c>
      <c r="T11" s="104">
        <v>0.83499999999999996</v>
      </c>
      <c r="U11" s="103">
        <v>18.475000000000001</v>
      </c>
      <c r="V11" s="103">
        <v>17.908999999999999</v>
      </c>
      <c r="W11" s="103">
        <f t="shared" si="4"/>
        <v>155</v>
      </c>
    </row>
    <row r="12" spans="1:23" hidden="1" x14ac:dyDescent="0.25">
      <c r="A12" s="118" t="s">
        <v>213</v>
      </c>
      <c r="B12" s="85" t="s">
        <v>23</v>
      </c>
      <c r="C12" s="114">
        <v>66772</v>
      </c>
      <c r="D12" s="86" t="s">
        <v>34</v>
      </c>
      <c r="E12" s="93" t="s">
        <v>39</v>
      </c>
      <c r="F12" s="114"/>
      <c r="G12" s="115" t="s">
        <v>36</v>
      </c>
      <c r="H12" s="114"/>
      <c r="I12" s="114"/>
      <c r="J12" s="114"/>
      <c r="K12" s="114">
        <v>4000</v>
      </c>
      <c r="L12" s="114">
        <f t="shared" si="3"/>
        <v>4000</v>
      </c>
      <c r="M12" s="111" t="s">
        <v>18</v>
      </c>
      <c r="Q12" s="103">
        <v>30.06</v>
      </c>
      <c r="R12" s="103">
        <v>57440</v>
      </c>
      <c r="S12" s="103">
        <v>62842</v>
      </c>
      <c r="T12" s="104">
        <v>0.83499999999999996</v>
      </c>
      <c r="U12" s="103">
        <v>18.475000000000001</v>
      </c>
      <c r="V12" s="103">
        <v>17.908999999999999</v>
      </c>
      <c r="W12" s="103">
        <f t="shared" si="4"/>
        <v>108</v>
      </c>
    </row>
    <row r="13" spans="1:23" hidden="1" x14ac:dyDescent="0.25">
      <c r="A13" s="118" t="s">
        <v>213</v>
      </c>
      <c r="B13" s="125" t="s">
        <v>27</v>
      </c>
      <c r="C13" s="126" t="s">
        <v>28</v>
      </c>
      <c r="D13" s="86" t="s">
        <v>29</v>
      </c>
      <c r="E13" s="86" t="s">
        <v>21</v>
      </c>
      <c r="F13" s="86">
        <v>40</v>
      </c>
      <c r="G13" s="86"/>
      <c r="H13" s="86"/>
      <c r="I13" s="86">
        <v>16</v>
      </c>
      <c r="J13" s="86">
        <v>1</v>
      </c>
      <c r="K13" s="86">
        <f t="shared" ref="K13" si="5">F13*I13</f>
        <v>640</v>
      </c>
      <c r="L13" s="86">
        <f t="shared" ref="L13" si="6">K13*J13</f>
        <v>640</v>
      </c>
      <c r="M13" s="89" t="s">
        <v>22</v>
      </c>
      <c r="Q13" s="103">
        <v>1.07</v>
      </c>
      <c r="R13" s="103">
        <v>57612</v>
      </c>
      <c r="S13" s="103">
        <v>63198</v>
      </c>
      <c r="T13" s="104">
        <v>0.81499999999999995</v>
      </c>
      <c r="U13" s="104">
        <v>18.66</v>
      </c>
      <c r="V13" s="103">
        <v>17.908999999999999</v>
      </c>
      <c r="W13" s="103">
        <f t="shared" si="4"/>
        <v>172</v>
      </c>
    </row>
    <row r="14" spans="1:23" hidden="1" x14ac:dyDescent="0.25">
      <c r="A14" s="118" t="s">
        <v>213</v>
      </c>
      <c r="B14" s="125" t="s">
        <v>27</v>
      </c>
      <c r="C14" s="126" t="s">
        <v>28</v>
      </c>
      <c r="D14" s="86" t="s">
        <v>29</v>
      </c>
      <c r="E14" s="86" t="s">
        <v>30</v>
      </c>
      <c r="F14" s="86"/>
      <c r="G14" s="86"/>
      <c r="H14" s="86"/>
      <c r="I14" s="86"/>
      <c r="J14" s="86"/>
      <c r="K14" s="86">
        <v>2500</v>
      </c>
      <c r="L14" s="114">
        <f t="shared" si="3"/>
        <v>2500</v>
      </c>
      <c r="M14" s="89" t="s">
        <v>31</v>
      </c>
      <c r="Q14" s="103">
        <v>2.0699999999999998</v>
      </c>
      <c r="R14" s="103">
        <v>57768</v>
      </c>
      <c r="S14" s="103">
        <v>63453</v>
      </c>
      <c r="T14" s="104">
        <v>0.80400000000000005</v>
      </c>
      <c r="U14" s="104">
        <v>18.66</v>
      </c>
      <c r="V14" s="103">
        <v>17.908999999999999</v>
      </c>
      <c r="W14" s="103">
        <f t="shared" si="4"/>
        <v>156</v>
      </c>
    </row>
    <row r="15" spans="1:23" hidden="1" x14ac:dyDescent="0.25">
      <c r="A15" s="118" t="s">
        <v>213</v>
      </c>
      <c r="B15" s="95" t="s">
        <v>44</v>
      </c>
      <c r="C15" s="86" t="s">
        <v>45</v>
      </c>
      <c r="D15" s="86" t="s">
        <v>46</v>
      </c>
      <c r="E15" s="86" t="s">
        <v>25</v>
      </c>
      <c r="F15" s="86"/>
      <c r="G15" s="86"/>
      <c r="H15" s="86"/>
      <c r="I15" s="86"/>
      <c r="J15" s="86"/>
      <c r="K15" s="86">
        <v>1500</v>
      </c>
      <c r="L15" s="86">
        <f t="shared" ref="L15:L16" si="7">K15</f>
        <v>1500</v>
      </c>
      <c r="M15" s="89" t="s">
        <v>37</v>
      </c>
      <c r="Q15" s="103">
        <v>3.07</v>
      </c>
      <c r="R15" s="103">
        <v>57900</v>
      </c>
      <c r="S15" s="103">
        <v>63665</v>
      </c>
      <c r="T15" s="104">
        <v>0.79600000000000004</v>
      </c>
      <c r="U15" s="104">
        <v>18.66</v>
      </c>
      <c r="V15" s="103">
        <v>17.908999999999999</v>
      </c>
      <c r="W15" s="103">
        <f t="shared" si="4"/>
        <v>132</v>
      </c>
    </row>
    <row r="16" spans="1:23" hidden="1" x14ac:dyDescent="0.25">
      <c r="A16" s="118" t="s">
        <v>213</v>
      </c>
      <c r="B16" s="95" t="s">
        <v>44</v>
      </c>
      <c r="C16" s="86" t="s">
        <v>45</v>
      </c>
      <c r="D16" s="86" t="s">
        <v>46</v>
      </c>
      <c r="E16" s="86" t="s">
        <v>30</v>
      </c>
      <c r="F16" s="86"/>
      <c r="G16" s="86"/>
      <c r="H16" s="86"/>
      <c r="I16" s="86"/>
      <c r="J16" s="86"/>
      <c r="K16" s="86">
        <v>1500</v>
      </c>
      <c r="L16" s="86">
        <f t="shared" si="7"/>
        <v>1500</v>
      </c>
      <c r="M16" s="89" t="s">
        <v>48</v>
      </c>
      <c r="Q16" s="103">
        <v>6.07</v>
      </c>
      <c r="R16" s="103">
        <v>58358</v>
      </c>
      <c r="S16" s="103">
        <v>64280</v>
      </c>
      <c r="T16" s="104">
        <v>0.79</v>
      </c>
      <c r="U16" s="103">
        <v>20.366</v>
      </c>
      <c r="V16" s="103">
        <v>17.908999999999999</v>
      </c>
      <c r="W16" s="103">
        <f t="shared" si="4"/>
        <v>458</v>
      </c>
    </row>
    <row r="17" spans="1:23" hidden="1" x14ac:dyDescent="0.25">
      <c r="A17" s="118" t="s">
        <v>213</v>
      </c>
      <c r="B17" s="86" t="s">
        <v>14</v>
      </c>
      <c r="C17" s="114">
        <v>6871</v>
      </c>
      <c r="D17" s="86" t="s">
        <v>16</v>
      </c>
      <c r="E17" s="86" t="s">
        <v>17</v>
      </c>
      <c r="F17" s="114">
        <v>67</v>
      </c>
      <c r="G17" s="114">
        <v>0.64</v>
      </c>
      <c r="H17" s="114">
        <f>G17*F17</f>
        <v>42.88</v>
      </c>
      <c r="I17" s="114">
        <v>70</v>
      </c>
      <c r="J17" s="114">
        <v>2</v>
      </c>
      <c r="K17" s="114">
        <f t="shared" ref="K17" si="8">F17*I17</f>
        <v>4690</v>
      </c>
      <c r="L17" s="114">
        <f t="shared" ref="L17" si="9">K17*J17</f>
        <v>9380</v>
      </c>
      <c r="M17" s="111" t="s">
        <v>22</v>
      </c>
      <c r="Q17" s="103">
        <v>7.07</v>
      </c>
      <c r="R17" s="103">
        <v>58440</v>
      </c>
      <c r="S17" s="103">
        <v>64392</v>
      </c>
      <c r="T17" s="104">
        <v>0.78900000000000003</v>
      </c>
      <c r="U17" s="103">
        <v>20.366</v>
      </c>
      <c r="V17" s="103">
        <v>17.908999999999999</v>
      </c>
      <c r="W17" s="103">
        <f t="shared" si="4"/>
        <v>82</v>
      </c>
    </row>
    <row r="18" spans="1:23" hidden="1" x14ac:dyDescent="0.25">
      <c r="A18" s="118" t="s">
        <v>213</v>
      </c>
      <c r="B18" s="86" t="s">
        <v>14</v>
      </c>
      <c r="C18" s="114" t="s">
        <v>56</v>
      </c>
      <c r="D18" s="86" t="s">
        <v>57</v>
      </c>
      <c r="E18" s="94" t="s">
        <v>35</v>
      </c>
      <c r="F18" s="114"/>
      <c r="G18" s="114" t="s">
        <v>77</v>
      </c>
      <c r="H18" s="114"/>
      <c r="I18" s="114"/>
      <c r="J18" s="114">
        <v>1</v>
      </c>
      <c r="K18" s="114">
        <v>500</v>
      </c>
      <c r="L18" s="114">
        <f t="shared" ref="L18:L26" si="10">K18</f>
        <v>500</v>
      </c>
      <c r="M18" s="111" t="s">
        <v>91</v>
      </c>
      <c r="Q18" s="103">
        <v>8.07</v>
      </c>
      <c r="R18" s="103">
        <v>58600</v>
      </c>
      <c r="S18" s="103">
        <v>64596</v>
      </c>
      <c r="T18" s="104">
        <v>0.78900000000000003</v>
      </c>
      <c r="U18" s="103">
        <v>20.366</v>
      </c>
      <c r="V18" s="103">
        <v>17.908999999999999</v>
      </c>
      <c r="W18" s="103">
        <f t="shared" si="4"/>
        <v>160</v>
      </c>
    </row>
    <row r="19" spans="1:23" hidden="1" x14ac:dyDescent="0.25">
      <c r="A19" s="118" t="s">
        <v>214</v>
      </c>
      <c r="B19" s="85" t="s">
        <v>23</v>
      </c>
      <c r="C19" s="114">
        <v>65548</v>
      </c>
      <c r="D19" s="91" t="s">
        <v>24</v>
      </c>
      <c r="E19" s="87" t="s">
        <v>25</v>
      </c>
      <c r="F19" s="114"/>
      <c r="G19" s="115"/>
      <c r="H19" s="114"/>
      <c r="I19" s="114"/>
      <c r="J19" s="114"/>
      <c r="K19" s="114">
        <v>865</v>
      </c>
      <c r="L19" s="114">
        <f t="shared" si="10"/>
        <v>865</v>
      </c>
      <c r="M19" s="111" t="s">
        <v>26</v>
      </c>
    </row>
    <row r="20" spans="1:23" hidden="1" x14ac:dyDescent="0.25">
      <c r="A20" s="118" t="s">
        <v>214</v>
      </c>
      <c r="B20" s="85" t="s">
        <v>23</v>
      </c>
      <c r="C20" s="114">
        <v>65548</v>
      </c>
      <c r="D20" s="91" t="s">
        <v>24</v>
      </c>
      <c r="E20" s="92" t="s">
        <v>30</v>
      </c>
      <c r="F20" s="114"/>
      <c r="G20" s="115" t="s">
        <v>36</v>
      </c>
      <c r="H20" s="114"/>
      <c r="I20" s="114"/>
      <c r="J20" s="114"/>
      <c r="K20" s="114">
        <v>7900</v>
      </c>
      <c r="L20" s="114">
        <f t="shared" si="10"/>
        <v>7900</v>
      </c>
      <c r="M20" s="111" t="s">
        <v>180</v>
      </c>
    </row>
    <row r="21" spans="1:23" hidden="1" x14ac:dyDescent="0.25">
      <c r="A21" s="118" t="s">
        <v>214</v>
      </c>
      <c r="B21" s="85" t="s">
        <v>23</v>
      </c>
      <c r="C21" s="114">
        <v>66772</v>
      </c>
      <c r="D21" s="86" t="s">
        <v>34</v>
      </c>
      <c r="E21" s="87" t="s">
        <v>35</v>
      </c>
      <c r="F21" s="114"/>
      <c r="G21" s="115" t="s">
        <v>77</v>
      </c>
      <c r="H21" s="114"/>
      <c r="I21" s="114"/>
      <c r="J21" s="114"/>
      <c r="K21" s="114">
        <v>6200</v>
      </c>
      <c r="L21" s="114">
        <f t="shared" si="10"/>
        <v>6200</v>
      </c>
      <c r="M21" s="111" t="s">
        <v>179</v>
      </c>
      <c r="Q21" s="103">
        <v>20.07</v>
      </c>
      <c r="R21" s="103">
        <v>60247</v>
      </c>
      <c r="S21" s="103">
        <v>66764</v>
      </c>
      <c r="T21" s="104">
        <v>0.78600000000000003</v>
      </c>
      <c r="U21" s="103">
        <v>20.727</v>
      </c>
      <c r="V21" s="103">
        <v>17.908999999999999</v>
      </c>
      <c r="W21" s="103">
        <f>R21-R18</f>
        <v>1647</v>
      </c>
    </row>
    <row r="22" spans="1:23" hidden="1" x14ac:dyDescent="0.25">
      <c r="A22" s="118" t="s">
        <v>214</v>
      </c>
      <c r="B22" s="85" t="s">
        <v>23</v>
      </c>
      <c r="C22" s="114">
        <v>66772</v>
      </c>
      <c r="D22" s="86" t="s">
        <v>34</v>
      </c>
      <c r="E22" s="93" t="s">
        <v>39</v>
      </c>
      <c r="F22" s="114"/>
      <c r="G22" s="115" t="s">
        <v>36</v>
      </c>
      <c r="H22" s="114"/>
      <c r="I22" s="114"/>
      <c r="J22" s="114"/>
      <c r="K22" s="114">
        <v>5000</v>
      </c>
      <c r="L22" s="114">
        <f t="shared" si="10"/>
        <v>5000</v>
      </c>
      <c r="M22" s="111" t="s">
        <v>18</v>
      </c>
      <c r="Q22" s="103">
        <v>23.07</v>
      </c>
      <c r="R22" s="103">
        <v>60606</v>
      </c>
      <c r="S22" s="103">
        <v>67188</v>
      </c>
      <c r="T22" s="104">
        <v>0.78400000000000003</v>
      </c>
      <c r="U22" s="103">
        <v>20.727</v>
      </c>
      <c r="V22" s="103">
        <v>17.908999999999999</v>
      </c>
      <c r="W22" s="103">
        <f>R22-R21</f>
        <v>359</v>
      </c>
    </row>
    <row r="23" spans="1:23" hidden="1" x14ac:dyDescent="0.25">
      <c r="A23" s="118" t="s">
        <v>214</v>
      </c>
      <c r="B23" s="125" t="s">
        <v>27</v>
      </c>
      <c r="C23" s="126" t="s">
        <v>28</v>
      </c>
      <c r="D23" s="86" t="s">
        <v>29</v>
      </c>
      <c r="E23" s="86" t="s">
        <v>21</v>
      </c>
      <c r="F23" s="86">
        <v>250</v>
      </c>
      <c r="G23" s="86"/>
      <c r="H23" s="86"/>
      <c r="I23" s="86">
        <v>16</v>
      </c>
      <c r="J23" s="86">
        <v>1</v>
      </c>
      <c r="K23" s="86">
        <f t="shared" ref="K23" si="11">F23*I23</f>
        <v>4000</v>
      </c>
      <c r="L23" s="86">
        <f t="shared" ref="L23" si="12">K23*J23</f>
        <v>4000</v>
      </c>
      <c r="M23" s="89" t="s">
        <v>22</v>
      </c>
      <c r="Q23" s="103">
        <v>24.07</v>
      </c>
      <c r="R23" s="103">
        <v>60781</v>
      </c>
      <c r="S23" s="103">
        <v>67421</v>
      </c>
      <c r="T23" s="104">
        <v>0.78300000000000003</v>
      </c>
      <c r="U23" s="103">
        <v>20.727</v>
      </c>
      <c r="V23" s="103">
        <v>17.908999999999999</v>
      </c>
      <c r="W23" s="103">
        <f>R23-R22</f>
        <v>175</v>
      </c>
    </row>
    <row r="24" spans="1:23" hidden="1" x14ac:dyDescent="0.25">
      <c r="A24" s="118" t="s">
        <v>214</v>
      </c>
      <c r="B24" s="125" t="s">
        <v>27</v>
      </c>
      <c r="C24" s="126" t="s">
        <v>28</v>
      </c>
      <c r="D24" s="86" t="s">
        <v>29</v>
      </c>
      <c r="E24" s="86" t="s">
        <v>30</v>
      </c>
      <c r="F24" s="86"/>
      <c r="G24" s="86"/>
      <c r="H24" s="86"/>
      <c r="I24" s="86"/>
      <c r="J24" s="86"/>
      <c r="K24" s="86">
        <v>3500</v>
      </c>
      <c r="L24" s="114">
        <f t="shared" si="10"/>
        <v>3500</v>
      </c>
      <c r="M24" s="89" t="s">
        <v>31</v>
      </c>
    </row>
    <row r="25" spans="1:23" hidden="1" x14ac:dyDescent="0.25">
      <c r="A25" s="118" t="s">
        <v>214</v>
      </c>
      <c r="B25" s="95" t="s">
        <v>44</v>
      </c>
      <c r="C25" s="86" t="s">
        <v>45</v>
      </c>
      <c r="D25" s="86" t="s">
        <v>46</v>
      </c>
      <c r="E25" s="86" t="s">
        <v>30</v>
      </c>
      <c r="F25" s="86"/>
      <c r="G25" s="86"/>
      <c r="H25" s="86"/>
      <c r="I25" s="86"/>
      <c r="J25" s="86"/>
      <c r="K25" s="86">
        <v>1000</v>
      </c>
      <c r="L25" s="86">
        <f t="shared" si="10"/>
        <v>1000</v>
      </c>
      <c r="M25" s="89" t="s">
        <v>48</v>
      </c>
    </row>
    <row r="26" spans="1:23" hidden="1" x14ac:dyDescent="0.25">
      <c r="A26" s="118" t="s">
        <v>214</v>
      </c>
      <c r="B26" s="86" t="s">
        <v>14</v>
      </c>
      <c r="C26" s="114" t="s">
        <v>56</v>
      </c>
      <c r="D26" s="86" t="s">
        <v>57</v>
      </c>
      <c r="E26" s="94" t="s">
        <v>35</v>
      </c>
      <c r="F26" s="114"/>
      <c r="G26" s="114" t="s">
        <v>77</v>
      </c>
      <c r="H26" s="114"/>
      <c r="I26" s="114"/>
      <c r="J26" s="114">
        <v>1</v>
      </c>
      <c r="K26" s="114">
        <v>8000</v>
      </c>
      <c r="L26" s="114">
        <f t="shared" si="10"/>
        <v>8000</v>
      </c>
      <c r="M26" s="111" t="s">
        <v>91</v>
      </c>
    </row>
    <row r="27" spans="1:23" hidden="1" x14ac:dyDescent="0.25">
      <c r="A27" s="118" t="s">
        <v>214</v>
      </c>
      <c r="B27" s="86" t="s">
        <v>14</v>
      </c>
      <c r="C27" s="114" t="s">
        <v>56</v>
      </c>
      <c r="D27" s="86" t="s">
        <v>57</v>
      </c>
      <c r="E27" s="86" t="s">
        <v>39</v>
      </c>
      <c r="F27" s="114"/>
      <c r="G27" s="114" t="s">
        <v>36</v>
      </c>
      <c r="H27" s="114"/>
      <c r="I27" s="114"/>
      <c r="J27" s="114">
        <v>2</v>
      </c>
      <c r="K27" s="114">
        <v>4000</v>
      </c>
      <c r="L27" s="114">
        <f>K27*2</f>
        <v>8000</v>
      </c>
      <c r="M27" s="111" t="s">
        <v>181</v>
      </c>
      <c r="Q27" s="103">
        <v>1.08</v>
      </c>
      <c r="R27" s="103">
        <v>61989</v>
      </c>
      <c r="S27" s="103">
        <v>68996</v>
      </c>
      <c r="T27" s="104">
        <v>0.88900000000000001</v>
      </c>
      <c r="U27" s="103">
        <v>21.417000000000002</v>
      </c>
      <c r="V27" s="103">
        <v>21.513999999999999</v>
      </c>
      <c r="W27" s="103">
        <f>R27-R23</f>
        <v>1208</v>
      </c>
    </row>
    <row r="28" spans="1:23" hidden="1" x14ac:dyDescent="0.25">
      <c r="A28" s="118" t="s">
        <v>215</v>
      </c>
      <c r="B28" s="85" t="s">
        <v>23</v>
      </c>
      <c r="C28" s="114">
        <v>65548</v>
      </c>
      <c r="D28" s="91" t="s">
        <v>24</v>
      </c>
      <c r="E28" s="92" t="s">
        <v>30</v>
      </c>
      <c r="F28" s="114"/>
      <c r="G28" s="115" t="s">
        <v>36</v>
      </c>
      <c r="H28" s="114"/>
      <c r="I28" s="114"/>
      <c r="J28" s="114"/>
      <c r="K28" s="114">
        <v>800</v>
      </c>
      <c r="L28" s="114">
        <f t="shared" ref="L28:L30" si="13">K28</f>
        <v>800</v>
      </c>
      <c r="M28" s="111" t="s">
        <v>180</v>
      </c>
      <c r="Q28" s="103">
        <v>2.08</v>
      </c>
      <c r="R28" s="103">
        <v>62150</v>
      </c>
      <c r="S28" s="103">
        <v>69196</v>
      </c>
      <c r="T28" s="104">
        <v>0.83</v>
      </c>
      <c r="U28" s="103">
        <v>18.788</v>
      </c>
      <c r="V28" s="103">
        <v>21.513999999999999</v>
      </c>
      <c r="W28" s="103">
        <f t="shared" ref="W28:W33" si="14">R28-R27</f>
        <v>161</v>
      </c>
    </row>
    <row r="29" spans="1:23" hidden="1" x14ac:dyDescent="0.25">
      <c r="A29" s="118" t="s">
        <v>215</v>
      </c>
      <c r="B29" s="85" t="s">
        <v>23</v>
      </c>
      <c r="C29" s="114">
        <v>66772</v>
      </c>
      <c r="D29" s="86" t="s">
        <v>34</v>
      </c>
      <c r="E29" s="87" t="s">
        <v>35</v>
      </c>
      <c r="F29" s="114"/>
      <c r="G29" s="115" t="s">
        <v>77</v>
      </c>
      <c r="H29" s="114"/>
      <c r="I29" s="114"/>
      <c r="J29" s="114"/>
      <c r="K29" s="114">
        <v>4300</v>
      </c>
      <c r="L29" s="114">
        <f t="shared" si="13"/>
        <v>4300</v>
      </c>
      <c r="M29" s="111" t="s">
        <v>26</v>
      </c>
      <c r="Q29" s="103">
        <v>3.08</v>
      </c>
      <c r="R29" s="103">
        <v>62340</v>
      </c>
      <c r="S29" s="103">
        <v>69471</v>
      </c>
      <c r="T29" s="104">
        <v>0.77</v>
      </c>
      <c r="U29" s="103">
        <v>20.931000000000001</v>
      </c>
      <c r="V29" s="103">
        <v>21.513999999999999</v>
      </c>
      <c r="W29" s="103">
        <f t="shared" si="14"/>
        <v>190</v>
      </c>
    </row>
    <row r="30" spans="1:23" hidden="1" x14ac:dyDescent="0.25">
      <c r="A30" s="118" t="s">
        <v>215</v>
      </c>
      <c r="B30" s="85" t="s">
        <v>23</v>
      </c>
      <c r="C30" s="114">
        <v>66772</v>
      </c>
      <c r="D30" s="86" t="s">
        <v>34</v>
      </c>
      <c r="E30" s="93" t="s">
        <v>39</v>
      </c>
      <c r="F30" s="114"/>
      <c r="G30" s="115" t="s">
        <v>36</v>
      </c>
      <c r="H30" s="114"/>
      <c r="I30" s="114"/>
      <c r="J30" s="114"/>
      <c r="K30" s="114">
        <v>5000</v>
      </c>
      <c r="L30" s="114">
        <f t="shared" si="13"/>
        <v>5000</v>
      </c>
      <c r="M30" s="111" t="s">
        <v>179</v>
      </c>
      <c r="Q30" s="103">
        <v>5.08</v>
      </c>
      <c r="R30" s="103">
        <v>62650</v>
      </c>
      <c r="S30" s="103">
        <v>69888</v>
      </c>
      <c r="T30" s="104">
        <v>0.75800000000000001</v>
      </c>
      <c r="U30" s="103">
        <v>20.931000000000001</v>
      </c>
      <c r="V30" s="103">
        <v>21.513999999999999</v>
      </c>
      <c r="W30" s="103">
        <f t="shared" si="14"/>
        <v>310</v>
      </c>
    </row>
    <row r="31" spans="1:23" hidden="1" x14ac:dyDescent="0.25">
      <c r="A31" s="118" t="s">
        <v>215</v>
      </c>
      <c r="B31" s="85" t="s">
        <v>23</v>
      </c>
      <c r="C31" s="114">
        <v>66772</v>
      </c>
      <c r="D31" s="86" t="s">
        <v>34</v>
      </c>
      <c r="E31" s="92" t="s">
        <v>30</v>
      </c>
      <c r="F31" s="114"/>
      <c r="G31" s="115" t="s">
        <v>78</v>
      </c>
      <c r="H31" s="114"/>
      <c r="I31" s="114"/>
      <c r="J31" s="114"/>
      <c r="K31" s="114">
        <v>5000</v>
      </c>
      <c r="L31" s="114">
        <f>K31</f>
        <v>5000</v>
      </c>
      <c r="M31" s="111" t="s">
        <v>180</v>
      </c>
      <c r="Q31" s="103">
        <v>6.08</v>
      </c>
      <c r="R31" s="103">
        <v>62812</v>
      </c>
      <c r="S31" s="103">
        <v>70107</v>
      </c>
      <c r="T31" s="104">
        <v>0.755</v>
      </c>
      <c r="U31" s="103">
        <v>20.965</v>
      </c>
      <c r="V31" s="103">
        <v>21.513999999999999</v>
      </c>
      <c r="W31" s="103">
        <f t="shared" si="14"/>
        <v>162</v>
      </c>
    </row>
    <row r="32" spans="1:23" hidden="1" x14ac:dyDescent="0.25">
      <c r="A32" s="118" t="s">
        <v>215</v>
      </c>
      <c r="B32" s="125" t="s">
        <v>27</v>
      </c>
      <c r="C32" s="126" t="s">
        <v>28</v>
      </c>
      <c r="D32" s="86" t="s">
        <v>29</v>
      </c>
      <c r="E32" s="86" t="s">
        <v>21</v>
      </c>
      <c r="F32" s="86">
        <v>170</v>
      </c>
      <c r="G32" s="86"/>
      <c r="H32" s="86"/>
      <c r="I32" s="86">
        <v>16</v>
      </c>
      <c r="J32" s="86">
        <v>1</v>
      </c>
      <c r="K32" s="86">
        <f t="shared" ref="K32" si="15">F32*I32</f>
        <v>2720</v>
      </c>
      <c r="L32" s="86">
        <f t="shared" ref="L32" si="16">K32*J32</f>
        <v>2720</v>
      </c>
      <c r="M32" s="89" t="s">
        <v>22</v>
      </c>
      <c r="Q32" s="103">
        <v>8.08</v>
      </c>
      <c r="R32" s="103">
        <v>63131</v>
      </c>
      <c r="S32" s="103">
        <v>70534</v>
      </c>
      <c r="T32" s="104">
        <v>0.753</v>
      </c>
      <c r="U32" s="103">
        <v>20.965</v>
      </c>
      <c r="V32" s="103">
        <v>21.513999999999999</v>
      </c>
      <c r="W32" s="103">
        <f t="shared" si="14"/>
        <v>319</v>
      </c>
    </row>
    <row r="33" spans="1:23" hidden="1" x14ac:dyDescent="0.25">
      <c r="A33" s="118" t="s">
        <v>215</v>
      </c>
      <c r="B33" s="125" t="s">
        <v>27</v>
      </c>
      <c r="C33" s="126" t="s">
        <v>28</v>
      </c>
      <c r="D33" s="86" t="s">
        <v>29</v>
      </c>
      <c r="E33" s="86" t="s">
        <v>30</v>
      </c>
      <c r="F33" s="86"/>
      <c r="G33" s="86"/>
      <c r="H33" s="86"/>
      <c r="I33" s="86"/>
      <c r="J33" s="86"/>
      <c r="K33" s="86">
        <v>2600</v>
      </c>
      <c r="L33" s="114">
        <f t="shared" ref="L33:L34" si="17">K33</f>
        <v>2600</v>
      </c>
      <c r="M33" s="89" t="s">
        <v>31</v>
      </c>
      <c r="Q33" s="103">
        <v>9.08</v>
      </c>
      <c r="R33" s="103">
        <v>63304</v>
      </c>
      <c r="S33" s="103">
        <v>70786</v>
      </c>
      <c r="T33" s="104">
        <v>0.747</v>
      </c>
      <c r="U33" s="103">
        <v>21.016999999999999</v>
      </c>
      <c r="V33" s="103">
        <v>21.513999999999999</v>
      </c>
      <c r="W33" s="103">
        <f t="shared" si="14"/>
        <v>173</v>
      </c>
    </row>
    <row r="34" spans="1:23" hidden="1" x14ac:dyDescent="0.25">
      <c r="A34" s="118" t="s">
        <v>215</v>
      </c>
      <c r="B34" s="86" t="s">
        <v>14</v>
      </c>
      <c r="C34" s="114" t="s">
        <v>56</v>
      </c>
      <c r="D34" s="86" t="s">
        <v>57</v>
      </c>
      <c r="E34" s="94" t="s">
        <v>35</v>
      </c>
      <c r="F34" s="114"/>
      <c r="G34" s="114" t="s">
        <v>77</v>
      </c>
      <c r="H34" s="114"/>
      <c r="I34" s="114"/>
      <c r="J34" s="114">
        <v>1</v>
      </c>
      <c r="K34" s="114">
        <v>3600</v>
      </c>
      <c r="L34" s="114">
        <f t="shared" si="17"/>
        <v>3600</v>
      </c>
      <c r="M34" s="111" t="s">
        <v>91</v>
      </c>
    </row>
    <row r="35" spans="1:23" hidden="1" x14ac:dyDescent="0.25">
      <c r="A35" s="118" t="s">
        <v>215</v>
      </c>
      <c r="B35" s="86" t="s">
        <v>14</v>
      </c>
      <c r="C35" s="114" t="s">
        <v>56</v>
      </c>
      <c r="D35" s="86" t="s">
        <v>57</v>
      </c>
      <c r="E35" s="86" t="s">
        <v>39</v>
      </c>
      <c r="F35" s="114"/>
      <c r="G35" s="114" t="s">
        <v>36</v>
      </c>
      <c r="H35" s="114"/>
      <c r="I35" s="114"/>
      <c r="J35" s="114">
        <v>2</v>
      </c>
      <c r="K35" s="114">
        <v>4000</v>
      </c>
      <c r="L35" s="114">
        <f>K35*2</f>
        <v>8000</v>
      </c>
      <c r="M35" s="111" t="s">
        <v>181</v>
      </c>
    </row>
    <row r="36" spans="1:23" hidden="1" x14ac:dyDescent="0.25">
      <c r="A36" s="118" t="s">
        <v>216</v>
      </c>
      <c r="B36" s="85" t="s">
        <v>23</v>
      </c>
      <c r="C36" s="114">
        <v>66772</v>
      </c>
      <c r="D36" s="86" t="s">
        <v>34</v>
      </c>
      <c r="E36" s="87" t="s">
        <v>35</v>
      </c>
      <c r="F36" s="114"/>
      <c r="G36" s="115" t="s">
        <v>77</v>
      </c>
      <c r="H36" s="114"/>
      <c r="I36" s="114"/>
      <c r="J36" s="114"/>
      <c r="K36" s="114">
        <v>4761</v>
      </c>
      <c r="L36" s="114">
        <f t="shared" ref="L36:L37" si="18">K36</f>
        <v>4761</v>
      </c>
      <c r="M36" s="111" t="s">
        <v>26</v>
      </c>
    </row>
    <row r="37" spans="1:23" hidden="1" x14ac:dyDescent="0.25">
      <c r="A37" s="118" t="s">
        <v>216</v>
      </c>
      <c r="B37" s="85" t="s">
        <v>23</v>
      </c>
      <c r="C37" s="114">
        <v>66772</v>
      </c>
      <c r="D37" s="86" t="s">
        <v>34</v>
      </c>
      <c r="E37" s="93" t="s">
        <v>39</v>
      </c>
      <c r="F37" s="114"/>
      <c r="G37" s="115" t="s">
        <v>36</v>
      </c>
      <c r="H37" s="114"/>
      <c r="I37" s="114"/>
      <c r="J37" s="114"/>
      <c r="K37" s="114">
        <v>3000</v>
      </c>
      <c r="L37" s="114">
        <f t="shared" si="18"/>
        <v>3000</v>
      </c>
      <c r="M37" s="111" t="s">
        <v>179</v>
      </c>
    </row>
    <row r="38" spans="1:23" hidden="1" x14ac:dyDescent="0.25">
      <c r="A38" s="118" t="s">
        <v>216</v>
      </c>
      <c r="B38" s="85" t="s">
        <v>23</v>
      </c>
      <c r="C38" s="114">
        <v>66772</v>
      </c>
      <c r="D38" s="86" t="s">
        <v>34</v>
      </c>
      <c r="E38" s="92" t="s">
        <v>30</v>
      </c>
      <c r="F38" s="114"/>
      <c r="G38" s="115" t="s">
        <v>78</v>
      </c>
      <c r="H38" s="114"/>
      <c r="I38" s="114"/>
      <c r="J38" s="114"/>
      <c r="K38" s="114">
        <v>9000</v>
      </c>
      <c r="L38" s="114">
        <f>K38</f>
        <v>9000</v>
      </c>
      <c r="M38" s="111" t="s">
        <v>180</v>
      </c>
    </row>
    <row r="39" spans="1:23" hidden="1" x14ac:dyDescent="0.25">
      <c r="A39" s="118" t="s">
        <v>216</v>
      </c>
      <c r="B39" s="86" t="s">
        <v>14</v>
      </c>
      <c r="C39" s="114" t="s">
        <v>56</v>
      </c>
      <c r="D39" s="86" t="s">
        <v>57</v>
      </c>
      <c r="E39" s="94" t="s">
        <v>35</v>
      </c>
      <c r="F39" s="114"/>
      <c r="G39" s="114" t="s">
        <v>77</v>
      </c>
      <c r="H39" s="114"/>
      <c r="I39" s="114"/>
      <c r="J39" s="114">
        <v>1</v>
      </c>
      <c r="K39" s="114">
        <v>5000</v>
      </c>
      <c r="L39" s="114">
        <f t="shared" ref="L39" si="19">K39</f>
        <v>5000</v>
      </c>
      <c r="M39" s="111" t="s">
        <v>91</v>
      </c>
    </row>
    <row r="40" spans="1:23" hidden="1" x14ac:dyDescent="0.25">
      <c r="A40" s="118" t="s">
        <v>216</v>
      </c>
      <c r="B40" s="86" t="s">
        <v>14</v>
      </c>
      <c r="C40" s="114" t="s">
        <v>56</v>
      </c>
      <c r="D40" s="86" t="s">
        <v>57</v>
      </c>
      <c r="E40" s="86" t="s">
        <v>39</v>
      </c>
      <c r="F40" s="114"/>
      <c r="G40" s="114" t="s">
        <v>36</v>
      </c>
      <c r="H40" s="114"/>
      <c r="I40" s="114"/>
      <c r="J40" s="114">
        <v>2</v>
      </c>
      <c r="K40" s="114">
        <v>5000</v>
      </c>
      <c r="L40" s="114">
        <f>K40*2</f>
        <v>10000</v>
      </c>
      <c r="M40" s="111" t="s">
        <v>181</v>
      </c>
    </row>
    <row r="41" spans="1:23" hidden="1" x14ac:dyDescent="0.25">
      <c r="A41" s="118" t="s">
        <v>216</v>
      </c>
      <c r="B41" s="125" t="s">
        <v>27</v>
      </c>
      <c r="C41" s="126" t="s">
        <v>28</v>
      </c>
      <c r="D41" s="86" t="s">
        <v>29</v>
      </c>
      <c r="E41" s="86" t="s">
        <v>21</v>
      </c>
      <c r="F41" s="86">
        <v>255</v>
      </c>
      <c r="G41" s="86"/>
      <c r="H41" s="86"/>
      <c r="I41" s="86">
        <v>16</v>
      </c>
      <c r="J41" s="86">
        <v>1</v>
      </c>
      <c r="K41" s="86">
        <f t="shared" ref="K41" si="20">F41*I41</f>
        <v>4080</v>
      </c>
      <c r="L41" s="86">
        <f t="shared" ref="L41" si="21">K41*J41</f>
        <v>4080</v>
      </c>
      <c r="M41" s="89" t="s">
        <v>22</v>
      </c>
      <c r="Q41" s="103">
        <v>26.08</v>
      </c>
      <c r="R41" s="103">
        <v>65090</v>
      </c>
      <c r="S41" s="103">
        <v>70786</v>
      </c>
      <c r="T41" s="104">
        <v>0.747</v>
      </c>
      <c r="U41" s="103">
        <v>21.016999999999999</v>
      </c>
      <c r="V41" s="103">
        <v>21.513999999999999</v>
      </c>
      <c r="W41" s="103">
        <f>R41-R33</f>
        <v>1786</v>
      </c>
    </row>
    <row r="42" spans="1:23" hidden="1" x14ac:dyDescent="0.25">
      <c r="A42" s="118" t="s">
        <v>216</v>
      </c>
      <c r="B42" s="125" t="s">
        <v>27</v>
      </c>
      <c r="C42" s="126" t="s">
        <v>28</v>
      </c>
      <c r="D42" s="86" t="s">
        <v>29</v>
      </c>
      <c r="E42" s="86" t="s">
        <v>30</v>
      </c>
      <c r="F42" s="86"/>
      <c r="G42" s="86"/>
      <c r="H42" s="86"/>
      <c r="I42" s="86"/>
      <c r="J42" s="86"/>
      <c r="K42" s="86">
        <v>2670</v>
      </c>
      <c r="L42" s="114">
        <f t="shared" ref="L42:L43" si="22">K42</f>
        <v>2670</v>
      </c>
      <c r="M42" s="89" t="s">
        <v>31</v>
      </c>
    </row>
    <row r="43" spans="1:23" ht="16.5" hidden="1" x14ac:dyDescent="0.3">
      <c r="A43" s="118" t="s">
        <v>216</v>
      </c>
      <c r="B43" s="128" t="s">
        <v>217</v>
      </c>
      <c r="C43" s="114">
        <v>104</v>
      </c>
      <c r="D43" s="86" t="s">
        <v>218</v>
      </c>
      <c r="E43" s="86" t="s">
        <v>30</v>
      </c>
      <c r="F43" s="86"/>
      <c r="G43" s="86"/>
      <c r="H43" s="86"/>
      <c r="I43" s="86"/>
      <c r="J43" s="86"/>
      <c r="K43" s="86">
        <v>1400</v>
      </c>
      <c r="L43" s="114">
        <f t="shared" si="22"/>
        <v>1400</v>
      </c>
      <c r="M43" s="89" t="s">
        <v>26</v>
      </c>
      <c r="W43" s="129">
        <f>SUM(W8:W42)</f>
        <v>8342</v>
      </c>
    </row>
    <row r="44" spans="1:23" hidden="1" x14ac:dyDescent="0.25">
      <c r="A44" s="118" t="s">
        <v>219</v>
      </c>
      <c r="B44" s="86" t="s">
        <v>14</v>
      </c>
      <c r="C44" s="114">
        <v>7479</v>
      </c>
      <c r="D44" s="86" t="s">
        <v>20</v>
      </c>
      <c r="E44" s="86" t="s">
        <v>21</v>
      </c>
      <c r="F44" s="114">
        <v>4</v>
      </c>
      <c r="G44" s="114">
        <v>0.15</v>
      </c>
      <c r="H44" s="114">
        <f>G44*F44</f>
        <v>0.6</v>
      </c>
      <c r="I44" s="114">
        <v>80</v>
      </c>
      <c r="J44" s="114">
        <v>1</v>
      </c>
      <c r="K44" s="114">
        <f>F44*I44</f>
        <v>320</v>
      </c>
      <c r="L44" s="114">
        <f>K44*J44</f>
        <v>320</v>
      </c>
      <c r="M44" s="111" t="s">
        <v>22</v>
      </c>
    </row>
    <row r="45" spans="1:23" hidden="1" x14ac:dyDescent="0.25">
      <c r="A45" s="118" t="s">
        <v>219</v>
      </c>
      <c r="B45" s="86" t="s">
        <v>14</v>
      </c>
      <c r="C45" s="114">
        <v>7479</v>
      </c>
      <c r="D45" s="86" t="s">
        <v>20</v>
      </c>
      <c r="E45" s="86" t="s">
        <v>25</v>
      </c>
      <c r="F45" s="114"/>
      <c r="G45" s="114"/>
      <c r="H45" s="114"/>
      <c r="I45" s="114"/>
      <c r="J45" s="114">
        <v>1</v>
      </c>
      <c r="K45" s="114">
        <v>2480</v>
      </c>
      <c r="L45" s="114">
        <f t="shared" ref="L45:L46" si="23">K45</f>
        <v>2480</v>
      </c>
      <c r="M45" s="111" t="s">
        <v>37</v>
      </c>
    </row>
    <row r="46" spans="1:23" hidden="1" x14ac:dyDescent="0.25">
      <c r="A46" s="118" t="s">
        <v>219</v>
      </c>
      <c r="B46" s="85" t="s">
        <v>23</v>
      </c>
      <c r="C46" s="114">
        <v>66772</v>
      </c>
      <c r="D46" s="86" t="s">
        <v>34</v>
      </c>
      <c r="E46" s="93" t="s">
        <v>39</v>
      </c>
      <c r="F46" s="114"/>
      <c r="G46" s="115" t="s">
        <v>36</v>
      </c>
      <c r="H46" s="114"/>
      <c r="I46" s="114"/>
      <c r="J46" s="114"/>
      <c r="K46" s="114">
        <v>3000</v>
      </c>
      <c r="L46" s="114">
        <f t="shared" si="23"/>
        <v>3000</v>
      </c>
      <c r="M46" s="111" t="s">
        <v>179</v>
      </c>
    </row>
    <row r="47" spans="1:23" hidden="1" x14ac:dyDescent="0.25">
      <c r="A47" s="118" t="s">
        <v>219</v>
      </c>
      <c r="B47" s="85" t="s">
        <v>23</v>
      </c>
      <c r="C47" s="114">
        <v>66772</v>
      </c>
      <c r="D47" s="86" t="s">
        <v>34</v>
      </c>
      <c r="E47" s="92" t="s">
        <v>30</v>
      </c>
      <c r="F47" s="114"/>
      <c r="G47" s="115" t="s">
        <v>78</v>
      </c>
      <c r="H47" s="114"/>
      <c r="I47" s="114"/>
      <c r="J47" s="114"/>
      <c r="K47" s="114">
        <v>6000</v>
      </c>
      <c r="L47" s="114">
        <f>K47</f>
        <v>6000</v>
      </c>
      <c r="M47" s="111" t="s">
        <v>180</v>
      </c>
    </row>
    <row r="48" spans="1:23" hidden="1" x14ac:dyDescent="0.25">
      <c r="A48" s="118" t="s">
        <v>219</v>
      </c>
      <c r="B48" s="125" t="s">
        <v>27</v>
      </c>
      <c r="C48" s="126" t="s">
        <v>28</v>
      </c>
      <c r="D48" s="86" t="s">
        <v>29</v>
      </c>
      <c r="E48" s="86" t="s">
        <v>21</v>
      </c>
      <c r="F48" s="86">
        <v>130</v>
      </c>
      <c r="G48" s="86"/>
      <c r="H48" s="86"/>
      <c r="I48" s="86">
        <v>16</v>
      </c>
      <c r="J48" s="86">
        <v>1</v>
      </c>
      <c r="K48" s="86">
        <f t="shared" ref="K48" si="24">F48*I48</f>
        <v>2080</v>
      </c>
      <c r="L48" s="86">
        <f t="shared" ref="L48" si="25">K48*J48</f>
        <v>2080</v>
      </c>
      <c r="M48" s="89" t="s">
        <v>22</v>
      </c>
    </row>
    <row r="49" spans="1:13" hidden="1" x14ac:dyDescent="0.25">
      <c r="A49" s="118" t="s">
        <v>219</v>
      </c>
      <c r="B49" s="125" t="s">
        <v>27</v>
      </c>
      <c r="C49" s="126" t="s">
        <v>28</v>
      </c>
      <c r="D49" s="86" t="s">
        <v>29</v>
      </c>
      <c r="E49" s="86" t="s">
        <v>30</v>
      </c>
      <c r="F49" s="86"/>
      <c r="G49" s="86"/>
      <c r="H49" s="86"/>
      <c r="I49" s="86"/>
      <c r="J49" s="86"/>
      <c r="K49" s="86">
        <v>3570</v>
      </c>
      <c r="L49" s="114">
        <f t="shared" ref="L49" si="26">K49</f>
        <v>3570</v>
      </c>
      <c r="M49" s="89" t="s">
        <v>31</v>
      </c>
    </row>
    <row r="50" spans="1:13" x14ac:dyDescent="0.25">
      <c r="A50" s="118" t="s">
        <v>219</v>
      </c>
      <c r="B50" s="86" t="s">
        <v>14</v>
      </c>
      <c r="C50" s="114" t="s">
        <v>71</v>
      </c>
      <c r="D50" s="86" t="s">
        <v>72</v>
      </c>
      <c r="E50" s="86" t="s">
        <v>21</v>
      </c>
      <c r="F50" s="114">
        <v>75</v>
      </c>
      <c r="G50" s="114">
        <v>1.095</v>
      </c>
      <c r="H50" s="114">
        <f>F50*G50</f>
        <v>82.125</v>
      </c>
      <c r="I50" s="114">
        <v>58</v>
      </c>
      <c r="J50" s="114">
        <v>1</v>
      </c>
      <c r="K50" s="114">
        <f t="shared" ref="K50" si="27">F50*I50</f>
        <v>4350</v>
      </c>
      <c r="L50" s="114">
        <f t="shared" ref="L50" si="28">K50*J50</f>
        <v>4350</v>
      </c>
      <c r="M50" s="111" t="s">
        <v>179</v>
      </c>
    </row>
    <row r="51" spans="1:13" hidden="1" x14ac:dyDescent="0.25">
      <c r="A51" s="118" t="s">
        <v>219</v>
      </c>
      <c r="B51" s="86" t="s">
        <v>14</v>
      </c>
      <c r="C51" s="114" t="s">
        <v>56</v>
      </c>
      <c r="D51" s="86" t="s">
        <v>57</v>
      </c>
      <c r="E51" s="86" t="s">
        <v>39</v>
      </c>
      <c r="F51" s="114"/>
      <c r="G51" s="114" t="s">
        <v>36</v>
      </c>
      <c r="H51" s="114"/>
      <c r="I51" s="114"/>
      <c r="J51" s="114">
        <v>2</v>
      </c>
      <c r="K51" s="114">
        <v>4000</v>
      </c>
      <c r="L51" s="114">
        <f>K51*2</f>
        <v>8000</v>
      </c>
      <c r="M51" s="111" t="s">
        <v>181</v>
      </c>
    </row>
    <row r="52" spans="1:13" hidden="1" x14ac:dyDescent="0.25">
      <c r="A52" s="118" t="s">
        <v>219</v>
      </c>
      <c r="B52" s="86" t="s">
        <v>14</v>
      </c>
      <c r="C52" s="114">
        <v>6078</v>
      </c>
      <c r="D52" s="86" t="s">
        <v>16</v>
      </c>
      <c r="E52" s="86" t="s">
        <v>17</v>
      </c>
      <c r="F52" s="114">
        <v>23</v>
      </c>
      <c r="G52" s="114">
        <v>0.32500000000000001</v>
      </c>
      <c r="H52" s="114">
        <f t="shared" ref="H52" si="29">F52*G52</f>
        <v>7.4750000000000005</v>
      </c>
      <c r="I52" s="114">
        <v>62</v>
      </c>
      <c r="J52" s="114">
        <v>4</v>
      </c>
      <c r="K52" s="114">
        <f t="shared" ref="K52" si="30">F52*I52</f>
        <v>1426</v>
      </c>
      <c r="L52" s="114">
        <f>K52*J52</f>
        <v>5704</v>
      </c>
      <c r="M52" s="111" t="s">
        <v>18</v>
      </c>
    </row>
    <row r="53" spans="1:13" hidden="1" x14ac:dyDescent="0.25">
      <c r="A53" s="118" t="s">
        <v>219</v>
      </c>
      <c r="B53" s="95" t="s">
        <v>44</v>
      </c>
      <c r="C53" s="114" t="s">
        <v>45</v>
      </c>
      <c r="D53" s="86" t="s">
        <v>46</v>
      </c>
      <c r="E53" s="86" t="s">
        <v>47</v>
      </c>
      <c r="F53" s="114"/>
      <c r="G53" s="114"/>
      <c r="H53" s="114"/>
      <c r="I53" s="114"/>
      <c r="J53" s="114"/>
      <c r="K53" s="114">
        <v>1583</v>
      </c>
      <c r="L53" s="114">
        <f t="shared" ref="L53" si="31">K53</f>
        <v>1583</v>
      </c>
      <c r="M53" s="111" t="s">
        <v>48</v>
      </c>
    </row>
    <row r="54" spans="1:13" hidden="1" x14ac:dyDescent="0.25">
      <c r="A54" s="118" t="s">
        <v>219</v>
      </c>
      <c r="B54" s="86" t="s">
        <v>14</v>
      </c>
      <c r="C54" s="114">
        <v>12028</v>
      </c>
      <c r="D54" s="86" t="s">
        <v>16</v>
      </c>
      <c r="E54" s="86" t="s">
        <v>17</v>
      </c>
      <c r="F54" s="114">
        <v>19</v>
      </c>
      <c r="G54" s="114">
        <v>0.67500000000000004</v>
      </c>
      <c r="H54" s="114">
        <f>G54*F54</f>
        <v>12.825000000000001</v>
      </c>
      <c r="I54" s="114">
        <v>42</v>
      </c>
      <c r="J54" s="114">
        <v>4</v>
      </c>
      <c r="K54" s="114">
        <f t="shared" ref="K54" si="32">F54*I54</f>
        <v>798</v>
      </c>
      <c r="L54" s="114">
        <f>K54*J54</f>
        <v>3192</v>
      </c>
      <c r="M54" s="111" t="s">
        <v>18</v>
      </c>
    </row>
    <row r="55" spans="1:13" hidden="1" x14ac:dyDescent="0.25">
      <c r="A55" s="118" t="s">
        <v>219</v>
      </c>
      <c r="B55" s="128" t="s">
        <v>217</v>
      </c>
      <c r="C55" s="114">
        <v>104</v>
      </c>
      <c r="D55" s="86" t="s">
        <v>218</v>
      </c>
      <c r="E55" s="86" t="s">
        <v>30</v>
      </c>
      <c r="F55" s="86"/>
      <c r="G55" s="86"/>
      <c r="H55" s="86"/>
      <c r="I55" s="86"/>
      <c r="J55" s="86"/>
      <c r="K55" s="86">
        <v>3360</v>
      </c>
      <c r="L55" s="114">
        <f t="shared" ref="L55:L56" si="33">K55</f>
        <v>3360</v>
      </c>
      <c r="M55" s="89" t="s">
        <v>26</v>
      </c>
    </row>
    <row r="56" spans="1:13" hidden="1" x14ac:dyDescent="0.25">
      <c r="A56" s="118" t="s">
        <v>220</v>
      </c>
      <c r="B56" s="85" t="s">
        <v>23</v>
      </c>
      <c r="C56" s="114">
        <v>66772</v>
      </c>
      <c r="D56" s="86" t="s">
        <v>34</v>
      </c>
      <c r="E56" s="93" t="s">
        <v>39</v>
      </c>
      <c r="F56" s="114"/>
      <c r="G56" s="115" t="s">
        <v>36</v>
      </c>
      <c r="H56" s="114"/>
      <c r="I56" s="114"/>
      <c r="J56" s="114"/>
      <c r="K56" s="114">
        <v>1750</v>
      </c>
      <c r="L56" s="114">
        <f t="shared" si="33"/>
        <v>1750</v>
      </c>
      <c r="M56" s="111" t="s">
        <v>179</v>
      </c>
    </row>
    <row r="57" spans="1:13" hidden="1" x14ac:dyDescent="0.25">
      <c r="A57" s="118" t="s">
        <v>220</v>
      </c>
      <c r="B57" s="85" t="s">
        <v>23</v>
      </c>
      <c r="C57" s="114">
        <v>66772</v>
      </c>
      <c r="D57" s="86" t="s">
        <v>34</v>
      </c>
      <c r="E57" s="92" t="s">
        <v>30</v>
      </c>
      <c r="F57" s="114"/>
      <c r="G57" s="115" t="s">
        <v>78</v>
      </c>
      <c r="H57" s="114"/>
      <c r="I57" s="114"/>
      <c r="J57" s="114"/>
      <c r="K57" s="114">
        <v>1500</v>
      </c>
      <c r="L57" s="114">
        <f>K57</f>
        <v>1500</v>
      </c>
      <c r="M57" s="111" t="s">
        <v>180</v>
      </c>
    </row>
    <row r="58" spans="1:13" hidden="1" x14ac:dyDescent="0.25">
      <c r="A58" s="118" t="s">
        <v>220</v>
      </c>
      <c r="B58" s="86" t="s">
        <v>14</v>
      </c>
      <c r="C58" s="114">
        <v>7479</v>
      </c>
      <c r="D58" s="86" t="s">
        <v>20</v>
      </c>
      <c r="E58" s="86" t="s">
        <v>21</v>
      </c>
      <c r="F58" s="114">
        <v>110</v>
      </c>
      <c r="G58" s="114">
        <v>0.15</v>
      </c>
      <c r="H58" s="114">
        <f>G58*F58</f>
        <v>16.5</v>
      </c>
      <c r="I58" s="114">
        <v>80</v>
      </c>
      <c r="J58" s="114">
        <v>1</v>
      </c>
      <c r="K58" s="114">
        <f>F58*I58</f>
        <v>8800</v>
      </c>
      <c r="L58" s="114">
        <f>K58*J58</f>
        <v>8800</v>
      </c>
      <c r="M58" s="111" t="s">
        <v>22</v>
      </c>
    </row>
    <row r="59" spans="1:13" hidden="1" x14ac:dyDescent="0.25">
      <c r="A59" s="118" t="s">
        <v>220</v>
      </c>
      <c r="B59" s="86" t="s">
        <v>14</v>
      </c>
      <c r="C59" s="114">
        <v>7479</v>
      </c>
      <c r="D59" s="86" t="s">
        <v>20</v>
      </c>
      <c r="E59" s="86" t="s">
        <v>25</v>
      </c>
      <c r="F59" s="114"/>
      <c r="G59" s="114"/>
      <c r="H59" s="114"/>
      <c r="I59" s="114"/>
      <c r="J59" s="114">
        <v>1</v>
      </c>
      <c r="K59" s="114">
        <v>3500</v>
      </c>
      <c r="L59" s="114">
        <f t="shared" ref="L59" si="34">K59</f>
        <v>3500</v>
      </c>
      <c r="M59" s="111" t="s">
        <v>37</v>
      </c>
    </row>
    <row r="60" spans="1:13" hidden="1" x14ac:dyDescent="0.25">
      <c r="A60" s="118" t="s">
        <v>220</v>
      </c>
      <c r="B60" s="86" t="s">
        <v>14</v>
      </c>
      <c r="C60" s="114">
        <v>6078</v>
      </c>
      <c r="D60" s="86" t="s">
        <v>16</v>
      </c>
      <c r="E60" s="86" t="s">
        <v>17</v>
      </c>
      <c r="F60" s="114">
        <v>44</v>
      </c>
      <c r="G60" s="114">
        <v>0.32500000000000001</v>
      </c>
      <c r="H60" s="114">
        <f t="shared" ref="H60" si="35">F60*G60</f>
        <v>14.3</v>
      </c>
      <c r="I60" s="114">
        <v>62</v>
      </c>
      <c r="J60" s="114">
        <v>4</v>
      </c>
      <c r="K60" s="114">
        <f t="shared" ref="K60:K61" si="36">F60*I60</f>
        <v>2728</v>
      </c>
      <c r="L60" s="114">
        <f>K60*J60</f>
        <v>10912</v>
      </c>
      <c r="M60" s="111" t="s">
        <v>18</v>
      </c>
    </row>
    <row r="61" spans="1:13" hidden="1" x14ac:dyDescent="0.25">
      <c r="A61" s="118" t="s">
        <v>220</v>
      </c>
      <c r="B61" s="86" t="s">
        <v>14</v>
      </c>
      <c r="C61" s="114">
        <v>12028</v>
      </c>
      <c r="D61" s="86" t="s">
        <v>16</v>
      </c>
      <c r="E61" s="86" t="s">
        <v>17</v>
      </c>
      <c r="F61" s="114">
        <v>79</v>
      </c>
      <c r="G61" s="114">
        <v>0.67500000000000004</v>
      </c>
      <c r="H61" s="114">
        <f>G61*F61</f>
        <v>53.325000000000003</v>
      </c>
      <c r="I61" s="114">
        <v>42</v>
      </c>
      <c r="J61" s="114">
        <v>4</v>
      </c>
      <c r="K61" s="114">
        <f t="shared" si="36"/>
        <v>3318</v>
      </c>
      <c r="L61" s="114">
        <f>K61*J61</f>
        <v>13272</v>
      </c>
      <c r="M61" s="111" t="s">
        <v>18</v>
      </c>
    </row>
    <row r="62" spans="1:13" hidden="1" x14ac:dyDescent="0.25">
      <c r="A62" s="118" t="s">
        <v>220</v>
      </c>
      <c r="B62" s="128" t="s">
        <v>217</v>
      </c>
      <c r="C62" s="114">
        <v>104</v>
      </c>
      <c r="D62" s="86" t="s">
        <v>218</v>
      </c>
      <c r="E62" s="86" t="s">
        <v>30</v>
      </c>
      <c r="F62" s="86"/>
      <c r="G62" s="86"/>
      <c r="H62" s="86"/>
      <c r="I62" s="86"/>
      <c r="J62" s="86"/>
      <c r="K62" s="86">
        <v>2843</v>
      </c>
      <c r="L62" s="114">
        <f t="shared" ref="L62:L65" si="37">K62</f>
        <v>2843</v>
      </c>
      <c r="M62" s="89" t="s">
        <v>26</v>
      </c>
    </row>
    <row r="63" spans="1:13" hidden="1" x14ac:dyDescent="0.25">
      <c r="A63" s="118" t="s">
        <v>220</v>
      </c>
      <c r="B63" s="95" t="s">
        <v>44</v>
      </c>
      <c r="C63" s="114" t="s">
        <v>45</v>
      </c>
      <c r="D63" s="86" t="s">
        <v>46</v>
      </c>
      <c r="E63" s="86" t="s">
        <v>47</v>
      </c>
      <c r="F63" s="114"/>
      <c r="G63" s="114"/>
      <c r="H63" s="114"/>
      <c r="I63" s="114"/>
      <c r="J63" s="114"/>
      <c r="K63" s="114">
        <v>2670</v>
      </c>
      <c r="L63" s="114">
        <f t="shared" si="37"/>
        <v>2670</v>
      </c>
      <c r="M63" s="111" t="s">
        <v>48</v>
      </c>
    </row>
    <row r="64" spans="1:13" hidden="1" x14ac:dyDescent="0.25">
      <c r="A64" s="118" t="s">
        <v>221</v>
      </c>
      <c r="B64" s="85" t="s">
        <v>23</v>
      </c>
      <c r="C64" s="114">
        <v>66772</v>
      </c>
      <c r="D64" s="86" t="s">
        <v>34</v>
      </c>
      <c r="E64" s="87" t="s">
        <v>35</v>
      </c>
      <c r="F64" s="114"/>
      <c r="G64" s="115" t="s">
        <v>77</v>
      </c>
      <c r="H64" s="114"/>
      <c r="I64" s="114"/>
      <c r="J64" s="114"/>
      <c r="K64" s="114">
        <v>5400</v>
      </c>
      <c r="L64" s="114">
        <f t="shared" si="37"/>
        <v>5400</v>
      </c>
      <c r="M64" s="111" t="s">
        <v>26</v>
      </c>
    </row>
    <row r="65" spans="1:13" hidden="1" x14ac:dyDescent="0.25">
      <c r="A65" s="118" t="s">
        <v>221</v>
      </c>
      <c r="B65" s="85" t="s">
        <v>23</v>
      </c>
      <c r="C65" s="114">
        <v>66772</v>
      </c>
      <c r="D65" s="86" t="s">
        <v>34</v>
      </c>
      <c r="E65" s="93" t="s">
        <v>39</v>
      </c>
      <c r="F65" s="114"/>
      <c r="G65" s="115" t="s">
        <v>36</v>
      </c>
      <c r="H65" s="114"/>
      <c r="I65" s="114"/>
      <c r="J65" s="114"/>
      <c r="K65" s="114">
        <v>5000</v>
      </c>
      <c r="L65" s="114">
        <f t="shared" si="37"/>
        <v>5000</v>
      </c>
      <c r="M65" s="111" t="s">
        <v>179</v>
      </c>
    </row>
    <row r="66" spans="1:13" hidden="1" x14ac:dyDescent="0.25">
      <c r="A66" s="118" t="s">
        <v>221</v>
      </c>
      <c r="B66" s="85" t="s">
        <v>23</v>
      </c>
      <c r="C66" s="114">
        <v>66772</v>
      </c>
      <c r="D66" s="86" t="s">
        <v>34</v>
      </c>
      <c r="E66" s="92" t="s">
        <v>30</v>
      </c>
      <c r="F66" s="114"/>
      <c r="G66" s="115" t="s">
        <v>78</v>
      </c>
      <c r="H66" s="114"/>
      <c r="I66" s="114"/>
      <c r="J66" s="114"/>
      <c r="K66" s="114">
        <v>4000</v>
      </c>
      <c r="L66" s="114">
        <f>K66</f>
        <v>4000</v>
      </c>
      <c r="M66" s="111" t="s">
        <v>180</v>
      </c>
    </row>
    <row r="67" spans="1:13" hidden="1" x14ac:dyDescent="0.25">
      <c r="A67" s="118" t="s">
        <v>221</v>
      </c>
      <c r="B67" s="86" t="s">
        <v>14</v>
      </c>
      <c r="C67" s="114">
        <v>6078</v>
      </c>
      <c r="D67" s="86" t="s">
        <v>16</v>
      </c>
      <c r="E67" s="86" t="s">
        <v>17</v>
      </c>
      <c r="F67" s="114">
        <v>40</v>
      </c>
      <c r="G67" s="114">
        <v>0.32500000000000001</v>
      </c>
      <c r="H67" s="114">
        <f t="shared" ref="H67" si="38">F67*G67</f>
        <v>13</v>
      </c>
      <c r="I67" s="114">
        <v>62</v>
      </c>
      <c r="J67" s="114">
        <v>4</v>
      </c>
      <c r="K67" s="114">
        <f t="shared" ref="K67:K68" si="39">F67*I67</f>
        <v>2480</v>
      </c>
      <c r="L67" s="114">
        <f>K67*J67</f>
        <v>9920</v>
      </c>
      <c r="M67" s="111" t="s">
        <v>18</v>
      </c>
    </row>
    <row r="68" spans="1:13" hidden="1" x14ac:dyDescent="0.25">
      <c r="A68" s="118" t="s">
        <v>221</v>
      </c>
      <c r="B68" s="86" t="s">
        <v>14</v>
      </c>
      <c r="C68" s="86" t="s">
        <v>49</v>
      </c>
      <c r="D68" s="86" t="s">
        <v>50</v>
      </c>
      <c r="E68" s="86" t="s">
        <v>17</v>
      </c>
      <c r="F68" s="86">
        <v>215</v>
      </c>
      <c r="G68" s="86">
        <v>0.26</v>
      </c>
      <c r="H68" s="86">
        <f>F68*G68</f>
        <v>55.9</v>
      </c>
      <c r="I68" s="86">
        <v>28</v>
      </c>
      <c r="J68" s="86">
        <v>1</v>
      </c>
      <c r="K68" s="86">
        <f t="shared" si="39"/>
        <v>6020</v>
      </c>
      <c r="L68" s="86">
        <f t="shared" ref="L68" si="40">K68*J68</f>
        <v>6020</v>
      </c>
      <c r="M68" s="89" t="s">
        <v>22</v>
      </c>
    </row>
    <row r="69" spans="1:13" hidden="1" x14ac:dyDescent="0.25">
      <c r="A69" s="118" t="s">
        <v>221</v>
      </c>
      <c r="B69" s="86" t="s">
        <v>14</v>
      </c>
      <c r="C69" s="86" t="s">
        <v>49</v>
      </c>
      <c r="D69" s="86" t="s">
        <v>50</v>
      </c>
      <c r="E69" s="86" t="s">
        <v>25</v>
      </c>
      <c r="F69" s="86"/>
      <c r="G69" s="86"/>
      <c r="H69" s="86"/>
      <c r="I69" s="86"/>
      <c r="J69" s="86"/>
      <c r="K69" s="86">
        <v>1000</v>
      </c>
      <c r="L69" s="86">
        <f t="shared" ref="L69" si="41">K69</f>
        <v>1000</v>
      </c>
      <c r="M69" s="89" t="s">
        <v>31</v>
      </c>
    </row>
    <row r="70" spans="1:13" hidden="1" x14ac:dyDescent="0.25">
      <c r="A70" s="118" t="s">
        <v>221</v>
      </c>
      <c r="B70" s="86" t="s">
        <v>14</v>
      </c>
      <c r="C70" s="114">
        <v>7479</v>
      </c>
      <c r="D70" s="86" t="s">
        <v>20</v>
      </c>
      <c r="E70" s="86" t="s">
        <v>21</v>
      </c>
      <c r="F70" s="114">
        <v>130</v>
      </c>
      <c r="G70" s="114">
        <v>0.15</v>
      </c>
      <c r="H70" s="114">
        <f>G70*F70</f>
        <v>19.5</v>
      </c>
      <c r="I70" s="114">
        <v>79</v>
      </c>
      <c r="J70" s="114">
        <v>1</v>
      </c>
      <c r="K70" s="114">
        <f>F70*I70</f>
        <v>10270</v>
      </c>
      <c r="L70" s="114">
        <f>K70*J70</f>
        <v>10270</v>
      </c>
      <c r="M70" s="111" t="s">
        <v>22</v>
      </c>
    </row>
    <row r="71" spans="1:13" hidden="1" x14ac:dyDescent="0.25">
      <c r="A71" s="118" t="s">
        <v>221</v>
      </c>
      <c r="B71" s="86" t="s">
        <v>14</v>
      </c>
      <c r="C71" s="114">
        <v>7479</v>
      </c>
      <c r="D71" s="86" t="s">
        <v>20</v>
      </c>
      <c r="E71" s="86" t="s">
        <v>25</v>
      </c>
      <c r="F71" s="114"/>
      <c r="G71" s="114"/>
      <c r="H71" s="114"/>
      <c r="I71" s="114"/>
      <c r="J71" s="114">
        <v>1</v>
      </c>
      <c r="K71" s="114">
        <v>2800</v>
      </c>
      <c r="L71" s="114">
        <f t="shared" ref="L71" si="42">K71</f>
        <v>2800</v>
      </c>
      <c r="M71" s="111" t="s">
        <v>180</v>
      </c>
    </row>
    <row r="72" spans="1:13" hidden="1" x14ac:dyDescent="0.25">
      <c r="A72" s="118" t="s">
        <v>221</v>
      </c>
      <c r="B72" s="86" t="s">
        <v>14</v>
      </c>
      <c r="C72" s="114">
        <v>7479</v>
      </c>
      <c r="D72" s="86" t="s">
        <v>20</v>
      </c>
      <c r="E72" s="86" t="s">
        <v>25</v>
      </c>
      <c r="F72" s="114"/>
      <c r="G72" s="114"/>
      <c r="H72" s="114"/>
      <c r="I72" s="114"/>
      <c r="J72" s="114">
        <v>1</v>
      </c>
      <c r="K72" s="114">
        <v>2800</v>
      </c>
      <c r="L72" s="114">
        <f t="shared" ref="L72:L73" si="43">K72</f>
        <v>2800</v>
      </c>
      <c r="M72" s="111" t="s">
        <v>37</v>
      </c>
    </row>
    <row r="73" spans="1:13" hidden="1" x14ac:dyDescent="0.25">
      <c r="A73" s="118" t="s">
        <v>221</v>
      </c>
      <c r="B73" s="95" t="s">
        <v>44</v>
      </c>
      <c r="C73" s="114" t="s">
        <v>45</v>
      </c>
      <c r="D73" s="86" t="s">
        <v>46</v>
      </c>
      <c r="E73" s="86" t="s">
        <v>47</v>
      </c>
      <c r="F73" s="114"/>
      <c r="G73" s="114"/>
      <c r="H73" s="114"/>
      <c r="I73" s="114"/>
      <c r="J73" s="114"/>
      <c r="K73" s="114">
        <v>1600</v>
      </c>
      <c r="L73" s="114">
        <f t="shared" si="43"/>
        <v>1600</v>
      </c>
      <c r="M73" s="111" t="s">
        <v>48</v>
      </c>
    </row>
    <row r="74" spans="1:13" hidden="1" x14ac:dyDescent="0.25">
      <c r="A74" s="118" t="s">
        <v>221</v>
      </c>
      <c r="B74" s="101" t="s">
        <v>41</v>
      </c>
      <c r="C74" s="114" t="s">
        <v>42</v>
      </c>
      <c r="D74" s="86" t="s">
        <v>93</v>
      </c>
      <c r="E74" s="86" t="s">
        <v>21</v>
      </c>
      <c r="F74" s="114">
        <v>101</v>
      </c>
      <c r="G74" s="114">
        <v>0</v>
      </c>
      <c r="H74" s="114">
        <f>G74*F74</f>
        <v>0</v>
      </c>
      <c r="I74" s="114">
        <v>42</v>
      </c>
      <c r="J74" s="114">
        <v>4</v>
      </c>
      <c r="K74" s="114">
        <f>F74*I74</f>
        <v>4242</v>
      </c>
      <c r="L74" s="114">
        <f>K74*J74</f>
        <v>16968</v>
      </c>
      <c r="M74" s="111" t="s">
        <v>91</v>
      </c>
    </row>
    <row r="75" spans="1:13" hidden="1" x14ac:dyDescent="0.25">
      <c r="A75" s="118" t="s">
        <v>221</v>
      </c>
      <c r="B75" s="128" t="s">
        <v>217</v>
      </c>
      <c r="C75" s="114">
        <v>104</v>
      </c>
      <c r="D75" s="86" t="s">
        <v>218</v>
      </c>
      <c r="E75" s="86" t="s">
        <v>30</v>
      </c>
      <c r="F75" s="86"/>
      <c r="G75" s="86"/>
      <c r="H75" s="86"/>
      <c r="I75" s="86"/>
      <c r="J75" s="86"/>
      <c r="K75" s="86">
        <v>1287</v>
      </c>
      <c r="L75" s="114">
        <f t="shared" ref="L75:L77" si="44">K75</f>
        <v>1287</v>
      </c>
      <c r="M75" s="89" t="s">
        <v>26</v>
      </c>
    </row>
    <row r="76" spans="1:13" hidden="1" x14ac:dyDescent="0.25">
      <c r="A76" s="118" t="s">
        <v>222</v>
      </c>
      <c r="B76" s="85" t="s">
        <v>23</v>
      </c>
      <c r="C76" s="114">
        <v>66772</v>
      </c>
      <c r="D76" s="86" t="s">
        <v>34</v>
      </c>
      <c r="E76" s="87" t="s">
        <v>35</v>
      </c>
      <c r="F76" s="114"/>
      <c r="G76" s="115" t="s">
        <v>77</v>
      </c>
      <c r="H76" s="114"/>
      <c r="I76" s="114"/>
      <c r="J76" s="114"/>
      <c r="K76" s="114">
        <v>5750</v>
      </c>
      <c r="L76" s="114">
        <f t="shared" si="44"/>
        <v>5750</v>
      </c>
      <c r="M76" s="111" t="s">
        <v>26</v>
      </c>
    </row>
    <row r="77" spans="1:13" hidden="1" x14ac:dyDescent="0.25">
      <c r="A77" s="118" t="s">
        <v>222</v>
      </c>
      <c r="B77" s="85" t="s">
        <v>23</v>
      </c>
      <c r="C77" s="114">
        <v>66772</v>
      </c>
      <c r="D77" s="86" t="s">
        <v>34</v>
      </c>
      <c r="E77" s="93" t="s">
        <v>39</v>
      </c>
      <c r="F77" s="114"/>
      <c r="G77" s="115" t="s">
        <v>36</v>
      </c>
      <c r="H77" s="114"/>
      <c r="I77" s="114"/>
      <c r="J77" s="114"/>
      <c r="K77" s="114">
        <v>3000</v>
      </c>
      <c r="L77" s="114">
        <f t="shared" si="44"/>
        <v>3000</v>
      </c>
      <c r="M77" s="111" t="s">
        <v>179</v>
      </c>
    </row>
    <row r="78" spans="1:13" hidden="1" x14ac:dyDescent="0.25">
      <c r="A78" s="118" t="s">
        <v>222</v>
      </c>
      <c r="B78" s="85" t="s">
        <v>23</v>
      </c>
      <c r="C78" s="114">
        <v>66772</v>
      </c>
      <c r="D78" s="86" t="s">
        <v>34</v>
      </c>
      <c r="E78" s="92" t="s">
        <v>30</v>
      </c>
      <c r="F78" s="114"/>
      <c r="G78" s="115" t="s">
        <v>78</v>
      </c>
      <c r="H78" s="114"/>
      <c r="I78" s="114"/>
      <c r="J78" s="114"/>
      <c r="K78" s="114">
        <v>3564</v>
      </c>
      <c r="L78" s="114">
        <f>K78</f>
        <v>3564</v>
      </c>
      <c r="M78" s="111" t="s">
        <v>180</v>
      </c>
    </row>
    <row r="79" spans="1:13" hidden="1" x14ac:dyDescent="0.25">
      <c r="A79" s="118" t="s">
        <v>222</v>
      </c>
      <c r="B79" s="86" t="s">
        <v>14</v>
      </c>
      <c r="C79" s="86" t="s">
        <v>49</v>
      </c>
      <c r="D79" s="86" t="s">
        <v>50</v>
      </c>
      <c r="E79" s="86" t="s">
        <v>17</v>
      </c>
      <c r="F79" s="86">
        <v>331</v>
      </c>
      <c r="G79" s="86">
        <v>0.26</v>
      </c>
      <c r="H79" s="86">
        <f>F79*G79</f>
        <v>86.06</v>
      </c>
      <c r="I79" s="86">
        <v>28</v>
      </c>
      <c r="J79" s="86">
        <v>1</v>
      </c>
      <c r="K79" s="86">
        <f t="shared" ref="K79" si="45">F79*I79</f>
        <v>9268</v>
      </c>
      <c r="L79" s="86">
        <f t="shared" ref="L79" si="46">K79*J79</f>
        <v>9268</v>
      </c>
      <c r="M79" s="89" t="s">
        <v>22</v>
      </c>
    </row>
    <row r="80" spans="1:13" hidden="1" x14ac:dyDescent="0.25">
      <c r="A80" s="118" t="s">
        <v>222</v>
      </c>
      <c r="B80" s="86" t="s">
        <v>14</v>
      </c>
      <c r="C80" s="86" t="s">
        <v>49</v>
      </c>
      <c r="D80" s="86" t="s">
        <v>50</v>
      </c>
      <c r="E80" s="86" t="s">
        <v>25</v>
      </c>
      <c r="F80" s="86"/>
      <c r="G80" s="86"/>
      <c r="H80" s="86"/>
      <c r="I80" s="86"/>
      <c r="J80" s="86"/>
      <c r="K80" s="86">
        <v>5117</v>
      </c>
      <c r="L80" s="86">
        <f t="shared" ref="L80" si="47">K80</f>
        <v>5117</v>
      </c>
      <c r="M80" s="89" t="s">
        <v>31</v>
      </c>
    </row>
    <row r="81" spans="1:16" hidden="1" x14ac:dyDescent="0.25">
      <c r="A81" s="118" t="s">
        <v>222</v>
      </c>
      <c r="B81" s="86" t="s">
        <v>14</v>
      </c>
      <c r="C81" s="114">
        <v>7479</v>
      </c>
      <c r="D81" s="86" t="s">
        <v>20</v>
      </c>
      <c r="E81" s="86" t="s">
        <v>21</v>
      </c>
      <c r="F81" s="114">
        <v>47</v>
      </c>
      <c r="G81" s="114">
        <v>0.15</v>
      </c>
      <c r="H81" s="114">
        <f>G81*F81</f>
        <v>7.05</v>
      </c>
      <c r="I81" s="114">
        <v>79</v>
      </c>
      <c r="J81" s="114">
        <v>1</v>
      </c>
      <c r="K81" s="114">
        <f>F81*I81</f>
        <v>3713</v>
      </c>
      <c r="L81" s="114">
        <f>K81*J81</f>
        <v>3713</v>
      </c>
      <c r="M81" s="111" t="s">
        <v>22</v>
      </c>
    </row>
    <row r="82" spans="1:16" hidden="1" x14ac:dyDescent="0.25">
      <c r="A82" s="118" t="s">
        <v>222</v>
      </c>
      <c r="B82" s="86" t="s">
        <v>14</v>
      </c>
      <c r="C82" s="86" t="s">
        <v>89</v>
      </c>
      <c r="D82" s="86" t="s">
        <v>90</v>
      </c>
      <c r="E82" s="86" t="s">
        <v>21</v>
      </c>
      <c r="F82" s="86">
        <v>52</v>
      </c>
      <c r="G82" s="86">
        <v>0.13500000000000001</v>
      </c>
      <c r="H82" s="86">
        <f t="shared" ref="H82" si="48">F82*G82</f>
        <v>7.0200000000000005</v>
      </c>
      <c r="I82" s="86">
        <v>77</v>
      </c>
      <c r="J82" s="86">
        <v>1</v>
      </c>
      <c r="K82" s="86">
        <f t="shared" ref="K82:K83" si="49">F82*I82</f>
        <v>4004</v>
      </c>
      <c r="L82" s="86">
        <f t="shared" ref="L82" si="50">K82*J82</f>
        <v>4004</v>
      </c>
      <c r="M82" s="89" t="s">
        <v>181</v>
      </c>
    </row>
    <row r="83" spans="1:16" hidden="1" x14ac:dyDescent="0.25">
      <c r="A83" s="118" t="s">
        <v>222</v>
      </c>
      <c r="B83" s="86" t="s">
        <v>14</v>
      </c>
      <c r="C83" s="114">
        <v>10065</v>
      </c>
      <c r="D83" s="86" t="s">
        <v>16</v>
      </c>
      <c r="E83" s="86" t="s">
        <v>17</v>
      </c>
      <c r="F83" s="114">
        <v>104</v>
      </c>
      <c r="G83" s="114">
        <v>0.67500000000000004</v>
      </c>
      <c r="H83" s="114">
        <f>G83*F83</f>
        <v>70.2</v>
      </c>
      <c r="I83" s="114">
        <v>42</v>
      </c>
      <c r="J83" s="114">
        <v>4</v>
      </c>
      <c r="K83" s="114">
        <f t="shared" si="49"/>
        <v>4368</v>
      </c>
      <c r="L83" s="114">
        <f>K83*J83</f>
        <v>17472</v>
      </c>
      <c r="M83" s="111" t="s">
        <v>18</v>
      </c>
    </row>
    <row r="84" spans="1:16" hidden="1" x14ac:dyDescent="0.25">
      <c r="A84" s="118" t="s">
        <v>223</v>
      </c>
      <c r="B84" s="85" t="s">
        <v>23</v>
      </c>
      <c r="C84" s="114">
        <v>66772</v>
      </c>
      <c r="D84" s="86" t="s">
        <v>34</v>
      </c>
      <c r="E84" s="87" t="s">
        <v>35</v>
      </c>
      <c r="F84" s="114"/>
      <c r="G84" s="115" t="s">
        <v>77</v>
      </c>
      <c r="H84" s="114"/>
      <c r="I84" s="114"/>
      <c r="J84" s="114"/>
      <c r="K84" s="114">
        <f>2156+3300</f>
        <v>5456</v>
      </c>
      <c r="L84" s="114">
        <f t="shared" ref="L84:L85" si="51">K84</f>
        <v>5456</v>
      </c>
      <c r="M84" s="111" t="s">
        <v>26</v>
      </c>
    </row>
    <row r="85" spans="1:16" hidden="1" x14ac:dyDescent="0.25">
      <c r="A85" s="118" t="s">
        <v>223</v>
      </c>
      <c r="B85" s="85" t="s">
        <v>23</v>
      </c>
      <c r="C85" s="114">
        <v>66772</v>
      </c>
      <c r="D85" s="86" t="s">
        <v>34</v>
      </c>
      <c r="E85" s="93" t="s">
        <v>39</v>
      </c>
      <c r="F85" s="114"/>
      <c r="G85" s="115" t="s">
        <v>36</v>
      </c>
      <c r="H85" s="114"/>
      <c r="I85" s="114"/>
      <c r="J85" s="114"/>
      <c r="K85" s="114">
        <v>6834</v>
      </c>
      <c r="L85" s="114">
        <f t="shared" si="51"/>
        <v>6834</v>
      </c>
      <c r="M85" s="111" t="s">
        <v>179</v>
      </c>
    </row>
    <row r="86" spans="1:16" hidden="1" x14ac:dyDescent="0.25">
      <c r="A86" s="118" t="s">
        <v>223</v>
      </c>
      <c r="B86" s="85" t="s">
        <v>23</v>
      </c>
      <c r="C86" s="114">
        <v>66772</v>
      </c>
      <c r="D86" s="86" t="s">
        <v>34</v>
      </c>
      <c r="E86" s="92" t="s">
        <v>30</v>
      </c>
      <c r="F86" s="114"/>
      <c r="G86" s="115" t="s">
        <v>78</v>
      </c>
      <c r="H86" s="114"/>
      <c r="I86" s="114"/>
      <c r="J86" s="114"/>
      <c r="K86" s="114">
        <v>5756</v>
      </c>
      <c r="L86" s="114">
        <f>K86</f>
        <v>5756</v>
      </c>
      <c r="M86" s="111" t="s">
        <v>180</v>
      </c>
    </row>
    <row r="87" spans="1:16" hidden="1" x14ac:dyDescent="0.25">
      <c r="A87" s="118" t="s">
        <v>223</v>
      </c>
      <c r="B87" s="86" t="s">
        <v>14</v>
      </c>
      <c r="C87" s="114">
        <v>10065</v>
      </c>
      <c r="D87" s="86" t="s">
        <v>16</v>
      </c>
      <c r="E87" s="86" t="s">
        <v>17</v>
      </c>
      <c r="F87" s="114">
        <v>87</v>
      </c>
      <c r="G87" s="114">
        <v>0.67500000000000004</v>
      </c>
      <c r="H87" s="114">
        <f>G87*F87</f>
        <v>58.725000000000001</v>
      </c>
      <c r="I87" s="114">
        <v>42</v>
      </c>
      <c r="J87" s="114">
        <v>4</v>
      </c>
      <c r="K87" s="114">
        <f t="shared" ref="K87:K88" si="52">F87*I87</f>
        <v>3654</v>
      </c>
      <c r="L87" s="114">
        <f>K87*J87</f>
        <v>14616</v>
      </c>
      <c r="M87" s="111" t="s">
        <v>18</v>
      </c>
    </row>
    <row r="88" spans="1:16" hidden="1" x14ac:dyDescent="0.25">
      <c r="A88" s="118" t="s">
        <v>223</v>
      </c>
      <c r="B88" s="86" t="s">
        <v>14</v>
      </c>
      <c r="C88" s="86" t="s">
        <v>49</v>
      </c>
      <c r="D88" s="86" t="s">
        <v>50</v>
      </c>
      <c r="E88" s="86" t="s">
        <v>17</v>
      </c>
      <c r="F88" s="86">
        <v>395</v>
      </c>
      <c r="G88" s="86">
        <v>0.26</v>
      </c>
      <c r="H88" s="86">
        <f>F88*G88</f>
        <v>102.7</v>
      </c>
      <c r="I88" s="86">
        <v>28</v>
      </c>
      <c r="J88" s="86">
        <v>1</v>
      </c>
      <c r="K88" s="86">
        <f t="shared" si="52"/>
        <v>11060</v>
      </c>
      <c r="L88" s="86">
        <f t="shared" ref="L88" si="53">K88*J88</f>
        <v>11060</v>
      </c>
      <c r="M88" s="89" t="s">
        <v>22</v>
      </c>
    </row>
    <row r="89" spans="1:16" hidden="1" x14ac:dyDescent="0.25">
      <c r="A89" s="118" t="s">
        <v>223</v>
      </c>
      <c r="B89" s="86" t="s">
        <v>14</v>
      </c>
      <c r="C89" s="86" t="s">
        <v>49</v>
      </c>
      <c r="D89" s="86" t="s">
        <v>50</v>
      </c>
      <c r="E89" s="86" t="s">
        <v>25</v>
      </c>
      <c r="F89" s="86"/>
      <c r="G89" s="86"/>
      <c r="H89" s="86"/>
      <c r="I89" s="86"/>
      <c r="J89" s="86"/>
      <c r="K89" s="86">
        <v>2500</v>
      </c>
      <c r="L89" s="86">
        <f t="shared" ref="L89:L90" si="54">K89</f>
        <v>2500</v>
      </c>
      <c r="M89" s="89" t="s">
        <v>31</v>
      </c>
    </row>
    <row r="90" spans="1:16" hidden="1" x14ac:dyDescent="0.25">
      <c r="A90" s="118" t="s">
        <v>223</v>
      </c>
      <c r="B90" s="86" t="s">
        <v>14</v>
      </c>
      <c r="C90" s="86">
        <v>2576</v>
      </c>
      <c r="D90" s="86" t="s">
        <v>90</v>
      </c>
      <c r="E90" s="86" t="s">
        <v>25</v>
      </c>
      <c r="F90" s="86"/>
      <c r="G90" s="86"/>
      <c r="H90" s="86"/>
      <c r="I90" s="86"/>
      <c r="J90" s="86"/>
      <c r="K90" s="86">
        <v>425</v>
      </c>
      <c r="L90" s="86">
        <f t="shared" si="54"/>
        <v>425</v>
      </c>
      <c r="M90" s="89" t="s">
        <v>31</v>
      </c>
    </row>
    <row r="91" spans="1:16" hidden="1" x14ac:dyDescent="0.25">
      <c r="A91" s="118" t="s">
        <v>223</v>
      </c>
      <c r="B91" s="86" t="s">
        <v>14</v>
      </c>
      <c r="C91" s="86" t="s">
        <v>89</v>
      </c>
      <c r="D91" s="86" t="s">
        <v>90</v>
      </c>
      <c r="E91" s="86" t="s">
        <v>21</v>
      </c>
      <c r="F91" s="86">
        <v>63</v>
      </c>
      <c r="G91" s="86">
        <v>0.13500000000000001</v>
      </c>
      <c r="H91" s="86">
        <f t="shared" ref="H91" si="55">F91*G91</f>
        <v>8.5050000000000008</v>
      </c>
      <c r="I91" s="86">
        <v>77</v>
      </c>
      <c r="J91" s="86">
        <v>1</v>
      </c>
      <c r="K91" s="86">
        <f t="shared" ref="K91:K92" si="56">F91*I91</f>
        <v>4851</v>
      </c>
      <c r="L91" s="86">
        <f t="shared" ref="L91:L92" si="57">K91*J91</f>
        <v>4851</v>
      </c>
      <c r="M91" s="89" t="s">
        <v>181</v>
      </c>
    </row>
    <row r="92" spans="1:16" hidden="1" x14ac:dyDescent="0.25">
      <c r="A92" s="118" t="s">
        <v>223</v>
      </c>
      <c r="B92" s="125" t="s">
        <v>27</v>
      </c>
      <c r="C92" s="126" t="s">
        <v>28</v>
      </c>
      <c r="D92" s="86" t="s">
        <v>29</v>
      </c>
      <c r="E92" s="86" t="s">
        <v>21</v>
      </c>
      <c r="F92" s="86">
        <v>64</v>
      </c>
      <c r="G92" s="86"/>
      <c r="H92" s="86"/>
      <c r="I92" s="86">
        <v>16</v>
      </c>
      <c r="J92" s="86">
        <v>1</v>
      </c>
      <c r="K92" s="86">
        <f t="shared" si="56"/>
        <v>1024</v>
      </c>
      <c r="L92" s="86">
        <f t="shared" si="57"/>
        <v>1024</v>
      </c>
      <c r="M92" s="89" t="s">
        <v>22</v>
      </c>
    </row>
    <row r="93" spans="1:16" hidden="1" x14ac:dyDescent="0.25">
      <c r="A93" s="121" t="s">
        <v>223</v>
      </c>
      <c r="B93" s="101" t="s">
        <v>23</v>
      </c>
      <c r="C93" s="101">
        <v>65548</v>
      </c>
      <c r="D93" s="101" t="s">
        <v>24</v>
      </c>
      <c r="E93" s="101" t="s">
        <v>25</v>
      </c>
      <c r="F93" s="101"/>
      <c r="G93" s="122"/>
      <c r="H93" s="101"/>
      <c r="I93" s="101"/>
      <c r="J93" s="101"/>
      <c r="K93" s="101">
        <v>2500</v>
      </c>
      <c r="L93" s="101">
        <f t="shared" ref="L93:L95" si="58">K93</f>
        <v>2500</v>
      </c>
      <c r="M93" s="119" t="s">
        <v>18</v>
      </c>
      <c r="N93" s="138" t="s">
        <v>228</v>
      </c>
      <c r="O93" s="137"/>
      <c r="P93" s="137"/>
    </row>
    <row r="94" spans="1:16" hidden="1" x14ac:dyDescent="0.25">
      <c r="A94" s="118" t="s">
        <v>224</v>
      </c>
      <c r="B94" s="85" t="s">
        <v>23</v>
      </c>
      <c r="C94" s="114">
        <v>66772</v>
      </c>
      <c r="D94" s="86" t="s">
        <v>34</v>
      </c>
      <c r="E94" s="87" t="s">
        <v>35</v>
      </c>
      <c r="F94" s="114"/>
      <c r="G94" s="115" t="s">
        <v>77</v>
      </c>
      <c r="H94" s="114"/>
      <c r="I94" s="114"/>
      <c r="J94" s="114"/>
      <c r="K94" s="114">
        <v>3600</v>
      </c>
      <c r="L94" s="114">
        <f t="shared" si="58"/>
        <v>3600</v>
      </c>
      <c r="M94" s="111" t="s">
        <v>179</v>
      </c>
    </row>
    <row r="95" spans="1:16" hidden="1" x14ac:dyDescent="0.25">
      <c r="A95" s="118" t="s">
        <v>224</v>
      </c>
      <c r="B95" s="85" t="s">
        <v>23</v>
      </c>
      <c r="C95" s="114">
        <v>66772</v>
      </c>
      <c r="D95" s="86" t="s">
        <v>34</v>
      </c>
      <c r="E95" s="93" t="s">
        <v>39</v>
      </c>
      <c r="F95" s="114"/>
      <c r="G95" s="115" t="s">
        <v>36</v>
      </c>
      <c r="H95" s="114"/>
      <c r="I95" s="114"/>
      <c r="J95" s="114"/>
      <c r="K95" s="114">
        <v>4500</v>
      </c>
      <c r="L95" s="114">
        <f t="shared" si="58"/>
        <v>4500</v>
      </c>
      <c r="M95" s="111" t="s">
        <v>26</v>
      </c>
    </row>
    <row r="96" spans="1:16" hidden="1" x14ac:dyDescent="0.25">
      <c r="A96" s="118" t="s">
        <v>224</v>
      </c>
      <c r="B96" s="85" t="s">
        <v>23</v>
      </c>
      <c r="C96" s="114">
        <v>66772</v>
      </c>
      <c r="D96" s="86" t="s">
        <v>34</v>
      </c>
      <c r="E96" s="92" t="s">
        <v>30</v>
      </c>
      <c r="F96" s="114"/>
      <c r="G96" s="115" t="s">
        <v>78</v>
      </c>
      <c r="H96" s="114"/>
      <c r="I96" s="114"/>
      <c r="J96" s="114"/>
      <c r="K96" s="114">
        <v>1761</v>
      </c>
      <c r="L96" s="114">
        <f>K96</f>
        <v>1761</v>
      </c>
      <c r="M96" s="111" t="s">
        <v>180</v>
      </c>
    </row>
    <row r="97" spans="1:13" hidden="1" x14ac:dyDescent="0.25">
      <c r="A97" s="118" t="s">
        <v>224</v>
      </c>
      <c r="B97" s="85" t="s">
        <v>23</v>
      </c>
      <c r="C97" s="114">
        <v>65548</v>
      </c>
      <c r="D97" s="91" t="s">
        <v>24</v>
      </c>
      <c r="E97" s="87" t="s">
        <v>25</v>
      </c>
      <c r="F97" s="114"/>
      <c r="G97" s="115"/>
      <c r="H97" s="114"/>
      <c r="I97" s="114"/>
      <c r="J97" s="114"/>
      <c r="K97" s="114">
        <v>5000</v>
      </c>
      <c r="L97" s="114">
        <f t="shared" ref="L97" si="59">K97</f>
        <v>5000</v>
      </c>
      <c r="M97" s="111" t="s">
        <v>18</v>
      </c>
    </row>
    <row r="98" spans="1:13" hidden="1" x14ac:dyDescent="0.25">
      <c r="A98" s="118" t="s">
        <v>224</v>
      </c>
      <c r="B98" s="125" t="s">
        <v>27</v>
      </c>
      <c r="C98" s="126" t="s">
        <v>28</v>
      </c>
      <c r="D98" s="86" t="s">
        <v>29</v>
      </c>
      <c r="E98" s="86" t="s">
        <v>21</v>
      </c>
      <c r="F98" s="86">
        <v>190</v>
      </c>
      <c r="G98" s="86"/>
      <c r="H98" s="86"/>
      <c r="I98" s="86">
        <v>16</v>
      </c>
      <c r="J98" s="86">
        <v>1</v>
      </c>
      <c r="K98" s="86">
        <f t="shared" ref="K98" si="60">F98*I98</f>
        <v>3040</v>
      </c>
      <c r="L98" s="86">
        <f t="shared" ref="L98" si="61">K98*J98</f>
        <v>3040</v>
      </c>
      <c r="M98" s="89" t="s">
        <v>22</v>
      </c>
    </row>
    <row r="99" spans="1:13" hidden="1" x14ac:dyDescent="0.25">
      <c r="A99" s="118" t="s">
        <v>224</v>
      </c>
      <c r="B99" s="86" t="s">
        <v>14</v>
      </c>
      <c r="C99" s="86">
        <v>2576</v>
      </c>
      <c r="D99" s="86" t="s">
        <v>90</v>
      </c>
      <c r="E99" s="86" t="s">
        <v>25</v>
      </c>
      <c r="F99" s="86"/>
      <c r="G99" s="86"/>
      <c r="H99" s="86"/>
      <c r="I99" s="86"/>
      <c r="J99" s="86"/>
      <c r="K99" s="86">
        <v>2500</v>
      </c>
      <c r="L99" s="86">
        <f t="shared" ref="L99:L103" si="62">K99</f>
        <v>2500</v>
      </c>
      <c r="M99" s="89" t="s">
        <v>31</v>
      </c>
    </row>
    <row r="100" spans="1:13" hidden="1" x14ac:dyDescent="0.25">
      <c r="A100" s="118" t="s">
        <v>225</v>
      </c>
      <c r="B100" s="85" t="s">
        <v>23</v>
      </c>
      <c r="C100" s="114">
        <v>66772</v>
      </c>
      <c r="D100" s="86" t="s">
        <v>34</v>
      </c>
      <c r="E100" s="87" t="s">
        <v>35</v>
      </c>
      <c r="F100" s="114"/>
      <c r="G100" s="115" t="s">
        <v>77</v>
      </c>
      <c r="H100" s="114"/>
      <c r="I100" s="114"/>
      <c r="J100" s="114"/>
      <c r="K100" s="114">
        <v>6500</v>
      </c>
      <c r="L100" s="114">
        <f t="shared" si="62"/>
        <v>6500</v>
      </c>
      <c r="M100" s="111" t="s">
        <v>179</v>
      </c>
    </row>
    <row r="101" spans="1:13" hidden="1" x14ac:dyDescent="0.25">
      <c r="A101" s="118" t="s">
        <v>225</v>
      </c>
      <c r="B101" s="85" t="s">
        <v>23</v>
      </c>
      <c r="C101" s="114">
        <v>66772</v>
      </c>
      <c r="D101" s="86" t="s">
        <v>34</v>
      </c>
      <c r="E101" s="93" t="s">
        <v>39</v>
      </c>
      <c r="F101" s="114"/>
      <c r="G101" s="115" t="s">
        <v>36</v>
      </c>
      <c r="H101" s="114"/>
      <c r="I101" s="114"/>
      <c r="J101" s="114"/>
      <c r="K101" s="114">
        <v>8150</v>
      </c>
      <c r="L101" s="114">
        <f t="shared" si="62"/>
        <v>8150</v>
      </c>
      <c r="M101" s="111" t="s">
        <v>26</v>
      </c>
    </row>
    <row r="102" spans="1:13" hidden="1" x14ac:dyDescent="0.25">
      <c r="A102" s="118" t="s">
        <v>225</v>
      </c>
      <c r="B102" s="85" t="s">
        <v>23</v>
      </c>
      <c r="C102" s="114">
        <v>65548</v>
      </c>
      <c r="D102" s="91" t="s">
        <v>24</v>
      </c>
      <c r="E102" s="87" t="s">
        <v>25</v>
      </c>
      <c r="F102" s="114"/>
      <c r="G102" s="115"/>
      <c r="H102" s="114"/>
      <c r="I102" s="114"/>
      <c r="J102" s="114"/>
      <c r="K102" s="114">
        <v>2438</v>
      </c>
      <c r="L102" s="114">
        <f t="shared" si="62"/>
        <v>2438</v>
      </c>
      <c r="M102" s="111" t="s">
        <v>26</v>
      </c>
    </row>
    <row r="103" spans="1:13" hidden="1" x14ac:dyDescent="0.25">
      <c r="A103" s="118" t="s">
        <v>225</v>
      </c>
      <c r="B103" s="85" t="s">
        <v>23</v>
      </c>
      <c r="C103" s="114">
        <v>65548</v>
      </c>
      <c r="D103" s="91" t="s">
        <v>24</v>
      </c>
      <c r="E103" s="92" t="s">
        <v>30</v>
      </c>
      <c r="F103" s="114"/>
      <c r="G103" s="115" t="s">
        <v>36</v>
      </c>
      <c r="H103" s="114"/>
      <c r="I103" s="114"/>
      <c r="J103" s="114"/>
      <c r="K103" s="114">
        <v>6800</v>
      </c>
      <c r="L103" s="114">
        <f t="shared" si="62"/>
        <v>6800</v>
      </c>
      <c r="M103" s="111" t="s">
        <v>180</v>
      </c>
    </row>
    <row r="104" spans="1:13" hidden="1" x14ac:dyDescent="0.25">
      <c r="A104" s="118" t="s">
        <v>225</v>
      </c>
      <c r="B104" s="86" t="s">
        <v>14</v>
      </c>
      <c r="C104" s="114">
        <v>5036</v>
      </c>
      <c r="D104" s="86" t="s">
        <v>16</v>
      </c>
      <c r="E104" s="86" t="s">
        <v>17</v>
      </c>
      <c r="F104" s="114">
        <v>123</v>
      </c>
      <c r="G104" s="114">
        <v>0.32500000000000001</v>
      </c>
      <c r="H104" s="114">
        <f t="shared" ref="H104" si="63">F104*G104</f>
        <v>39.975000000000001</v>
      </c>
      <c r="I104" s="114">
        <v>62</v>
      </c>
      <c r="J104" s="114">
        <v>4</v>
      </c>
      <c r="K104" s="114">
        <f t="shared" ref="K104:K105" si="64">F104*I104</f>
        <v>7626</v>
      </c>
      <c r="L104" s="114">
        <f>K104*J104</f>
        <v>30504</v>
      </c>
      <c r="M104" s="111" t="s">
        <v>22</v>
      </c>
    </row>
    <row r="105" spans="1:13" hidden="1" x14ac:dyDescent="0.25">
      <c r="A105" s="118" t="s">
        <v>225</v>
      </c>
      <c r="B105" s="136" t="s">
        <v>130</v>
      </c>
      <c r="C105" s="114" t="s">
        <v>131</v>
      </c>
      <c r="D105" s="86" t="s">
        <v>16</v>
      </c>
      <c r="E105" s="86" t="s">
        <v>17</v>
      </c>
      <c r="F105" s="114">
        <v>41</v>
      </c>
      <c r="G105" s="114"/>
      <c r="H105" s="114"/>
      <c r="I105" s="114">
        <v>98</v>
      </c>
      <c r="J105" s="114">
        <v>1</v>
      </c>
      <c r="K105" s="114">
        <f t="shared" si="64"/>
        <v>4018</v>
      </c>
      <c r="L105" s="114">
        <f t="shared" ref="L105" si="65">K105*J105</f>
        <v>4018</v>
      </c>
      <c r="M105" s="111" t="s">
        <v>91</v>
      </c>
    </row>
    <row r="106" spans="1:13" hidden="1" x14ac:dyDescent="0.25">
      <c r="A106" s="118" t="s">
        <v>225</v>
      </c>
      <c r="B106" s="86" t="s">
        <v>14</v>
      </c>
      <c r="C106" s="86">
        <v>2576</v>
      </c>
      <c r="D106" s="86" t="s">
        <v>90</v>
      </c>
      <c r="E106" s="86" t="s">
        <v>25</v>
      </c>
      <c r="F106" s="86"/>
      <c r="G106" s="86"/>
      <c r="H106" s="86"/>
      <c r="I106" s="86"/>
      <c r="J106" s="86"/>
      <c r="K106" s="86">
        <v>435</v>
      </c>
      <c r="L106" s="86">
        <f t="shared" ref="L106:L107" si="66">K106</f>
        <v>435</v>
      </c>
      <c r="M106" s="89" t="s">
        <v>31</v>
      </c>
    </row>
    <row r="107" spans="1:13" hidden="1" x14ac:dyDescent="0.25">
      <c r="A107" s="118" t="s">
        <v>225</v>
      </c>
      <c r="B107" s="86" t="s">
        <v>14</v>
      </c>
      <c r="C107" s="114">
        <v>7479</v>
      </c>
      <c r="D107" s="86" t="s">
        <v>20</v>
      </c>
      <c r="E107" s="86" t="s">
        <v>25</v>
      </c>
      <c r="F107" s="114"/>
      <c r="G107" s="114"/>
      <c r="H107" s="114"/>
      <c r="I107" s="114"/>
      <c r="J107" s="114">
        <v>1</v>
      </c>
      <c r="K107" s="114">
        <v>3767</v>
      </c>
      <c r="L107" s="114">
        <f t="shared" si="66"/>
        <v>3767</v>
      </c>
      <c r="M107" s="111" t="s">
        <v>180</v>
      </c>
    </row>
    <row r="108" spans="1:13" hidden="1" x14ac:dyDescent="0.25">
      <c r="A108" s="118" t="s">
        <v>225</v>
      </c>
      <c r="B108" s="125" t="s">
        <v>27</v>
      </c>
      <c r="C108" s="126" t="s">
        <v>28</v>
      </c>
      <c r="D108" s="86" t="s">
        <v>29</v>
      </c>
      <c r="E108" s="86" t="s">
        <v>21</v>
      </c>
      <c r="F108" s="86">
        <v>270</v>
      </c>
      <c r="G108" s="86"/>
      <c r="H108" s="86"/>
      <c r="I108" s="86">
        <v>16</v>
      </c>
      <c r="J108" s="86">
        <v>1</v>
      </c>
      <c r="K108" s="86">
        <f t="shared" ref="K108:K109" si="67">F108*I108</f>
        <v>4320</v>
      </c>
      <c r="L108" s="86">
        <f t="shared" ref="L108:L109" si="68">K108*J108</f>
        <v>4320</v>
      </c>
      <c r="M108" s="89" t="s">
        <v>22</v>
      </c>
    </row>
    <row r="109" spans="1:13" hidden="1" x14ac:dyDescent="0.25">
      <c r="A109" s="118" t="s">
        <v>225</v>
      </c>
      <c r="B109" s="86" t="s">
        <v>14</v>
      </c>
      <c r="C109" s="114">
        <v>6380</v>
      </c>
      <c r="D109" s="86" t="s">
        <v>16</v>
      </c>
      <c r="E109" s="86" t="s">
        <v>17</v>
      </c>
      <c r="F109" s="114">
        <v>46</v>
      </c>
      <c r="G109" s="114">
        <v>0.42499999999999999</v>
      </c>
      <c r="H109" s="114">
        <f t="shared" ref="H109" si="69">F109*G109</f>
        <v>19.55</v>
      </c>
      <c r="I109" s="114">
        <v>56</v>
      </c>
      <c r="J109" s="114">
        <v>4</v>
      </c>
      <c r="K109" s="114">
        <f t="shared" si="67"/>
        <v>2576</v>
      </c>
      <c r="L109" s="114">
        <f t="shared" si="68"/>
        <v>10304</v>
      </c>
      <c r="M109" s="111" t="s">
        <v>18</v>
      </c>
    </row>
    <row r="110" spans="1:13" hidden="1" x14ac:dyDescent="0.25">
      <c r="A110" s="118" t="s">
        <v>226</v>
      </c>
      <c r="B110" s="85" t="s">
        <v>23</v>
      </c>
      <c r="C110" s="114">
        <v>66772</v>
      </c>
      <c r="D110" s="86" t="s">
        <v>34</v>
      </c>
      <c r="E110" s="87" t="s">
        <v>35</v>
      </c>
      <c r="F110" s="114"/>
      <c r="G110" s="115" t="s">
        <v>77</v>
      </c>
      <c r="H110" s="114"/>
      <c r="I110" s="114"/>
      <c r="J110" s="114"/>
      <c r="K110" s="114">
        <v>1652</v>
      </c>
      <c r="L110" s="114">
        <f t="shared" ref="L110:L111" si="70">K110</f>
        <v>1652</v>
      </c>
      <c r="M110" s="111" t="s">
        <v>179</v>
      </c>
    </row>
    <row r="111" spans="1:13" hidden="1" x14ac:dyDescent="0.25">
      <c r="A111" s="118" t="s">
        <v>226</v>
      </c>
      <c r="B111" s="85" t="s">
        <v>23</v>
      </c>
      <c r="C111" s="114">
        <v>66772</v>
      </c>
      <c r="D111" s="86" t="s">
        <v>34</v>
      </c>
      <c r="E111" s="93" t="s">
        <v>39</v>
      </c>
      <c r="F111" s="114"/>
      <c r="G111" s="115" t="s">
        <v>36</v>
      </c>
      <c r="H111" s="114"/>
      <c r="I111" s="114"/>
      <c r="J111" s="114"/>
      <c r="K111" s="114">
        <v>2394</v>
      </c>
      <c r="L111" s="114">
        <f t="shared" si="70"/>
        <v>2394</v>
      </c>
      <c r="M111" s="111" t="s">
        <v>26</v>
      </c>
    </row>
    <row r="112" spans="1:13" hidden="1" x14ac:dyDescent="0.25">
      <c r="A112" s="118" t="s">
        <v>226</v>
      </c>
      <c r="B112" s="85" t="s">
        <v>23</v>
      </c>
      <c r="C112" s="114">
        <v>66772</v>
      </c>
      <c r="D112" s="86" t="s">
        <v>34</v>
      </c>
      <c r="E112" s="92" t="s">
        <v>30</v>
      </c>
      <c r="F112" s="114"/>
      <c r="G112" s="115" t="s">
        <v>78</v>
      </c>
      <c r="H112" s="114"/>
      <c r="I112" s="114"/>
      <c r="J112" s="114"/>
      <c r="K112" s="114">
        <v>5000</v>
      </c>
      <c r="L112" s="114">
        <f>K112</f>
        <v>5000</v>
      </c>
      <c r="M112" s="111" t="s">
        <v>180</v>
      </c>
    </row>
    <row r="113" spans="1:13" hidden="1" x14ac:dyDescent="0.25">
      <c r="A113" s="118" t="s">
        <v>226</v>
      </c>
      <c r="B113" s="85" t="s">
        <v>23</v>
      </c>
      <c r="C113" s="114">
        <v>65548</v>
      </c>
      <c r="D113" s="91" t="s">
        <v>24</v>
      </c>
      <c r="E113" s="92" t="s">
        <v>30</v>
      </c>
      <c r="F113" s="114"/>
      <c r="G113" s="115" t="s">
        <v>36</v>
      </c>
      <c r="H113" s="114"/>
      <c r="I113" s="114"/>
      <c r="J113" s="114"/>
      <c r="K113" s="114">
        <v>3213</v>
      </c>
      <c r="L113" s="114">
        <f t="shared" ref="L113" si="71">K113</f>
        <v>3213</v>
      </c>
      <c r="M113" s="111" t="s">
        <v>180</v>
      </c>
    </row>
    <row r="114" spans="1:13" hidden="1" x14ac:dyDescent="0.25">
      <c r="A114" s="118" t="s">
        <v>226</v>
      </c>
      <c r="B114" s="86" t="s">
        <v>14</v>
      </c>
      <c r="C114" s="114">
        <v>5036</v>
      </c>
      <c r="D114" s="86" t="s">
        <v>16</v>
      </c>
      <c r="E114" s="86" t="s">
        <v>17</v>
      </c>
      <c r="F114" s="114">
        <v>133</v>
      </c>
      <c r="G114" s="114">
        <v>0.32500000000000001</v>
      </c>
      <c r="H114" s="114">
        <f t="shared" ref="H114:H115" si="72">F114*G114</f>
        <v>43.225000000000001</v>
      </c>
      <c r="I114" s="114">
        <v>62</v>
      </c>
      <c r="J114" s="114">
        <v>4</v>
      </c>
      <c r="K114" s="114">
        <f t="shared" ref="K114:K116" si="73">F114*I114</f>
        <v>8246</v>
      </c>
      <c r="L114" s="114">
        <f>K114*J114</f>
        <v>32984</v>
      </c>
      <c r="M114" s="111" t="s">
        <v>22</v>
      </c>
    </row>
    <row r="115" spans="1:13" hidden="1" x14ac:dyDescent="0.25">
      <c r="A115" s="118" t="s">
        <v>226</v>
      </c>
      <c r="B115" s="86" t="s">
        <v>14</v>
      </c>
      <c r="C115" s="114">
        <v>6380</v>
      </c>
      <c r="D115" s="86" t="s">
        <v>16</v>
      </c>
      <c r="E115" s="86" t="s">
        <v>17</v>
      </c>
      <c r="F115" s="114">
        <v>118</v>
      </c>
      <c r="G115" s="114">
        <v>0.42499999999999999</v>
      </c>
      <c r="H115" s="114">
        <f t="shared" si="72"/>
        <v>50.15</v>
      </c>
      <c r="I115" s="114">
        <v>56</v>
      </c>
      <c r="J115" s="114">
        <v>4</v>
      </c>
      <c r="K115" s="114">
        <f t="shared" si="73"/>
        <v>6608</v>
      </c>
      <c r="L115" s="114">
        <f t="shared" ref="L115:L116" si="74">K115*J115</f>
        <v>26432</v>
      </c>
      <c r="M115" s="111" t="s">
        <v>18</v>
      </c>
    </row>
    <row r="116" spans="1:13" hidden="1" x14ac:dyDescent="0.25">
      <c r="A116" s="118" t="s">
        <v>226</v>
      </c>
      <c r="B116" s="125" t="s">
        <v>27</v>
      </c>
      <c r="C116" s="126" t="s">
        <v>28</v>
      </c>
      <c r="D116" s="86" t="s">
        <v>29</v>
      </c>
      <c r="E116" s="86" t="s">
        <v>21</v>
      </c>
      <c r="F116" s="86">
        <v>184</v>
      </c>
      <c r="G116" s="86"/>
      <c r="H116" s="86"/>
      <c r="I116" s="86">
        <v>16</v>
      </c>
      <c r="J116" s="86">
        <v>1</v>
      </c>
      <c r="K116" s="86">
        <f t="shared" si="73"/>
        <v>2944</v>
      </c>
      <c r="L116" s="86">
        <f t="shared" si="74"/>
        <v>2944</v>
      </c>
      <c r="M116" s="89" t="s">
        <v>22</v>
      </c>
    </row>
    <row r="117" spans="1:13" hidden="1" x14ac:dyDescent="0.25">
      <c r="A117" s="118" t="s">
        <v>226</v>
      </c>
      <c r="B117" s="125" t="s">
        <v>27</v>
      </c>
      <c r="C117" s="126" t="s">
        <v>28</v>
      </c>
      <c r="D117" s="86" t="s">
        <v>29</v>
      </c>
      <c r="E117" s="86" t="s">
        <v>21</v>
      </c>
      <c r="F117" s="86"/>
      <c r="G117" s="86"/>
      <c r="H117" s="86"/>
      <c r="I117" s="86"/>
      <c r="J117" s="86"/>
      <c r="K117" s="86">
        <v>900</v>
      </c>
      <c r="L117" s="114">
        <f t="shared" ref="L117" si="75">K117</f>
        <v>900</v>
      </c>
      <c r="M117" s="89" t="s">
        <v>22</v>
      </c>
    </row>
    <row r="118" spans="1:13" hidden="1" x14ac:dyDescent="0.25">
      <c r="A118" s="118" t="s">
        <v>226</v>
      </c>
      <c r="B118" s="86" t="s">
        <v>14</v>
      </c>
      <c r="C118" s="114">
        <v>7479</v>
      </c>
      <c r="D118" s="86" t="s">
        <v>20</v>
      </c>
      <c r="E118" s="86" t="s">
        <v>25</v>
      </c>
      <c r="F118" s="114"/>
      <c r="G118" s="114"/>
      <c r="H118" s="114"/>
      <c r="I118" s="114"/>
      <c r="J118" s="114">
        <v>1</v>
      </c>
      <c r="K118" s="114">
        <v>4800</v>
      </c>
      <c r="L118" s="114">
        <f t="shared" ref="L118" si="76">K118</f>
        <v>4800</v>
      </c>
      <c r="M118" s="111" t="s">
        <v>37</v>
      </c>
    </row>
    <row r="119" spans="1:13" hidden="1" x14ac:dyDescent="0.25">
      <c r="A119" s="118" t="s">
        <v>227</v>
      </c>
      <c r="B119" s="85" t="s">
        <v>23</v>
      </c>
      <c r="C119" s="114">
        <v>66772</v>
      </c>
      <c r="D119" s="86" t="s">
        <v>34</v>
      </c>
      <c r="E119" s="92" t="s">
        <v>30</v>
      </c>
      <c r="F119" s="114"/>
      <c r="G119" s="115" t="s">
        <v>78</v>
      </c>
      <c r="H119" s="114"/>
      <c r="I119" s="114"/>
      <c r="J119" s="114"/>
      <c r="K119" s="114">
        <v>7000</v>
      </c>
      <c r="L119" s="114">
        <f>K119</f>
        <v>7000</v>
      </c>
      <c r="M119" s="111" t="s">
        <v>180</v>
      </c>
    </row>
    <row r="120" spans="1:13" hidden="1" x14ac:dyDescent="0.25">
      <c r="A120" s="118" t="s">
        <v>227</v>
      </c>
      <c r="B120" s="86" t="s">
        <v>14</v>
      </c>
      <c r="C120" s="114">
        <v>6380</v>
      </c>
      <c r="D120" s="86" t="s">
        <v>16</v>
      </c>
      <c r="E120" s="86" t="s">
        <v>17</v>
      </c>
      <c r="F120" s="114">
        <v>51</v>
      </c>
      <c r="G120" s="114">
        <v>0.42499999999999999</v>
      </c>
      <c r="H120" s="114">
        <f t="shared" ref="H120:H121" si="77">F120*G120</f>
        <v>21.675000000000001</v>
      </c>
      <c r="I120" s="114">
        <v>56</v>
      </c>
      <c r="J120" s="114">
        <v>4</v>
      </c>
      <c r="K120" s="114">
        <f t="shared" ref="K120" si="78">F120*I120</f>
        <v>2856</v>
      </c>
      <c r="L120" s="114">
        <f t="shared" ref="L120:L122" si="79">K120*J120</f>
        <v>11424</v>
      </c>
      <c r="M120" s="111" t="s">
        <v>18</v>
      </c>
    </row>
    <row r="121" spans="1:13" hidden="1" x14ac:dyDescent="0.25">
      <c r="A121" s="118" t="s">
        <v>227</v>
      </c>
      <c r="B121" s="86" t="s">
        <v>14</v>
      </c>
      <c r="C121" s="114" t="s">
        <v>51</v>
      </c>
      <c r="D121" s="86" t="s">
        <v>52</v>
      </c>
      <c r="E121" s="86" t="s">
        <v>17</v>
      </c>
      <c r="F121" s="114">
        <v>81</v>
      </c>
      <c r="G121" s="114">
        <v>0.20499999999999999</v>
      </c>
      <c r="H121" s="114">
        <f t="shared" si="77"/>
        <v>16.605</v>
      </c>
      <c r="I121" s="114">
        <v>26</v>
      </c>
      <c r="J121" s="114">
        <v>4</v>
      </c>
      <c r="K121" s="114">
        <f>F121*I121</f>
        <v>2106</v>
      </c>
      <c r="L121" s="114">
        <f t="shared" si="79"/>
        <v>8424</v>
      </c>
      <c r="M121" s="111" t="s">
        <v>18</v>
      </c>
    </row>
    <row r="122" spans="1:13" hidden="1" x14ac:dyDescent="0.25">
      <c r="A122" s="118" t="s">
        <v>227</v>
      </c>
      <c r="B122" s="86" t="s">
        <v>14</v>
      </c>
      <c r="C122" s="114">
        <v>2576</v>
      </c>
      <c r="D122" s="86" t="s">
        <v>84</v>
      </c>
      <c r="E122" s="86" t="s">
        <v>17</v>
      </c>
      <c r="F122" s="114">
        <v>29</v>
      </c>
      <c r="G122" s="114">
        <v>0.1</v>
      </c>
      <c r="H122" s="114">
        <f>F122*G122</f>
        <v>2.9000000000000004</v>
      </c>
      <c r="I122" s="114">
        <v>17</v>
      </c>
      <c r="J122" s="114">
        <v>1</v>
      </c>
      <c r="K122" s="114">
        <f t="shared" ref="K122:K123" si="80">F122*I122</f>
        <v>493</v>
      </c>
      <c r="L122" s="114">
        <f t="shared" si="79"/>
        <v>493</v>
      </c>
      <c r="M122" s="111" t="s">
        <v>22</v>
      </c>
    </row>
    <row r="123" spans="1:13" hidden="1" x14ac:dyDescent="0.25">
      <c r="A123" s="118" t="s">
        <v>227</v>
      </c>
      <c r="B123" s="86" t="s">
        <v>14</v>
      </c>
      <c r="C123" s="114">
        <v>5036</v>
      </c>
      <c r="D123" s="86" t="s">
        <v>16</v>
      </c>
      <c r="E123" s="86" t="s">
        <v>17</v>
      </c>
      <c r="F123" s="114">
        <v>67</v>
      </c>
      <c r="G123" s="114">
        <v>0.32500000000000001</v>
      </c>
      <c r="H123" s="114">
        <f t="shared" ref="H123" si="81">F123*G123</f>
        <v>21.775000000000002</v>
      </c>
      <c r="I123" s="114">
        <v>62</v>
      </c>
      <c r="J123" s="114">
        <v>4</v>
      </c>
      <c r="K123" s="114">
        <f t="shared" si="80"/>
        <v>4154</v>
      </c>
      <c r="L123" s="114">
        <f>K123*J123</f>
        <v>16616</v>
      </c>
      <c r="M123" s="111" t="s">
        <v>22</v>
      </c>
    </row>
    <row r="124" spans="1:13" hidden="1" x14ac:dyDescent="0.25">
      <c r="A124" s="118" t="s">
        <v>227</v>
      </c>
      <c r="B124" s="86" t="s">
        <v>14</v>
      </c>
      <c r="C124" s="114">
        <v>7479</v>
      </c>
      <c r="D124" s="86" t="s">
        <v>20</v>
      </c>
      <c r="E124" s="86" t="s">
        <v>25</v>
      </c>
      <c r="F124" s="114"/>
      <c r="G124" s="114"/>
      <c r="H124" s="114"/>
      <c r="I124" s="114"/>
      <c r="J124" s="114">
        <v>1</v>
      </c>
      <c r="K124" s="114">
        <v>3700</v>
      </c>
      <c r="L124" s="114">
        <f t="shared" ref="L124:L125" si="82">K124</f>
        <v>3700</v>
      </c>
      <c r="M124" s="111" t="s">
        <v>37</v>
      </c>
    </row>
    <row r="125" spans="1:13" hidden="1" x14ac:dyDescent="0.25">
      <c r="A125" s="118" t="s">
        <v>227</v>
      </c>
      <c r="B125" s="125" t="s">
        <v>27</v>
      </c>
      <c r="C125" s="126" t="s">
        <v>28</v>
      </c>
      <c r="D125" s="86" t="s">
        <v>29</v>
      </c>
      <c r="E125" s="86" t="s">
        <v>30</v>
      </c>
      <c r="F125" s="86"/>
      <c r="G125" s="86"/>
      <c r="H125" s="86"/>
      <c r="I125" s="86"/>
      <c r="J125" s="86"/>
      <c r="K125" s="86">
        <v>2000</v>
      </c>
      <c r="L125" s="114">
        <f t="shared" si="82"/>
        <v>2000</v>
      </c>
      <c r="M125" s="89" t="s">
        <v>31</v>
      </c>
    </row>
    <row r="126" spans="1:13" hidden="1" x14ac:dyDescent="0.25">
      <c r="A126" s="118" t="s">
        <v>229</v>
      </c>
      <c r="B126" s="86" t="s">
        <v>14</v>
      </c>
      <c r="C126" s="114" t="s">
        <v>56</v>
      </c>
      <c r="D126" s="86" t="s">
        <v>57</v>
      </c>
      <c r="E126" s="86" t="s">
        <v>21</v>
      </c>
      <c r="F126" s="114">
        <v>105</v>
      </c>
      <c r="G126" s="114">
        <v>0.105</v>
      </c>
      <c r="H126" s="114">
        <f>G126*F126</f>
        <v>11.025</v>
      </c>
      <c r="I126" s="114">
        <v>111</v>
      </c>
      <c r="J126" s="114">
        <v>1</v>
      </c>
      <c r="K126" s="114">
        <f t="shared" ref="K126" si="83">F126*I126</f>
        <v>11655</v>
      </c>
      <c r="L126" s="114">
        <f t="shared" ref="L126" si="84">K126*J126</f>
        <v>11655</v>
      </c>
      <c r="M126" s="111" t="s">
        <v>181</v>
      </c>
    </row>
    <row r="127" spans="1:13" hidden="1" x14ac:dyDescent="0.25">
      <c r="A127" s="118" t="s">
        <v>229</v>
      </c>
      <c r="B127" s="86" t="s">
        <v>14</v>
      </c>
      <c r="C127" s="114">
        <v>7479</v>
      </c>
      <c r="D127" s="86" t="s">
        <v>20</v>
      </c>
      <c r="E127" s="86" t="s">
        <v>25</v>
      </c>
      <c r="F127" s="114"/>
      <c r="G127" s="114"/>
      <c r="H127" s="114"/>
      <c r="I127" s="114"/>
      <c r="J127" s="114">
        <v>1</v>
      </c>
      <c r="K127" s="114">
        <v>3300</v>
      </c>
      <c r="L127" s="114">
        <f t="shared" ref="L127" si="85">K127</f>
        <v>3300</v>
      </c>
      <c r="M127" s="111" t="s">
        <v>37</v>
      </c>
    </row>
    <row r="128" spans="1:13" hidden="1" x14ac:dyDescent="0.25">
      <c r="A128" s="118" t="s">
        <v>229</v>
      </c>
      <c r="B128" s="86" t="s">
        <v>14</v>
      </c>
      <c r="C128" s="114">
        <v>2576</v>
      </c>
      <c r="D128" s="86" t="s">
        <v>84</v>
      </c>
      <c r="E128" s="86" t="s">
        <v>17</v>
      </c>
      <c r="F128" s="114">
        <v>181</v>
      </c>
      <c r="G128" s="114">
        <v>0.1</v>
      </c>
      <c r="H128" s="114">
        <f>F128*G128</f>
        <v>18.100000000000001</v>
      </c>
      <c r="I128" s="114">
        <v>17</v>
      </c>
      <c r="J128" s="114">
        <v>1</v>
      </c>
      <c r="K128" s="114">
        <f t="shared" ref="K128" si="86">F128*I128</f>
        <v>3077</v>
      </c>
      <c r="L128" s="114">
        <f t="shared" ref="L128" si="87">K128*J128</f>
        <v>3077</v>
      </c>
      <c r="M128" s="111" t="s">
        <v>22</v>
      </c>
    </row>
    <row r="129" spans="1:13" hidden="1" x14ac:dyDescent="0.25">
      <c r="A129" s="118" t="s">
        <v>229</v>
      </c>
      <c r="B129" s="85" t="s">
        <v>23</v>
      </c>
      <c r="C129" s="114">
        <v>66772</v>
      </c>
      <c r="D129" s="86" t="s">
        <v>34</v>
      </c>
      <c r="E129" s="92" t="s">
        <v>30</v>
      </c>
      <c r="F129" s="114"/>
      <c r="G129" s="115" t="s">
        <v>78</v>
      </c>
      <c r="H129" s="114"/>
      <c r="I129" s="114"/>
      <c r="J129" s="114"/>
      <c r="K129" s="114">
        <v>3060</v>
      </c>
      <c r="L129" s="114">
        <f>K129</f>
        <v>3060</v>
      </c>
      <c r="M129" s="111" t="s">
        <v>180</v>
      </c>
    </row>
    <row r="130" spans="1:13" hidden="1" x14ac:dyDescent="0.25">
      <c r="A130" s="118" t="s">
        <v>229</v>
      </c>
      <c r="B130" s="86" t="s">
        <v>14</v>
      </c>
      <c r="C130" s="114" t="s">
        <v>51</v>
      </c>
      <c r="D130" s="86" t="s">
        <v>52</v>
      </c>
      <c r="E130" s="86" t="s">
        <v>17</v>
      </c>
      <c r="F130" s="114">
        <v>107</v>
      </c>
      <c r="G130" s="114">
        <v>0.20499999999999999</v>
      </c>
      <c r="H130" s="114">
        <f t="shared" ref="H130" si="88">F130*G130</f>
        <v>21.934999999999999</v>
      </c>
      <c r="I130" s="114">
        <v>26</v>
      </c>
      <c r="J130" s="114">
        <v>4</v>
      </c>
      <c r="K130" s="114">
        <f>F130*I130</f>
        <v>2782</v>
      </c>
      <c r="L130" s="114">
        <f t="shared" ref="L130" si="89">K130*J130</f>
        <v>11128</v>
      </c>
      <c r="M130" s="111" t="s">
        <v>18</v>
      </c>
    </row>
    <row r="131" spans="1:13" hidden="1" x14ac:dyDescent="0.25">
      <c r="A131" s="118" t="s">
        <v>229</v>
      </c>
      <c r="B131" s="86" t="s">
        <v>14</v>
      </c>
      <c r="C131" s="86">
        <v>2576</v>
      </c>
      <c r="D131" s="86" t="s">
        <v>90</v>
      </c>
      <c r="E131" s="86" t="s">
        <v>25</v>
      </c>
      <c r="F131" s="86"/>
      <c r="G131" s="86"/>
      <c r="H131" s="86"/>
      <c r="I131" s="86"/>
      <c r="J131" s="86"/>
      <c r="K131" s="86">
        <v>2800</v>
      </c>
      <c r="L131" s="86">
        <f t="shared" ref="L131" si="90">K131</f>
        <v>2800</v>
      </c>
      <c r="M131" s="89" t="s">
        <v>31</v>
      </c>
    </row>
    <row r="132" spans="1:13" hidden="1" x14ac:dyDescent="0.25">
      <c r="A132" s="118" t="s">
        <v>229</v>
      </c>
      <c r="B132" s="86" t="s">
        <v>14</v>
      </c>
      <c r="C132" s="114">
        <v>6078</v>
      </c>
      <c r="D132" s="86" t="s">
        <v>16</v>
      </c>
      <c r="E132" s="86" t="s">
        <v>17</v>
      </c>
      <c r="F132" s="114">
        <v>44</v>
      </c>
      <c r="G132" s="114">
        <v>0.32500000000000001</v>
      </c>
      <c r="H132" s="114">
        <f t="shared" ref="H132" si="91">F132*G132</f>
        <v>14.3</v>
      </c>
      <c r="I132" s="114">
        <v>62</v>
      </c>
      <c r="J132" s="114">
        <v>4</v>
      </c>
      <c r="K132" s="114">
        <f t="shared" ref="K132" si="92">F132*I132</f>
        <v>2728</v>
      </c>
      <c r="L132" s="114">
        <f>K132*J132</f>
        <v>10912</v>
      </c>
      <c r="M132" s="111" t="s">
        <v>22</v>
      </c>
    </row>
    <row r="133" spans="1:13" hidden="1" x14ac:dyDescent="0.25">
      <c r="A133" s="118" t="s">
        <v>229</v>
      </c>
      <c r="B133" s="86" t="s">
        <v>14</v>
      </c>
      <c r="C133" s="114" t="s">
        <v>56</v>
      </c>
      <c r="D133" s="86" t="s">
        <v>57</v>
      </c>
      <c r="E133" s="94" t="s">
        <v>35</v>
      </c>
      <c r="F133" s="114"/>
      <c r="G133" s="114" t="s">
        <v>77</v>
      </c>
      <c r="H133" s="114"/>
      <c r="I133" s="114"/>
      <c r="J133" s="114">
        <v>1</v>
      </c>
      <c r="K133" s="114">
        <v>1000</v>
      </c>
      <c r="L133" s="114">
        <f t="shared" ref="L133" si="93">K133</f>
        <v>1000</v>
      </c>
      <c r="M133" s="111" t="s">
        <v>91</v>
      </c>
    </row>
    <row r="134" spans="1:13" hidden="1" x14ac:dyDescent="0.25">
      <c r="A134" s="118" t="s">
        <v>229</v>
      </c>
      <c r="B134" s="86" t="s">
        <v>14</v>
      </c>
      <c r="C134" s="114" t="s">
        <v>56</v>
      </c>
      <c r="D134" s="86" t="s">
        <v>57</v>
      </c>
      <c r="E134" s="86" t="s">
        <v>39</v>
      </c>
      <c r="F134" s="114"/>
      <c r="G134" s="114" t="s">
        <v>36</v>
      </c>
      <c r="H134" s="114"/>
      <c r="I134" s="114"/>
      <c r="J134" s="114">
        <v>2</v>
      </c>
      <c r="K134" s="114">
        <v>700</v>
      </c>
      <c r="L134" s="114">
        <f>K134*2</f>
        <v>1400</v>
      </c>
      <c r="M134" s="111" t="s">
        <v>181</v>
      </c>
    </row>
    <row r="135" spans="1:13" hidden="1" x14ac:dyDescent="0.25">
      <c r="A135" s="118" t="s">
        <v>230</v>
      </c>
      <c r="B135" s="86" t="s">
        <v>14</v>
      </c>
      <c r="C135" s="114" t="s">
        <v>56</v>
      </c>
      <c r="D135" s="86" t="s">
        <v>57</v>
      </c>
      <c r="E135" s="86" t="s">
        <v>21</v>
      </c>
      <c r="F135" s="114">
        <v>81</v>
      </c>
      <c r="G135" s="114">
        <v>0.105</v>
      </c>
      <c r="H135" s="114">
        <f>G135*F135</f>
        <v>8.504999999999999</v>
      </c>
      <c r="I135" s="114">
        <v>111</v>
      </c>
      <c r="J135" s="114">
        <v>1</v>
      </c>
      <c r="K135" s="114">
        <f t="shared" ref="K135" si="94">F135*I135</f>
        <v>8991</v>
      </c>
      <c r="L135" s="114">
        <f t="shared" ref="L135" si="95">K135*J135</f>
        <v>8991</v>
      </c>
      <c r="M135" s="111" t="s">
        <v>181</v>
      </c>
    </row>
    <row r="136" spans="1:13" hidden="1" x14ac:dyDescent="0.25">
      <c r="A136" s="118" t="s">
        <v>230</v>
      </c>
      <c r="B136" s="86" t="s">
        <v>14</v>
      </c>
      <c r="C136" s="114" t="s">
        <v>56</v>
      </c>
      <c r="D136" s="86" t="s">
        <v>57</v>
      </c>
      <c r="E136" s="94" t="s">
        <v>35</v>
      </c>
      <c r="F136" s="114"/>
      <c r="G136" s="114" t="s">
        <v>77</v>
      </c>
      <c r="H136" s="114"/>
      <c r="I136" s="114"/>
      <c r="J136" s="114">
        <v>1</v>
      </c>
      <c r="K136" s="114">
        <v>5000</v>
      </c>
      <c r="L136" s="114">
        <f t="shared" ref="L136" si="96">K136</f>
        <v>5000</v>
      </c>
      <c r="M136" s="111" t="s">
        <v>91</v>
      </c>
    </row>
    <row r="137" spans="1:13" hidden="1" x14ac:dyDescent="0.25">
      <c r="A137" s="118" t="s">
        <v>230</v>
      </c>
      <c r="B137" s="86" t="s">
        <v>14</v>
      </c>
      <c r="C137" s="114" t="s">
        <v>56</v>
      </c>
      <c r="D137" s="86" t="s">
        <v>57</v>
      </c>
      <c r="E137" s="86" t="s">
        <v>39</v>
      </c>
      <c r="F137" s="114"/>
      <c r="G137" s="114" t="s">
        <v>36</v>
      </c>
      <c r="H137" s="114"/>
      <c r="I137" s="114"/>
      <c r="J137" s="114">
        <v>2</v>
      </c>
      <c r="K137" s="114">
        <v>2400</v>
      </c>
      <c r="L137" s="114">
        <f>K137*2</f>
        <v>4800</v>
      </c>
      <c r="M137" s="111" t="s">
        <v>181</v>
      </c>
    </row>
    <row r="138" spans="1:13" hidden="1" x14ac:dyDescent="0.25">
      <c r="A138" s="118" t="s">
        <v>230</v>
      </c>
      <c r="B138" s="86" t="s">
        <v>14</v>
      </c>
      <c r="C138" s="114">
        <v>6078</v>
      </c>
      <c r="D138" s="86" t="s">
        <v>16</v>
      </c>
      <c r="E138" s="86" t="s">
        <v>17</v>
      </c>
      <c r="F138" s="114">
        <v>110</v>
      </c>
      <c r="G138" s="114">
        <v>0.32500000000000001</v>
      </c>
      <c r="H138" s="114">
        <f t="shared" ref="H138" si="97">F138*G138</f>
        <v>35.75</v>
      </c>
      <c r="I138" s="114">
        <v>62</v>
      </c>
      <c r="J138" s="114">
        <v>4</v>
      </c>
      <c r="K138" s="114">
        <f t="shared" ref="K138" si="98">F138*I138</f>
        <v>6820</v>
      </c>
      <c r="L138" s="114">
        <f>K138*J138</f>
        <v>27280</v>
      </c>
      <c r="M138" s="111" t="s">
        <v>22</v>
      </c>
    </row>
    <row r="139" spans="1:13" hidden="1" x14ac:dyDescent="0.25">
      <c r="A139" s="118" t="s">
        <v>231</v>
      </c>
      <c r="B139" s="86" t="s">
        <v>14</v>
      </c>
      <c r="C139" s="114">
        <v>6078</v>
      </c>
      <c r="D139" s="86" t="s">
        <v>16</v>
      </c>
      <c r="E139" s="86" t="s">
        <v>17</v>
      </c>
      <c r="F139" s="114">
        <v>51</v>
      </c>
      <c r="G139" s="114">
        <v>0.32500000000000001</v>
      </c>
      <c r="H139" s="114">
        <f t="shared" ref="H139" si="99">F139*G139</f>
        <v>16.574999999999999</v>
      </c>
      <c r="I139" s="114">
        <v>62</v>
      </c>
      <c r="J139" s="114">
        <v>4</v>
      </c>
      <c r="K139" s="114">
        <f t="shared" ref="K139" si="100">F139*I139</f>
        <v>3162</v>
      </c>
      <c r="L139" s="114">
        <f>K139*J139</f>
        <v>12648</v>
      </c>
      <c r="M139" s="111" t="s">
        <v>22</v>
      </c>
    </row>
    <row r="140" spans="1:13" hidden="1" x14ac:dyDescent="0.25">
      <c r="A140" s="118" t="s">
        <v>231</v>
      </c>
      <c r="B140" s="86" t="s">
        <v>14</v>
      </c>
      <c r="C140" s="114" t="s">
        <v>56</v>
      </c>
      <c r="D140" s="86" t="s">
        <v>57</v>
      </c>
      <c r="E140" s="94" t="s">
        <v>35</v>
      </c>
      <c r="F140" s="114"/>
      <c r="G140" s="114" t="s">
        <v>77</v>
      </c>
      <c r="H140" s="114"/>
      <c r="I140" s="114"/>
      <c r="J140" s="114">
        <v>1</v>
      </c>
      <c r="K140" s="114">
        <v>2500</v>
      </c>
      <c r="L140" s="114">
        <f t="shared" ref="L140" si="101">K140</f>
        <v>2500</v>
      </c>
      <c r="M140" s="111" t="s">
        <v>91</v>
      </c>
    </row>
    <row r="141" spans="1:13" hidden="1" x14ac:dyDescent="0.25">
      <c r="A141" s="118" t="s">
        <v>231</v>
      </c>
      <c r="B141" s="86" t="s">
        <v>14</v>
      </c>
      <c r="C141" s="114" t="s">
        <v>56</v>
      </c>
      <c r="D141" s="86" t="s">
        <v>57</v>
      </c>
      <c r="E141" s="86" t="s">
        <v>39</v>
      </c>
      <c r="F141" s="114"/>
      <c r="G141" s="114" t="s">
        <v>36</v>
      </c>
      <c r="H141" s="114"/>
      <c r="I141" s="114"/>
      <c r="J141" s="114">
        <v>2</v>
      </c>
      <c r="K141" s="114">
        <v>1500</v>
      </c>
      <c r="L141" s="114">
        <f>K141*2</f>
        <v>3000</v>
      </c>
      <c r="M141" s="111" t="s">
        <v>181</v>
      </c>
    </row>
    <row r="142" spans="1:13" hidden="1" x14ac:dyDescent="0.25">
      <c r="A142" s="118" t="s">
        <v>231</v>
      </c>
      <c r="B142" s="86" t="s">
        <v>14</v>
      </c>
      <c r="C142" s="114" t="s">
        <v>56</v>
      </c>
      <c r="D142" s="86" t="s">
        <v>57</v>
      </c>
      <c r="E142" s="86" t="s">
        <v>21</v>
      </c>
      <c r="F142" s="114">
        <v>35</v>
      </c>
      <c r="G142" s="114">
        <v>0.105</v>
      </c>
      <c r="H142" s="114">
        <f>G142*F142</f>
        <v>3.6749999999999998</v>
      </c>
      <c r="I142" s="114">
        <v>111</v>
      </c>
      <c r="J142" s="114">
        <v>1</v>
      </c>
      <c r="K142" s="114">
        <f t="shared" ref="K142" si="102">F142*I142</f>
        <v>3885</v>
      </c>
      <c r="L142" s="114">
        <f t="shared" ref="L142" si="103">K142*J142</f>
        <v>3885</v>
      </c>
      <c r="M142" s="111" t="s">
        <v>181</v>
      </c>
    </row>
    <row r="143" spans="1:13" hidden="1" x14ac:dyDescent="0.25">
      <c r="A143" s="118" t="s">
        <v>231</v>
      </c>
      <c r="B143" s="86" t="s">
        <v>14</v>
      </c>
      <c r="C143" s="86">
        <v>2576</v>
      </c>
      <c r="D143" s="86" t="s">
        <v>90</v>
      </c>
      <c r="E143" s="86" t="s">
        <v>25</v>
      </c>
      <c r="F143" s="86"/>
      <c r="G143" s="86"/>
      <c r="H143" s="86"/>
      <c r="I143" s="86"/>
      <c r="J143" s="86"/>
      <c r="K143" s="86">
        <v>1200</v>
      </c>
      <c r="L143" s="86">
        <f t="shared" ref="L143:L146" si="104">K143</f>
        <v>1200</v>
      </c>
      <c r="M143" s="89" t="s">
        <v>31</v>
      </c>
    </row>
    <row r="144" spans="1:13" hidden="1" x14ac:dyDescent="0.25">
      <c r="A144" s="118" t="s">
        <v>231</v>
      </c>
      <c r="B144" s="85" t="s">
        <v>23</v>
      </c>
      <c r="C144" s="114">
        <v>66772</v>
      </c>
      <c r="D144" s="86" t="s">
        <v>34</v>
      </c>
      <c r="E144" s="87" t="s">
        <v>35</v>
      </c>
      <c r="F144" s="114"/>
      <c r="G144" s="115" t="s">
        <v>77</v>
      </c>
      <c r="H144" s="114"/>
      <c r="I144" s="114"/>
      <c r="J144" s="114"/>
      <c r="K144" s="114">
        <v>800</v>
      </c>
      <c r="L144" s="114">
        <f t="shared" si="104"/>
        <v>800</v>
      </c>
      <c r="M144" s="111" t="s">
        <v>179</v>
      </c>
    </row>
    <row r="145" spans="1:13" hidden="1" x14ac:dyDescent="0.25">
      <c r="A145" s="118" t="s">
        <v>232</v>
      </c>
      <c r="B145" s="85" t="s">
        <v>23</v>
      </c>
      <c r="C145" s="114">
        <v>66772</v>
      </c>
      <c r="D145" s="86" t="s">
        <v>34</v>
      </c>
      <c r="E145" s="87" t="s">
        <v>35</v>
      </c>
      <c r="F145" s="114"/>
      <c r="G145" s="115" t="s">
        <v>77</v>
      </c>
      <c r="H145" s="114"/>
      <c r="I145" s="114"/>
      <c r="J145" s="114"/>
      <c r="K145" s="114">
        <v>8400</v>
      </c>
      <c r="L145" s="114">
        <f t="shared" si="104"/>
        <v>8400</v>
      </c>
      <c r="M145" s="111" t="s">
        <v>26</v>
      </c>
    </row>
    <row r="146" spans="1:13" hidden="1" x14ac:dyDescent="0.25">
      <c r="A146" s="118" t="s">
        <v>232</v>
      </c>
      <c r="B146" s="85" t="s">
        <v>23</v>
      </c>
      <c r="C146" s="114">
        <v>66772</v>
      </c>
      <c r="D146" s="86" t="s">
        <v>34</v>
      </c>
      <c r="E146" s="93" t="s">
        <v>39</v>
      </c>
      <c r="F146" s="114"/>
      <c r="G146" s="115" t="s">
        <v>36</v>
      </c>
      <c r="H146" s="114"/>
      <c r="I146" s="114"/>
      <c r="J146" s="114"/>
      <c r="K146" s="114">
        <v>8000</v>
      </c>
      <c r="L146" s="114">
        <f t="shared" si="104"/>
        <v>8000</v>
      </c>
      <c r="M146" s="111" t="s">
        <v>179</v>
      </c>
    </row>
    <row r="147" spans="1:13" hidden="1" x14ac:dyDescent="0.25">
      <c r="A147" s="118" t="s">
        <v>232</v>
      </c>
      <c r="B147" s="85" t="s">
        <v>23</v>
      </c>
      <c r="C147" s="114">
        <v>66772</v>
      </c>
      <c r="D147" s="86" t="s">
        <v>34</v>
      </c>
      <c r="E147" s="92" t="s">
        <v>30</v>
      </c>
      <c r="F147" s="114"/>
      <c r="G147" s="115" t="s">
        <v>78</v>
      </c>
      <c r="H147" s="114"/>
      <c r="I147" s="114"/>
      <c r="J147" s="114"/>
      <c r="K147" s="114">
        <v>6500</v>
      </c>
      <c r="L147" s="114">
        <f>K147</f>
        <v>6500</v>
      </c>
      <c r="M147" s="111" t="s">
        <v>180</v>
      </c>
    </row>
    <row r="148" spans="1:13" hidden="1" x14ac:dyDescent="0.25">
      <c r="A148" s="118" t="s">
        <v>232</v>
      </c>
      <c r="B148" s="86" t="s">
        <v>14</v>
      </c>
      <c r="C148" s="86" t="s">
        <v>49</v>
      </c>
      <c r="D148" s="86" t="s">
        <v>50</v>
      </c>
      <c r="E148" s="86" t="s">
        <v>25</v>
      </c>
      <c r="F148" s="86"/>
      <c r="G148" s="86"/>
      <c r="H148" s="86"/>
      <c r="I148" s="86"/>
      <c r="J148" s="86"/>
      <c r="K148" s="86">
        <v>4000</v>
      </c>
      <c r="L148" s="86">
        <f t="shared" ref="L148:L150" si="105">K148</f>
        <v>4000</v>
      </c>
      <c r="M148" s="89" t="s">
        <v>31</v>
      </c>
    </row>
    <row r="149" spans="1:13" hidden="1" x14ac:dyDescent="0.25">
      <c r="A149" s="118" t="s">
        <v>232</v>
      </c>
      <c r="B149" s="86" t="s">
        <v>14</v>
      </c>
      <c r="C149" s="86" t="s">
        <v>89</v>
      </c>
      <c r="D149" s="86" t="s">
        <v>90</v>
      </c>
      <c r="E149" s="86" t="s">
        <v>25</v>
      </c>
      <c r="F149" s="86"/>
      <c r="G149" s="86"/>
      <c r="H149" s="86"/>
      <c r="I149" s="86"/>
      <c r="J149" s="86"/>
      <c r="K149" s="86">
        <v>5800</v>
      </c>
      <c r="L149" s="86">
        <f t="shared" si="105"/>
        <v>5800</v>
      </c>
      <c r="M149" s="89" t="s">
        <v>181</v>
      </c>
    </row>
    <row r="150" spans="1:13" hidden="1" x14ac:dyDescent="0.25">
      <c r="A150" s="118" t="s">
        <v>232</v>
      </c>
      <c r="B150" s="86" t="s">
        <v>14</v>
      </c>
      <c r="C150" s="114" t="s">
        <v>56</v>
      </c>
      <c r="D150" s="86" t="s">
        <v>57</v>
      </c>
      <c r="E150" s="94" t="s">
        <v>35</v>
      </c>
      <c r="F150" s="114"/>
      <c r="G150" s="114" t="s">
        <v>77</v>
      </c>
      <c r="H150" s="114"/>
      <c r="I150" s="114"/>
      <c r="J150" s="114">
        <v>1</v>
      </c>
      <c r="K150" s="114">
        <v>5000</v>
      </c>
      <c r="L150" s="114">
        <f t="shared" si="105"/>
        <v>5000</v>
      </c>
      <c r="M150" s="111" t="s">
        <v>91</v>
      </c>
    </row>
    <row r="151" spans="1:13" hidden="1" x14ac:dyDescent="0.25">
      <c r="A151" s="118" t="s">
        <v>232</v>
      </c>
      <c r="B151" s="86" t="s">
        <v>14</v>
      </c>
      <c r="C151" s="114" t="s">
        <v>56</v>
      </c>
      <c r="D151" s="86" t="s">
        <v>57</v>
      </c>
      <c r="E151" s="86" t="s">
        <v>39</v>
      </c>
      <c r="F151" s="114"/>
      <c r="G151" s="114" t="s">
        <v>36</v>
      </c>
      <c r="H151" s="114"/>
      <c r="I151" s="114"/>
      <c r="J151" s="114">
        <v>2</v>
      </c>
      <c r="K151" s="114">
        <v>1000</v>
      </c>
      <c r="L151" s="114">
        <f>K151*2</f>
        <v>2000</v>
      </c>
      <c r="M151" s="111" t="s">
        <v>181</v>
      </c>
    </row>
    <row r="152" spans="1:13" hidden="1" x14ac:dyDescent="0.25">
      <c r="A152" s="118" t="s">
        <v>233</v>
      </c>
      <c r="B152" s="86" t="s">
        <v>14</v>
      </c>
      <c r="C152" s="86" t="s">
        <v>89</v>
      </c>
      <c r="D152" s="86" t="s">
        <v>90</v>
      </c>
      <c r="E152" s="86" t="s">
        <v>25</v>
      </c>
      <c r="F152" s="86"/>
      <c r="G152" s="86"/>
      <c r="H152" s="86"/>
      <c r="I152" s="86"/>
      <c r="J152" s="86"/>
      <c r="K152" s="86">
        <v>2850</v>
      </c>
      <c r="L152" s="86">
        <f>K152</f>
        <v>2850</v>
      </c>
      <c r="M152" s="89" t="s">
        <v>181</v>
      </c>
    </row>
    <row r="153" spans="1:13" hidden="1" x14ac:dyDescent="0.25">
      <c r="A153" s="118" t="s">
        <v>233</v>
      </c>
      <c r="B153" s="85" t="s">
        <v>23</v>
      </c>
      <c r="C153" s="114">
        <v>66772</v>
      </c>
      <c r="D153" s="86" t="s">
        <v>34</v>
      </c>
      <c r="E153" s="87" t="s">
        <v>35</v>
      </c>
      <c r="F153" s="114"/>
      <c r="G153" s="115" t="s">
        <v>77</v>
      </c>
      <c r="H153" s="114"/>
      <c r="I153" s="114"/>
      <c r="J153" s="114"/>
      <c r="K153" s="114">
        <v>6300</v>
      </c>
      <c r="L153" s="114">
        <f t="shared" ref="L153:L154" si="106">K153</f>
        <v>6300</v>
      </c>
      <c r="M153" s="111" t="s">
        <v>26</v>
      </c>
    </row>
    <row r="154" spans="1:13" hidden="1" x14ac:dyDescent="0.25">
      <c r="A154" s="118" t="s">
        <v>233</v>
      </c>
      <c r="B154" s="85" t="s">
        <v>23</v>
      </c>
      <c r="C154" s="114">
        <v>66772</v>
      </c>
      <c r="D154" s="86" t="s">
        <v>34</v>
      </c>
      <c r="E154" s="93" t="s">
        <v>39</v>
      </c>
      <c r="F154" s="114"/>
      <c r="G154" s="115" t="s">
        <v>36</v>
      </c>
      <c r="H154" s="114"/>
      <c r="I154" s="114"/>
      <c r="J154" s="114"/>
      <c r="K154" s="114">
        <v>6594</v>
      </c>
      <c r="L154" s="114">
        <f t="shared" si="106"/>
        <v>6594</v>
      </c>
      <c r="M154" s="111" t="s">
        <v>179</v>
      </c>
    </row>
    <row r="155" spans="1:13" hidden="1" x14ac:dyDescent="0.25">
      <c r="A155" s="118" t="s">
        <v>233</v>
      </c>
      <c r="B155" s="85" t="s">
        <v>23</v>
      </c>
      <c r="C155" s="114">
        <v>66772</v>
      </c>
      <c r="D155" s="86" t="s">
        <v>34</v>
      </c>
      <c r="E155" s="92" t="s">
        <v>30</v>
      </c>
      <c r="F155" s="114"/>
      <c r="G155" s="115" t="s">
        <v>78</v>
      </c>
      <c r="H155" s="114"/>
      <c r="I155" s="114"/>
      <c r="J155" s="114"/>
      <c r="K155" s="114">
        <v>8144</v>
      </c>
      <c r="L155" s="114">
        <f>K155</f>
        <v>8144</v>
      </c>
      <c r="M155" s="111" t="s">
        <v>180</v>
      </c>
    </row>
    <row r="156" spans="1:13" hidden="1" x14ac:dyDescent="0.25">
      <c r="A156" s="118" t="s">
        <v>233</v>
      </c>
      <c r="B156" s="86" t="s">
        <v>14</v>
      </c>
      <c r="C156" s="86" t="s">
        <v>49</v>
      </c>
      <c r="D156" s="86" t="s">
        <v>50</v>
      </c>
      <c r="E156" s="86" t="s">
        <v>25</v>
      </c>
      <c r="F156" s="86"/>
      <c r="G156" s="86"/>
      <c r="H156" s="86"/>
      <c r="I156" s="86"/>
      <c r="J156" s="86"/>
      <c r="K156" s="86">
        <v>4500</v>
      </c>
      <c r="L156" s="86">
        <f t="shared" ref="L156" si="107">K156</f>
        <v>4500</v>
      </c>
      <c r="M156" s="89" t="s">
        <v>31</v>
      </c>
    </row>
    <row r="157" spans="1:13" hidden="1" x14ac:dyDescent="0.25">
      <c r="A157" s="118" t="s">
        <v>233</v>
      </c>
      <c r="B157" s="86" t="s">
        <v>14</v>
      </c>
      <c r="C157" s="114">
        <v>7479</v>
      </c>
      <c r="D157" s="86" t="s">
        <v>20</v>
      </c>
      <c r="E157" s="86" t="s">
        <v>21</v>
      </c>
      <c r="F157" s="114">
        <v>128</v>
      </c>
      <c r="G157" s="114">
        <v>0.15</v>
      </c>
      <c r="H157" s="114">
        <f>G157*F157</f>
        <v>19.2</v>
      </c>
      <c r="I157" s="114">
        <v>79</v>
      </c>
      <c r="J157" s="114">
        <v>1</v>
      </c>
      <c r="K157" s="114">
        <f>F157*I157</f>
        <v>10112</v>
      </c>
      <c r="L157" s="114">
        <f>K157*J157</f>
        <v>10112</v>
      </c>
      <c r="M157" s="111" t="s">
        <v>22</v>
      </c>
    </row>
    <row r="158" spans="1:13" hidden="1" x14ac:dyDescent="0.25">
      <c r="A158" s="118" t="s">
        <v>233</v>
      </c>
      <c r="B158" s="86" t="s">
        <v>14</v>
      </c>
      <c r="C158" s="114" t="s">
        <v>56</v>
      </c>
      <c r="D158" s="86" t="s">
        <v>57</v>
      </c>
      <c r="E158" s="86" t="s">
        <v>39</v>
      </c>
      <c r="F158" s="114"/>
      <c r="G158" s="114" t="s">
        <v>36</v>
      </c>
      <c r="H158" s="114"/>
      <c r="I158" s="114"/>
      <c r="J158" s="114">
        <v>2</v>
      </c>
      <c r="K158" s="114">
        <v>1000</v>
      </c>
      <c r="L158" s="114">
        <f>K158*2</f>
        <v>2000</v>
      </c>
      <c r="M158" s="111" t="s">
        <v>181</v>
      </c>
    </row>
    <row r="159" spans="1:13" hidden="1" x14ac:dyDescent="0.25">
      <c r="A159" s="118" t="s">
        <v>234</v>
      </c>
      <c r="B159" s="85" t="s">
        <v>23</v>
      </c>
      <c r="C159" s="114">
        <v>65548</v>
      </c>
      <c r="D159" s="91" t="s">
        <v>24</v>
      </c>
      <c r="E159" s="87" t="s">
        <v>25</v>
      </c>
      <c r="F159" s="114"/>
      <c r="G159" s="115"/>
      <c r="H159" s="114"/>
      <c r="I159" s="114"/>
      <c r="J159" s="114"/>
      <c r="K159" s="114">
        <v>8247</v>
      </c>
      <c r="L159" s="114">
        <f t="shared" ref="L159:L163" si="108">K159</f>
        <v>8247</v>
      </c>
      <c r="M159" s="111" t="s">
        <v>26</v>
      </c>
    </row>
    <row r="160" spans="1:13" hidden="1" x14ac:dyDescent="0.25">
      <c r="A160" s="118" t="s">
        <v>234</v>
      </c>
      <c r="B160" s="85" t="s">
        <v>23</v>
      </c>
      <c r="C160" s="114">
        <v>65548</v>
      </c>
      <c r="D160" s="91" t="s">
        <v>24</v>
      </c>
      <c r="E160" s="92" t="s">
        <v>30</v>
      </c>
      <c r="F160" s="114"/>
      <c r="G160" s="115" t="s">
        <v>36</v>
      </c>
      <c r="H160" s="114"/>
      <c r="I160" s="114"/>
      <c r="J160" s="114"/>
      <c r="K160" s="114">
        <v>8000</v>
      </c>
      <c r="L160" s="114">
        <f t="shared" si="108"/>
        <v>8000</v>
      </c>
      <c r="M160" s="111" t="s">
        <v>180</v>
      </c>
    </row>
    <row r="161" spans="1:13" hidden="1" x14ac:dyDescent="0.25">
      <c r="A161" s="118" t="s">
        <v>234</v>
      </c>
      <c r="B161" s="86" t="s">
        <v>14</v>
      </c>
      <c r="C161" s="86" t="s">
        <v>49</v>
      </c>
      <c r="D161" s="86" t="s">
        <v>50</v>
      </c>
      <c r="E161" s="86" t="s">
        <v>25</v>
      </c>
      <c r="F161" s="86"/>
      <c r="G161" s="86"/>
      <c r="H161" s="86"/>
      <c r="I161" s="86"/>
      <c r="J161" s="86"/>
      <c r="K161" s="86">
        <v>4500</v>
      </c>
      <c r="L161" s="86">
        <f t="shared" si="108"/>
        <v>4500</v>
      </c>
      <c r="M161" s="89" t="s">
        <v>31</v>
      </c>
    </row>
    <row r="162" spans="1:13" hidden="1" x14ac:dyDescent="0.25">
      <c r="A162" s="118" t="s">
        <v>234</v>
      </c>
      <c r="B162" s="86" t="s">
        <v>14</v>
      </c>
      <c r="C162" s="86">
        <v>2576</v>
      </c>
      <c r="D162" s="86" t="s">
        <v>90</v>
      </c>
      <c r="E162" s="86" t="s">
        <v>25</v>
      </c>
      <c r="F162" s="86"/>
      <c r="G162" s="86"/>
      <c r="H162" s="86"/>
      <c r="I162" s="86"/>
      <c r="J162" s="86"/>
      <c r="K162" s="86">
        <v>1500</v>
      </c>
      <c r="L162" s="86">
        <f t="shared" si="108"/>
        <v>1500</v>
      </c>
      <c r="M162" s="89" t="s">
        <v>31</v>
      </c>
    </row>
    <row r="163" spans="1:13" hidden="1" x14ac:dyDescent="0.25">
      <c r="A163" s="118" t="s">
        <v>234</v>
      </c>
      <c r="B163" s="86" t="s">
        <v>14</v>
      </c>
      <c r="C163" s="114" t="s">
        <v>56</v>
      </c>
      <c r="D163" s="86" t="s">
        <v>57</v>
      </c>
      <c r="E163" s="94" t="s">
        <v>35</v>
      </c>
      <c r="F163" s="114"/>
      <c r="G163" s="114" t="s">
        <v>77</v>
      </c>
      <c r="H163" s="114"/>
      <c r="I163" s="114"/>
      <c r="J163" s="114">
        <v>1</v>
      </c>
      <c r="K163" s="114">
        <v>8000</v>
      </c>
      <c r="L163" s="114">
        <f t="shared" si="108"/>
        <v>8000</v>
      </c>
      <c r="M163" s="111" t="s">
        <v>91</v>
      </c>
    </row>
    <row r="164" spans="1:13" hidden="1" x14ac:dyDescent="0.25">
      <c r="A164" s="118" t="s">
        <v>234</v>
      </c>
      <c r="B164" s="86" t="s">
        <v>14</v>
      </c>
      <c r="C164" s="114" t="s">
        <v>56</v>
      </c>
      <c r="D164" s="86" t="s">
        <v>57</v>
      </c>
      <c r="E164" s="86" t="s">
        <v>39</v>
      </c>
      <c r="F164" s="114"/>
      <c r="G164" s="114" t="s">
        <v>36</v>
      </c>
      <c r="H164" s="114"/>
      <c r="I164" s="114"/>
      <c r="J164" s="114">
        <v>2</v>
      </c>
      <c r="K164" s="114">
        <v>4000</v>
      </c>
      <c r="L164" s="114">
        <f>K164*2</f>
        <v>8000</v>
      </c>
      <c r="M164" s="111" t="s">
        <v>181</v>
      </c>
    </row>
    <row r="165" spans="1:13" hidden="1" x14ac:dyDescent="0.25">
      <c r="A165" s="118" t="s">
        <v>234</v>
      </c>
      <c r="B165" s="86" t="s">
        <v>14</v>
      </c>
      <c r="C165" s="114">
        <v>7479</v>
      </c>
      <c r="D165" s="86" t="s">
        <v>20</v>
      </c>
      <c r="E165" s="86" t="s">
        <v>25</v>
      </c>
      <c r="F165" s="114"/>
      <c r="G165" s="114"/>
      <c r="H165" s="114"/>
      <c r="I165" s="114"/>
      <c r="J165" s="114">
        <v>1</v>
      </c>
      <c r="K165" s="114">
        <v>3600</v>
      </c>
      <c r="L165" s="114">
        <f t="shared" ref="L165" si="109">K165</f>
        <v>3600</v>
      </c>
      <c r="M165" s="111" t="s">
        <v>180</v>
      </c>
    </row>
    <row r="166" spans="1:13" hidden="1" x14ac:dyDescent="0.25">
      <c r="A166" s="118" t="s">
        <v>234</v>
      </c>
      <c r="B166" s="86" t="s">
        <v>14</v>
      </c>
      <c r="C166" s="114">
        <v>6871</v>
      </c>
      <c r="D166" s="86" t="s">
        <v>16</v>
      </c>
      <c r="E166" s="86" t="s">
        <v>17</v>
      </c>
      <c r="F166" s="114">
        <v>18</v>
      </c>
      <c r="G166" s="114">
        <v>0.64</v>
      </c>
      <c r="H166" s="114">
        <f>G166*F166</f>
        <v>11.52</v>
      </c>
      <c r="I166" s="114">
        <v>70</v>
      </c>
      <c r="J166" s="114">
        <v>2</v>
      </c>
      <c r="K166" s="114">
        <f t="shared" ref="K166" si="110">F166*I166</f>
        <v>1260</v>
      </c>
      <c r="L166" s="114">
        <f t="shared" ref="L166" si="111">K166*J166</f>
        <v>2520</v>
      </c>
      <c r="M166" s="111" t="s">
        <v>22</v>
      </c>
    </row>
    <row r="167" spans="1:13" hidden="1" x14ac:dyDescent="0.25">
      <c r="A167" s="118" t="s">
        <v>235</v>
      </c>
      <c r="B167" s="85" t="s">
        <v>23</v>
      </c>
      <c r="C167" s="114">
        <v>65548</v>
      </c>
      <c r="D167" s="91" t="s">
        <v>24</v>
      </c>
      <c r="E167" s="92" t="s">
        <v>30</v>
      </c>
      <c r="F167" s="114"/>
      <c r="G167" s="115" t="s">
        <v>36</v>
      </c>
      <c r="H167" s="114"/>
      <c r="I167" s="114"/>
      <c r="J167" s="114"/>
      <c r="K167" s="114">
        <v>2000</v>
      </c>
      <c r="L167" s="114">
        <f t="shared" ref="L167:L170" si="112">K167</f>
        <v>2000</v>
      </c>
      <c r="M167" s="111" t="s">
        <v>180</v>
      </c>
    </row>
    <row r="168" spans="1:13" hidden="1" x14ac:dyDescent="0.25">
      <c r="A168" s="118" t="s">
        <v>235</v>
      </c>
      <c r="B168" s="85" t="s">
        <v>23</v>
      </c>
      <c r="C168" s="114">
        <v>65548</v>
      </c>
      <c r="D168" s="91" t="s">
        <v>24</v>
      </c>
      <c r="E168" s="87" t="s">
        <v>25</v>
      </c>
      <c r="F168" s="114"/>
      <c r="G168" s="115"/>
      <c r="H168" s="114"/>
      <c r="I168" s="114"/>
      <c r="J168" s="114"/>
      <c r="K168" s="114">
        <v>8050</v>
      </c>
      <c r="L168" s="114">
        <f t="shared" si="112"/>
        <v>8050</v>
      </c>
      <c r="M168" s="111" t="s">
        <v>26</v>
      </c>
    </row>
    <row r="169" spans="1:13" hidden="1" x14ac:dyDescent="0.25">
      <c r="A169" s="118" t="s">
        <v>235</v>
      </c>
      <c r="B169" s="85" t="s">
        <v>23</v>
      </c>
      <c r="C169" s="114">
        <v>65548</v>
      </c>
      <c r="D169" s="91" t="s">
        <v>24</v>
      </c>
      <c r="E169" s="92" t="s">
        <v>30</v>
      </c>
      <c r="F169" s="114"/>
      <c r="G169" s="115" t="s">
        <v>36</v>
      </c>
      <c r="H169" s="114"/>
      <c r="I169" s="114"/>
      <c r="J169" s="114"/>
      <c r="K169" s="114">
        <v>7100</v>
      </c>
      <c r="L169" s="114">
        <f t="shared" si="112"/>
        <v>7100</v>
      </c>
      <c r="M169" s="111" t="s">
        <v>180</v>
      </c>
    </row>
    <row r="170" spans="1:13" hidden="1" x14ac:dyDescent="0.25">
      <c r="A170" s="118" t="s">
        <v>235</v>
      </c>
      <c r="B170" s="85" t="s">
        <v>23</v>
      </c>
      <c r="C170" s="114">
        <v>66772</v>
      </c>
      <c r="D170" s="86" t="s">
        <v>34</v>
      </c>
      <c r="E170" s="87" t="s">
        <v>35</v>
      </c>
      <c r="F170" s="114"/>
      <c r="G170" s="115" t="s">
        <v>77</v>
      </c>
      <c r="H170" s="114"/>
      <c r="I170" s="114"/>
      <c r="J170" s="114"/>
      <c r="K170" s="114">
        <v>5420</v>
      </c>
      <c r="L170" s="114">
        <f t="shared" si="112"/>
        <v>5420</v>
      </c>
      <c r="M170" s="111" t="s">
        <v>179</v>
      </c>
    </row>
    <row r="171" spans="1:13" hidden="1" x14ac:dyDescent="0.25">
      <c r="A171" s="118" t="s">
        <v>235</v>
      </c>
      <c r="B171" s="86" t="s">
        <v>14</v>
      </c>
      <c r="C171" s="114" t="s">
        <v>56</v>
      </c>
      <c r="D171" s="86" t="s">
        <v>57</v>
      </c>
      <c r="E171" s="86" t="s">
        <v>39</v>
      </c>
      <c r="F171" s="114"/>
      <c r="G171" s="114" t="s">
        <v>36</v>
      </c>
      <c r="H171" s="114"/>
      <c r="I171" s="114"/>
      <c r="J171" s="114">
        <v>2</v>
      </c>
      <c r="K171" s="114">
        <v>1399</v>
      </c>
      <c r="L171" s="114">
        <f>K171*2</f>
        <v>2798</v>
      </c>
      <c r="M171" s="111" t="s">
        <v>181</v>
      </c>
    </row>
    <row r="172" spans="1:13" hidden="1" x14ac:dyDescent="0.25">
      <c r="A172" s="118" t="s">
        <v>235</v>
      </c>
      <c r="B172" s="86" t="s">
        <v>14</v>
      </c>
      <c r="C172" s="114">
        <v>7479</v>
      </c>
      <c r="D172" s="86" t="s">
        <v>20</v>
      </c>
      <c r="E172" s="86" t="s">
        <v>25</v>
      </c>
      <c r="F172" s="114"/>
      <c r="G172" s="114"/>
      <c r="H172" s="114"/>
      <c r="I172" s="114"/>
      <c r="J172" s="114">
        <v>1</v>
      </c>
      <c r="K172" s="114">
        <v>5200</v>
      </c>
      <c r="L172" s="114">
        <f t="shared" ref="L172" si="113">K172</f>
        <v>5200</v>
      </c>
      <c r="M172" s="111" t="s">
        <v>180</v>
      </c>
    </row>
    <row r="173" spans="1:13" hidden="1" x14ac:dyDescent="0.25">
      <c r="A173" s="118" t="s">
        <v>235</v>
      </c>
      <c r="B173" s="86" t="s">
        <v>14</v>
      </c>
      <c r="C173" s="114">
        <v>6871</v>
      </c>
      <c r="D173" s="86" t="s">
        <v>16</v>
      </c>
      <c r="E173" s="86" t="s">
        <v>17</v>
      </c>
      <c r="F173" s="114">
        <v>53</v>
      </c>
      <c r="G173" s="114">
        <v>0.64</v>
      </c>
      <c r="H173" s="114">
        <f>G173*F173</f>
        <v>33.92</v>
      </c>
      <c r="I173" s="114">
        <v>70</v>
      </c>
      <c r="J173" s="114">
        <v>2</v>
      </c>
      <c r="K173" s="114">
        <f t="shared" ref="K173" si="114">F173*I173</f>
        <v>3710</v>
      </c>
      <c r="L173" s="114">
        <f t="shared" ref="L173" si="115">K173*J173</f>
        <v>7420</v>
      </c>
      <c r="M173" s="111" t="s">
        <v>22</v>
      </c>
    </row>
    <row r="174" spans="1:13" hidden="1" x14ac:dyDescent="0.25">
      <c r="A174" s="118" t="s">
        <v>236</v>
      </c>
      <c r="B174" s="85" t="s">
        <v>23</v>
      </c>
      <c r="C174" s="114">
        <v>65548</v>
      </c>
      <c r="D174" s="91" t="s">
        <v>24</v>
      </c>
      <c r="E174" s="87" t="s">
        <v>25</v>
      </c>
      <c r="F174" s="114"/>
      <c r="G174" s="115"/>
      <c r="H174" s="114"/>
      <c r="I174" s="114"/>
      <c r="J174" s="114"/>
      <c r="K174" s="114">
        <v>2000</v>
      </c>
      <c r="L174" s="114">
        <f t="shared" ref="L174:L177" si="116">K174</f>
        <v>2000</v>
      </c>
      <c r="M174" s="111" t="s">
        <v>26</v>
      </c>
    </row>
    <row r="175" spans="1:13" hidden="1" x14ac:dyDescent="0.25">
      <c r="A175" s="118" t="s">
        <v>236</v>
      </c>
      <c r="B175" s="85" t="s">
        <v>23</v>
      </c>
      <c r="C175" s="114">
        <v>65548</v>
      </c>
      <c r="D175" s="91" t="s">
        <v>24</v>
      </c>
      <c r="E175" s="92" t="s">
        <v>30</v>
      </c>
      <c r="F175" s="114"/>
      <c r="G175" s="115" t="s">
        <v>36</v>
      </c>
      <c r="H175" s="114"/>
      <c r="I175" s="114"/>
      <c r="J175" s="114"/>
      <c r="K175" s="114">
        <v>3000</v>
      </c>
      <c r="L175" s="114">
        <f t="shared" si="116"/>
        <v>3000</v>
      </c>
      <c r="M175" s="111" t="s">
        <v>180</v>
      </c>
    </row>
    <row r="176" spans="1:13" hidden="1" x14ac:dyDescent="0.25">
      <c r="A176" s="118" t="s">
        <v>236</v>
      </c>
      <c r="B176" s="85" t="s">
        <v>23</v>
      </c>
      <c r="C176" s="114">
        <v>66772</v>
      </c>
      <c r="D176" s="86" t="s">
        <v>34</v>
      </c>
      <c r="E176" s="87" t="s">
        <v>35</v>
      </c>
      <c r="F176" s="114"/>
      <c r="G176" s="115" t="s">
        <v>77</v>
      </c>
      <c r="H176" s="114"/>
      <c r="I176" s="114"/>
      <c r="J176" s="114"/>
      <c r="K176" s="114">
        <v>7280</v>
      </c>
      <c r="L176" s="114">
        <f t="shared" si="116"/>
        <v>7280</v>
      </c>
      <c r="M176" s="111" t="s">
        <v>179</v>
      </c>
    </row>
    <row r="177" spans="1:13" hidden="1" x14ac:dyDescent="0.25">
      <c r="A177" s="118" t="s">
        <v>236</v>
      </c>
      <c r="B177" s="85" t="s">
        <v>23</v>
      </c>
      <c r="C177" s="114">
        <v>66772</v>
      </c>
      <c r="D177" s="86" t="s">
        <v>34</v>
      </c>
      <c r="E177" s="93" t="s">
        <v>39</v>
      </c>
      <c r="F177" s="114"/>
      <c r="G177" s="115" t="s">
        <v>36</v>
      </c>
      <c r="H177" s="114"/>
      <c r="I177" s="114"/>
      <c r="J177" s="114"/>
      <c r="K177" s="114">
        <v>6700</v>
      </c>
      <c r="L177" s="114">
        <f t="shared" si="116"/>
        <v>6700</v>
      </c>
      <c r="M177" s="111" t="s">
        <v>179</v>
      </c>
    </row>
    <row r="178" spans="1:13" hidden="1" x14ac:dyDescent="0.25">
      <c r="A178" s="118" t="s">
        <v>236</v>
      </c>
      <c r="B178" s="85" t="s">
        <v>23</v>
      </c>
      <c r="C178" s="114">
        <v>66772</v>
      </c>
      <c r="D178" s="86" t="s">
        <v>34</v>
      </c>
      <c r="E178" s="92" t="s">
        <v>30</v>
      </c>
      <c r="F178" s="114"/>
      <c r="G178" s="115" t="s">
        <v>78</v>
      </c>
      <c r="H178" s="114"/>
      <c r="I178" s="114"/>
      <c r="J178" s="114"/>
      <c r="K178" s="114">
        <v>5112</v>
      </c>
      <c r="L178" s="114">
        <f>K178</f>
        <v>5112</v>
      </c>
      <c r="M178" s="111" t="s">
        <v>180</v>
      </c>
    </row>
    <row r="179" spans="1:13" hidden="1" x14ac:dyDescent="0.25">
      <c r="A179" s="118" t="s">
        <v>236</v>
      </c>
      <c r="B179" s="86" t="s">
        <v>14</v>
      </c>
      <c r="C179" s="114">
        <v>7479</v>
      </c>
      <c r="D179" s="86" t="s">
        <v>20</v>
      </c>
      <c r="E179" s="86" t="s">
        <v>25</v>
      </c>
      <c r="F179" s="114"/>
      <c r="G179" s="114"/>
      <c r="H179" s="114"/>
      <c r="I179" s="114"/>
      <c r="J179" s="114">
        <v>1</v>
      </c>
      <c r="K179" s="114">
        <v>4000</v>
      </c>
      <c r="L179" s="114">
        <f t="shared" ref="L179" si="117">K179</f>
        <v>4000</v>
      </c>
      <c r="M179" s="111" t="s">
        <v>180</v>
      </c>
    </row>
    <row r="180" spans="1:13" hidden="1" x14ac:dyDescent="0.25">
      <c r="A180" s="118" t="s">
        <v>236</v>
      </c>
      <c r="B180" s="86" t="s">
        <v>14</v>
      </c>
      <c r="C180" s="114" t="s">
        <v>56</v>
      </c>
      <c r="D180" s="86" t="s">
        <v>57</v>
      </c>
      <c r="E180" s="86" t="s">
        <v>21</v>
      </c>
      <c r="F180" s="114">
        <v>23</v>
      </c>
      <c r="G180" s="114">
        <v>0.105</v>
      </c>
      <c r="H180" s="114">
        <f>G180*F180</f>
        <v>2.415</v>
      </c>
      <c r="I180" s="114">
        <v>111</v>
      </c>
      <c r="J180" s="114">
        <v>1</v>
      </c>
      <c r="K180" s="114">
        <f t="shared" ref="K180" si="118">F180*I180</f>
        <v>2553</v>
      </c>
      <c r="L180" s="114">
        <f t="shared" ref="L180" si="119">K180*J180</f>
        <v>2553</v>
      </c>
      <c r="M180" s="111" t="s">
        <v>37</v>
      </c>
    </row>
    <row r="181" spans="1:13" hidden="1" x14ac:dyDescent="0.25">
      <c r="A181" s="118" t="s">
        <v>236</v>
      </c>
      <c r="B181" s="125" t="s">
        <v>27</v>
      </c>
      <c r="C181" s="126" t="s">
        <v>28</v>
      </c>
      <c r="D181" s="86" t="s">
        <v>29</v>
      </c>
      <c r="E181" s="86" t="s">
        <v>30</v>
      </c>
      <c r="F181" s="86"/>
      <c r="G181" s="86"/>
      <c r="H181" s="86"/>
      <c r="I181" s="86"/>
      <c r="J181" s="86"/>
      <c r="K181" s="86">
        <v>200</v>
      </c>
      <c r="L181" s="86">
        <f t="shared" ref="L181:L183" si="120">K181</f>
        <v>200</v>
      </c>
      <c r="M181" s="89" t="s">
        <v>181</v>
      </c>
    </row>
    <row r="182" spans="1:13" hidden="1" x14ac:dyDescent="0.25">
      <c r="A182" s="118" t="s">
        <v>237</v>
      </c>
      <c r="B182" s="85" t="s">
        <v>23</v>
      </c>
      <c r="C182" s="114">
        <v>66772</v>
      </c>
      <c r="D182" s="86" t="s">
        <v>34</v>
      </c>
      <c r="E182" s="87" t="s">
        <v>35</v>
      </c>
      <c r="F182" s="114"/>
      <c r="G182" s="115" t="s">
        <v>77</v>
      </c>
      <c r="H182" s="114"/>
      <c r="I182" s="114"/>
      <c r="J182" s="114"/>
      <c r="K182" s="114">
        <v>2300</v>
      </c>
      <c r="L182" s="114">
        <f t="shared" si="120"/>
        <v>2300</v>
      </c>
      <c r="M182" s="111" t="s">
        <v>179</v>
      </c>
    </row>
    <row r="183" spans="1:13" hidden="1" x14ac:dyDescent="0.25">
      <c r="A183" s="118" t="s">
        <v>237</v>
      </c>
      <c r="B183" s="85" t="s">
        <v>23</v>
      </c>
      <c r="C183" s="114">
        <v>66772</v>
      </c>
      <c r="D183" s="86" t="s">
        <v>34</v>
      </c>
      <c r="E183" s="93" t="s">
        <v>39</v>
      </c>
      <c r="F183" s="114"/>
      <c r="G183" s="115" t="s">
        <v>36</v>
      </c>
      <c r="H183" s="114"/>
      <c r="I183" s="114"/>
      <c r="J183" s="114"/>
      <c r="K183" s="114">
        <v>8281</v>
      </c>
      <c r="L183" s="114">
        <f t="shared" si="120"/>
        <v>8281</v>
      </c>
      <c r="M183" s="111" t="s">
        <v>179</v>
      </c>
    </row>
    <row r="184" spans="1:13" hidden="1" x14ac:dyDescent="0.25">
      <c r="A184" s="118" t="s">
        <v>237</v>
      </c>
      <c r="B184" s="85" t="s">
        <v>23</v>
      </c>
      <c r="C184" s="114">
        <v>66772</v>
      </c>
      <c r="D184" s="86" t="s">
        <v>34</v>
      </c>
      <c r="E184" s="92" t="s">
        <v>30</v>
      </c>
      <c r="F184" s="114"/>
      <c r="G184" s="115" t="s">
        <v>78</v>
      </c>
      <c r="H184" s="114"/>
      <c r="I184" s="114"/>
      <c r="J184" s="114"/>
      <c r="K184" s="114">
        <v>9900</v>
      </c>
      <c r="L184" s="114">
        <f>K184</f>
        <v>9900</v>
      </c>
      <c r="M184" s="111" t="s">
        <v>180</v>
      </c>
    </row>
    <row r="185" spans="1:13" hidden="1" x14ac:dyDescent="0.25">
      <c r="A185" s="118" t="s">
        <v>237</v>
      </c>
      <c r="B185" s="86" t="s">
        <v>14</v>
      </c>
      <c r="C185" s="114" t="s">
        <v>56</v>
      </c>
      <c r="D185" s="86" t="s">
        <v>57</v>
      </c>
      <c r="E185" s="86" t="s">
        <v>21</v>
      </c>
      <c r="F185" s="114">
        <v>102</v>
      </c>
      <c r="G185" s="114">
        <v>0.105</v>
      </c>
      <c r="H185" s="114">
        <f>G185*F185</f>
        <v>10.709999999999999</v>
      </c>
      <c r="I185" s="114">
        <v>111</v>
      </c>
      <c r="J185" s="114">
        <v>1</v>
      </c>
      <c r="K185" s="114">
        <f t="shared" ref="K185" si="121">F185*I185</f>
        <v>11322</v>
      </c>
      <c r="L185" s="114">
        <f t="shared" ref="L185" si="122">K185*J185</f>
        <v>11322</v>
      </c>
      <c r="M185" s="111" t="s">
        <v>37</v>
      </c>
    </row>
    <row r="186" spans="1:13" hidden="1" x14ac:dyDescent="0.25">
      <c r="A186" s="118" t="s">
        <v>237</v>
      </c>
      <c r="B186" s="125" t="s">
        <v>27</v>
      </c>
      <c r="C186" s="126" t="s">
        <v>28</v>
      </c>
      <c r="D186" s="86" t="s">
        <v>29</v>
      </c>
      <c r="E186" s="86" t="s">
        <v>30</v>
      </c>
      <c r="F186" s="86"/>
      <c r="G186" s="86"/>
      <c r="H186" s="86"/>
      <c r="I186" s="86"/>
      <c r="J186" s="86"/>
      <c r="K186" s="86">
        <v>200</v>
      </c>
      <c r="L186" s="86">
        <f t="shared" ref="L186:L187" si="123">K186</f>
        <v>200</v>
      </c>
      <c r="M186" s="89" t="s">
        <v>181</v>
      </c>
    </row>
    <row r="187" spans="1:13" hidden="1" x14ac:dyDescent="0.25">
      <c r="A187" s="118" t="s">
        <v>237</v>
      </c>
      <c r="B187" s="125" t="s">
        <v>27</v>
      </c>
      <c r="C187" s="126" t="s">
        <v>28</v>
      </c>
      <c r="D187" s="86" t="s">
        <v>29</v>
      </c>
      <c r="E187" s="86" t="s">
        <v>30</v>
      </c>
      <c r="F187" s="86"/>
      <c r="G187" s="86"/>
      <c r="H187" s="86"/>
      <c r="I187" s="86"/>
      <c r="J187" s="86"/>
      <c r="K187" s="86">
        <v>1800</v>
      </c>
      <c r="L187" s="86">
        <f t="shared" si="123"/>
        <v>1800</v>
      </c>
      <c r="M187" s="89" t="s">
        <v>181</v>
      </c>
    </row>
    <row r="188" spans="1:13" hidden="1" x14ac:dyDescent="0.25">
      <c r="A188" s="118" t="s">
        <v>238</v>
      </c>
      <c r="B188" s="86" t="s">
        <v>14</v>
      </c>
      <c r="C188" s="114" t="s">
        <v>56</v>
      </c>
      <c r="D188" s="86" t="s">
        <v>57</v>
      </c>
      <c r="E188" s="86" t="s">
        <v>21</v>
      </c>
      <c r="F188" s="114">
        <v>80</v>
      </c>
      <c r="G188" s="114">
        <v>0.105</v>
      </c>
      <c r="H188" s="114">
        <f>G188*F188</f>
        <v>8.4</v>
      </c>
      <c r="I188" s="114">
        <v>111</v>
      </c>
      <c r="J188" s="114">
        <v>1</v>
      </c>
      <c r="K188" s="114">
        <f t="shared" ref="K188" si="124">F188*I188</f>
        <v>8880</v>
      </c>
      <c r="L188" s="114">
        <f t="shared" ref="L188" si="125">K188*J188</f>
        <v>8880</v>
      </c>
      <c r="M188" s="111" t="s">
        <v>37</v>
      </c>
    </row>
    <row r="189" spans="1:13" hidden="1" x14ac:dyDescent="0.25">
      <c r="A189" s="118" t="s">
        <v>238</v>
      </c>
      <c r="B189" s="86" t="s">
        <v>14</v>
      </c>
      <c r="C189" s="114" t="s">
        <v>56</v>
      </c>
      <c r="D189" s="86" t="s">
        <v>57</v>
      </c>
      <c r="E189" s="94" t="s">
        <v>35</v>
      </c>
      <c r="F189" s="114"/>
      <c r="G189" s="114" t="s">
        <v>77</v>
      </c>
      <c r="H189" s="114"/>
      <c r="I189" s="114"/>
      <c r="J189" s="114">
        <v>1</v>
      </c>
      <c r="K189" s="114">
        <v>5000</v>
      </c>
      <c r="L189" s="114">
        <f t="shared" ref="L189" si="126">K189</f>
        <v>5000</v>
      </c>
      <c r="M189" s="111" t="s">
        <v>91</v>
      </c>
    </row>
    <row r="190" spans="1:13" hidden="1" x14ac:dyDescent="0.25">
      <c r="A190" s="118" t="s">
        <v>238</v>
      </c>
      <c r="B190" s="86" t="s">
        <v>14</v>
      </c>
      <c r="C190" s="114" t="s">
        <v>56</v>
      </c>
      <c r="D190" s="86" t="s">
        <v>57</v>
      </c>
      <c r="E190" s="86" t="s">
        <v>39</v>
      </c>
      <c r="F190" s="114"/>
      <c r="G190" s="114" t="s">
        <v>36</v>
      </c>
      <c r="H190" s="114"/>
      <c r="I190" s="114"/>
      <c r="J190" s="114">
        <v>2</v>
      </c>
      <c r="K190" s="114">
        <v>3000</v>
      </c>
      <c r="L190" s="114">
        <f>K190*2</f>
        <v>6000</v>
      </c>
      <c r="M190" s="111" t="s">
        <v>181</v>
      </c>
    </row>
    <row r="191" spans="1:13" hidden="1" x14ac:dyDescent="0.25">
      <c r="A191" s="118" t="s">
        <v>238</v>
      </c>
      <c r="B191" s="86" t="s">
        <v>14</v>
      </c>
      <c r="C191" s="114">
        <v>7479</v>
      </c>
      <c r="D191" s="86" t="s">
        <v>20</v>
      </c>
      <c r="E191" s="86" t="s">
        <v>21</v>
      </c>
      <c r="F191" s="114">
        <v>45</v>
      </c>
      <c r="G191" s="114">
        <v>0.15</v>
      </c>
      <c r="H191" s="114">
        <f>G191*F191</f>
        <v>6.75</v>
      </c>
      <c r="I191" s="114">
        <v>80</v>
      </c>
      <c r="J191" s="114">
        <v>1</v>
      </c>
      <c r="K191" s="114">
        <f>F191*I191</f>
        <v>3600</v>
      </c>
      <c r="L191" s="114">
        <f>K191*J191</f>
        <v>3600</v>
      </c>
      <c r="M191" s="111" t="s">
        <v>22</v>
      </c>
    </row>
    <row r="192" spans="1:13" hidden="1" x14ac:dyDescent="0.25">
      <c r="A192" s="118" t="s">
        <v>238</v>
      </c>
      <c r="B192" s="86" t="s">
        <v>14</v>
      </c>
      <c r="C192" s="114">
        <v>7479</v>
      </c>
      <c r="D192" s="86" t="s">
        <v>20</v>
      </c>
      <c r="E192" s="86" t="s">
        <v>25</v>
      </c>
      <c r="F192" s="114"/>
      <c r="G192" s="114"/>
      <c r="H192" s="114"/>
      <c r="I192" s="114"/>
      <c r="J192" s="114">
        <v>1</v>
      </c>
      <c r="K192" s="114">
        <v>1200</v>
      </c>
      <c r="L192" s="114">
        <f t="shared" ref="L192:L198" si="127">K192</f>
        <v>1200</v>
      </c>
      <c r="M192" s="111" t="s">
        <v>37</v>
      </c>
    </row>
    <row r="193" spans="1:13" hidden="1" x14ac:dyDescent="0.25">
      <c r="A193" s="118" t="s">
        <v>238</v>
      </c>
      <c r="B193" s="125" t="s">
        <v>27</v>
      </c>
      <c r="C193" s="126" t="s">
        <v>28</v>
      </c>
      <c r="D193" s="86" t="s">
        <v>29</v>
      </c>
      <c r="E193" s="86" t="s">
        <v>30</v>
      </c>
      <c r="F193" s="86"/>
      <c r="G193" s="86"/>
      <c r="H193" s="86"/>
      <c r="I193" s="86"/>
      <c r="J193" s="86"/>
      <c r="K193" s="86">
        <v>100</v>
      </c>
      <c r="L193" s="86">
        <f t="shared" si="127"/>
        <v>100</v>
      </c>
      <c r="M193" s="89" t="s">
        <v>181</v>
      </c>
    </row>
    <row r="194" spans="1:13" hidden="1" x14ac:dyDescent="0.25">
      <c r="A194" s="118" t="s">
        <v>238</v>
      </c>
      <c r="B194" s="128" t="s">
        <v>217</v>
      </c>
      <c r="C194" s="114">
        <v>104</v>
      </c>
      <c r="D194" s="86" t="s">
        <v>218</v>
      </c>
      <c r="E194" s="86" t="s">
        <v>30</v>
      </c>
      <c r="F194" s="86"/>
      <c r="G194" s="86"/>
      <c r="H194" s="86"/>
      <c r="I194" s="86"/>
      <c r="J194" s="86"/>
      <c r="K194" s="86">
        <v>3830</v>
      </c>
      <c r="L194" s="114">
        <f t="shared" si="127"/>
        <v>3830</v>
      </c>
      <c r="M194" s="89" t="s">
        <v>26</v>
      </c>
    </row>
    <row r="195" spans="1:13" hidden="1" x14ac:dyDescent="0.25">
      <c r="A195" s="118" t="s">
        <v>239</v>
      </c>
      <c r="B195" s="85" t="s">
        <v>23</v>
      </c>
      <c r="C195" s="114">
        <v>66772</v>
      </c>
      <c r="D195" s="86" t="s">
        <v>34</v>
      </c>
      <c r="E195" s="87" t="s">
        <v>35</v>
      </c>
      <c r="F195" s="114"/>
      <c r="G195" s="115" t="s">
        <v>77</v>
      </c>
      <c r="H195" s="114"/>
      <c r="I195" s="114"/>
      <c r="J195" s="114"/>
      <c r="K195" s="114">
        <v>7000</v>
      </c>
      <c r="L195" s="114">
        <f t="shared" si="127"/>
        <v>7000</v>
      </c>
      <c r="M195" s="111" t="s">
        <v>179</v>
      </c>
    </row>
    <row r="196" spans="1:13" hidden="1" x14ac:dyDescent="0.25">
      <c r="A196" s="118" t="s">
        <v>239</v>
      </c>
      <c r="B196" s="85" t="s">
        <v>23</v>
      </c>
      <c r="C196" s="114">
        <v>66772</v>
      </c>
      <c r="D196" s="86" t="s">
        <v>34</v>
      </c>
      <c r="E196" s="93" t="s">
        <v>39</v>
      </c>
      <c r="F196" s="114"/>
      <c r="G196" s="115" t="s">
        <v>36</v>
      </c>
      <c r="H196" s="114"/>
      <c r="I196" s="114"/>
      <c r="J196" s="114"/>
      <c r="K196" s="114">
        <v>6800</v>
      </c>
      <c r="L196" s="114">
        <f t="shared" si="127"/>
        <v>6800</v>
      </c>
      <c r="M196" s="111" t="s">
        <v>179</v>
      </c>
    </row>
    <row r="197" spans="1:13" hidden="1" x14ac:dyDescent="0.25">
      <c r="A197" s="118" t="s">
        <v>239</v>
      </c>
      <c r="B197" s="85" t="s">
        <v>23</v>
      </c>
      <c r="C197" s="114">
        <v>65548</v>
      </c>
      <c r="D197" s="91" t="s">
        <v>24</v>
      </c>
      <c r="E197" s="87" t="s">
        <v>25</v>
      </c>
      <c r="F197" s="114"/>
      <c r="G197" s="115"/>
      <c r="H197" s="114"/>
      <c r="I197" s="114"/>
      <c r="J197" s="114"/>
      <c r="K197" s="114">
        <v>3000</v>
      </c>
      <c r="L197" s="114">
        <f t="shared" si="127"/>
        <v>3000</v>
      </c>
      <c r="M197" s="111" t="s">
        <v>26</v>
      </c>
    </row>
    <row r="198" spans="1:13" hidden="1" x14ac:dyDescent="0.25">
      <c r="A198" s="118" t="s">
        <v>239</v>
      </c>
      <c r="B198" s="86" t="s">
        <v>14</v>
      </c>
      <c r="C198" s="114" t="s">
        <v>56</v>
      </c>
      <c r="D198" s="86" t="s">
        <v>57</v>
      </c>
      <c r="E198" s="94" t="s">
        <v>35</v>
      </c>
      <c r="F198" s="114"/>
      <c r="G198" s="114" t="s">
        <v>77</v>
      </c>
      <c r="H198" s="114"/>
      <c r="I198" s="114"/>
      <c r="J198" s="114">
        <v>1</v>
      </c>
      <c r="K198" s="114">
        <v>6500</v>
      </c>
      <c r="L198" s="114">
        <f t="shared" si="127"/>
        <v>6500</v>
      </c>
      <c r="M198" s="111" t="s">
        <v>91</v>
      </c>
    </row>
    <row r="199" spans="1:13" hidden="1" x14ac:dyDescent="0.25">
      <c r="A199" s="118" t="s">
        <v>239</v>
      </c>
      <c r="B199" s="86" t="s">
        <v>14</v>
      </c>
      <c r="C199" s="114" t="s">
        <v>56</v>
      </c>
      <c r="D199" s="86" t="s">
        <v>57</v>
      </c>
      <c r="E199" s="86" t="s">
        <v>39</v>
      </c>
      <c r="F199" s="114"/>
      <c r="G199" s="114" t="s">
        <v>36</v>
      </c>
      <c r="H199" s="114"/>
      <c r="I199" s="114"/>
      <c r="J199" s="114">
        <v>2</v>
      </c>
      <c r="K199" s="114">
        <v>4000</v>
      </c>
      <c r="L199" s="114">
        <f>K199*2</f>
        <v>8000</v>
      </c>
      <c r="M199" s="111" t="s">
        <v>181</v>
      </c>
    </row>
    <row r="200" spans="1:13" hidden="1" x14ac:dyDescent="0.25">
      <c r="A200" s="118" t="s">
        <v>239</v>
      </c>
      <c r="B200" s="86" t="s">
        <v>14</v>
      </c>
      <c r="C200" s="114">
        <v>7479</v>
      </c>
      <c r="D200" s="86" t="s">
        <v>20</v>
      </c>
      <c r="E200" s="86" t="s">
        <v>21</v>
      </c>
      <c r="F200" s="114">
        <v>151</v>
      </c>
      <c r="G200" s="114">
        <v>0.15</v>
      </c>
      <c r="H200" s="114">
        <f>G200*F200</f>
        <v>22.65</v>
      </c>
      <c r="I200" s="114">
        <v>80</v>
      </c>
      <c r="J200" s="114">
        <v>1</v>
      </c>
      <c r="K200" s="114">
        <f>F200*I200</f>
        <v>12080</v>
      </c>
      <c r="L200" s="114">
        <f>K200*J200</f>
        <v>12080</v>
      </c>
      <c r="M200" s="111" t="s">
        <v>22</v>
      </c>
    </row>
    <row r="201" spans="1:13" hidden="1" x14ac:dyDescent="0.25">
      <c r="A201" s="118" t="s">
        <v>239</v>
      </c>
      <c r="B201" s="86" t="s">
        <v>14</v>
      </c>
      <c r="C201" s="114">
        <v>7479</v>
      </c>
      <c r="D201" s="86" t="s">
        <v>20</v>
      </c>
      <c r="E201" s="86" t="s">
        <v>25</v>
      </c>
      <c r="F201" s="114"/>
      <c r="G201" s="114"/>
      <c r="H201" s="114"/>
      <c r="I201" s="114"/>
      <c r="J201" s="114">
        <v>1</v>
      </c>
      <c r="K201" s="114">
        <v>6350</v>
      </c>
      <c r="L201" s="114">
        <f t="shared" ref="L201:L205" si="128">K201</f>
        <v>6350</v>
      </c>
      <c r="M201" s="111" t="s">
        <v>37</v>
      </c>
    </row>
    <row r="202" spans="1:13" hidden="1" x14ac:dyDescent="0.25">
      <c r="A202" s="118" t="s">
        <v>239</v>
      </c>
      <c r="B202" s="125" t="s">
        <v>27</v>
      </c>
      <c r="C202" s="126" t="s">
        <v>28</v>
      </c>
      <c r="D202" s="86" t="s">
        <v>29</v>
      </c>
      <c r="E202" s="86" t="s">
        <v>30</v>
      </c>
      <c r="F202" s="86"/>
      <c r="G202" s="86"/>
      <c r="H202" s="86"/>
      <c r="I202" s="86"/>
      <c r="J202" s="86"/>
      <c r="K202" s="86">
        <v>400</v>
      </c>
      <c r="L202" s="86">
        <f t="shared" si="128"/>
        <v>400</v>
      </c>
      <c r="M202" s="89" t="s">
        <v>181</v>
      </c>
    </row>
    <row r="203" spans="1:13" hidden="1" x14ac:dyDescent="0.25">
      <c r="A203" s="118" t="s">
        <v>239</v>
      </c>
      <c r="B203" s="128" t="s">
        <v>217</v>
      </c>
      <c r="C203" s="114">
        <v>104</v>
      </c>
      <c r="D203" s="86" t="s">
        <v>218</v>
      </c>
      <c r="E203" s="86" t="s">
        <v>30</v>
      </c>
      <c r="F203" s="86"/>
      <c r="G203" s="86"/>
      <c r="H203" s="86"/>
      <c r="I203" s="86"/>
      <c r="J203" s="86"/>
      <c r="K203" s="86">
        <v>570</v>
      </c>
      <c r="L203" s="114">
        <f t="shared" si="128"/>
        <v>570</v>
      </c>
      <c r="M203" s="89" t="s">
        <v>26</v>
      </c>
    </row>
    <row r="204" spans="1:13" hidden="1" x14ac:dyDescent="0.25">
      <c r="A204" s="118" t="s">
        <v>240</v>
      </c>
      <c r="B204" s="85" t="s">
        <v>23</v>
      </c>
      <c r="C204" s="114">
        <v>66772</v>
      </c>
      <c r="D204" s="86" t="s">
        <v>34</v>
      </c>
      <c r="E204" s="87" t="s">
        <v>35</v>
      </c>
      <c r="F204" s="114"/>
      <c r="G204" s="115" t="s">
        <v>77</v>
      </c>
      <c r="H204" s="114"/>
      <c r="I204" s="114"/>
      <c r="J204" s="114"/>
      <c r="K204" s="114">
        <v>7200</v>
      </c>
      <c r="L204" s="114">
        <f t="shared" si="128"/>
        <v>7200</v>
      </c>
      <c r="M204" s="111" t="s">
        <v>179</v>
      </c>
    </row>
    <row r="205" spans="1:13" hidden="1" x14ac:dyDescent="0.25">
      <c r="A205" s="118" t="s">
        <v>240</v>
      </c>
      <c r="B205" s="85" t="s">
        <v>23</v>
      </c>
      <c r="C205" s="114">
        <v>66772</v>
      </c>
      <c r="D205" s="86" t="s">
        <v>34</v>
      </c>
      <c r="E205" s="93" t="s">
        <v>39</v>
      </c>
      <c r="F205" s="114"/>
      <c r="G205" s="115" t="s">
        <v>36</v>
      </c>
      <c r="H205" s="114"/>
      <c r="I205" s="114"/>
      <c r="J205" s="114"/>
      <c r="K205" s="114">
        <v>7350</v>
      </c>
      <c r="L205" s="114">
        <f t="shared" si="128"/>
        <v>7350</v>
      </c>
      <c r="M205" s="111" t="s">
        <v>179</v>
      </c>
    </row>
    <row r="206" spans="1:13" hidden="1" x14ac:dyDescent="0.25">
      <c r="A206" s="118" t="s">
        <v>240</v>
      </c>
      <c r="B206" s="85" t="s">
        <v>23</v>
      </c>
      <c r="C206" s="114">
        <v>66772</v>
      </c>
      <c r="D206" s="86" t="s">
        <v>34</v>
      </c>
      <c r="E206" s="92" t="s">
        <v>30</v>
      </c>
      <c r="F206" s="114"/>
      <c r="G206" s="115" t="s">
        <v>78</v>
      </c>
      <c r="H206" s="114"/>
      <c r="I206" s="114"/>
      <c r="J206" s="114"/>
      <c r="K206" s="114">
        <v>5555</v>
      </c>
      <c r="L206" s="114">
        <f>K206</f>
        <v>5555</v>
      </c>
      <c r="M206" s="111" t="s">
        <v>180</v>
      </c>
    </row>
    <row r="207" spans="1:13" hidden="1" x14ac:dyDescent="0.25">
      <c r="A207" s="118" t="s">
        <v>240</v>
      </c>
      <c r="B207" s="85" t="s">
        <v>23</v>
      </c>
      <c r="C207" s="114">
        <v>65548</v>
      </c>
      <c r="D207" s="91" t="s">
        <v>24</v>
      </c>
      <c r="E207" s="87" t="s">
        <v>25</v>
      </c>
      <c r="F207" s="114"/>
      <c r="G207" s="115"/>
      <c r="H207" s="114"/>
      <c r="I207" s="114"/>
      <c r="J207" s="114"/>
      <c r="K207" s="114">
        <v>5000</v>
      </c>
      <c r="L207" s="114">
        <f t="shared" ref="L207:L208" si="129">K207</f>
        <v>5000</v>
      </c>
      <c r="M207" s="111" t="s">
        <v>26</v>
      </c>
    </row>
    <row r="208" spans="1:13" hidden="1" x14ac:dyDescent="0.25">
      <c r="A208" s="118" t="s">
        <v>240</v>
      </c>
      <c r="B208" s="86" t="s">
        <v>14</v>
      </c>
      <c r="C208" s="114" t="s">
        <v>56</v>
      </c>
      <c r="D208" s="86" t="s">
        <v>57</v>
      </c>
      <c r="E208" s="94" t="s">
        <v>35</v>
      </c>
      <c r="F208" s="114"/>
      <c r="G208" s="114" t="s">
        <v>77</v>
      </c>
      <c r="H208" s="114"/>
      <c r="I208" s="114"/>
      <c r="J208" s="114">
        <v>1</v>
      </c>
      <c r="K208" s="114">
        <v>6500</v>
      </c>
      <c r="L208" s="114">
        <f t="shared" si="129"/>
        <v>6500</v>
      </c>
      <c r="M208" s="111" t="s">
        <v>91</v>
      </c>
    </row>
    <row r="209" spans="1:14" hidden="1" x14ac:dyDescent="0.25">
      <c r="A209" s="118" t="s">
        <v>240</v>
      </c>
      <c r="B209" s="86" t="s">
        <v>14</v>
      </c>
      <c r="C209" s="114" t="s">
        <v>56</v>
      </c>
      <c r="D209" s="86" t="s">
        <v>57</v>
      </c>
      <c r="E209" s="86" t="s">
        <v>39</v>
      </c>
      <c r="F209" s="114"/>
      <c r="G209" s="114" t="s">
        <v>36</v>
      </c>
      <c r="H209" s="114"/>
      <c r="I209" s="114"/>
      <c r="J209" s="114">
        <v>2</v>
      </c>
      <c r="K209" s="114">
        <v>4000</v>
      </c>
      <c r="L209" s="114">
        <f>K209*2</f>
        <v>8000</v>
      </c>
      <c r="M209" s="111" t="s">
        <v>181</v>
      </c>
    </row>
    <row r="210" spans="1:14" hidden="1" x14ac:dyDescent="0.25">
      <c r="A210" s="118" t="s">
        <v>240</v>
      </c>
      <c r="B210" s="86" t="s">
        <v>14</v>
      </c>
      <c r="C210" s="114">
        <v>7479</v>
      </c>
      <c r="D210" s="86" t="s">
        <v>20</v>
      </c>
      <c r="E210" s="86" t="s">
        <v>21</v>
      </c>
      <c r="F210" s="114">
        <v>33</v>
      </c>
      <c r="G210" s="114">
        <v>0.15</v>
      </c>
      <c r="H210" s="114">
        <f>G210*F210</f>
        <v>4.95</v>
      </c>
      <c r="I210" s="114">
        <v>80</v>
      </c>
      <c r="J210" s="114">
        <v>1</v>
      </c>
      <c r="K210" s="114">
        <f>F210*I210</f>
        <v>2640</v>
      </c>
      <c r="L210" s="114">
        <f>K210*J210</f>
        <v>2640</v>
      </c>
      <c r="M210" s="111" t="s">
        <v>22</v>
      </c>
    </row>
    <row r="211" spans="1:14" hidden="1" x14ac:dyDescent="0.25">
      <c r="A211" s="118" t="s">
        <v>241</v>
      </c>
      <c r="B211" s="85" t="s">
        <v>23</v>
      </c>
      <c r="C211" s="114">
        <v>66772</v>
      </c>
      <c r="D211" s="86" t="s">
        <v>34</v>
      </c>
      <c r="E211" s="87" t="s">
        <v>35</v>
      </c>
      <c r="F211" s="114"/>
      <c r="G211" s="115" t="s">
        <v>77</v>
      </c>
      <c r="H211" s="114"/>
      <c r="I211" s="114"/>
      <c r="J211" s="114"/>
      <c r="K211" s="114">
        <v>700</v>
      </c>
      <c r="L211" s="114">
        <f t="shared" ref="L211:L212" si="130">K211</f>
        <v>700</v>
      </c>
      <c r="M211" s="111" t="s">
        <v>179</v>
      </c>
    </row>
    <row r="212" spans="1:14" hidden="1" x14ac:dyDescent="0.25">
      <c r="A212" s="118" t="s">
        <v>241</v>
      </c>
      <c r="B212" s="85" t="s">
        <v>23</v>
      </c>
      <c r="C212" s="114">
        <v>66772</v>
      </c>
      <c r="D212" s="86" t="s">
        <v>34</v>
      </c>
      <c r="E212" s="93" t="s">
        <v>39</v>
      </c>
      <c r="F212" s="114"/>
      <c r="G212" s="115" t="s">
        <v>36</v>
      </c>
      <c r="H212" s="114"/>
      <c r="I212" s="114"/>
      <c r="J212" s="114"/>
      <c r="K212" s="114">
        <v>800</v>
      </c>
      <c r="L212" s="114">
        <f t="shared" si="130"/>
        <v>800</v>
      </c>
      <c r="M212" s="111" t="s">
        <v>179</v>
      </c>
    </row>
    <row r="213" spans="1:14" hidden="1" x14ac:dyDescent="0.25">
      <c r="A213" s="118" t="s">
        <v>241</v>
      </c>
      <c r="B213" s="85" t="s">
        <v>23</v>
      </c>
      <c r="C213" s="114">
        <v>66772</v>
      </c>
      <c r="D213" s="86" t="s">
        <v>34</v>
      </c>
      <c r="E213" s="92" t="s">
        <v>30</v>
      </c>
      <c r="F213" s="114"/>
      <c r="G213" s="115" t="s">
        <v>78</v>
      </c>
      <c r="H213" s="114"/>
      <c r="I213" s="114"/>
      <c r="J213" s="114"/>
      <c r="K213" s="114">
        <v>7500</v>
      </c>
      <c r="L213" s="114">
        <f>K213</f>
        <v>7500</v>
      </c>
      <c r="M213" s="111" t="s">
        <v>180</v>
      </c>
    </row>
    <row r="214" spans="1:14" hidden="1" x14ac:dyDescent="0.25">
      <c r="A214" s="118" t="s">
        <v>241</v>
      </c>
      <c r="B214" s="85" t="s">
        <v>23</v>
      </c>
      <c r="C214" s="114">
        <v>65548</v>
      </c>
      <c r="D214" s="91" t="s">
        <v>24</v>
      </c>
      <c r="E214" s="87" t="s">
        <v>25</v>
      </c>
      <c r="F214" s="114"/>
      <c r="G214" s="115"/>
      <c r="H214" s="114"/>
      <c r="I214" s="114"/>
      <c r="J214" s="114"/>
      <c r="K214" s="114">
        <v>2000</v>
      </c>
      <c r="L214" s="114">
        <f t="shared" ref="L214:L216" si="131">K214</f>
        <v>2000</v>
      </c>
      <c r="M214" s="111" t="s">
        <v>26</v>
      </c>
    </row>
    <row r="215" spans="1:14" hidden="1" x14ac:dyDescent="0.25">
      <c r="A215" s="118" t="s">
        <v>241</v>
      </c>
      <c r="B215" s="85" t="s">
        <v>23</v>
      </c>
      <c r="C215" s="114">
        <v>65548</v>
      </c>
      <c r="D215" s="91" t="s">
        <v>24</v>
      </c>
      <c r="E215" s="92" t="s">
        <v>30</v>
      </c>
      <c r="F215" s="114"/>
      <c r="G215" s="115" t="s">
        <v>36</v>
      </c>
      <c r="H215" s="114"/>
      <c r="I215" s="114"/>
      <c r="J215" s="114"/>
      <c r="K215" s="114">
        <v>5720</v>
      </c>
      <c r="L215" s="114">
        <f t="shared" si="131"/>
        <v>5720</v>
      </c>
      <c r="M215" s="111" t="s">
        <v>180</v>
      </c>
    </row>
    <row r="216" spans="1:14" hidden="1" x14ac:dyDescent="0.25">
      <c r="A216" s="118" t="s">
        <v>241</v>
      </c>
      <c r="B216" s="86" t="s">
        <v>14</v>
      </c>
      <c r="C216" s="114" t="s">
        <v>56</v>
      </c>
      <c r="D216" s="86" t="s">
        <v>57</v>
      </c>
      <c r="E216" s="94" t="s">
        <v>35</v>
      </c>
      <c r="F216" s="114"/>
      <c r="G216" s="114" t="s">
        <v>77</v>
      </c>
      <c r="H216" s="114"/>
      <c r="I216" s="114"/>
      <c r="J216" s="114">
        <v>1</v>
      </c>
      <c r="K216" s="114">
        <v>2000</v>
      </c>
      <c r="L216" s="114">
        <f t="shared" si="131"/>
        <v>2000</v>
      </c>
      <c r="M216" s="111" t="s">
        <v>91</v>
      </c>
    </row>
    <row r="217" spans="1:14" hidden="1" x14ac:dyDescent="0.25">
      <c r="A217" s="118" t="s">
        <v>241</v>
      </c>
      <c r="B217" s="86" t="s">
        <v>14</v>
      </c>
      <c r="C217" s="114" t="s">
        <v>56</v>
      </c>
      <c r="D217" s="86" t="s">
        <v>57</v>
      </c>
      <c r="E217" s="86" t="s">
        <v>39</v>
      </c>
      <c r="F217" s="114"/>
      <c r="G217" s="114" t="s">
        <v>36</v>
      </c>
      <c r="H217" s="114"/>
      <c r="I217" s="114"/>
      <c r="J217" s="114">
        <v>2</v>
      </c>
      <c r="K217" s="114">
        <v>1000</v>
      </c>
      <c r="L217" s="114">
        <f>K217*2</f>
        <v>2000</v>
      </c>
      <c r="M217" s="111" t="s">
        <v>181</v>
      </c>
    </row>
    <row r="218" spans="1:14" hidden="1" x14ac:dyDescent="0.25">
      <c r="A218" s="118" t="s">
        <v>241</v>
      </c>
      <c r="B218" s="86" t="s">
        <v>14</v>
      </c>
      <c r="C218" s="114">
        <v>7479</v>
      </c>
      <c r="D218" s="86" t="s">
        <v>20</v>
      </c>
      <c r="E218" s="86" t="s">
        <v>25</v>
      </c>
      <c r="F218" s="114"/>
      <c r="G218" s="114"/>
      <c r="H218" s="114"/>
      <c r="I218" s="114"/>
      <c r="J218" s="114">
        <v>1</v>
      </c>
      <c r="K218" s="114">
        <v>5000</v>
      </c>
      <c r="L218" s="114">
        <f t="shared" ref="L218:L219" si="132">K218</f>
        <v>5000</v>
      </c>
      <c r="M218" s="111" t="s">
        <v>37</v>
      </c>
    </row>
    <row r="219" spans="1:14" hidden="1" x14ac:dyDescent="0.25">
      <c r="A219" s="118" t="s">
        <v>241</v>
      </c>
      <c r="B219" s="128" t="s">
        <v>217</v>
      </c>
      <c r="C219" s="114">
        <v>104</v>
      </c>
      <c r="D219" s="86" t="s">
        <v>218</v>
      </c>
      <c r="E219" s="86" t="s">
        <v>30</v>
      </c>
      <c r="F219" s="86"/>
      <c r="G219" s="86"/>
      <c r="H219" s="86"/>
      <c r="I219" s="86"/>
      <c r="J219" s="86"/>
      <c r="K219" s="86">
        <v>1400</v>
      </c>
      <c r="L219" s="114">
        <f t="shared" si="132"/>
        <v>1400</v>
      </c>
      <c r="M219" s="89" t="s">
        <v>26</v>
      </c>
      <c r="N219" s="139" t="s">
        <v>242</v>
      </c>
    </row>
    <row r="220" spans="1:14" hidden="1" x14ac:dyDescent="0.25">
      <c r="A220" s="118" t="s">
        <v>226</v>
      </c>
      <c r="B220" s="86" t="s">
        <v>14</v>
      </c>
      <c r="C220" s="114">
        <v>5036</v>
      </c>
      <c r="D220" s="86" t="s">
        <v>16</v>
      </c>
      <c r="E220" s="86" t="s">
        <v>17</v>
      </c>
      <c r="F220" s="114">
        <v>37</v>
      </c>
      <c r="G220" s="114">
        <v>0.32500000000000001</v>
      </c>
      <c r="H220" s="114">
        <f t="shared" ref="H220" si="133">F220*G220</f>
        <v>12.025</v>
      </c>
      <c r="I220" s="114">
        <v>62</v>
      </c>
      <c r="J220" s="114">
        <v>4</v>
      </c>
      <c r="K220" s="114">
        <f t="shared" ref="K220" si="134">F220*I220</f>
        <v>2294</v>
      </c>
      <c r="L220" s="114">
        <f>K220*J220</f>
        <v>9176</v>
      </c>
      <c r="M220" s="111" t="s">
        <v>22</v>
      </c>
    </row>
    <row r="221" spans="1:14" ht="29.25" hidden="1" customHeight="1" x14ac:dyDescent="0.25">
      <c r="A221" s="133"/>
      <c r="B221" s="134"/>
      <c r="C221" s="134"/>
      <c r="D221" s="134"/>
      <c r="E221" s="134"/>
      <c r="F221" s="134">
        <f t="shared" ref="F221:L221" si="135">SUM(F3:F220)</f>
        <v>5798</v>
      </c>
      <c r="G221" s="134">
        <f t="shared" si="135"/>
        <v>13.730000000000002</v>
      </c>
      <c r="H221" s="130">
        <f t="shared" si="135"/>
        <v>1136.9500000000003</v>
      </c>
      <c r="I221" s="134">
        <f t="shared" si="135"/>
        <v>3151</v>
      </c>
      <c r="J221" s="134">
        <f t="shared" si="135"/>
        <v>176</v>
      </c>
      <c r="K221" s="131">
        <f t="shared" si="135"/>
        <v>885066</v>
      </c>
      <c r="L221" s="132">
        <f t="shared" si="135"/>
        <v>1160641</v>
      </c>
      <c r="M221" s="135"/>
    </row>
    <row r="223" spans="1:14" x14ac:dyDescent="0.25">
      <c r="H223" s="123">
        <f>SUM(H94:H220)</f>
        <v>478.25999999999993</v>
      </c>
    </row>
  </sheetData>
  <autoFilter ref="A2:M221">
    <filterColumn colId="2">
      <filters>
        <filter val="F7145"/>
      </filters>
    </filterColumn>
  </autoFilter>
  <mergeCells count="1">
    <mergeCell ref="A1:M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79"/>
  <sheetViews>
    <sheetView workbookViewId="0">
      <selection activeCell="A122" sqref="A122:M122"/>
    </sheetView>
  </sheetViews>
  <sheetFormatPr defaultRowHeight="14.25" x14ac:dyDescent="0.2"/>
  <cols>
    <col min="1" max="1" width="9.140625" style="140"/>
    <col min="2" max="2" width="9.7109375" style="140" customWidth="1"/>
    <col min="3" max="3" width="9.140625" style="140"/>
    <col min="4" max="4" width="12.7109375" style="140" customWidth="1"/>
    <col min="5" max="5" width="11.42578125" style="140" customWidth="1"/>
    <col min="6" max="12" width="7.5703125" style="140" customWidth="1"/>
    <col min="13" max="19" width="9.140625" style="140"/>
    <col min="20" max="20" width="5.7109375" style="140" bestFit="1" customWidth="1"/>
    <col min="21" max="16384" width="9.140625" style="140"/>
  </cols>
  <sheetData>
    <row r="1" spans="1:14" ht="29.25" customHeight="1" x14ac:dyDescent="0.2">
      <c r="A1" s="296" t="s">
        <v>243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</row>
    <row r="2" spans="1:14" ht="28.5" customHeight="1" x14ac:dyDescent="0.2">
      <c r="A2" s="162" t="s">
        <v>0</v>
      </c>
      <c r="B2" s="162" t="s">
        <v>1</v>
      </c>
      <c r="C2" s="162" t="s">
        <v>2</v>
      </c>
      <c r="D2" s="162" t="s">
        <v>3</v>
      </c>
      <c r="E2" s="162" t="s">
        <v>4</v>
      </c>
      <c r="F2" s="162" t="s">
        <v>5</v>
      </c>
      <c r="G2" s="162" t="s">
        <v>6</v>
      </c>
      <c r="H2" s="162" t="s">
        <v>7</v>
      </c>
      <c r="I2" s="162" t="s">
        <v>8</v>
      </c>
      <c r="J2" s="162" t="s">
        <v>9</v>
      </c>
      <c r="K2" s="162" t="s">
        <v>10</v>
      </c>
      <c r="L2" s="162" t="s">
        <v>11</v>
      </c>
      <c r="M2" s="162" t="s">
        <v>12</v>
      </c>
    </row>
    <row r="3" spans="1:14" ht="13.5" hidden="1" customHeight="1" x14ac:dyDescent="0.2">
      <c r="A3" s="149" t="s">
        <v>244</v>
      </c>
      <c r="B3" s="150" t="s">
        <v>23</v>
      </c>
      <c r="C3" s="151">
        <v>66772</v>
      </c>
      <c r="D3" s="152" t="s">
        <v>34</v>
      </c>
      <c r="E3" s="153" t="s">
        <v>30</v>
      </c>
      <c r="F3" s="151"/>
      <c r="G3" s="154" t="s">
        <v>78</v>
      </c>
      <c r="H3" s="151"/>
      <c r="I3" s="151"/>
      <c r="J3" s="151"/>
      <c r="K3" s="151">
        <v>1200</v>
      </c>
      <c r="L3" s="151">
        <f>K3</f>
        <v>1200</v>
      </c>
      <c r="M3" s="155" t="s">
        <v>180</v>
      </c>
    </row>
    <row r="4" spans="1:14" ht="13.5" hidden="1" customHeight="1" x14ac:dyDescent="0.2">
      <c r="A4" s="149" t="s">
        <v>244</v>
      </c>
      <c r="B4" s="150" t="s">
        <v>23</v>
      </c>
      <c r="C4" s="151">
        <v>65548</v>
      </c>
      <c r="D4" s="156" t="s">
        <v>24</v>
      </c>
      <c r="E4" s="157" t="s">
        <v>30</v>
      </c>
      <c r="F4" s="151"/>
      <c r="G4" s="154"/>
      <c r="H4" s="151"/>
      <c r="I4" s="151"/>
      <c r="J4" s="151"/>
      <c r="K4" s="151">
        <v>4265</v>
      </c>
      <c r="L4" s="151">
        <f t="shared" ref="L4:L5" si="0">K4</f>
        <v>4265</v>
      </c>
      <c r="M4" s="155" t="s">
        <v>26</v>
      </c>
    </row>
    <row r="5" spans="1:14" ht="13.5" hidden="1" customHeight="1" x14ac:dyDescent="0.2">
      <c r="A5" s="149" t="s">
        <v>244</v>
      </c>
      <c r="B5" s="152" t="s">
        <v>14</v>
      </c>
      <c r="C5" s="151">
        <v>7479</v>
      </c>
      <c r="D5" s="152" t="s">
        <v>20</v>
      </c>
      <c r="E5" s="152" t="s">
        <v>25</v>
      </c>
      <c r="F5" s="151"/>
      <c r="G5" s="151"/>
      <c r="H5" s="151"/>
      <c r="I5" s="151"/>
      <c r="J5" s="151">
        <v>1</v>
      </c>
      <c r="K5" s="151">
        <v>5700</v>
      </c>
      <c r="L5" s="151">
        <f t="shared" si="0"/>
        <v>5700</v>
      </c>
      <c r="M5" s="155" t="s">
        <v>37</v>
      </c>
    </row>
    <row r="6" spans="1:14" ht="13.5" hidden="1" customHeight="1" x14ac:dyDescent="0.25">
      <c r="A6" s="149" t="s">
        <v>244</v>
      </c>
      <c r="B6" s="152" t="s">
        <v>14</v>
      </c>
      <c r="C6" s="151">
        <v>5036</v>
      </c>
      <c r="D6" s="152" t="s">
        <v>16</v>
      </c>
      <c r="E6" s="152" t="s">
        <v>17</v>
      </c>
      <c r="F6" s="151">
        <v>86</v>
      </c>
      <c r="G6" s="151">
        <v>0.32500000000000001</v>
      </c>
      <c r="H6" s="151">
        <f t="shared" ref="H6" si="1">F6*G6</f>
        <v>27.95</v>
      </c>
      <c r="I6" s="151">
        <v>62</v>
      </c>
      <c r="J6" s="151">
        <v>4</v>
      </c>
      <c r="K6" s="151">
        <f t="shared" ref="K6" si="2">F6*I6</f>
        <v>5332</v>
      </c>
      <c r="L6" s="151">
        <f>K6*J6</f>
        <v>21328</v>
      </c>
      <c r="M6" s="155" t="s">
        <v>22</v>
      </c>
      <c r="N6"/>
    </row>
    <row r="7" spans="1:14" ht="13.5" hidden="1" customHeight="1" x14ac:dyDescent="0.25">
      <c r="A7" s="149" t="s">
        <v>244</v>
      </c>
      <c r="B7" s="158" t="s">
        <v>217</v>
      </c>
      <c r="C7" s="151">
        <v>104</v>
      </c>
      <c r="D7" s="152" t="s">
        <v>218</v>
      </c>
      <c r="E7" s="152" t="s">
        <v>30</v>
      </c>
      <c r="F7" s="152"/>
      <c r="G7" s="152"/>
      <c r="H7" s="152"/>
      <c r="I7" s="152"/>
      <c r="J7" s="152"/>
      <c r="K7" s="152">
        <v>5300</v>
      </c>
      <c r="L7" s="151">
        <f t="shared" ref="L7" si="3">K7</f>
        <v>5300</v>
      </c>
      <c r="M7" s="159" t="s">
        <v>26</v>
      </c>
      <c r="N7" s="139"/>
    </row>
    <row r="8" spans="1:14" ht="13.5" hidden="1" customHeight="1" x14ac:dyDescent="0.2">
      <c r="A8" s="149" t="s">
        <v>244</v>
      </c>
      <c r="B8" s="152" t="s">
        <v>14</v>
      </c>
      <c r="C8" s="151" t="s">
        <v>51</v>
      </c>
      <c r="D8" s="152" t="s">
        <v>52</v>
      </c>
      <c r="E8" s="152" t="s">
        <v>17</v>
      </c>
      <c r="F8" s="151">
        <v>225</v>
      </c>
      <c r="G8" s="151">
        <v>0.20499999999999999</v>
      </c>
      <c r="H8" s="151">
        <f t="shared" ref="H8" si="4">F8*G8</f>
        <v>46.125</v>
      </c>
      <c r="I8" s="151">
        <v>26</v>
      </c>
      <c r="J8" s="151">
        <v>4</v>
      </c>
      <c r="K8" s="151">
        <f>F8*I8</f>
        <v>5850</v>
      </c>
      <c r="L8" s="151">
        <f t="shared" ref="L8" si="5">K8*J8</f>
        <v>23400</v>
      </c>
      <c r="M8" s="155" t="s">
        <v>18</v>
      </c>
    </row>
    <row r="9" spans="1:14" ht="13.5" hidden="1" customHeight="1" x14ac:dyDescent="0.25">
      <c r="A9" s="149" t="s">
        <v>244</v>
      </c>
      <c r="B9" s="160" t="s">
        <v>44</v>
      </c>
      <c r="C9" s="152" t="s">
        <v>45</v>
      </c>
      <c r="D9" s="152" t="s">
        <v>46</v>
      </c>
      <c r="E9" s="152" t="s">
        <v>47</v>
      </c>
      <c r="F9" s="152"/>
      <c r="G9" s="152"/>
      <c r="H9" s="152"/>
      <c r="I9" s="152"/>
      <c r="J9" s="152"/>
      <c r="K9" s="152">
        <v>1000</v>
      </c>
      <c r="L9" s="152">
        <f t="shared" ref="L9" si="6">K9</f>
        <v>1000</v>
      </c>
      <c r="M9" s="159" t="s">
        <v>48</v>
      </c>
      <c r="N9"/>
    </row>
    <row r="10" spans="1:14" ht="13.5" hidden="1" customHeight="1" x14ac:dyDescent="0.2">
      <c r="A10" s="149" t="s">
        <v>245</v>
      </c>
      <c r="B10" s="152" t="s">
        <v>14</v>
      </c>
      <c r="C10" s="151">
        <v>5036</v>
      </c>
      <c r="D10" s="152" t="s">
        <v>16</v>
      </c>
      <c r="E10" s="152" t="s">
        <v>17</v>
      </c>
      <c r="F10" s="151">
        <v>21</v>
      </c>
      <c r="G10" s="151">
        <v>0.32500000000000001</v>
      </c>
      <c r="H10" s="151">
        <f t="shared" ref="H10" si="7">F10*G10</f>
        <v>6.8250000000000002</v>
      </c>
      <c r="I10" s="151">
        <v>62</v>
      </c>
      <c r="J10" s="151">
        <v>4</v>
      </c>
      <c r="K10" s="151">
        <f t="shared" ref="K10" si="8">F10*I10</f>
        <v>1302</v>
      </c>
      <c r="L10" s="151">
        <f>K10*J10</f>
        <v>5208</v>
      </c>
      <c r="M10" s="155" t="s">
        <v>22</v>
      </c>
    </row>
    <row r="11" spans="1:14" ht="13.5" hidden="1" customHeight="1" x14ac:dyDescent="0.2">
      <c r="A11" s="149" t="s">
        <v>245</v>
      </c>
      <c r="B11" s="160" t="s">
        <v>44</v>
      </c>
      <c r="C11" s="152" t="s">
        <v>45</v>
      </c>
      <c r="D11" s="152" t="s">
        <v>46</v>
      </c>
      <c r="E11" s="152" t="s">
        <v>47</v>
      </c>
      <c r="F11" s="152"/>
      <c r="G11" s="152"/>
      <c r="H11" s="152"/>
      <c r="I11" s="152"/>
      <c r="J11" s="152"/>
      <c r="K11" s="152">
        <v>3000</v>
      </c>
      <c r="L11" s="152">
        <f t="shared" ref="L11" si="9">K11</f>
        <v>3000</v>
      </c>
      <c r="M11" s="159" t="s">
        <v>48</v>
      </c>
    </row>
    <row r="12" spans="1:14" ht="13.5" hidden="1" customHeight="1" x14ac:dyDescent="0.2">
      <c r="A12" s="149" t="s">
        <v>245</v>
      </c>
      <c r="B12" s="152" t="s">
        <v>14</v>
      </c>
      <c r="C12" s="151">
        <v>6380</v>
      </c>
      <c r="D12" s="152" t="s">
        <v>16</v>
      </c>
      <c r="E12" s="152" t="s">
        <v>17</v>
      </c>
      <c r="F12" s="151">
        <v>89</v>
      </c>
      <c r="G12" s="151">
        <v>0.42499999999999999</v>
      </c>
      <c r="H12" s="151">
        <f t="shared" ref="H12" si="10">F12*G12</f>
        <v>37.824999999999996</v>
      </c>
      <c r="I12" s="151">
        <v>56</v>
      </c>
      <c r="J12" s="151">
        <v>4</v>
      </c>
      <c r="K12" s="151">
        <f t="shared" ref="K12" si="11">F12*I12</f>
        <v>4984</v>
      </c>
      <c r="L12" s="151">
        <f t="shared" ref="L12" si="12">K12*J12</f>
        <v>19936</v>
      </c>
      <c r="M12" s="155" t="s">
        <v>18</v>
      </c>
    </row>
    <row r="13" spans="1:14" ht="13.5" hidden="1" customHeight="1" x14ac:dyDescent="0.2">
      <c r="A13" s="149" t="s">
        <v>245</v>
      </c>
      <c r="B13" s="158" t="s">
        <v>217</v>
      </c>
      <c r="C13" s="151">
        <v>104</v>
      </c>
      <c r="D13" s="152" t="s">
        <v>218</v>
      </c>
      <c r="E13" s="152" t="s">
        <v>30</v>
      </c>
      <c r="F13" s="152"/>
      <c r="G13" s="152"/>
      <c r="H13" s="152"/>
      <c r="I13" s="152"/>
      <c r="J13" s="152"/>
      <c r="K13" s="152">
        <v>3730</v>
      </c>
      <c r="L13" s="151">
        <f t="shared" ref="L13:L15" si="13">K13</f>
        <v>3730</v>
      </c>
      <c r="M13" s="159" t="s">
        <v>26</v>
      </c>
    </row>
    <row r="14" spans="1:14" ht="13.5" hidden="1" customHeight="1" x14ac:dyDescent="0.2">
      <c r="A14" s="149" t="s">
        <v>246</v>
      </c>
      <c r="B14" s="150" t="s">
        <v>23</v>
      </c>
      <c r="C14" s="151">
        <v>66772</v>
      </c>
      <c r="D14" s="152" t="s">
        <v>34</v>
      </c>
      <c r="E14" s="157" t="s">
        <v>35</v>
      </c>
      <c r="F14" s="151"/>
      <c r="G14" s="154" t="s">
        <v>77</v>
      </c>
      <c r="H14" s="151"/>
      <c r="I14" s="151"/>
      <c r="J14" s="151"/>
      <c r="K14" s="151">
        <v>5850</v>
      </c>
      <c r="L14" s="151">
        <f t="shared" si="13"/>
        <v>5850</v>
      </c>
      <c r="M14" s="155" t="s">
        <v>179</v>
      </c>
    </row>
    <row r="15" spans="1:14" ht="13.5" hidden="1" customHeight="1" x14ac:dyDescent="0.2">
      <c r="A15" s="149" t="s">
        <v>246</v>
      </c>
      <c r="B15" s="150" t="s">
        <v>23</v>
      </c>
      <c r="C15" s="151">
        <v>66772</v>
      </c>
      <c r="D15" s="152" t="s">
        <v>34</v>
      </c>
      <c r="E15" s="161" t="s">
        <v>39</v>
      </c>
      <c r="F15" s="151"/>
      <c r="G15" s="154" t="s">
        <v>36</v>
      </c>
      <c r="H15" s="151"/>
      <c r="I15" s="151"/>
      <c r="J15" s="151"/>
      <c r="K15" s="151">
        <v>5850</v>
      </c>
      <c r="L15" s="151">
        <f t="shared" si="13"/>
        <v>5850</v>
      </c>
      <c r="M15" s="155" t="s">
        <v>26</v>
      </c>
    </row>
    <row r="16" spans="1:14" ht="13.5" hidden="1" customHeight="1" x14ac:dyDescent="0.2">
      <c r="A16" s="149" t="s">
        <v>246</v>
      </c>
      <c r="B16" s="150" t="s">
        <v>23</v>
      </c>
      <c r="C16" s="151">
        <v>66772</v>
      </c>
      <c r="D16" s="152" t="s">
        <v>34</v>
      </c>
      <c r="E16" s="153" t="s">
        <v>30</v>
      </c>
      <c r="F16" s="151"/>
      <c r="G16" s="154" t="s">
        <v>78</v>
      </c>
      <c r="H16" s="151"/>
      <c r="I16" s="151"/>
      <c r="J16" s="151"/>
      <c r="K16" s="151">
        <v>5850</v>
      </c>
      <c r="L16" s="151">
        <f>K16</f>
        <v>5850</v>
      </c>
      <c r="M16" s="155" t="s">
        <v>180</v>
      </c>
    </row>
    <row r="17" spans="1:13" ht="13.5" hidden="1" customHeight="1" x14ac:dyDescent="0.2">
      <c r="A17" s="149" t="s">
        <v>246</v>
      </c>
      <c r="B17" s="150" t="s">
        <v>23</v>
      </c>
      <c r="C17" s="151">
        <v>65548</v>
      </c>
      <c r="D17" s="156" t="s">
        <v>24</v>
      </c>
      <c r="E17" s="157" t="s">
        <v>25</v>
      </c>
      <c r="F17" s="151"/>
      <c r="G17" s="154"/>
      <c r="H17" s="151"/>
      <c r="I17" s="151"/>
      <c r="J17" s="151"/>
      <c r="K17" s="151">
        <v>2470</v>
      </c>
      <c r="L17" s="151">
        <f t="shared" ref="L17" si="14">K17</f>
        <v>2470</v>
      </c>
      <c r="M17" s="155" t="s">
        <v>26</v>
      </c>
    </row>
    <row r="18" spans="1:13" ht="13.5" hidden="1" customHeight="1" x14ac:dyDescent="0.2">
      <c r="A18" s="149" t="s">
        <v>246</v>
      </c>
      <c r="B18" s="152" t="s">
        <v>14</v>
      </c>
      <c r="C18" s="151">
        <v>2576</v>
      </c>
      <c r="D18" s="152" t="s">
        <v>84</v>
      </c>
      <c r="E18" s="152" t="s">
        <v>17</v>
      </c>
      <c r="F18" s="151">
        <v>55</v>
      </c>
      <c r="G18" s="151">
        <v>0.1</v>
      </c>
      <c r="H18" s="151">
        <f>F18*G18</f>
        <v>5.5</v>
      </c>
      <c r="I18" s="151">
        <v>17</v>
      </c>
      <c r="J18" s="151">
        <v>1</v>
      </c>
      <c r="K18" s="151">
        <f t="shared" ref="K18" si="15">F18*I18</f>
        <v>935</v>
      </c>
      <c r="L18" s="151">
        <f t="shared" ref="L18" si="16">K18*J18</f>
        <v>935</v>
      </c>
      <c r="M18" s="155" t="s">
        <v>22</v>
      </c>
    </row>
    <row r="19" spans="1:13" ht="13.5" hidden="1" customHeight="1" x14ac:dyDescent="0.2">
      <c r="A19" s="149" t="s">
        <v>246</v>
      </c>
      <c r="B19" s="160" t="s">
        <v>44</v>
      </c>
      <c r="C19" s="152" t="s">
        <v>45</v>
      </c>
      <c r="D19" s="152" t="s">
        <v>46</v>
      </c>
      <c r="E19" s="152" t="s">
        <v>47</v>
      </c>
      <c r="F19" s="152"/>
      <c r="G19" s="152"/>
      <c r="H19" s="152"/>
      <c r="I19" s="152"/>
      <c r="J19" s="152"/>
      <c r="K19" s="152">
        <v>3500</v>
      </c>
      <c r="L19" s="152">
        <f t="shared" ref="L19:L22" si="17">K19</f>
        <v>3500</v>
      </c>
      <c r="M19" s="159" t="s">
        <v>48</v>
      </c>
    </row>
    <row r="20" spans="1:13" ht="13.5" hidden="1" customHeight="1" x14ac:dyDescent="0.2">
      <c r="A20" s="149" t="s">
        <v>246</v>
      </c>
      <c r="B20" s="158" t="s">
        <v>217</v>
      </c>
      <c r="C20" s="151">
        <v>104</v>
      </c>
      <c r="D20" s="152" t="s">
        <v>218</v>
      </c>
      <c r="E20" s="152" t="s">
        <v>30</v>
      </c>
      <c r="F20" s="152"/>
      <c r="G20" s="152"/>
      <c r="H20" s="152"/>
      <c r="I20" s="152"/>
      <c r="J20" s="152"/>
      <c r="K20" s="152">
        <v>1469</v>
      </c>
      <c r="L20" s="151">
        <f t="shared" si="17"/>
        <v>1469</v>
      </c>
      <c r="M20" s="159" t="s">
        <v>26</v>
      </c>
    </row>
    <row r="21" spans="1:13" ht="13.5" hidden="1" customHeight="1" x14ac:dyDescent="0.2">
      <c r="A21" s="149" t="s">
        <v>247</v>
      </c>
      <c r="B21" s="150" t="s">
        <v>23</v>
      </c>
      <c r="C21" s="151">
        <v>66772</v>
      </c>
      <c r="D21" s="152" t="s">
        <v>34</v>
      </c>
      <c r="E21" s="157" t="s">
        <v>35</v>
      </c>
      <c r="F21" s="151"/>
      <c r="G21" s="154" t="s">
        <v>77</v>
      </c>
      <c r="H21" s="151"/>
      <c r="I21" s="151"/>
      <c r="J21" s="151"/>
      <c r="K21" s="151">
        <v>6400</v>
      </c>
      <c r="L21" s="151">
        <f t="shared" si="17"/>
        <v>6400</v>
      </c>
      <c r="M21" s="155" t="s">
        <v>179</v>
      </c>
    </row>
    <row r="22" spans="1:13" ht="13.5" hidden="1" customHeight="1" x14ac:dyDescent="0.2">
      <c r="A22" s="149" t="s">
        <v>247</v>
      </c>
      <c r="B22" s="150" t="s">
        <v>23</v>
      </c>
      <c r="C22" s="151">
        <v>66772</v>
      </c>
      <c r="D22" s="152" t="s">
        <v>34</v>
      </c>
      <c r="E22" s="161" t="s">
        <v>39</v>
      </c>
      <c r="F22" s="151"/>
      <c r="G22" s="154" t="s">
        <v>36</v>
      </c>
      <c r="H22" s="151"/>
      <c r="I22" s="151"/>
      <c r="J22" s="151"/>
      <c r="K22" s="151">
        <v>6400</v>
      </c>
      <c r="L22" s="151">
        <f t="shared" si="17"/>
        <v>6400</v>
      </c>
      <c r="M22" s="155" t="s">
        <v>26</v>
      </c>
    </row>
    <row r="23" spans="1:13" ht="13.5" hidden="1" customHeight="1" x14ac:dyDescent="0.2">
      <c r="A23" s="149" t="s">
        <v>247</v>
      </c>
      <c r="B23" s="150" t="s">
        <v>23</v>
      </c>
      <c r="C23" s="151">
        <v>66772</v>
      </c>
      <c r="D23" s="152" t="s">
        <v>34</v>
      </c>
      <c r="E23" s="153" t="s">
        <v>30</v>
      </c>
      <c r="F23" s="151"/>
      <c r="G23" s="154" t="s">
        <v>78</v>
      </c>
      <c r="H23" s="151"/>
      <c r="I23" s="151"/>
      <c r="J23" s="151"/>
      <c r="K23" s="151">
        <v>9751</v>
      </c>
      <c r="L23" s="151">
        <f>K23</f>
        <v>9751</v>
      </c>
      <c r="M23" s="155" t="s">
        <v>180</v>
      </c>
    </row>
    <row r="24" spans="1:13" ht="13.5" hidden="1" customHeight="1" x14ac:dyDescent="0.2">
      <c r="A24" s="149" t="s">
        <v>247</v>
      </c>
      <c r="B24" s="150" t="s">
        <v>23</v>
      </c>
      <c r="C24" s="151">
        <v>65548</v>
      </c>
      <c r="D24" s="156" t="s">
        <v>24</v>
      </c>
      <c r="E24" s="157" t="s">
        <v>25</v>
      </c>
      <c r="F24" s="151"/>
      <c r="G24" s="154"/>
      <c r="H24" s="151"/>
      <c r="I24" s="151"/>
      <c r="J24" s="151"/>
      <c r="K24" s="151">
        <v>8800</v>
      </c>
      <c r="L24" s="151">
        <f t="shared" ref="L24" si="18">K24</f>
        <v>8800</v>
      </c>
      <c r="M24" s="155" t="s">
        <v>26</v>
      </c>
    </row>
    <row r="25" spans="1:13" ht="13.5" hidden="1" customHeight="1" x14ac:dyDescent="0.2">
      <c r="A25" s="149" t="s">
        <v>247</v>
      </c>
      <c r="B25" s="152" t="s">
        <v>14</v>
      </c>
      <c r="C25" s="151">
        <v>7479</v>
      </c>
      <c r="D25" s="152" t="s">
        <v>20</v>
      </c>
      <c r="E25" s="152" t="s">
        <v>21</v>
      </c>
      <c r="F25" s="151">
        <v>38</v>
      </c>
      <c r="G25" s="151">
        <v>0.15</v>
      </c>
      <c r="H25" s="151">
        <f>G25*F25</f>
        <v>5.7</v>
      </c>
      <c r="I25" s="151">
        <v>80</v>
      </c>
      <c r="J25" s="151">
        <v>1</v>
      </c>
      <c r="K25" s="151">
        <f>F25*I25</f>
        <v>3040</v>
      </c>
      <c r="L25" s="151">
        <f>K25*J25</f>
        <v>3040</v>
      </c>
      <c r="M25" s="155" t="s">
        <v>22</v>
      </c>
    </row>
    <row r="26" spans="1:13" ht="13.5" hidden="1" customHeight="1" x14ac:dyDescent="0.2">
      <c r="A26" s="149" t="s">
        <v>247</v>
      </c>
      <c r="B26" s="152" t="s">
        <v>14</v>
      </c>
      <c r="C26" s="151">
        <v>7479</v>
      </c>
      <c r="D26" s="152" t="s">
        <v>20</v>
      </c>
      <c r="E26" s="152" t="s">
        <v>25</v>
      </c>
      <c r="F26" s="151"/>
      <c r="G26" s="151"/>
      <c r="H26" s="151"/>
      <c r="I26" s="151"/>
      <c r="J26" s="151">
        <v>1</v>
      </c>
      <c r="K26" s="151">
        <v>1000</v>
      </c>
      <c r="L26" s="151">
        <f t="shared" ref="L26" si="19">K26</f>
        <v>1000</v>
      </c>
      <c r="M26" s="155" t="s">
        <v>37</v>
      </c>
    </row>
    <row r="27" spans="1:13" ht="13.5" hidden="1" customHeight="1" x14ac:dyDescent="0.2">
      <c r="A27" s="149" t="s">
        <v>247</v>
      </c>
      <c r="B27" s="152" t="s">
        <v>14</v>
      </c>
      <c r="C27" s="151">
        <v>2576</v>
      </c>
      <c r="D27" s="152" t="s">
        <v>84</v>
      </c>
      <c r="E27" s="152" t="s">
        <v>17</v>
      </c>
      <c r="F27" s="151">
        <v>270</v>
      </c>
      <c r="G27" s="151">
        <v>0.1</v>
      </c>
      <c r="H27" s="151">
        <v>18.100000000000001</v>
      </c>
      <c r="I27" s="151">
        <v>17</v>
      </c>
      <c r="J27" s="151">
        <v>1</v>
      </c>
      <c r="K27" s="151">
        <f>F27*I27</f>
        <v>4590</v>
      </c>
      <c r="L27" s="151">
        <f>K27*J27</f>
        <v>4590</v>
      </c>
      <c r="M27" s="155" t="s">
        <v>22</v>
      </c>
    </row>
    <row r="28" spans="1:13" ht="13.5" hidden="1" customHeight="1" x14ac:dyDescent="0.2">
      <c r="A28" s="149" t="s">
        <v>247</v>
      </c>
      <c r="B28" s="152" t="s">
        <v>14</v>
      </c>
      <c r="C28" s="151">
        <v>2576</v>
      </c>
      <c r="D28" s="152" t="s">
        <v>90</v>
      </c>
      <c r="E28" s="152" t="s">
        <v>25</v>
      </c>
      <c r="F28" s="151"/>
      <c r="G28" s="151"/>
      <c r="H28" s="151"/>
      <c r="I28" s="151"/>
      <c r="J28" s="151"/>
      <c r="K28" s="151">
        <v>1000</v>
      </c>
      <c r="L28" s="151">
        <f t="shared" ref="L28" si="20">K28</f>
        <v>1000</v>
      </c>
      <c r="M28" s="155" t="s">
        <v>31</v>
      </c>
    </row>
    <row r="29" spans="1:13" ht="13.5" hidden="1" customHeight="1" x14ac:dyDescent="0.2">
      <c r="A29" s="149" t="s">
        <v>248</v>
      </c>
      <c r="B29" s="150" t="s">
        <v>23</v>
      </c>
      <c r="C29" s="151">
        <v>66772</v>
      </c>
      <c r="D29" s="152" t="s">
        <v>34</v>
      </c>
      <c r="E29" s="157" t="s">
        <v>35</v>
      </c>
      <c r="F29" s="151"/>
      <c r="G29" s="154" t="s">
        <v>77</v>
      </c>
      <c r="H29" s="151"/>
      <c r="I29" s="151"/>
      <c r="J29" s="151"/>
      <c r="K29" s="151">
        <v>2000</v>
      </c>
      <c r="L29" s="151">
        <f t="shared" ref="L29:L30" si="21">K29</f>
        <v>2000</v>
      </c>
      <c r="M29" s="155" t="s">
        <v>179</v>
      </c>
    </row>
    <row r="30" spans="1:13" ht="13.5" hidden="1" customHeight="1" x14ac:dyDescent="0.2">
      <c r="A30" s="149" t="s">
        <v>248</v>
      </c>
      <c r="B30" s="150" t="s">
        <v>23</v>
      </c>
      <c r="C30" s="151">
        <v>66772</v>
      </c>
      <c r="D30" s="152" t="s">
        <v>34</v>
      </c>
      <c r="E30" s="161" t="s">
        <v>39</v>
      </c>
      <c r="F30" s="151"/>
      <c r="G30" s="154" t="s">
        <v>36</v>
      </c>
      <c r="H30" s="151"/>
      <c r="I30" s="151"/>
      <c r="J30" s="151"/>
      <c r="K30" s="151">
        <v>2000</v>
      </c>
      <c r="L30" s="151">
        <f t="shared" si="21"/>
        <v>2000</v>
      </c>
      <c r="M30" s="155" t="s">
        <v>26</v>
      </c>
    </row>
    <row r="31" spans="1:13" ht="13.5" hidden="1" customHeight="1" x14ac:dyDescent="0.2">
      <c r="A31" s="149" t="s">
        <v>248</v>
      </c>
      <c r="B31" s="150" t="s">
        <v>23</v>
      </c>
      <c r="C31" s="151">
        <v>66772</v>
      </c>
      <c r="D31" s="152" t="s">
        <v>34</v>
      </c>
      <c r="E31" s="153" t="s">
        <v>30</v>
      </c>
      <c r="F31" s="151"/>
      <c r="G31" s="154" t="s">
        <v>78</v>
      </c>
      <c r="H31" s="151"/>
      <c r="I31" s="151"/>
      <c r="J31" s="151"/>
      <c r="K31" s="151">
        <v>2000</v>
      </c>
      <c r="L31" s="151">
        <f>K31</f>
        <v>2000</v>
      </c>
      <c r="M31" s="155" t="s">
        <v>180</v>
      </c>
    </row>
    <row r="32" spans="1:13" ht="13.5" hidden="1" customHeight="1" x14ac:dyDescent="0.2">
      <c r="A32" s="149" t="s">
        <v>248</v>
      </c>
      <c r="B32" s="150" t="s">
        <v>23</v>
      </c>
      <c r="C32" s="151">
        <v>65548</v>
      </c>
      <c r="D32" s="156" t="s">
        <v>24</v>
      </c>
      <c r="E32" s="157" t="s">
        <v>25</v>
      </c>
      <c r="F32" s="151"/>
      <c r="G32" s="154"/>
      <c r="H32" s="151"/>
      <c r="I32" s="151"/>
      <c r="J32" s="151"/>
      <c r="K32" s="151">
        <v>2000</v>
      </c>
      <c r="L32" s="151">
        <f t="shared" ref="L32:L33" si="22">K32</f>
        <v>2000</v>
      </c>
      <c r="M32" s="155" t="s">
        <v>26</v>
      </c>
    </row>
    <row r="33" spans="1:14" ht="13.5" hidden="1" customHeight="1" x14ac:dyDescent="0.2">
      <c r="A33" s="149" t="s">
        <v>248</v>
      </c>
      <c r="B33" s="150" t="s">
        <v>23</v>
      </c>
      <c r="C33" s="151">
        <v>65548</v>
      </c>
      <c r="D33" s="156" t="s">
        <v>24</v>
      </c>
      <c r="E33" s="157" t="s">
        <v>30</v>
      </c>
      <c r="F33" s="151"/>
      <c r="G33" s="154"/>
      <c r="H33" s="151"/>
      <c r="I33" s="151"/>
      <c r="J33" s="151"/>
      <c r="K33" s="151">
        <v>2700</v>
      </c>
      <c r="L33" s="151">
        <f t="shared" si="22"/>
        <v>2700</v>
      </c>
      <c r="M33" s="155" t="s">
        <v>180</v>
      </c>
    </row>
    <row r="34" spans="1:14" ht="13.5" hidden="1" customHeight="1" x14ac:dyDescent="0.2">
      <c r="A34" s="149" t="s">
        <v>248</v>
      </c>
      <c r="B34" s="152" t="s">
        <v>14</v>
      </c>
      <c r="C34" s="151">
        <v>6871</v>
      </c>
      <c r="D34" s="152" t="s">
        <v>16</v>
      </c>
      <c r="E34" s="152" t="s">
        <v>17</v>
      </c>
      <c r="F34" s="151">
        <v>71</v>
      </c>
      <c r="G34" s="151">
        <v>0.64</v>
      </c>
      <c r="H34" s="151">
        <f>G34*F34</f>
        <v>45.44</v>
      </c>
      <c r="I34" s="151">
        <v>70</v>
      </c>
      <c r="J34" s="151">
        <v>2</v>
      </c>
      <c r="K34" s="151">
        <f t="shared" ref="K34" si="23">F34*I34</f>
        <v>4970</v>
      </c>
      <c r="L34" s="151">
        <f t="shared" ref="L34" si="24">K34*J34</f>
        <v>9940</v>
      </c>
      <c r="M34" s="155" t="s">
        <v>22</v>
      </c>
      <c r="N34" s="148"/>
    </row>
    <row r="35" spans="1:14" ht="13.5" hidden="1" customHeight="1" x14ac:dyDescent="0.2">
      <c r="A35" s="149" t="s">
        <v>248</v>
      </c>
      <c r="B35" s="152" t="s">
        <v>14</v>
      </c>
      <c r="C35" s="151">
        <v>7479</v>
      </c>
      <c r="D35" s="152" t="s">
        <v>20</v>
      </c>
      <c r="E35" s="152" t="s">
        <v>21</v>
      </c>
      <c r="F35" s="151">
        <v>220</v>
      </c>
      <c r="G35" s="151">
        <v>0.15</v>
      </c>
      <c r="H35" s="151">
        <f>G35*F35</f>
        <v>33</v>
      </c>
      <c r="I35" s="151">
        <v>80</v>
      </c>
      <c r="J35" s="151">
        <v>1</v>
      </c>
      <c r="K35" s="151">
        <f>F35*I35</f>
        <v>17600</v>
      </c>
      <c r="L35" s="151">
        <f>K35*J35</f>
        <v>17600</v>
      </c>
      <c r="M35" s="155" t="s">
        <v>22</v>
      </c>
    </row>
    <row r="36" spans="1:14" ht="13.5" hidden="1" customHeight="1" x14ac:dyDescent="0.2">
      <c r="A36" s="149" t="s">
        <v>248</v>
      </c>
      <c r="B36" s="152" t="s">
        <v>14</v>
      </c>
      <c r="C36" s="151">
        <v>7479</v>
      </c>
      <c r="D36" s="152" t="s">
        <v>20</v>
      </c>
      <c r="E36" s="152" t="s">
        <v>25</v>
      </c>
      <c r="F36" s="151"/>
      <c r="G36" s="151"/>
      <c r="H36" s="151"/>
      <c r="I36" s="151"/>
      <c r="J36" s="151">
        <v>1</v>
      </c>
      <c r="K36" s="151">
        <v>6400</v>
      </c>
      <c r="L36" s="151">
        <f t="shared" ref="L36:L37" si="25">K36</f>
        <v>6400</v>
      </c>
      <c r="M36" s="155" t="s">
        <v>37</v>
      </c>
    </row>
    <row r="37" spans="1:14" ht="13.5" hidden="1" customHeight="1" x14ac:dyDescent="0.2">
      <c r="A37" s="149" t="s">
        <v>249</v>
      </c>
      <c r="B37" s="150" t="s">
        <v>23</v>
      </c>
      <c r="C37" s="151">
        <v>65548</v>
      </c>
      <c r="D37" s="156" t="s">
        <v>24</v>
      </c>
      <c r="E37" s="157" t="s">
        <v>30</v>
      </c>
      <c r="F37" s="151"/>
      <c r="G37" s="154"/>
      <c r="H37" s="151"/>
      <c r="I37" s="151"/>
      <c r="J37" s="151"/>
      <c r="K37" s="151">
        <v>7300</v>
      </c>
      <c r="L37" s="151">
        <f t="shared" si="25"/>
        <v>7300</v>
      </c>
      <c r="M37" s="155" t="s">
        <v>180</v>
      </c>
    </row>
    <row r="38" spans="1:14" ht="13.5" hidden="1" customHeight="1" x14ac:dyDescent="0.2">
      <c r="A38" s="149" t="s">
        <v>249</v>
      </c>
      <c r="B38" s="152" t="s">
        <v>14</v>
      </c>
      <c r="C38" s="151">
        <v>7479</v>
      </c>
      <c r="D38" s="152" t="s">
        <v>20</v>
      </c>
      <c r="E38" s="152" t="s">
        <v>25</v>
      </c>
      <c r="F38" s="151"/>
      <c r="G38" s="151"/>
      <c r="H38" s="151"/>
      <c r="I38" s="151"/>
      <c r="J38" s="151">
        <v>1</v>
      </c>
      <c r="K38" s="151">
        <v>6400</v>
      </c>
      <c r="L38" s="151">
        <f t="shared" ref="L38" si="26">K38</f>
        <v>6400</v>
      </c>
      <c r="M38" s="155" t="s">
        <v>37</v>
      </c>
    </row>
    <row r="39" spans="1:14" ht="13.5" hidden="1" customHeight="1" x14ac:dyDescent="0.2">
      <c r="A39" s="149" t="s">
        <v>249</v>
      </c>
      <c r="B39" s="152" t="s">
        <v>14</v>
      </c>
      <c r="C39" s="151" t="s">
        <v>89</v>
      </c>
      <c r="D39" s="152" t="s">
        <v>90</v>
      </c>
      <c r="E39" s="152" t="s">
        <v>21</v>
      </c>
      <c r="F39" s="151">
        <v>83</v>
      </c>
      <c r="G39" s="151">
        <v>0.13500000000000001</v>
      </c>
      <c r="H39" s="151">
        <v>8.5050000000000008</v>
      </c>
      <c r="I39" s="151">
        <v>77</v>
      </c>
      <c r="J39" s="151">
        <v>1</v>
      </c>
      <c r="K39" s="151">
        <f t="shared" ref="K39" si="27">F39*I39</f>
        <v>6391</v>
      </c>
      <c r="L39" s="151">
        <f t="shared" ref="L39" si="28">K39*J39</f>
        <v>6391</v>
      </c>
      <c r="M39" s="155" t="s">
        <v>181</v>
      </c>
    </row>
    <row r="40" spans="1:14" ht="13.5" hidden="1" customHeight="1" x14ac:dyDescent="0.2">
      <c r="A40" s="149" t="s">
        <v>249</v>
      </c>
      <c r="B40" s="152" t="s">
        <v>14</v>
      </c>
      <c r="C40" s="151" t="s">
        <v>89</v>
      </c>
      <c r="D40" s="152" t="s">
        <v>90</v>
      </c>
      <c r="E40" s="152" t="s">
        <v>25</v>
      </c>
      <c r="F40" s="151"/>
      <c r="G40" s="151"/>
      <c r="H40" s="151"/>
      <c r="I40" s="151"/>
      <c r="J40" s="151"/>
      <c r="K40" s="151">
        <v>6000</v>
      </c>
      <c r="L40" s="151">
        <f t="shared" ref="L40" si="29">K40</f>
        <v>6000</v>
      </c>
      <c r="M40" s="155" t="s">
        <v>181</v>
      </c>
    </row>
    <row r="41" spans="1:14" ht="13.5" hidden="1" customHeight="1" x14ac:dyDescent="0.2">
      <c r="A41" s="149" t="s">
        <v>249</v>
      </c>
      <c r="B41" s="152" t="s">
        <v>14</v>
      </c>
      <c r="C41" s="151">
        <v>6380</v>
      </c>
      <c r="D41" s="152" t="s">
        <v>16</v>
      </c>
      <c r="E41" s="152" t="s">
        <v>17</v>
      </c>
      <c r="F41" s="151">
        <v>5</v>
      </c>
      <c r="G41" s="151">
        <v>0.42499999999999999</v>
      </c>
      <c r="H41" s="151">
        <f t="shared" ref="H41" si="30">F41*G41</f>
        <v>2.125</v>
      </c>
      <c r="I41" s="151">
        <v>56</v>
      </c>
      <c r="J41" s="151">
        <v>4</v>
      </c>
      <c r="K41" s="151">
        <f t="shared" ref="K41" si="31">F41*I41</f>
        <v>280</v>
      </c>
      <c r="L41" s="151">
        <f t="shared" ref="L41" si="32">K41*J41</f>
        <v>1120</v>
      </c>
      <c r="M41" s="155" t="s">
        <v>18</v>
      </c>
    </row>
    <row r="42" spans="1:14" ht="13.5" hidden="1" customHeight="1" x14ac:dyDescent="0.2">
      <c r="A42" s="149" t="s">
        <v>250</v>
      </c>
      <c r="B42" s="152" t="s">
        <v>14</v>
      </c>
      <c r="C42" s="151" t="s">
        <v>89</v>
      </c>
      <c r="D42" s="152" t="s">
        <v>90</v>
      </c>
      <c r="E42" s="152" t="s">
        <v>21</v>
      </c>
      <c r="F42" s="151">
        <v>74</v>
      </c>
      <c r="G42" s="151">
        <v>0.13500000000000001</v>
      </c>
      <c r="H42" s="151">
        <v>8.5050000000000008</v>
      </c>
      <c r="I42" s="151">
        <v>77</v>
      </c>
      <c r="J42" s="151">
        <v>1</v>
      </c>
      <c r="K42" s="151">
        <f t="shared" ref="K42" si="33">F42*I42</f>
        <v>5698</v>
      </c>
      <c r="L42" s="151">
        <f t="shared" ref="L42" si="34">K42*J42</f>
        <v>5698</v>
      </c>
      <c r="M42" s="155" t="s">
        <v>181</v>
      </c>
    </row>
    <row r="43" spans="1:14" ht="13.5" hidden="1" customHeight="1" x14ac:dyDescent="0.2">
      <c r="A43" s="149" t="s">
        <v>250</v>
      </c>
      <c r="B43" s="152" t="s">
        <v>14</v>
      </c>
      <c r="C43" s="151" t="s">
        <v>89</v>
      </c>
      <c r="D43" s="152" t="s">
        <v>90</v>
      </c>
      <c r="E43" s="152" t="s">
        <v>25</v>
      </c>
      <c r="F43" s="151"/>
      <c r="G43" s="151"/>
      <c r="H43" s="151"/>
      <c r="I43" s="151"/>
      <c r="J43" s="151"/>
      <c r="K43" s="151">
        <v>5000</v>
      </c>
      <c r="L43" s="151">
        <f t="shared" ref="L43:L44" si="35">K43</f>
        <v>5000</v>
      </c>
      <c r="M43" s="155" t="s">
        <v>181</v>
      </c>
    </row>
    <row r="44" spans="1:14" ht="13.5" hidden="1" customHeight="1" x14ac:dyDescent="0.2">
      <c r="A44" s="149" t="s">
        <v>250</v>
      </c>
      <c r="B44" s="152" t="s">
        <v>14</v>
      </c>
      <c r="C44" s="151">
        <v>7479</v>
      </c>
      <c r="D44" s="152" t="s">
        <v>20</v>
      </c>
      <c r="E44" s="152" t="s">
        <v>25</v>
      </c>
      <c r="F44" s="151"/>
      <c r="G44" s="151"/>
      <c r="H44" s="151"/>
      <c r="I44" s="151"/>
      <c r="J44" s="151">
        <v>1</v>
      </c>
      <c r="K44" s="151">
        <v>5200</v>
      </c>
      <c r="L44" s="151">
        <f t="shared" si="35"/>
        <v>5200</v>
      </c>
      <c r="M44" s="155" t="s">
        <v>37</v>
      </c>
    </row>
    <row r="45" spans="1:14" ht="13.5" hidden="1" customHeight="1" x14ac:dyDescent="0.2">
      <c r="A45" s="149" t="s">
        <v>250</v>
      </c>
      <c r="B45" s="160" t="s">
        <v>44</v>
      </c>
      <c r="C45" s="152" t="s">
        <v>45</v>
      </c>
      <c r="D45" s="152" t="s">
        <v>46</v>
      </c>
      <c r="E45" s="152" t="s">
        <v>21</v>
      </c>
      <c r="F45" s="152">
        <v>26</v>
      </c>
      <c r="G45" s="152">
        <v>0.46</v>
      </c>
      <c r="H45" s="152">
        <f t="shared" ref="H45" si="36">F45*G45</f>
        <v>11.96</v>
      </c>
      <c r="I45" s="152">
        <v>22</v>
      </c>
      <c r="J45" s="152">
        <v>2</v>
      </c>
      <c r="K45" s="152">
        <f t="shared" ref="K45" si="37">F45*I45</f>
        <v>572</v>
      </c>
      <c r="L45" s="152">
        <f t="shared" ref="L45" si="38">K45*J45</f>
        <v>1144</v>
      </c>
      <c r="M45" s="159" t="s">
        <v>22</v>
      </c>
    </row>
    <row r="46" spans="1:14" ht="13.5" hidden="1" customHeight="1" x14ac:dyDescent="0.2">
      <c r="A46" s="149" t="s">
        <v>250</v>
      </c>
      <c r="B46" s="150" t="s">
        <v>23</v>
      </c>
      <c r="C46" s="151">
        <v>65548</v>
      </c>
      <c r="D46" s="156" t="s">
        <v>24</v>
      </c>
      <c r="E46" s="157" t="s">
        <v>25</v>
      </c>
      <c r="F46" s="151"/>
      <c r="G46" s="154"/>
      <c r="H46" s="151"/>
      <c r="I46" s="151"/>
      <c r="J46" s="151"/>
      <c r="K46" s="151">
        <v>5340</v>
      </c>
      <c r="L46" s="151">
        <f t="shared" ref="L46:L47" si="39">K46</f>
        <v>5340</v>
      </c>
      <c r="M46" s="155" t="s">
        <v>179</v>
      </c>
    </row>
    <row r="47" spans="1:14" ht="13.5" hidden="1" customHeight="1" x14ac:dyDescent="0.25">
      <c r="A47" s="149" t="s">
        <v>250</v>
      </c>
      <c r="B47" s="150" t="s">
        <v>23</v>
      </c>
      <c r="C47" s="151">
        <v>65548</v>
      </c>
      <c r="D47" s="156" t="s">
        <v>24</v>
      </c>
      <c r="E47" s="157" t="s">
        <v>30</v>
      </c>
      <c r="F47" s="151"/>
      <c r="G47" s="154"/>
      <c r="H47" s="151"/>
      <c r="I47" s="151"/>
      <c r="J47" s="151"/>
      <c r="K47" s="151">
        <v>4650</v>
      </c>
      <c r="L47" s="151">
        <f t="shared" si="39"/>
        <v>4650</v>
      </c>
      <c r="M47" s="155" t="s">
        <v>180</v>
      </c>
      <c r="N47" s="164" t="s">
        <v>263</v>
      </c>
    </row>
    <row r="48" spans="1:14" ht="13.5" hidden="1" customHeight="1" x14ac:dyDescent="0.2">
      <c r="A48" s="149" t="s">
        <v>251</v>
      </c>
      <c r="B48" s="150" t="s">
        <v>23</v>
      </c>
      <c r="C48" s="151">
        <v>65548</v>
      </c>
      <c r="D48" s="156" t="s">
        <v>24</v>
      </c>
      <c r="E48" s="157" t="s">
        <v>25</v>
      </c>
      <c r="F48" s="151"/>
      <c r="G48" s="154"/>
      <c r="H48" s="151"/>
      <c r="I48" s="151"/>
      <c r="J48" s="151"/>
      <c r="K48" s="151">
        <v>4800</v>
      </c>
      <c r="L48" s="151">
        <f t="shared" ref="L48:L51" si="40">K48</f>
        <v>4800</v>
      </c>
      <c r="M48" s="155" t="s">
        <v>179</v>
      </c>
    </row>
    <row r="49" spans="1:13" ht="13.5" hidden="1" customHeight="1" x14ac:dyDescent="0.2">
      <c r="A49" s="149" t="s">
        <v>251</v>
      </c>
      <c r="B49" s="150" t="s">
        <v>23</v>
      </c>
      <c r="C49" s="151">
        <v>65548</v>
      </c>
      <c r="D49" s="156" t="s">
        <v>24</v>
      </c>
      <c r="E49" s="157" t="s">
        <v>30</v>
      </c>
      <c r="F49" s="151"/>
      <c r="G49" s="154"/>
      <c r="H49" s="151"/>
      <c r="I49" s="151"/>
      <c r="J49" s="151"/>
      <c r="K49" s="151">
        <v>5400</v>
      </c>
      <c r="L49" s="151">
        <f t="shared" si="40"/>
        <v>5400</v>
      </c>
      <c r="M49" s="155" t="s">
        <v>180</v>
      </c>
    </row>
    <row r="50" spans="1:13" ht="13.5" hidden="1" customHeight="1" x14ac:dyDescent="0.2">
      <c r="A50" s="149" t="s">
        <v>251</v>
      </c>
      <c r="B50" s="150" t="s">
        <v>23</v>
      </c>
      <c r="C50" s="151">
        <v>66772</v>
      </c>
      <c r="D50" s="152" t="s">
        <v>34</v>
      </c>
      <c r="E50" s="157" t="s">
        <v>35</v>
      </c>
      <c r="F50" s="151"/>
      <c r="G50" s="154" t="s">
        <v>77</v>
      </c>
      <c r="H50" s="151"/>
      <c r="I50" s="151"/>
      <c r="J50" s="151"/>
      <c r="K50" s="151">
        <v>2900</v>
      </c>
      <c r="L50" s="151">
        <f t="shared" si="40"/>
        <v>2900</v>
      </c>
      <c r="M50" s="155" t="s">
        <v>179</v>
      </c>
    </row>
    <row r="51" spans="1:13" ht="13.5" hidden="1" customHeight="1" x14ac:dyDescent="0.2">
      <c r="A51" s="149" t="s">
        <v>251</v>
      </c>
      <c r="B51" s="150" t="s">
        <v>23</v>
      </c>
      <c r="C51" s="151">
        <v>66772</v>
      </c>
      <c r="D51" s="152" t="s">
        <v>34</v>
      </c>
      <c r="E51" s="161" t="s">
        <v>39</v>
      </c>
      <c r="F51" s="151"/>
      <c r="G51" s="154" t="s">
        <v>36</v>
      </c>
      <c r="H51" s="151"/>
      <c r="I51" s="151"/>
      <c r="J51" s="151"/>
      <c r="K51" s="151">
        <v>2750</v>
      </c>
      <c r="L51" s="151">
        <f t="shared" si="40"/>
        <v>2750</v>
      </c>
      <c r="M51" s="155" t="s">
        <v>26</v>
      </c>
    </row>
    <row r="52" spans="1:13" ht="13.5" hidden="1" customHeight="1" x14ac:dyDescent="0.2">
      <c r="A52" s="149" t="s">
        <v>251</v>
      </c>
      <c r="B52" s="150" t="s">
        <v>23</v>
      </c>
      <c r="C52" s="151">
        <v>66772</v>
      </c>
      <c r="D52" s="152" t="s">
        <v>34</v>
      </c>
      <c r="E52" s="153" t="s">
        <v>30</v>
      </c>
      <c r="F52" s="151"/>
      <c r="G52" s="154" t="s">
        <v>78</v>
      </c>
      <c r="H52" s="151"/>
      <c r="I52" s="151"/>
      <c r="J52" s="151"/>
      <c r="K52" s="151">
        <v>2000</v>
      </c>
      <c r="L52" s="151">
        <f>K52</f>
        <v>2000</v>
      </c>
      <c r="M52" s="155" t="s">
        <v>180</v>
      </c>
    </row>
    <row r="53" spans="1:13" ht="13.5" hidden="1" customHeight="1" x14ac:dyDescent="0.2">
      <c r="A53" s="149" t="s">
        <v>251</v>
      </c>
      <c r="B53" s="152" t="s">
        <v>14</v>
      </c>
      <c r="C53" s="151">
        <v>7479</v>
      </c>
      <c r="D53" s="152" t="s">
        <v>20</v>
      </c>
      <c r="E53" s="152" t="s">
        <v>21</v>
      </c>
      <c r="F53" s="151">
        <v>76</v>
      </c>
      <c r="G53" s="151">
        <v>0.15</v>
      </c>
      <c r="H53" s="151">
        <f>G53*F53</f>
        <v>11.4</v>
      </c>
      <c r="I53" s="151">
        <v>80</v>
      </c>
      <c r="J53" s="151">
        <v>1</v>
      </c>
      <c r="K53" s="151">
        <f>F53*I53</f>
        <v>6080</v>
      </c>
      <c r="L53" s="151">
        <f>K53*J53</f>
        <v>6080</v>
      </c>
      <c r="M53" s="155" t="s">
        <v>22</v>
      </c>
    </row>
    <row r="54" spans="1:13" ht="13.5" hidden="1" customHeight="1" x14ac:dyDescent="0.2">
      <c r="A54" s="149" t="s">
        <v>251</v>
      </c>
      <c r="B54" s="152" t="s">
        <v>14</v>
      </c>
      <c r="C54" s="151">
        <v>7479</v>
      </c>
      <c r="D54" s="152" t="s">
        <v>20</v>
      </c>
      <c r="E54" s="152" t="s">
        <v>25</v>
      </c>
      <c r="F54" s="151"/>
      <c r="G54" s="151"/>
      <c r="H54" s="151"/>
      <c r="I54" s="151"/>
      <c r="J54" s="151">
        <v>1</v>
      </c>
      <c r="K54" s="151">
        <v>3600</v>
      </c>
      <c r="L54" s="151">
        <f t="shared" ref="L54:L56" si="41">K54</f>
        <v>3600</v>
      </c>
      <c r="M54" s="155" t="s">
        <v>37</v>
      </c>
    </row>
    <row r="55" spans="1:13" ht="13.5" hidden="1" customHeight="1" x14ac:dyDescent="0.2">
      <c r="A55" s="149" t="s">
        <v>251</v>
      </c>
      <c r="B55" s="152" t="s">
        <v>14</v>
      </c>
      <c r="C55" s="151">
        <v>2576</v>
      </c>
      <c r="D55" s="152" t="s">
        <v>84</v>
      </c>
      <c r="E55" s="152" t="s">
        <v>17</v>
      </c>
      <c r="F55" s="151">
        <v>110</v>
      </c>
      <c r="G55" s="151">
        <v>0.1</v>
      </c>
      <c r="H55" s="151">
        <v>18.100000000000001</v>
      </c>
      <c r="I55" s="151">
        <v>17</v>
      </c>
      <c r="J55" s="151">
        <v>1</v>
      </c>
      <c r="K55" s="151">
        <f>F55*I55</f>
        <v>1870</v>
      </c>
      <c r="L55" s="151">
        <f>K55*J55</f>
        <v>1870</v>
      </c>
      <c r="M55" s="155" t="s">
        <v>22</v>
      </c>
    </row>
    <row r="56" spans="1:13" ht="13.5" hidden="1" customHeight="1" x14ac:dyDescent="0.2">
      <c r="A56" s="149" t="s">
        <v>251</v>
      </c>
      <c r="B56" s="152" t="s">
        <v>14</v>
      </c>
      <c r="C56" s="151">
        <v>2576</v>
      </c>
      <c r="D56" s="152" t="s">
        <v>90</v>
      </c>
      <c r="E56" s="152" t="s">
        <v>25</v>
      </c>
      <c r="F56" s="151"/>
      <c r="G56" s="151"/>
      <c r="H56" s="151"/>
      <c r="I56" s="151"/>
      <c r="J56" s="151"/>
      <c r="K56" s="151">
        <v>1150</v>
      </c>
      <c r="L56" s="151">
        <f t="shared" si="41"/>
        <v>1150</v>
      </c>
      <c r="M56" s="155" t="s">
        <v>31</v>
      </c>
    </row>
    <row r="57" spans="1:13" ht="13.5" hidden="1" customHeight="1" x14ac:dyDescent="0.2">
      <c r="A57" s="149" t="s">
        <v>251</v>
      </c>
      <c r="B57" s="152" t="s">
        <v>14</v>
      </c>
      <c r="C57" s="151" t="s">
        <v>89</v>
      </c>
      <c r="D57" s="152" t="s">
        <v>90</v>
      </c>
      <c r="E57" s="152" t="s">
        <v>25</v>
      </c>
      <c r="F57" s="151"/>
      <c r="G57" s="151"/>
      <c r="H57" s="151"/>
      <c r="I57" s="151"/>
      <c r="J57" s="151"/>
      <c r="K57" s="151">
        <v>2000</v>
      </c>
      <c r="L57" s="151">
        <f t="shared" ref="L57" si="42">K57</f>
        <v>2000</v>
      </c>
      <c r="M57" s="155" t="s">
        <v>181</v>
      </c>
    </row>
    <row r="58" spans="1:13" ht="13.5" hidden="1" customHeight="1" x14ac:dyDescent="0.2">
      <c r="A58" s="149" t="s">
        <v>252</v>
      </c>
      <c r="B58" s="152" t="s">
        <v>14</v>
      </c>
      <c r="C58" s="151">
        <v>7479</v>
      </c>
      <c r="D58" s="152" t="s">
        <v>20</v>
      </c>
      <c r="E58" s="152" t="s">
        <v>21</v>
      </c>
      <c r="F58" s="151">
        <v>62</v>
      </c>
      <c r="G58" s="151">
        <v>0.15</v>
      </c>
      <c r="H58" s="151">
        <f>G58*F58</f>
        <v>9.2999999999999989</v>
      </c>
      <c r="I58" s="151">
        <v>80</v>
      </c>
      <c r="J58" s="151">
        <v>1</v>
      </c>
      <c r="K58" s="151">
        <f>F58*I58</f>
        <v>4960</v>
      </c>
      <c r="L58" s="151">
        <f>K58*J58</f>
        <v>4960</v>
      </c>
      <c r="M58" s="155" t="s">
        <v>22</v>
      </c>
    </row>
    <row r="59" spans="1:13" ht="13.5" hidden="1" customHeight="1" x14ac:dyDescent="0.2">
      <c r="A59" s="149" t="s">
        <v>252</v>
      </c>
      <c r="B59" s="152" t="s">
        <v>14</v>
      </c>
      <c r="C59" s="151">
        <v>2576</v>
      </c>
      <c r="D59" s="152" t="s">
        <v>84</v>
      </c>
      <c r="E59" s="152" t="s">
        <v>17</v>
      </c>
      <c r="F59" s="151">
        <v>242</v>
      </c>
      <c r="G59" s="151">
        <v>0.1</v>
      </c>
      <c r="H59" s="151">
        <v>18.100000000000001</v>
      </c>
      <c r="I59" s="151">
        <v>17</v>
      </c>
      <c r="J59" s="151">
        <v>1</v>
      </c>
      <c r="K59" s="151">
        <f>F59*I59</f>
        <v>4114</v>
      </c>
      <c r="L59" s="151">
        <f>K59*J59</f>
        <v>4114</v>
      </c>
      <c r="M59" s="155" t="s">
        <v>22</v>
      </c>
    </row>
    <row r="60" spans="1:13" ht="13.5" hidden="1" customHeight="1" x14ac:dyDescent="0.2">
      <c r="A60" s="149" t="s">
        <v>252</v>
      </c>
      <c r="B60" s="152" t="s">
        <v>14</v>
      </c>
      <c r="C60" s="151">
        <v>2576</v>
      </c>
      <c r="D60" s="152" t="s">
        <v>90</v>
      </c>
      <c r="E60" s="152" t="s">
        <v>25</v>
      </c>
      <c r="F60" s="151"/>
      <c r="G60" s="151"/>
      <c r="H60" s="151"/>
      <c r="I60" s="151"/>
      <c r="J60" s="151"/>
      <c r="K60" s="151">
        <v>4100</v>
      </c>
      <c r="L60" s="151">
        <f t="shared" ref="L60" si="43">K60</f>
        <v>4100</v>
      </c>
      <c r="M60" s="155" t="s">
        <v>31</v>
      </c>
    </row>
    <row r="61" spans="1:13" ht="13.5" hidden="1" customHeight="1" x14ac:dyDescent="0.2">
      <c r="A61" s="149" t="s">
        <v>252</v>
      </c>
      <c r="B61" s="150" t="s">
        <v>23</v>
      </c>
      <c r="C61" s="151">
        <v>66772</v>
      </c>
      <c r="D61" s="152" t="s">
        <v>34</v>
      </c>
      <c r="E61" s="157" t="s">
        <v>35</v>
      </c>
      <c r="F61" s="151"/>
      <c r="G61" s="154" t="s">
        <v>77</v>
      </c>
      <c r="H61" s="151"/>
      <c r="I61" s="151"/>
      <c r="J61" s="151"/>
      <c r="K61" s="151">
        <v>8000</v>
      </c>
      <c r="L61" s="151">
        <f t="shared" ref="L61:L62" si="44">K61</f>
        <v>8000</v>
      </c>
      <c r="M61" s="155" t="s">
        <v>179</v>
      </c>
    </row>
    <row r="62" spans="1:13" ht="13.5" hidden="1" customHeight="1" x14ac:dyDescent="0.2">
      <c r="A62" s="149" t="s">
        <v>252</v>
      </c>
      <c r="B62" s="150" t="s">
        <v>23</v>
      </c>
      <c r="C62" s="151">
        <v>66772</v>
      </c>
      <c r="D62" s="152" t="s">
        <v>34</v>
      </c>
      <c r="E62" s="161" t="s">
        <v>39</v>
      </c>
      <c r="F62" s="151"/>
      <c r="G62" s="154" t="s">
        <v>36</v>
      </c>
      <c r="H62" s="151"/>
      <c r="I62" s="151"/>
      <c r="J62" s="151"/>
      <c r="K62" s="151">
        <v>7300</v>
      </c>
      <c r="L62" s="151">
        <f t="shared" si="44"/>
        <v>7300</v>
      </c>
      <c r="M62" s="155" t="s">
        <v>26</v>
      </c>
    </row>
    <row r="63" spans="1:13" ht="13.5" hidden="1" customHeight="1" x14ac:dyDescent="0.2">
      <c r="A63" s="149" t="s">
        <v>252</v>
      </c>
      <c r="B63" s="150" t="s">
        <v>23</v>
      </c>
      <c r="C63" s="151">
        <v>66772</v>
      </c>
      <c r="D63" s="152" t="s">
        <v>34</v>
      </c>
      <c r="E63" s="153" t="s">
        <v>30</v>
      </c>
      <c r="F63" s="151"/>
      <c r="G63" s="154" t="s">
        <v>78</v>
      </c>
      <c r="H63" s="151"/>
      <c r="I63" s="151"/>
      <c r="J63" s="151"/>
      <c r="K63" s="151">
        <v>7800</v>
      </c>
      <c r="L63" s="151">
        <f>K63</f>
        <v>7800</v>
      </c>
      <c r="M63" s="155" t="s">
        <v>180</v>
      </c>
    </row>
    <row r="64" spans="1:13" ht="13.5" hidden="1" customHeight="1" x14ac:dyDescent="0.2">
      <c r="A64" s="149" t="s">
        <v>252</v>
      </c>
      <c r="B64" s="152" t="s">
        <v>14</v>
      </c>
      <c r="C64" s="151">
        <v>8283</v>
      </c>
      <c r="D64" s="152" t="s">
        <v>84</v>
      </c>
      <c r="E64" s="152" t="s">
        <v>25</v>
      </c>
      <c r="F64" s="151"/>
      <c r="G64" s="151"/>
      <c r="H64" s="151"/>
      <c r="I64" s="151"/>
      <c r="J64" s="151"/>
      <c r="K64" s="151">
        <v>3700</v>
      </c>
      <c r="L64" s="151">
        <f>K64</f>
        <v>3700</v>
      </c>
      <c r="M64" s="155" t="s">
        <v>179</v>
      </c>
    </row>
    <row r="65" spans="1:13" ht="13.5" hidden="1" customHeight="1" x14ac:dyDescent="0.2">
      <c r="A65" s="149" t="s">
        <v>253</v>
      </c>
      <c r="B65" s="150" t="s">
        <v>23</v>
      </c>
      <c r="C65" s="151">
        <v>66772</v>
      </c>
      <c r="D65" s="152" t="s">
        <v>34</v>
      </c>
      <c r="E65" s="157" t="s">
        <v>35</v>
      </c>
      <c r="F65" s="151"/>
      <c r="G65" s="154" t="s">
        <v>77</v>
      </c>
      <c r="H65" s="151"/>
      <c r="I65" s="151"/>
      <c r="J65" s="151"/>
      <c r="K65" s="151">
        <v>4000</v>
      </c>
      <c r="L65" s="151">
        <f t="shared" ref="L65:L66" si="45">K65</f>
        <v>4000</v>
      </c>
      <c r="M65" s="155" t="s">
        <v>179</v>
      </c>
    </row>
    <row r="66" spans="1:13" ht="13.5" hidden="1" customHeight="1" x14ac:dyDescent="0.2">
      <c r="A66" s="149" t="s">
        <v>253</v>
      </c>
      <c r="B66" s="150" t="s">
        <v>23</v>
      </c>
      <c r="C66" s="151">
        <v>66772</v>
      </c>
      <c r="D66" s="152" t="s">
        <v>34</v>
      </c>
      <c r="E66" s="161" t="s">
        <v>39</v>
      </c>
      <c r="F66" s="151"/>
      <c r="G66" s="154" t="s">
        <v>36</v>
      </c>
      <c r="H66" s="151"/>
      <c r="I66" s="151"/>
      <c r="J66" s="151"/>
      <c r="K66" s="151">
        <v>4000</v>
      </c>
      <c r="L66" s="151">
        <f t="shared" si="45"/>
        <v>4000</v>
      </c>
      <c r="M66" s="155" t="s">
        <v>26</v>
      </c>
    </row>
    <row r="67" spans="1:13" ht="13.5" hidden="1" customHeight="1" x14ac:dyDescent="0.2">
      <c r="A67" s="149" t="s">
        <v>253</v>
      </c>
      <c r="B67" s="150" t="s">
        <v>23</v>
      </c>
      <c r="C67" s="151">
        <v>66772</v>
      </c>
      <c r="D67" s="152" t="s">
        <v>34</v>
      </c>
      <c r="E67" s="153" t="s">
        <v>30</v>
      </c>
      <c r="F67" s="151"/>
      <c r="G67" s="154" t="s">
        <v>78</v>
      </c>
      <c r="H67" s="151"/>
      <c r="I67" s="151"/>
      <c r="J67" s="151"/>
      <c r="K67" s="151">
        <v>4000</v>
      </c>
      <c r="L67" s="151">
        <f>K67</f>
        <v>4000</v>
      </c>
      <c r="M67" s="155" t="s">
        <v>180</v>
      </c>
    </row>
    <row r="68" spans="1:13" ht="13.5" hidden="1" customHeight="1" x14ac:dyDescent="0.2">
      <c r="A68" s="149" t="s">
        <v>253</v>
      </c>
      <c r="B68" s="150" t="s">
        <v>23</v>
      </c>
      <c r="C68" s="151">
        <v>65548</v>
      </c>
      <c r="D68" s="156" t="s">
        <v>24</v>
      </c>
      <c r="E68" s="157" t="s">
        <v>25</v>
      </c>
      <c r="F68" s="151"/>
      <c r="G68" s="154"/>
      <c r="H68" s="151"/>
      <c r="I68" s="151"/>
      <c r="J68" s="151"/>
      <c r="K68" s="151">
        <v>900</v>
      </c>
      <c r="L68" s="151">
        <f t="shared" ref="L68:L69" si="46">K68</f>
        <v>900</v>
      </c>
      <c r="M68" s="155" t="s">
        <v>179</v>
      </c>
    </row>
    <row r="69" spans="1:13" ht="13.5" hidden="1" customHeight="1" x14ac:dyDescent="0.2">
      <c r="A69" s="149" t="s">
        <v>253</v>
      </c>
      <c r="B69" s="150" t="s">
        <v>23</v>
      </c>
      <c r="C69" s="151">
        <v>65548</v>
      </c>
      <c r="D69" s="156" t="s">
        <v>24</v>
      </c>
      <c r="E69" s="157" t="s">
        <v>30</v>
      </c>
      <c r="F69" s="151"/>
      <c r="G69" s="154"/>
      <c r="H69" s="151"/>
      <c r="I69" s="151"/>
      <c r="J69" s="151"/>
      <c r="K69" s="151">
        <v>600</v>
      </c>
      <c r="L69" s="151">
        <f t="shared" si="46"/>
        <v>600</v>
      </c>
      <c r="M69" s="155" t="s">
        <v>180</v>
      </c>
    </row>
    <row r="70" spans="1:13" ht="13.5" hidden="1" customHeight="1" x14ac:dyDescent="0.2">
      <c r="A70" s="149" t="s">
        <v>253</v>
      </c>
      <c r="B70" s="152" t="s">
        <v>14</v>
      </c>
      <c r="C70" s="151">
        <v>7479</v>
      </c>
      <c r="D70" s="152" t="s">
        <v>20</v>
      </c>
      <c r="E70" s="152" t="s">
        <v>21</v>
      </c>
      <c r="F70" s="151">
        <v>108</v>
      </c>
      <c r="G70" s="151">
        <v>0.15</v>
      </c>
      <c r="H70" s="151">
        <f>G70*F70</f>
        <v>16.2</v>
      </c>
      <c r="I70" s="151">
        <v>80</v>
      </c>
      <c r="J70" s="151">
        <v>1</v>
      </c>
      <c r="K70" s="151">
        <f>F70*I70</f>
        <v>8640</v>
      </c>
      <c r="L70" s="151">
        <f>K70*J70</f>
        <v>8640</v>
      </c>
      <c r="M70" s="155" t="s">
        <v>22</v>
      </c>
    </row>
    <row r="71" spans="1:13" ht="13.5" hidden="1" customHeight="1" x14ac:dyDescent="0.2">
      <c r="A71" s="149" t="s">
        <v>253</v>
      </c>
      <c r="B71" s="152" t="s">
        <v>14</v>
      </c>
      <c r="C71" s="151">
        <v>7479</v>
      </c>
      <c r="D71" s="152" t="s">
        <v>20</v>
      </c>
      <c r="E71" s="152" t="s">
        <v>25</v>
      </c>
      <c r="F71" s="151"/>
      <c r="G71" s="151"/>
      <c r="H71" s="151"/>
      <c r="I71" s="151"/>
      <c r="J71" s="151">
        <v>1</v>
      </c>
      <c r="K71" s="151">
        <v>2500</v>
      </c>
      <c r="L71" s="151">
        <f t="shared" ref="L71:L75" si="47">K71</f>
        <v>2500</v>
      </c>
      <c r="M71" s="155" t="s">
        <v>37</v>
      </c>
    </row>
    <row r="72" spans="1:13" ht="13.5" hidden="1" customHeight="1" x14ac:dyDescent="0.2">
      <c r="A72" s="149" t="s">
        <v>253</v>
      </c>
      <c r="B72" s="152" t="s">
        <v>14</v>
      </c>
      <c r="C72" s="151">
        <v>2576</v>
      </c>
      <c r="D72" s="152" t="s">
        <v>90</v>
      </c>
      <c r="E72" s="152" t="s">
        <v>25</v>
      </c>
      <c r="F72" s="151"/>
      <c r="G72" s="151"/>
      <c r="H72" s="151"/>
      <c r="I72" s="151"/>
      <c r="J72" s="151"/>
      <c r="K72" s="151">
        <v>1170</v>
      </c>
      <c r="L72" s="151">
        <f t="shared" si="47"/>
        <v>1170</v>
      </c>
      <c r="M72" s="155" t="s">
        <v>31</v>
      </c>
    </row>
    <row r="73" spans="1:13" ht="13.5" hidden="1" customHeight="1" x14ac:dyDescent="0.2">
      <c r="A73" s="149" t="s">
        <v>253</v>
      </c>
      <c r="B73" s="152" t="s">
        <v>14</v>
      </c>
      <c r="C73" s="151">
        <v>6871</v>
      </c>
      <c r="D73" s="152" t="s">
        <v>16</v>
      </c>
      <c r="E73" s="152" t="s">
        <v>17</v>
      </c>
      <c r="F73" s="151">
        <v>71</v>
      </c>
      <c r="G73" s="151">
        <v>0.64</v>
      </c>
      <c r="H73" s="151">
        <f>G73*F73</f>
        <v>45.44</v>
      </c>
      <c r="I73" s="151">
        <v>70</v>
      </c>
      <c r="J73" s="151">
        <v>2</v>
      </c>
      <c r="K73" s="151">
        <f t="shared" ref="K73" si="48">F73*I73</f>
        <v>4970</v>
      </c>
      <c r="L73" s="151">
        <f t="shared" ref="L73" si="49">K73*J73</f>
        <v>9940</v>
      </c>
      <c r="M73" s="155" t="s">
        <v>22</v>
      </c>
    </row>
    <row r="74" spans="1:13" ht="13.5" hidden="1" customHeight="1" x14ac:dyDescent="0.2">
      <c r="A74" s="149" t="s">
        <v>253</v>
      </c>
      <c r="B74" s="152" t="s">
        <v>14</v>
      </c>
      <c r="C74" s="151">
        <v>8283</v>
      </c>
      <c r="D74" s="152" t="s">
        <v>84</v>
      </c>
      <c r="E74" s="152" t="s">
        <v>25</v>
      </c>
      <c r="F74" s="151"/>
      <c r="G74" s="151"/>
      <c r="H74" s="151"/>
      <c r="I74" s="151"/>
      <c r="J74" s="151"/>
      <c r="K74" s="151">
        <v>1900</v>
      </c>
      <c r="L74" s="151">
        <f t="shared" si="47"/>
        <v>1900</v>
      </c>
      <c r="M74" s="155" t="s">
        <v>179</v>
      </c>
    </row>
    <row r="75" spans="1:13" ht="13.5" hidden="1" customHeight="1" x14ac:dyDescent="0.2">
      <c r="A75" s="149" t="s">
        <v>254</v>
      </c>
      <c r="B75" s="152" t="s">
        <v>14</v>
      </c>
      <c r="C75" s="151">
        <v>8283</v>
      </c>
      <c r="D75" s="152" t="s">
        <v>84</v>
      </c>
      <c r="E75" s="152" t="s">
        <v>25</v>
      </c>
      <c r="F75" s="151"/>
      <c r="G75" s="151"/>
      <c r="H75" s="151"/>
      <c r="I75" s="151"/>
      <c r="J75" s="151"/>
      <c r="K75" s="151">
        <v>2335</v>
      </c>
      <c r="L75" s="151">
        <f t="shared" si="47"/>
        <v>2335</v>
      </c>
      <c r="M75" s="155" t="s">
        <v>179</v>
      </c>
    </row>
    <row r="76" spans="1:13" ht="13.5" hidden="1" customHeight="1" x14ac:dyDescent="0.2">
      <c r="A76" s="149" t="s">
        <v>254</v>
      </c>
      <c r="B76" s="150" t="s">
        <v>23</v>
      </c>
      <c r="C76" s="151">
        <v>65548</v>
      </c>
      <c r="D76" s="156" t="s">
        <v>24</v>
      </c>
      <c r="E76" s="157" t="s">
        <v>25</v>
      </c>
      <c r="F76" s="151"/>
      <c r="G76" s="154"/>
      <c r="H76" s="151"/>
      <c r="I76" s="151"/>
      <c r="J76" s="151"/>
      <c r="K76" s="151">
        <v>6800</v>
      </c>
      <c r="L76" s="151">
        <f t="shared" ref="L76:L77" si="50">K76</f>
        <v>6800</v>
      </c>
      <c r="M76" s="155" t="s">
        <v>179</v>
      </c>
    </row>
    <row r="77" spans="1:13" ht="13.5" hidden="1" customHeight="1" x14ac:dyDescent="0.2">
      <c r="A77" s="149" t="s">
        <v>254</v>
      </c>
      <c r="B77" s="150" t="s">
        <v>23</v>
      </c>
      <c r="C77" s="151">
        <v>65548</v>
      </c>
      <c r="D77" s="156" t="s">
        <v>24</v>
      </c>
      <c r="E77" s="157" t="s">
        <v>30</v>
      </c>
      <c r="F77" s="151"/>
      <c r="G77" s="154"/>
      <c r="H77" s="151"/>
      <c r="I77" s="151"/>
      <c r="J77" s="151"/>
      <c r="K77" s="151">
        <v>6500</v>
      </c>
      <c r="L77" s="151">
        <f t="shared" si="50"/>
        <v>6500</v>
      </c>
      <c r="M77" s="155" t="s">
        <v>180</v>
      </c>
    </row>
    <row r="78" spans="1:13" ht="13.5" hidden="1" customHeight="1" x14ac:dyDescent="0.2">
      <c r="A78" s="149" t="s">
        <v>254</v>
      </c>
      <c r="B78" s="152" t="s">
        <v>14</v>
      </c>
      <c r="C78" s="151">
        <v>7479</v>
      </c>
      <c r="D78" s="152" t="s">
        <v>20</v>
      </c>
      <c r="E78" s="152" t="s">
        <v>21</v>
      </c>
      <c r="F78" s="151">
        <v>78</v>
      </c>
      <c r="G78" s="151">
        <v>0.15</v>
      </c>
      <c r="H78" s="151">
        <f>G78*F78</f>
        <v>11.7</v>
      </c>
      <c r="I78" s="151">
        <v>80</v>
      </c>
      <c r="J78" s="151">
        <v>1</v>
      </c>
      <c r="K78" s="151">
        <f>F78*I78</f>
        <v>6240</v>
      </c>
      <c r="L78" s="151">
        <f>K78*J78</f>
        <v>6240</v>
      </c>
      <c r="M78" s="155" t="s">
        <v>22</v>
      </c>
    </row>
    <row r="79" spans="1:13" ht="13.5" hidden="1" customHeight="1" x14ac:dyDescent="0.2">
      <c r="A79" s="149" t="s">
        <v>254</v>
      </c>
      <c r="B79" s="152" t="s">
        <v>14</v>
      </c>
      <c r="C79" s="151">
        <v>7479</v>
      </c>
      <c r="D79" s="152" t="s">
        <v>20</v>
      </c>
      <c r="E79" s="152" t="s">
        <v>25</v>
      </c>
      <c r="F79" s="151"/>
      <c r="G79" s="151"/>
      <c r="H79" s="151"/>
      <c r="I79" s="151"/>
      <c r="J79" s="151">
        <v>1</v>
      </c>
      <c r="K79" s="151">
        <v>4300</v>
      </c>
      <c r="L79" s="151">
        <f t="shared" ref="L79" si="51">K79</f>
        <v>4300</v>
      </c>
      <c r="M79" s="155" t="s">
        <v>37</v>
      </c>
    </row>
    <row r="80" spans="1:13" ht="13.5" hidden="1" customHeight="1" x14ac:dyDescent="0.2">
      <c r="A80" s="149" t="s">
        <v>254</v>
      </c>
      <c r="B80" s="152" t="s">
        <v>14</v>
      </c>
      <c r="C80" s="151">
        <v>6380</v>
      </c>
      <c r="D80" s="152" t="s">
        <v>16</v>
      </c>
      <c r="E80" s="152" t="s">
        <v>17</v>
      </c>
      <c r="F80" s="151">
        <v>100</v>
      </c>
      <c r="G80" s="151">
        <v>0.42499999999999999</v>
      </c>
      <c r="H80" s="151">
        <f t="shared" ref="H80:H81" si="52">F80*G80</f>
        <v>42.5</v>
      </c>
      <c r="I80" s="151">
        <v>56</v>
      </c>
      <c r="J80" s="151">
        <v>4</v>
      </c>
      <c r="K80" s="151">
        <f t="shared" ref="K80:K81" si="53">F80*I80</f>
        <v>5600</v>
      </c>
      <c r="L80" s="151">
        <f t="shared" ref="L80" si="54">K80*J80</f>
        <v>22400</v>
      </c>
      <c r="M80" s="155" t="s">
        <v>18</v>
      </c>
    </row>
    <row r="81" spans="1:13" ht="13.5" hidden="1" customHeight="1" x14ac:dyDescent="0.2">
      <c r="A81" s="149" t="s">
        <v>254</v>
      </c>
      <c r="B81" s="152" t="s">
        <v>14</v>
      </c>
      <c r="C81" s="151">
        <v>5036</v>
      </c>
      <c r="D81" s="152" t="s">
        <v>16</v>
      </c>
      <c r="E81" s="152" t="s">
        <v>17</v>
      </c>
      <c r="F81" s="151">
        <v>65</v>
      </c>
      <c r="G81" s="151">
        <v>0.32500000000000001</v>
      </c>
      <c r="H81" s="151">
        <f t="shared" si="52"/>
        <v>21.125</v>
      </c>
      <c r="I81" s="151">
        <v>62</v>
      </c>
      <c r="J81" s="151">
        <v>4</v>
      </c>
      <c r="K81" s="151">
        <f t="shared" si="53"/>
        <v>4030</v>
      </c>
      <c r="L81" s="151">
        <f>K81*J81</f>
        <v>16120</v>
      </c>
      <c r="M81" s="155" t="s">
        <v>22</v>
      </c>
    </row>
    <row r="82" spans="1:13" ht="13.5" hidden="1" customHeight="1" x14ac:dyDescent="0.2">
      <c r="A82" s="149" t="s">
        <v>256</v>
      </c>
      <c r="B82" s="152" t="s">
        <v>14</v>
      </c>
      <c r="C82" s="151">
        <v>7479</v>
      </c>
      <c r="D82" s="152" t="s">
        <v>20</v>
      </c>
      <c r="E82" s="152" t="s">
        <v>21</v>
      </c>
      <c r="F82" s="151">
        <v>129</v>
      </c>
      <c r="G82" s="151">
        <v>0.15</v>
      </c>
      <c r="H82" s="151">
        <f>G82*F82</f>
        <v>19.349999999999998</v>
      </c>
      <c r="I82" s="151">
        <v>80</v>
      </c>
      <c r="J82" s="151">
        <v>1</v>
      </c>
      <c r="K82" s="151">
        <f>F82*I82</f>
        <v>10320</v>
      </c>
      <c r="L82" s="151">
        <f>K82*J82</f>
        <v>10320</v>
      </c>
      <c r="M82" s="155" t="s">
        <v>22</v>
      </c>
    </row>
    <row r="83" spans="1:13" ht="13.5" hidden="1" customHeight="1" x14ac:dyDescent="0.2">
      <c r="A83" s="149" t="s">
        <v>256</v>
      </c>
      <c r="B83" s="152" t="s">
        <v>14</v>
      </c>
      <c r="C83" s="151">
        <v>7479</v>
      </c>
      <c r="D83" s="152" t="s">
        <v>20</v>
      </c>
      <c r="E83" s="152" t="s">
        <v>25</v>
      </c>
      <c r="F83" s="151"/>
      <c r="G83" s="151"/>
      <c r="H83" s="151"/>
      <c r="I83" s="151"/>
      <c r="J83" s="151">
        <v>1</v>
      </c>
      <c r="K83" s="151">
        <v>6500</v>
      </c>
      <c r="L83" s="151">
        <f t="shared" ref="L83:L84" si="55">K83</f>
        <v>6500</v>
      </c>
      <c r="M83" s="155" t="s">
        <v>37</v>
      </c>
    </row>
    <row r="84" spans="1:13" ht="13.5" hidden="1" customHeight="1" x14ac:dyDescent="0.2">
      <c r="A84" s="149" t="s">
        <v>256</v>
      </c>
      <c r="B84" s="152" t="s">
        <v>14</v>
      </c>
      <c r="C84" s="151">
        <v>8283</v>
      </c>
      <c r="D84" s="152" t="s">
        <v>84</v>
      </c>
      <c r="E84" s="152" t="s">
        <v>25</v>
      </c>
      <c r="F84" s="151"/>
      <c r="G84" s="151"/>
      <c r="H84" s="151"/>
      <c r="I84" s="151"/>
      <c r="J84" s="151"/>
      <c r="K84" s="151">
        <v>4000</v>
      </c>
      <c r="L84" s="151">
        <f t="shared" si="55"/>
        <v>4000</v>
      </c>
      <c r="M84" s="155" t="s">
        <v>179</v>
      </c>
    </row>
    <row r="85" spans="1:13" ht="13.5" hidden="1" customHeight="1" x14ac:dyDescent="0.2">
      <c r="A85" s="149" t="s">
        <v>256</v>
      </c>
      <c r="B85" s="152" t="s">
        <v>14</v>
      </c>
      <c r="C85" s="151">
        <v>5036</v>
      </c>
      <c r="D85" s="152" t="s">
        <v>16</v>
      </c>
      <c r="E85" s="152" t="s">
        <v>17</v>
      </c>
      <c r="F85" s="151">
        <v>109</v>
      </c>
      <c r="G85" s="151">
        <v>0.32500000000000001</v>
      </c>
      <c r="H85" s="151">
        <f t="shared" ref="H85" si="56">F85*G85</f>
        <v>35.425000000000004</v>
      </c>
      <c r="I85" s="151">
        <v>62</v>
      </c>
      <c r="J85" s="151">
        <v>4</v>
      </c>
      <c r="K85" s="151">
        <f t="shared" ref="K85" si="57">F85*I85</f>
        <v>6758</v>
      </c>
      <c r="L85" s="151">
        <f>K85*J85</f>
        <v>27032</v>
      </c>
      <c r="M85" s="155" t="s">
        <v>22</v>
      </c>
    </row>
    <row r="86" spans="1:13" ht="13.5" hidden="1" customHeight="1" x14ac:dyDescent="0.2">
      <c r="A86" s="149" t="s">
        <v>256</v>
      </c>
      <c r="B86" s="150" t="s">
        <v>23</v>
      </c>
      <c r="C86" s="151">
        <v>65548</v>
      </c>
      <c r="D86" s="156" t="s">
        <v>24</v>
      </c>
      <c r="E86" s="157" t="s">
        <v>25</v>
      </c>
      <c r="F86" s="151"/>
      <c r="G86" s="154"/>
      <c r="H86" s="151"/>
      <c r="I86" s="151"/>
      <c r="J86" s="151"/>
      <c r="K86" s="151">
        <v>2200</v>
      </c>
      <c r="L86" s="151">
        <f t="shared" ref="L86:L87" si="58">K86</f>
        <v>2200</v>
      </c>
      <c r="M86" s="155" t="s">
        <v>179</v>
      </c>
    </row>
    <row r="87" spans="1:13" ht="13.5" hidden="1" customHeight="1" x14ac:dyDescent="0.2">
      <c r="A87" s="149" t="s">
        <v>256</v>
      </c>
      <c r="B87" s="150" t="s">
        <v>23</v>
      </c>
      <c r="C87" s="151">
        <v>65548</v>
      </c>
      <c r="D87" s="156" t="s">
        <v>24</v>
      </c>
      <c r="E87" s="157" t="s">
        <v>30</v>
      </c>
      <c r="F87" s="151"/>
      <c r="G87" s="154"/>
      <c r="H87" s="151"/>
      <c r="I87" s="151"/>
      <c r="J87" s="151"/>
      <c r="K87" s="151">
        <v>2500</v>
      </c>
      <c r="L87" s="151">
        <f t="shared" si="58"/>
        <v>2500</v>
      </c>
      <c r="M87" s="155" t="s">
        <v>180</v>
      </c>
    </row>
    <row r="88" spans="1:13" ht="13.5" hidden="1" customHeight="1" x14ac:dyDescent="0.2">
      <c r="A88" s="149" t="s">
        <v>256</v>
      </c>
      <c r="B88" s="160" t="s">
        <v>44</v>
      </c>
      <c r="C88" s="152" t="s">
        <v>45</v>
      </c>
      <c r="D88" s="152" t="s">
        <v>46</v>
      </c>
      <c r="E88" s="152" t="s">
        <v>21</v>
      </c>
      <c r="F88" s="152">
        <v>97</v>
      </c>
      <c r="G88" s="152">
        <v>0.46</v>
      </c>
      <c r="H88" s="152">
        <f t="shared" ref="H88" si="59">F88*G88</f>
        <v>44.620000000000005</v>
      </c>
      <c r="I88" s="152">
        <v>22</v>
      </c>
      <c r="J88" s="152">
        <v>2</v>
      </c>
      <c r="K88" s="152">
        <f t="shared" ref="K88" si="60">F88*I88</f>
        <v>2134</v>
      </c>
      <c r="L88" s="152">
        <f t="shared" ref="L88" si="61">K88*J88</f>
        <v>4268</v>
      </c>
      <c r="M88" s="159" t="s">
        <v>22</v>
      </c>
    </row>
    <row r="89" spans="1:13" ht="13.5" hidden="1" customHeight="1" x14ac:dyDescent="0.2">
      <c r="A89" s="149" t="s">
        <v>255</v>
      </c>
      <c r="B89" s="152" t="s">
        <v>14</v>
      </c>
      <c r="C89" s="151">
        <v>7479</v>
      </c>
      <c r="D89" s="152" t="s">
        <v>20</v>
      </c>
      <c r="E89" s="152" t="s">
        <v>21</v>
      </c>
      <c r="F89" s="151">
        <v>195</v>
      </c>
      <c r="G89" s="151">
        <v>0.15</v>
      </c>
      <c r="H89" s="151">
        <f>G89*F89</f>
        <v>29.25</v>
      </c>
      <c r="I89" s="151">
        <v>80</v>
      </c>
      <c r="J89" s="151">
        <v>1</v>
      </c>
      <c r="K89" s="151">
        <f>F89*I89</f>
        <v>15600</v>
      </c>
      <c r="L89" s="151">
        <f>K89*J89</f>
        <v>15600</v>
      </c>
      <c r="M89" s="155" t="s">
        <v>22</v>
      </c>
    </row>
    <row r="90" spans="1:13" ht="13.5" hidden="1" customHeight="1" x14ac:dyDescent="0.2">
      <c r="A90" s="149" t="s">
        <v>255</v>
      </c>
      <c r="B90" s="152" t="s">
        <v>14</v>
      </c>
      <c r="C90" s="151">
        <v>7479</v>
      </c>
      <c r="D90" s="152" t="s">
        <v>20</v>
      </c>
      <c r="E90" s="152" t="s">
        <v>25</v>
      </c>
      <c r="F90" s="151"/>
      <c r="G90" s="151"/>
      <c r="H90" s="151"/>
      <c r="I90" s="151"/>
      <c r="J90" s="151">
        <v>1</v>
      </c>
      <c r="K90" s="151">
        <v>5500</v>
      </c>
      <c r="L90" s="151">
        <f t="shared" ref="L90:L93" si="62">K90</f>
        <v>5500</v>
      </c>
      <c r="M90" s="155" t="s">
        <v>37</v>
      </c>
    </row>
    <row r="91" spans="1:13" ht="13.5" hidden="1" customHeight="1" x14ac:dyDescent="0.2">
      <c r="A91" s="149" t="s">
        <v>255</v>
      </c>
      <c r="B91" s="152" t="s">
        <v>14</v>
      </c>
      <c r="C91" s="151">
        <v>5036</v>
      </c>
      <c r="D91" s="152" t="s">
        <v>16</v>
      </c>
      <c r="E91" s="152" t="s">
        <v>17</v>
      </c>
      <c r="F91" s="151">
        <v>110</v>
      </c>
      <c r="G91" s="151">
        <v>0.32500000000000001</v>
      </c>
      <c r="H91" s="151">
        <f t="shared" ref="H91" si="63">F91*G91</f>
        <v>35.75</v>
      </c>
      <c r="I91" s="151">
        <v>62</v>
      </c>
      <c r="J91" s="151">
        <v>4</v>
      </c>
      <c r="K91" s="151">
        <f t="shared" ref="K91" si="64">F91*I91</f>
        <v>6820</v>
      </c>
      <c r="L91" s="151">
        <f>K91*J91</f>
        <v>27280</v>
      </c>
      <c r="M91" s="155" t="s">
        <v>22</v>
      </c>
    </row>
    <row r="92" spans="1:13" ht="13.5" hidden="1" customHeight="1" x14ac:dyDescent="0.2">
      <c r="A92" s="149" t="s">
        <v>255</v>
      </c>
      <c r="B92" s="152" t="s">
        <v>14</v>
      </c>
      <c r="C92" s="151">
        <v>8283</v>
      </c>
      <c r="D92" s="152" t="s">
        <v>84</v>
      </c>
      <c r="E92" s="152" t="s">
        <v>25</v>
      </c>
      <c r="F92" s="151"/>
      <c r="G92" s="151"/>
      <c r="H92" s="151"/>
      <c r="I92" s="151"/>
      <c r="J92" s="151"/>
      <c r="K92" s="151">
        <v>5006</v>
      </c>
      <c r="L92" s="151">
        <f t="shared" si="62"/>
        <v>5006</v>
      </c>
      <c r="M92" s="155" t="s">
        <v>179</v>
      </c>
    </row>
    <row r="93" spans="1:13" ht="13.5" hidden="1" customHeight="1" x14ac:dyDescent="0.2">
      <c r="A93" s="149" t="s">
        <v>255</v>
      </c>
      <c r="B93" s="150" t="s">
        <v>23</v>
      </c>
      <c r="C93" s="151">
        <v>66772</v>
      </c>
      <c r="D93" s="152" t="s">
        <v>34</v>
      </c>
      <c r="E93" s="157" t="s">
        <v>35</v>
      </c>
      <c r="F93" s="151"/>
      <c r="G93" s="154" t="s">
        <v>77</v>
      </c>
      <c r="H93" s="151"/>
      <c r="I93" s="151"/>
      <c r="J93" s="151"/>
      <c r="K93" s="151">
        <v>3850</v>
      </c>
      <c r="L93" s="151">
        <f t="shared" si="62"/>
        <v>3850</v>
      </c>
      <c r="M93" s="155" t="s">
        <v>26</v>
      </c>
    </row>
    <row r="94" spans="1:13" ht="13.5" hidden="1" customHeight="1" x14ac:dyDescent="0.2">
      <c r="A94" s="149" t="s">
        <v>257</v>
      </c>
      <c r="B94" s="152" t="s">
        <v>14</v>
      </c>
      <c r="C94" s="151">
        <v>7479</v>
      </c>
      <c r="D94" s="152" t="s">
        <v>20</v>
      </c>
      <c r="E94" s="152" t="s">
        <v>21</v>
      </c>
      <c r="F94" s="151">
        <v>169</v>
      </c>
      <c r="G94" s="151">
        <v>0.15</v>
      </c>
      <c r="H94" s="151">
        <f>G94*F94</f>
        <v>25.349999999999998</v>
      </c>
      <c r="I94" s="151">
        <v>80</v>
      </c>
      <c r="J94" s="151">
        <v>1</v>
      </c>
      <c r="K94" s="151">
        <f>F94*I94</f>
        <v>13520</v>
      </c>
      <c r="L94" s="151">
        <f>K94*J94</f>
        <v>13520</v>
      </c>
      <c r="M94" s="155" t="s">
        <v>22</v>
      </c>
    </row>
    <row r="95" spans="1:13" ht="13.5" hidden="1" customHeight="1" x14ac:dyDescent="0.2">
      <c r="A95" s="149" t="s">
        <v>257</v>
      </c>
      <c r="B95" s="152" t="s">
        <v>14</v>
      </c>
      <c r="C95" s="151">
        <v>7479</v>
      </c>
      <c r="D95" s="152" t="s">
        <v>20</v>
      </c>
      <c r="E95" s="152" t="s">
        <v>25</v>
      </c>
      <c r="F95" s="151"/>
      <c r="G95" s="151"/>
      <c r="H95" s="151"/>
      <c r="I95" s="151"/>
      <c r="J95" s="151">
        <v>1</v>
      </c>
      <c r="K95" s="151">
        <v>5500</v>
      </c>
      <c r="L95" s="151">
        <f t="shared" ref="L95:L97" si="65">K95</f>
        <v>5500</v>
      </c>
      <c r="M95" s="155" t="s">
        <v>37</v>
      </c>
    </row>
    <row r="96" spans="1:13" ht="13.5" hidden="1" customHeight="1" x14ac:dyDescent="0.2">
      <c r="A96" s="149" t="s">
        <v>257</v>
      </c>
      <c r="B96" s="150" t="s">
        <v>23</v>
      </c>
      <c r="C96" s="151">
        <v>66772</v>
      </c>
      <c r="D96" s="152" t="s">
        <v>34</v>
      </c>
      <c r="E96" s="157" t="s">
        <v>35</v>
      </c>
      <c r="F96" s="151"/>
      <c r="G96" s="154" t="s">
        <v>77</v>
      </c>
      <c r="H96" s="151"/>
      <c r="I96" s="151"/>
      <c r="J96" s="151"/>
      <c r="K96" s="151">
        <v>9999</v>
      </c>
      <c r="L96" s="151">
        <f t="shared" si="65"/>
        <v>9999</v>
      </c>
      <c r="M96" s="155" t="s">
        <v>179</v>
      </c>
    </row>
    <row r="97" spans="1:13" ht="13.5" hidden="1" customHeight="1" x14ac:dyDescent="0.2">
      <c r="A97" s="149" t="s">
        <v>257</v>
      </c>
      <c r="B97" s="150" t="s">
        <v>23</v>
      </c>
      <c r="C97" s="151">
        <v>66772</v>
      </c>
      <c r="D97" s="152" t="s">
        <v>34</v>
      </c>
      <c r="E97" s="161" t="s">
        <v>39</v>
      </c>
      <c r="F97" s="151"/>
      <c r="G97" s="154" t="s">
        <v>36</v>
      </c>
      <c r="H97" s="151"/>
      <c r="I97" s="151"/>
      <c r="J97" s="151"/>
      <c r="K97" s="151">
        <v>7250</v>
      </c>
      <c r="L97" s="151">
        <f t="shared" si="65"/>
        <v>7250</v>
      </c>
      <c r="M97" s="155" t="s">
        <v>26</v>
      </c>
    </row>
    <row r="98" spans="1:13" ht="13.5" hidden="1" customHeight="1" x14ac:dyDescent="0.2">
      <c r="A98" s="149" t="s">
        <v>257</v>
      </c>
      <c r="B98" s="150" t="s">
        <v>23</v>
      </c>
      <c r="C98" s="151">
        <v>66772</v>
      </c>
      <c r="D98" s="152" t="s">
        <v>34</v>
      </c>
      <c r="E98" s="153" t="s">
        <v>30</v>
      </c>
      <c r="F98" s="151"/>
      <c r="G98" s="154" t="s">
        <v>78</v>
      </c>
      <c r="H98" s="151"/>
      <c r="I98" s="151"/>
      <c r="J98" s="151"/>
      <c r="K98" s="151">
        <v>7250</v>
      </c>
      <c r="L98" s="151">
        <f>K98</f>
        <v>7250</v>
      </c>
      <c r="M98" s="155" t="s">
        <v>180</v>
      </c>
    </row>
    <row r="99" spans="1:13" ht="13.5" hidden="1" customHeight="1" x14ac:dyDescent="0.2">
      <c r="A99" s="149" t="s">
        <v>257</v>
      </c>
      <c r="B99" s="160" t="s">
        <v>44</v>
      </c>
      <c r="C99" s="152" t="s">
        <v>45</v>
      </c>
      <c r="D99" s="152" t="s">
        <v>46</v>
      </c>
      <c r="E99" s="152" t="s">
        <v>25</v>
      </c>
      <c r="F99" s="152"/>
      <c r="G99" s="152"/>
      <c r="H99" s="152"/>
      <c r="I99" s="152"/>
      <c r="J99" s="152"/>
      <c r="K99" s="152">
        <v>1500</v>
      </c>
      <c r="L99" s="152">
        <f t="shared" ref="L99:L100" si="66">K99</f>
        <v>1500</v>
      </c>
      <c r="M99" s="159" t="s">
        <v>48</v>
      </c>
    </row>
    <row r="100" spans="1:13" ht="13.5" hidden="1" customHeight="1" x14ac:dyDescent="0.2">
      <c r="A100" s="149" t="s">
        <v>257</v>
      </c>
      <c r="B100" s="152" t="s">
        <v>14</v>
      </c>
      <c r="C100" s="151">
        <v>8283</v>
      </c>
      <c r="D100" s="152" t="s">
        <v>84</v>
      </c>
      <c r="E100" s="152" t="s">
        <v>25</v>
      </c>
      <c r="F100" s="151"/>
      <c r="G100" s="151"/>
      <c r="H100" s="151"/>
      <c r="I100" s="151"/>
      <c r="J100" s="151"/>
      <c r="K100" s="151">
        <v>3400</v>
      </c>
      <c r="L100" s="151">
        <f t="shared" si="66"/>
        <v>3400</v>
      </c>
      <c r="M100" s="155" t="s">
        <v>179</v>
      </c>
    </row>
    <row r="101" spans="1:13" ht="13.5" hidden="1" customHeight="1" x14ac:dyDescent="0.2">
      <c r="A101" s="149" t="s">
        <v>257</v>
      </c>
      <c r="B101" s="152" t="s">
        <v>14</v>
      </c>
      <c r="C101" s="151">
        <v>2576</v>
      </c>
      <c r="D101" s="152" t="s">
        <v>84</v>
      </c>
      <c r="E101" s="152" t="s">
        <v>17</v>
      </c>
      <c r="F101" s="151">
        <v>64</v>
      </c>
      <c r="G101" s="151">
        <v>0.1</v>
      </c>
      <c r="H101" s="151">
        <v>18.100000000000001</v>
      </c>
      <c r="I101" s="151">
        <v>17</v>
      </c>
      <c r="J101" s="151">
        <v>1</v>
      </c>
      <c r="K101" s="151">
        <f>F101*I101</f>
        <v>1088</v>
      </c>
      <c r="L101" s="151">
        <f>K101*J101</f>
        <v>1088</v>
      </c>
      <c r="M101" s="155" t="s">
        <v>22</v>
      </c>
    </row>
    <row r="102" spans="1:13" ht="13.5" hidden="1" customHeight="1" x14ac:dyDescent="0.2">
      <c r="A102" s="149" t="s">
        <v>257</v>
      </c>
      <c r="B102" s="152" t="s">
        <v>14</v>
      </c>
      <c r="C102" s="151">
        <v>2576</v>
      </c>
      <c r="D102" s="152" t="s">
        <v>90</v>
      </c>
      <c r="E102" s="152" t="s">
        <v>25</v>
      </c>
      <c r="F102" s="151"/>
      <c r="G102" s="151"/>
      <c r="H102" s="151"/>
      <c r="I102" s="151"/>
      <c r="J102" s="151"/>
      <c r="K102" s="151">
        <v>770</v>
      </c>
      <c r="L102" s="151">
        <f t="shared" ref="L102" si="67">K102</f>
        <v>770</v>
      </c>
      <c r="M102" s="155" t="s">
        <v>31</v>
      </c>
    </row>
    <row r="103" spans="1:13" ht="13.5" hidden="1" customHeight="1" x14ac:dyDescent="0.2">
      <c r="A103" s="149" t="s">
        <v>258</v>
      </c>
      <c r="B103" s="152" t="s">
        <v>14</v>
      </c>
      <c r="C103" s="151">
        <v>7479</v>
      </c>
      <c r="D103" s="152" t="s">
        <v>20</v>
      </c>
      <c r="E103" s="152" t="s">
        <v>21</v>
      </c>
      <c r="F103" s="151">
        <v>38</v>
      </c>
      <c r="G103" s="151">
        <v>0.15</v>
      </c>
      <c r="H103" s="151">
        <f>G103*F103</f>
        <v>5.7</v>
      </c>
      <c r="I103" s="151">
        <v>80</v>
      </c>
      <c r="J103" s="151">
        <v>1</v>
      </c>
      <c r="K103" s="151">
        <f>F103*I103</f>
        <v>3040</v>
      </c>
      <c r="L103" s="151">
        <f>K103*J103</f>
        <v>3040</v>
      </c>
      <c r="M103" s="155" t="s">
        <v>22</v>
      </c>
    </row>
    <row r="104" spans="1:13" ht="13.5" hidden="1" customHeight="1" x14ac:dyDescent="0.2">
      <c r="A104" s="149" t="s">
        <v>258</v>
      </c>
      <c r="B104" s="152" t="s">
        <v>14</v>
      </c>
      <c r="C104" s="151">
        <v>2576</v>
      </c>
      <c r="D104" s="152" t="s">
        <v>84</v>
      </c>
      <c r="E104" s="152" t="s">
        <v>17</v>
      </c>
      <c r="F104" s="151">
        <v>292</v>
      </c>
      <c r="G104" s="151">
        <v>0.1</v>
      </c>
      <c r="H104" s="151">
        <v>18.100000000000001</v>
      </c>
      <c r="I104" s="151">
        <v>17</v>
      </c>
      <c r="J104" s="151">
        <v>1</v>
      </c>
      <c r="K104" s="151">
        <f>F104*I104</f>
        <v>4964</v>
      </c>
      <c r="L104" s="151">
        <f>K104*J104</f>
        <v>4964</v>
      </c>
      <c r="M104" s="155" t="s">
        <v>22</v>
      </c>
    </row>
    <row r="105" spans="1:13" ht="13.5" hidden="1" customHeight="1" x14ac:dyDescent="0.2">
      <c r="A105" s="149" t="s">
        <v>258</v>
      </c>
      <c r="B105" s="152" t="s">
        <v>14</v>
      </c>
      <c r="C105" s="151">
        <v>2576</v>
      </c>
      <c r="D105" s="152" t="s">
        <v>90</v>
      </c>
      <c r="E105" s="152" t="s">
        <v>25</v>
      </c>
      <c r="F105" s="151"/>
      <c r="G105" s="151"/>
      <c r="H105" s="151"/>
      <c r="I105" s="151"/>
      <c r="J105" s="151"/>
      <c r="K105" s="151">
        <v>5500</v>
      </c>
      <c r="L105" s="151">
        <f t="shared" ref="L105:L108" si="68">K105</f>
        <v>5500</v>
      </c>
      <c r="M105" s="155" t="s">
        <v>31</v>
      </c>
    </row>
    <row r="106" spans="1:13" ht="13.5" hidden="1" customHeight="1" x14ac:dyDescent="0.2">
      <c r="A106" s="149" t="s">
        <v>258</v>
      </c>
      <c r="B106" s="152" t="s">
        <v>14</v>
      </c>
      <c r="C106" s="151">
        <v>8283</v>
      </c>
      <c r="D106" s="152" t="s">
        <v>84</v>
      </c>
      <c r="E106" s="152" t="s">
        <v>25</v>
      </c>
      <c r="F106" s="151"/>
      <c r="G106" s="151"/>
      <c r="H106" s="151"/>
      <c r="I106" s="151"/>
      <c r="J106" s="151"/>
      <c r="K106" s="151">
        <v>4000</v>
      </c>
      <c r="L106" s="151">
        <f t="shared" si="68"/>
        <v>4000</v>
      </c>
      <c r="M106" s="155" t="s">
        <v>179</v>
      </c>
    </row>
    <row r="107" spans="1:13" ht="13.5" hidden="1" customHeight="1" x14ac:dyDescent="0.2">
      <c r="A107" s="149" t="s">
        <v>258</v>
      </c>
      <c r="B107" s="150" t="s">
        <v>23</v>
      </c>
      <c r="C107" s="151">
        <v>66772</v>
      </c>
      <c r="D107" s="152" t="s">
        <v>34</v>
      </c>
      <c r="E107" s="157" t="s">
        <v>35</v>
      </c>
      <c r="F107" s="151"/>
      <c r="G107" s="154" t="s">
        <v>77</v>
      </c>
      <c r="H107" s="151"/>
      <c r="I107" s="151"/>
      <c r="J107" s="151"/>
      <c r="K107" s="151">
        <v>5000</v>
      </c>
      <c r="L107" s="151">
        <f t="shared" si="68"/>
        <v>5000</v>
      </c>
      <c r="M107" s="155" t="s">
        <v>179</v>
      </c>
    </row>
    <row r="108" spans="1:13" ht="13.5" hidden="1" customHeight="1" x14ac:dyDescent="0.2">
      <c r="A108" s="149" t="s">
        <v>258</v>
      </c>
      <c r="B108" s="150" t="s">
        <v>23</v>
      </c>
      <c r="C108" s="151">
        <v>66772</v>
      </c>
      <c r="D108" s="152" t="s">
        <v>34</v>
      </c>
      <c r="E108" s="161" t="s">
        <v>39</v>
      </c>
      <c r="F108" s="151"/>
      <c r="G108" s="154" t="s">
        <v>36</v>
      </c>
      <c r="H108" s="151"/>
      <c r="I108" s="151"/>
      <c r="J108" s="151"/>
      <c r="K108" s="151">
        <v>4000</v>
      </c>
      <c r="L108" s="151">
        <f t="shared" si="68"/>
        <v>4000</v>
      </c>
      <c r="M108" s="155" t="s">
        <v>26</v>
      </c>
    </row>
    <row r="109" spans="1:13" ht="13.5" hidden="1" customHeight="1" x14ac:dyDescent="0.2">
      <c r="A109" s="149" t="s">
        <v>258</v>
      </c>
      <c r="B109" s="150" t="s">
        <v>23</v>
      </c>
      <c r="C109" s="151">
        <v>66772</v>
      </c>
      <c r="D109" s="152" t="s">
        <v>34</v>
      </c>
      <c r="E109" s="153" t="s">
        <v>30</v>
      </c>
      <c r="F109" s="151"/>
      <c r="G109" s="154" t="s">
        <v>78</v>
      </c>
      <c r="H109" s="151"/>
      <c r="I109" s="151"/>
      <c r="J109" s="151"/>
      <c r="K109" s="151">
        <v>4000</v>
      </c>
      <c r="L109" s="151">
        <f>K109</f>
        <v>4000</v>
      </c>
      <c r="M109" s="155" t="s">
        <v>180</v>
      </c>
    </row>
    <row r="110" spans="1:13" ht="13.5" hidden="1" customHeight="1" x14ac:dyDescent="0.2">
      <c r="A110" s="149" t="s">
        <v>258</v>
      </c>
      <c r="B110" s="152" t="s">
        <v>14</v>
      </c>
      <c r="C110" s="151">
        <v>2576</v>
      </c>
      <c r="D110" s="152" t="s">
        <v>90</v>
      </c>
      <c r="E110" s="152" t="s">
        <v>25</v>
      </c>
      <c r="F110" s="151"/>
      <c r="G110" s="151"/>
      <c r="H110" s="151"/>
      <c r="I110" s="151"/>
      <c r="J110" s="151"/>
      <c r="K110" s="151">
        <v>2900</v>
      </c>
      <c r="L110" s="151">
        <f t="shared" ref="L110:L111" si="69">K110</f>
        <v>2900</v>
      </c>
      <c r="M110" s="155" t="s">
        <v>31</v>
      </c>
    </row>
    <row r="111" spans="1:13" ht="13.5" hidden="1" customHeight="1" x14ac:dyDescent="0.2">
      <c r="A111" s="149" t="s">
        <v>259</v>
      </c>
      <c r="B111" s="150" t="s">
        <v>23</v>
      </c>
      <c r="C111" s="151">
        <v>66772</v>
      </c>
      <c r="D111" s="152" t="s">
        <v>34</v>
      </c>
      <c r="E111" s="161" t="s">
        <v>39</v>
      </c>
      <c r="F111" s="151"/>
      <c r="G111" s="154" t="s">
        <v>36</v>
      </c>
      <c r="H111" s="151"/>
      <c r="I111" s="151"/>
      <c r="J111" s="151"/>
      <c r="K111" s="151">
        <v>1000</v>
      </c>
      <c r="L111" s="151">
        <f t="shared" si="69"/>
        <v>1000</v>
      </c>
      <c r="M111" s="155" t="s">
        <v>26</v>
      </c>
    </row>
    <row r="112" spans="1:13" ht="13.5" hidden="1" customHeight="1" x14ac:dyDescent="0.2">
      <c r="A112" s="149" t="s">
        <v>259</v>
      </c>
      <c r="B112" s="150" t="s">
        <v>23</v>
      </c>
      <c r="C112" s="151">
        <v>66772</v>
      </c>
      <c r="D112" s="152" t="s">
        <v>34</v>
      </c>
      <c r="E112" s="153" t="s">
        <v>30</v>
      </c>
      <c r="F112" s="151"/>
      <c r="G112" s="154" t="s">
        <v>78</v>
      </c>
      <c r="H112" s="151"/>
      <c r="I112" s="151"/>
      <c r="J112" s="151"/>
      <c r="K112" s="151">
        <v>1000</v>
      </c>
      <c r="L112" s="151">
        <f>K112</f>
        <v>1000</v>
      </c>
      <c r="M112" s="155" t="s">
        <v>180</v>
      </c>
    </row>
    <row r="113" spans="1:13" ht="13.5" hidden="1" customHeight="1" x14ac:dyDescent="0.2">
      <c r="A113" s="149" t="s">
        <v>259</v>
      </c>
      <c r="B113" s="150" t="s">
        <v>23</v>
      </c>
      <c r="C113" s="151">
        <v>65548</v>
      </c>
      <c r="D113" s="156" t="s">
        <v>24</v>
      </c>
      <c r="E113" s="157" t="s">
        <v>25</v>
      </c>
      <c r="F113" s="151"/>
      <c r="G113" s="154"/>
      <c r="H113" s="151"/>
      <c r="I113" s="151"/>
      <c r="J113" s="151"/>
      <c r="K113" s="151">
        <v>5000</v>
      </c>
      <c r="L113" s="151">
        <f t="shared" ref="L113:L114" si="70">K113</f>
        <v>5000</v>
      </c>
      <c r="M113" s="155" t="s">
        <v>179</v>
      </c>
    </row>
    <row r="114" spans="1:13" ht="13.5" hidden="1" customHeight="1" x14ac:dyDescent="0.2">
      <c r="A114" s="149" t="s">
        <v>259</v>
      </c>
      <c r="B114" s="150" t="s">
        <v>23</v>
      </c>
      <c r="C114" s="151">
        <v>65548</v>
      </c>
      <c r="D114" s="156" t="s">
        <v>24</v>
      </c>
      <c r="E114" s="157" t="s">
        <v>30</v>
      </c>
      <c r="F114" s="151"/>
      <c r="G114" s="154"/>
      <c r="H114" s="151"/>
      <c r="I114" s="151"/>
      <c r="J114" s="151"/>
      <c r="K114" s="151">
        <v>4800</v>
      </c>
      <c r="L114" s="151">
        <f t="shared" si="70"/>
        <v>4800</v>
      </c>
      <c r="M114" s="155" t="s">
        <v>180</v>
      </c>
    </row>
    <row r="115" spans="1:13" ht="13.5" hidden="1" customHeight="1" x14ac:dyDescent="0.2">
      <c r="A115" s="149" t="s">
        <v>259</v>
      </c>
      <c r="B115" s="152" t="s">
        <v>14</v>
      </c>
      <c r="C115" s="151" t="s">
        <v>51</v>
      </c>
      <c r="D115" s="152" t="s">
        <v>52</v>
      </c>
      <c r="E115" s="152" t="s">
        <v>17</v>
      </c>
      <c r="F115" s="151">
        <v>157</v>
      </c>
      <c r="G115" s="151">
        <v>0.20499999999999999</v>
      </c>
      <c r="H115" s="151">
        <f t="shared" ref="H115" si="71">F115*G115</f>
        <v>32.184999999999995</v>
      </c>
      <c r="I115" s="151">
        <v>26</v>
      </c>
      <c r="J115" s="151">
        <v>4</v>
      </c>
      <c r="K115" s="151">
        <f>F115*I115</f>
        <v>4082</v>
      </c>
      <c r="L115" s="151">
        <f t="shared" ref="L115" si="72">K115*J115</f>
        <v>16328</v>
      </c>
      <c r="M115" s="155" t="s">
        <v>18</v>
      </c>
    </row>
    <row r="116" spans="1:13" ht="13.5" hidden="1" customHeight="1" x14ac:dyDescent="0.2">
      <c r="A116" s="149" t="s">
        <v>259</v>
      </c>
      <c r="B116" s="152" t="s">
        <v>14</v>
      </c>
      <c r="C116" s="151">
        <v>7479</v>
      </c>
      <c r="D116" s="152" t="s">
        <v>20</v>
      </c>
      <c r="E116" s="152" t="s">
        <v>25</v>
      </c>
      <c r="F116" s="151"/>
      <c r="G116" s="151"/>
      <c r="H116" s="151"/>
      <c r="I116" s="151"/>
      <c r="J116" s="151">
        <v>1</v>
      </c>
      <c r="K116" s="151">
        <v>4000</v>
      </c>
      <c r="L116" s="151">
        <f t="shared" ref="L116:L117" si="73">K116</f>
        <v>4000</v>
      </c>
      <c r="M116" s="155" t="s">
        <v>37</v>
      </c>
    </row>
    <row r="117" spans="1:13" ht="13.5" hidden="1" customHeight="1" x14ac:dyDescent="0.2">
      <c r="A117" s="149" t="s">
        <v>259</v>
      </c>
      <c r="B117" s="160" t="s">
        <v>44</v>
      </c>
      <c r="C117" s="152" t="s">
        <v>45</v>
      </c>
      <c r="D117" s="152" t="s">
        <v>46</v>
      </c>
      <c r="E117" s="152" t="s">
        <v>25</v>
      </c>
      <c r="F117" s="152"/>
      <c r="G117" s="152"/>
      <c r="H117" s="152"/>
      <c r="I117" s="152"/>
      <c r="J117" s="152"/>
      <c r="K117" s="152">
        <v>1000</v>
      </c>
      <c r="L117" s="152">
        <f t="shared" si="73"/>
        <v>1000</v>
      </c>
      <c r="M117" s="159" t="s">
        <v>48</v>
      </c>
    </row>
    <row r="118" spans="1:13" ht="13.5" hidden="1" customHeight="1" x14ac:dyDescent="0.2">
      <c r="A118" s="149" t="s">
        <v>259</v>
      </c>
      <c r="B118" s="152" t="s">
        <v>14</v>
      </c>
      <c r="C118" s="151">
        <v>6380</v>
      </c>
      <c r="D118" s="152" t="s">
        <v>16</v>
      </c>
      <c r="E118" s="152" t="s">
        <v>17</v>
      </c>
      <c r="F118" s="151">
        <v>31</v>
      </c>
      <c r="G118" s="151">
        <v>0.42499999999999999</v>
      </c>
      <c r="H118" s="151">
        <f t="shared" ref="H118" si="74">F118*G118</f>
        <v>13.174999999999999</v>
      </c>
      <c r="I118" s="151">
        <v>56</v>
      </c>
      <c r="J118" s="151">
        <v>4</v>
      </c>
      <c r="K118" s="151">
        <f t="shared" ref="K118" si="75">F118*I118</f>
        <v>1736</v>
      </c>
      <c r="L118" s="151">
        <f t="shared" ref="L118" si="76">K118*J118</f>
        <v>6944</v>
      </c>
      <c r="M118" s="155" t="s">
        <v>18</v>
      </c>
    </row>
    <row r="119" spans="1:13" ht="13.5" customHeight="1" x14ac:dyDescent="0.2">
      <c r="A119" s="149" t="s">
        <v>259</v>
      </c>
      <c r="B119" s="152" t="s">
        <v>14</v>
      </c>
      <c r="C119" s="151" t="s">
        <v>86</v>
      </c>
      <c r="D119" s="152" t="s">
        <v>84</v>
      </c>
      <c r="E119" s="152" t="s">
        <v>17</v>
      </c>
      <c r="F119" s="151">
        <v>33</v>
      </c>
      <c r="G119" s="151">
        <v>0.46</v>
      </c>
      <c r="H119" s="151">
        <v>36.340000000000003</v>
      </c>
      <c r="I119" s="151">
        <v>38</v>
      </c>
      <c r="J119" s="151">
        <v>1</v>
      </c>
      <c r="K119" s="151">
        <f t="shared" ref="K119" si="77">F119*I119</f>
        <v>1254</v>
      </c>
      <c r="L119" s="151">
        <f t="shared" ref="L119" si="78">K119*J119</f>
        <v>1254</v>
      </c>
      <c r="M119" s="155" t="s">
        <v>22</v>
      </c>
    </row>
    <row r="120" spans="1:13" ht="13.5" customHeight="1" x14ac:dyDescent="0.2">
      <c r="A120" s="149" t="s">
        <v>259</v>
      </c>
      <c r="B120" s="152" t="s">
        <v>14</v>
      </c>
      <c r="C120" s="151" t="s">
        <v>86</v>
      </c>
      <c r="D120" s="152" t="s">
        <v>84</v>
      </c>
      <c r="E120" s="152" t="s">
        <v>25</v>
      </c>
      <c r="F120" s="151"/>
      <c r="G120" s="151"/>
      <c r="H120" s="151"/>
      <c r="I120" s="151"/>
      <c r="J120" s="151"/>
      <c r="K120" s="151">
        <v>1200</v>
      </c>
      <c r="L120" s="152">
        <f t="shared" ref="L120:L124" si="79">K120</f>
        <v>1200</v>
      </c>
      <c r="M120" s="155" t="s">
        <v>37</v>
      </c>
    </row>
    <row r="121" spans="1:13" ht="13.5" customHeight="1" x14ac:dyDescent="0.2">
      <c r="A121" s="149" t="s">
        <v>259</v>
      </c>
      <c r="B121" s="152" t="s">
        <v>14</v>
      </c>
      <c r="C121" s="151" t="s">
        <v>83</v>
      </c>
      <c r="D121" s="152" t="s">
        <v>84</v>
      </c>
      <c r="E121" s="152" t="s">
        <v>17</v>
      </c>
      <c r="F121" s="151">
        <v>24</v>
      </c>
      <c r="G121" s="151">
        <v>0.44</v>
      </c>
      <c r="H121" s="151">
        <v>22</v>
      </c>
      <c r="I121" s="151">
        <v>50</v>
      </c>
      <c r="J121" s="151">
        <v>1</v>
      </c>
      <c r="K121" s="151">
        <f t="shared" ref="K121" si="80">F121*I121</f>
        <v>1200</v>
      </c>
      <c r="L121" s="151">
        <f t="shared" ref="L121" si="81">K121*J121</f>
        <v>1200</v>
      </c>
      <c r="M121" s="155" t="s">
        <v>22</v>
      </c>
    </row>
    <row r="122" spans="1:13" ht="13.5" customHeight="1" x14ac:dyDescent="0.2">
      <c r="A122" s="149" t="s">
        <v>259</v>
      </c>
      <c r="B122" s="152" t="s">
        <v>14</v>
      </c>
      <c r="C122" s="151" t="s">
        <v>83</v>
      </c>
      <c r="D122" s="152" t="s">
        <v>84</v>
      </c>
      <c r="E122" s="152" t="s">
        <v>25</v>
      </c>
      <c r="F122" s="151"/>
      <c r="G122" s="151"/>
      <c r="H122" s="151"/>
      <c r="I122" s="151"/>
      <c r="J122" s="151"/>
      <c r="K122" s="151">
        <v>500</v>
      </c>
      <c r="L122" s="152">
        <f t="shared" si="79"/>
        <v>500</v>
      </c>
      <c r="M122" s="155" t="s">
        <v>22</v>
      </c>
    </row>
    <row r="123" spans="1:13" ht="13.5" hidden="1" customHeight="1" x14ac:dyDescent="0.2">
      <c r="A123" s="149" t="s">
        <v>260</v>
      </c>
      <c r="B123" s="150" t="s">
        <v>23</v>
      </c>
      <c r="C123" s="151">
        <v>65548</v>
      </c>
      <c r="D123" s="156" t="s">
        <v>24</v>
      </c>
      <c r="E123" s="157" t="s">
        <v>25</v>
      </c>
      <c r="F123" s="151"/>
      <c r="G123" s="154"/>
      <c r="H123" s="151"/>
      <c r="I123" s="151"/>
      <c r="J123" s="151"/>
      <c r="K123" s="151">
        <v>5060</v>
      </c>
      <c r="L123" s="151">
        <f t="shared" si="79"/>
        <v>5060</v>
      </c>
      <c r="M123" s="155" t="s">
        <v>179</v>
      </c>
    </row>
    <row r="124" spans="1:13" ht="13.5" hidden="1" customHeight="1" x14ac:dyDescent="0.2">
      <c r="A124" s="149" t="s">
        <v>260</v>
      </c>
      <c r="B124" s="150" t="s">
        <v>23</v>
      </c>
      <c r="C124" s="151">
        <v>65548</v>
      </c>
      <c r="D124" s="156" t="s">
        <v>24</v>
      </c>
      <c r="E124" s="157" t="s">
        <v>30</v>
      </c>
      <c r="F124" s="151"/>
      <c r="G124" s="154"/>
      <c r="H124" s="151"/>
      <c r="I124" s="151"/>
      <c r="J124" s="151"/>
      <c r="K124" s="151">
        <v>5000</v>
      </c>
      <c r="L124" s="151">
        <f t="shared" si="79"/>
        <v>5000</v>
      </c>
      <c r="M124" s="155" t="s">
        <v>180</v>
      </c>
    </row>
    <row r="125" spans="1:13" ht="13.5" hidden="1" customHeight="1" x14ac:dyDescent="0.2">
      <c r="A125" s="149" t="s">
        <v>260</v>
      </c>
      <c r="B125" s="152" t="s">
        <v>14</v>
      </c>
      <c r="C125" s="151" t="s">
        <v>51</v>
      </c>
      <c r="D125" s="152" t="s">
        <v>52</v>
      </c>
      <c r="E125" s="152" t="s">
        <v>17</v>
      </c>
      <c r="F125" s="151">
        <v>133</v>
      </c>
      <c r="G125" s="151">
        <v>0.20499999999999999</v>
      </c>
      <c r="H125" s="151">
        <f t="shared" ref="H125" si="82">F125*G125</f>
        <v>27.264999999999997</v>
      </c>
      <c r="I125" s="151">
        <v>26</v>
      </c>
      <c r="J125" s="151">
        <v>4</v>
      </c>
      <c r="K125" s="151">
        <f>F125*I125</f>
        <v>3458</v>
      </c>
      <c r="L125" s="151">
        <f t="shared" ref="L125" si="83">K125*J125</f>
        <v>13832</v>
      </c>
      <c r="M125" s="155" t="s">
        <v>18</v>
      </c>
    </row>
    <row r="126" spans="1:13" ht="13.5" hidden="1" customHeight="1" x14ac:dyDescent="0.2">
      <c r="A126" s="149" t="s">
        <v>260</v>
      </c>
      <c r="B126" s="152" t="s">
        <v>14</v>
      </c>
      <c r="C126" s="151">
        <v>12028</v>
      </c>
      <c r="D126" s="152" t="s">
        <v>16</v>
      </c>
      <c r="E126" s="152" t="s">
        <v>17</v>
      </c>
      <c r="F126" s="151">
        <v>29</v>
      </c>
      <c r="G126" s="151">
        <v>0.67500000000000004</v>
      </c>
      <c r="H126" s="151">
        <f>G126*F126</f>
        <v>19.575000000000003</v>
      </c>
      <c r="I126" s="151">
        <v>42</v>
      </c>
      <c r="J126" s="151">
        <v>4</v>
      </c>
      <c r="K126" s="151">
        <f t="shared" ref="K126:K127" si="84">F126*I126</f>
        <v>1218</v>
      </c>
      <c r="L126" s="151">
        <f>K126*J126</f>
        <v>4872</v>
      </c>
      <c r="M126" s="155" t="s">
        <v>18</v>
      </c>
    </row>
    <row r="127" spans="1:13" ht="13.5" customHeight="1" x14ac:dyDescent="0.2">
      <c r="A127" s="149" t="s">
        <v>260</v>
      </c>
      <c r="B127" s="152" t="s">
        <v>14</v>
      </c>
      <c r="C127" s="151" t="s">
        <v>86</v>
      </c>
      <c r="D127" s="152" t="s">
        <v>84</v>
      </c>
      <c r="E127" s="152" t="s">
        <v>17</v>
      </c>
      <c r="F127" s="151">
        <v>72</v>
      </c>
      <c r="G127" s="151">
        <v>0.46</v>
      </c>
      <c r="H127" s="151">
        <v>36.340000000000003</v>
      </c>
      <c r="I127" s="151">
        <v>38</v>
      </c>
      <c r="J127" s="151">
        <v>1</v>
      </c>
      <c r="K127" s="151">
        <f t="shared" si="84"/>
        <v>2736</v>
      </c>
      <c r="L127" s="151">
        <f t="shared" ref="L127" si="85">K127*J127</f>
        <v>2736</v>
      </c>
      <c r="M127" s="155" t="s">
        <v>22</v>
      </c>
    </row>
    <row r="128" spans="1:13" ht="13.5" customHeight="1" x14ac:dyDescent="0.2">
      <c r="A128" s="149" t="s">
        <v>260</v>
      </c>
      <c r="B128" s="152" t="s">
        <v>14</v>
      </c>
      <c r="C128" s="151" t="s">
        <v>86</v>
      </c>
      <c r="D128" s="152" t="s">
        <v>84</v>
      </c>
      <c r="E128" s="152" t="s">
        <v>25</v>
      </c>
      <c r="F128" s="151"/>
      <c r="G128" s="151"/>
      <c r="H128" s="151"/>
      <c r="I128" s="151"/>
      <c r="J128" s="151"/>
      <c r="K128" s="151">
        <v>2780</v>
      </c>
      <c r="L128" s="152">
        <f t="shared" ref="L128" si="86">K128</f>
        <v>2780</v>
      </c>
      <c r="M128" s="155" t="s">
        <v>37</v>
      </c>
    </row>
    <row r="129" spans="1:13" ht="13.5" customHeight="1" x14ac:dyDescent="0.2">
      <c r="A129" s="149" t="s">
        <v>260</v>
      </c>
      <c r="B129" s="152" t="s">
        <v>14</v>
      </c>
      <c r="C129" s="151" t="s">
        <v>83</v>
      </c>
      <c r="D129" s="152" t="s">
        <v>84</v>
      </c>
      <c r="E129" s="152" t="s">
        <v>17</v>
      </c>
      <c r="F129" s="151">
        <v>40</v>
      </c>
      <c r="G129" s="151">
        <v>0.44</v>
      </c>
      <c r="H129" s="151">
        <v>22</v>
      </c>
      <c r="I129" s="151">
        <v>50</v>
      </c>
      <c r="J129" s="151">
        <v>1</v>
      </c>
      <c r="K129" s="151">
        <f t="shared" ref="K129" si="87">F129*I129</f>
        <v>2000</v>
      </c>
      <c r="L129" s="151">
        <f t="shared" ref="L129" si="88">K129*J129</f>
        <v>2000</v>
      </c>
      <c r="M129" s="155" t="s">
        <v>22</v>
      </c>
    </row>
    <row r="130" spans="1:13" ht="13.5" customHeight="1" x14ac:dyDescent="0.2">
      <c r="A130" s="149" t="s">
        <v>260</v>
      </c>
      <c r="B130" s="152" t="s">
        <v>14</v>
      </c>
      <c r="C130" s="151" t="s">
        <v>83</v>
      </c>
      <c r="D130" s="152" t="s">
        <v>84</v>
      </c>
      <c r="E130" s="152" t="s">
        <v>25</v>
      </c>
      <c r="F130" s="151"/>
      <c r="G130" s="151"/>
      <c r="H130" s="151"/>
      <c r="I130" s="151"/>
      <c r="J130" s="151"/>
      <c r="K130" s="151">
        <v>2184</v>
      </c>
      <c r="L130" s="152">
        <f t="shared" ref="L130:L133" si="89">K130</f>
        <v>2184</v>
      </c>
      <c r="M130" s="155" t="s">
        <v>22</v>
      </c>
    </row>
    <row r="131" spans="1:13" ht="13.5" hidden="1" customHeight="1" x14ac:dyDescent="0.2">
      <c r="A131" s="149" t="s">
        <v>260</v>
      </c>
      <c r="B131" s="152" t="s">
        <v>14</v>
      </c>
      <c r="C131" s="151">
        <v>7479</v>
      </c>
      <c r="D131" s="152" t="s">
        <v>20</v>
      </c>
      <c r="E131" s="152" t="s">
        <v>25</v>
      </c>
      <c r="F131" s="151"/>
      <c r="G131" s="151"/>
      <c r="H131" s="151"/>
      <c r="I131" s="151"/>
      <c r="J131" s="151">
        <v>1</v>
      </c>
      <c r="K131" s="151">
        <v>5000</v>
      </c>
      <c r="L131" s="151">
        <f t="shared" si="89"/>
        <v>5000</v>
      </c>
      <c r="M131" s="155" t="s">
        <v>37</v>
      </c>
    </row>
    <row r="132" spans="1:13" ht="13.5" hidden="1" customHeight="1" x14ac:dyDescent="0.2">
      <c r="A132" s="149" t="s">
        <v>261</v>
      </c>
      <c r="B132" s="150" t="s">
        <v>23</v>
      </c>
      <c r="C132" s="151">
        <v>66772</v>
      </c>
      <c r="D132" s="152" t="s">
        <v>34</v>
      </c>
      <c r="E132" s="157" t="s">
        <v>35</v>
      </c>
      <c r="F132" s="151"/>
      <c r="G132" s="154" t="s">
        <v>77</v>
      </c>
      <c r="H132" s="151"/>
      <c r="I132" s="151"/>
      <c r="J132" s="151"/>
      <c r="K132" s="151">
        <v>6210</v>
      </c>
      <c r="L132" s="151">
        <f t="shared" si="89"/>
        <v>6210</v>
      </c>
      <c r="M132" s="155" t="s">
        <v>179</v>
      </c>
    </row>
    <row r="133" spans="1:13" ht="13.5" hidden="1" customHeight="1" x14ac:dyDescent="0.2">
      <c r="A133" s="149" t="s">
        <v>261</v>
      </c>
      <c r="B133" s="150" t="s">
        <v>23</v>
      </c>
      <c r="C133" s="151">
        <v>66772</v>
      </c>
      <c r="D133" s="152" t="s">
        <v>34</v>
      </c>
      <c r="E133" s="161" t="s">
        <v>39</v>
      </c>
      <c r="F133" s="151"/>
      <c r="G133" s="154" t="s">
        <v>36</v>
      </c>
      <c r="H133" s="151"/>
      <c r="I133" s="151"/>
      <c r="J133" s="151"/>
      <c r="K133" s="151">
        <v>3200</v>
      </c>
      <c r="L133" s="151">
        <f t="shared" si="89"/>
        <v>3200</v>
      </c>
      <c r="M133" s="155" t="s">
        <v>26</v>
      </c>
    </row>
    <row r="134" spans="1:13" ht="13.5" hidden="1" customHeight="1" x14ac:dyDescent="0.2">
      <c r="A134" s="149" t="s">
        <v>261</v>
      </c>
      <c r="B134" s="150" t="s">
        <v>23</v>
      </c>
      <c r="C134" s="151">
        <v>66772</v>
      </c>
      <c r="D134" s="152" t="s">
        <v>34</v>
      </c>
      <c r="E134" s="153" t="s">
        <v>30</v>
      </c>
      <c r="F134" s="151"/>
      <c r="G134" s="154" t="s">
        <v>78</v>
      </c>
      <c r="H134" s="151"/>
      <c r="I134" s="151"/>
      <c r="J134" s="151"/>
      <c r="K134" s="151">
        <v>3200</v>
      </c>
      <c r="L134" s="151">
        <f>K134</f>
        <v>3200</v>
      </c>
      <c r="M134" s="155" t="s">
        <v>180</v>
      </c>
    </row>
    <row r="135" spans="1:13" ht="13.5" hidden="1" customHeight="1" x14ac:dyDescent="0.2">
      <c r="A135" s="149" t="s">
        <v>261</v>
      </c>
      <c r="B135" s="152" t="s">
        <v>14</v>
      </c>
      <c r="C135" s="151">
        <v>7479</v>
      </c>
      <c r="D135" s="152" t="s">
        <v>20</v>
      </c>
      <c r="E135" s="152" t="s">
        <v>25</v>
      </c>
      <c r="F135" s="151"/>
      <c r="G135" s="151"/>
      <c r="H135" s="151"/>
      <c r="I135" s="151"/>
      <c r="J135" s="151">
        <v>1</v>
      </c>
      <c r="K135" s="151">
        <v>7500</v>
      </c>
      <c r="L135" s="151">
        <f>K135</f>
        <v>7500</v>
      </c>
      <c r="M135" s="155" t="s">
        <v>181</v>
      </c>
    </row>
    <row r="136" spans="1:13" ht="13.5" customHeight="1" x14ac:dyDescent="0.2">
      <c r="A136" s="149" t="s">
        <v>261</v>
      </c>
      <c r="B136" s="152" t="s">
        <v>14</v>
      </c>
      <c r="C136" s="151" t="s">
        <v>83</v>
      </c>
      <c r="D136" s="152" t="s">
        <v>84</v>
      </c>
      <c r="E136" s="152" t="s">
        <v>17</v>
      </c>
      <c r="F136" s="151">
        <v>72</v>
      </c>
      <c r="G136" s="151">
        <v>0.44</v>
      </c>
      <c r="H136" s="151">
        <v>22</v>
      </c>
      <c r="I136" s="151">
        <v>50</v>
      </c>
      <c r="J136" s="151">
        <v>1</v>
      </c>
      <c r="K136" s="151">
        <f t="shared" ref="K136" si="90">F136*I136</f>
        <v>3600</v>
      </c>
      <c r="L136" s="151">
        <f t="shared" ref="L136" si="91">K136*J136</f>
        <v>3600</v>
      </c>
      <c r="M136" s="155" t="s">
        <v>22</v>
      </c>
    </row>
    <row r="137" spans="1:13" ht="13.5" customHeight="1" x14ac:dyDescent="0.2">
      <c r="A137" s="149" t="s">
        <v>261</v>
      </c>
      <c r="B137" s="152" t="s">
        <v>14</v>
      </c>
      <c r="C137" s="151" t="s">
        <v>83</v>
      </c>
      <c r="D137" s="152" t="s">
        <v>84</v>
      </c>
      <c r="E137" s="152" t="s">
        <v>25</v>
      </c>
      <c r="F137" s="151"/>
      <c r="G137" s="151"/>
      <c r="H137" s="151"/>
      <c r="I137" s="151"/>
      <c r="J137" s="151"/>
      <c r="K137" s="151">
        <v>4132</v>
      </c>
      <c r="L137" s="152">
        <f t="shared" ref="L137" si="92">K137</f>
        <v>4132</v>
      </c>
      <c r="M137" s="155" t="s">
        <v>22</v>
      </c>
    </row>
    <row r="138" spans="1:13" ht="13.5" hidden="1" customHeight="1" x14ac:dyDescent="0.2">
      <c r="A138" s="149" t="s">
        <v>261</v>
      </c>
      <c r="B138" s="152" t="s">
        <v>14</v>
      </c>
      <c r="C138" s="151">
        <v>12028</v>
      </c>
      <c r="D138" s="152" t="s">
        <v>16</v>
      </c>
      <c r="E138" s="152" t="s">
        <v>17</v>
      </c>
      <c r="F138" s="151">
        <v>72</v>
      </c>
      <c r="G138" s="151">
        <v>0.67500000000000004</v>
      </c>
      <c r="H138" s="151">
        <f>G138*F138</f>
        <v>48.6</v>
      </c>
      <c r="I138" s="151">
        <v>42</v>
      </c>
      <c r="J138" s="151">
        <v>4</v>
      </c>
      <c r="K138" s="151">
        <f t="shared" ref="K138" si="93">F138*I138</f>
        <v>3024</v>
      </c>
      <c r="L138" s="151">
        <f>K138*J138</f>
        <v>12096</v>
      </c>
      <c r="M138" s="155" t="s">
        <v>18</v>
      </c>
    </row>
    <row r="139" spans="1:13" ht="13.5" hidden="1" customHeight="1" x14ac:dyDescent="0.2">
      <c r="A139" s="149" t="s">
        <v>262</v>
      </c>
      <c r="B139" s="150" t="s">
        <v>23</v>
      </c>
      <c r="C139" s="151">
        <v>66772</v>
      </c>
      <c r="D139" s="152" t="s">
        <v>34</v>
      </c>
      <c r="E139" s="157" t="s">
        <v>35</v>
      </c>
      <c r="F139" s="151"/>
      <c r="G139" s="154" t="s">
        <v>77</v>
      </c>
      <c r="H139" s="151"/>
      <c r="I139" s="151"/>
      <c r="J139" s="151"/>
      <c r="K139" s="151">
        <v>5000</v>
      </c>
      <c r="L139" s="151">
        <f t="shared" ref="L139:L140" si="94">K139</f>
        <v>5000</v>
      </c>
      <c r="M139" s="155" t="s">
        <v>179</v>
      </c>
    </row>
    <row r="140" spans="1:13" ht="13.5" hidden="1" customHeight="1" x14ac:dyDescent="0.2">
      <c r="A140" s="149" t="s">
        <v>262</v>
      </c>
      <c r="B140" s="150" t="s">
        <v>23</v>
      </c>
      <c r="C140" s="151">
        <v>66772</v>
      </c>
      <c r="D140" s="152" t="s">
        <v>34</v>
      </c>
      <c r="E140" s="161" t="s">
        <v>39</v>
      </c>
      <c r="F140" s="151"/>
      <c r="G140" s="154" t="s">
        <v>36</v>
      </c>
      <c r="H140" s="151"/>
      <c r="I140" s="151"/>
      <c r="J140" s="151"/>
      <c r="K140" s="151">
        <v>7500</v>
      </c>
      <c r="L140" s="151">
        <f t="shared" si="94"/>
        <v>7500</v>
      </c>
      <c r="M140" s="155" t="s">
        <v>26</v>
      </c>
    </row>
    <row r="141" spans="1:13" ht="13.5" hidden="1" customHeight="1" x14ac:dyDescent="0.2">
      <c r="A141" s="149" t="s">
        <v>262</v>
      </c>
      <c r="B141" s="150" t="s">
        <v>23</v>
      </c>
      <c r="C141" s="151">
        <v>66772</v>
      </c>
      <c r="D141" s="152" t="s">
        <v>34</v>
      </c>
      <c r="E141" s="153" t="s">
        <v>30</v>
      </c>
      <c r="F141" s="151"/>
      <c r="G141" s="154" t="s">
        <v>78</v>
      </c>
      <c r="H141" s="151"/>
      <c r="I141" s="151"/>
      <c r="J141" s="151"/>
      <c r="K141" s="151">
        <v>7500</v>
      </c>
      <c r="L141" s="151">
        <f>K141</f>
        <v>7500</v>
      </c>
      <c r="M141" s="155" t="s">
        <v>180</v>
      </c>
    </row>
    <row r="142" spans="1:13" ht="13.5" hidden="1" customHeight="1" x14ac:dyDescent="0.2">
      <c r="A142" s="149" t="s">
        <v>262</v>
      </c>
      <c r="B142" s="152" t="s">
        <v>14</v>
      </c>
      <c r="C142" s="151">
        <v>6871</v>
      </c>
      <c r="D142" s="152" t="s">
        <v>16</v>
      </c>
      <c r="E142" s="152" t="s">
        <v>17</v>
      </c>
      <c r="F142" s="151">
        <v>23</v>
      </c>
      <c r="G142" s="151">
        <v>0.64</v>
      </c>
      <c r="H142" s="151">
        <f>G142*F142</f>
        <v>14.72</v>
      </c>
      <c r="I142" s="151">
        <v>70</v>
      </c>
      <c r="J142" s="151">
        <v>2</v>
      </c>
      <c r="K142" s="151">
        <f t="shared" ref="K142:K143" si="95">F142*I142</f>
        <v>1610</v>
      </c>
      <c r="L142" s="151">
        <f t="shared" ref="L142" si="96">K142*J142</f>
        <v>3220</v>
      </c>
      <c r="M142" s="155" t="s">
        <v>22</v>
      </c>
    </row>
    <row r="143" spans="1:13" ht="13.5" hidden="1" customHeight="1" x14ac:dyDescent="0.2">
      <c r="A143" s="149" t="s">
        <v>262</v>
      </c>
      <c r="B143" s="152" t="s">
        <v>14</v>
      </c>
      <c r="C143" s="151">
        <v>12028</v>
      </c>
      <c r="D143" s="152" t="s">
        <v>16</v>
      </c>
      <c r="E143" s="152" t="s">
        <v>17</v>
      </c>
      <c r="F143" s="151">
        <v>90</v>
      </c>
      <c r="G143" s="151">
        <v>0.67500000000000004</v>
      </c>
      <c r="H143" s="151">
        <f>G143*F143</f>
        <v>60.750000000000007</v>
      </c>
      <c r="I143" s="151">
        <v>42</v>
      </c>
      <c r="J143" s="151">
        <v>4</v>
      </c>
      <c r="K143" s="151">
        <f t="shared" si="95"/>
        <v>3780</v>
      </c>
      <c r="L143" s="151">
        <f>K143*J143</f>
        <v>15120</v>
      </c>
      <c r="M143" s="155" t="s">
        <v>18</v>
      </c>
    </row>
    <row r="144" spans="1:13" ht="13.5" hidden="1" customHeight="1" x14ac:dyDescent="0.2">
      <c r="A144" s="149" t="s">
        <v>262</v>
      </c>
      <c r="B144" s="152" t="s">
        <v>14</v>
      </c>
      <c r="C144" s="151">
        <v>7479</v>
      </c>
      <c r="D144" s="152" t="s">
        <v>20</v>
      </c>
      <c r="E144" s="152" t="s">
        <v>25</v>
      </c>
      <c r="F144" s="151"/>
      <c r="G144" s="151"/>
      <c r="H144" s="151"/>
      <c r="I144" s="151"/>
      <c r="J144" s="151">
        <v>1</v>
      </c>
      <c r="K144" s="151">
        <v>7500</v>
      </c>
      <c r="L144" s="151">
        <f>K144</f>
        <v>7500</v>
      </c>
      <c r="M144" s="155" t="s">
        <v>181</v>
      </c>
    </row>
    <row r="145" spans="1:13" ht="13.5" hidden="1" customHeight="1" x14ac:dyDescent="0.2">
      <c r="A145" s="149" t="s">
        <v>264</v>
      </c>
      <c r="B145" s="150" t="s">
        <v>23</v>
      </c>
      <c r="C145" s="151">
        <v>66772</v>
      </c>
      <c r="D145" s="152" t="s">
        <v>34</v>
      </c>
      <c r="E145" s="157" t="s">
        <v>35</v>
      </c>
      <c r="F145" s="151"/>
      <c r="G145" s="154" t="s">
        <v>77</v>
      </c>
      <c r="H145" s="151"/>
      <c r="I145" s="151"/>
      <c r="J145" s="151"/>
      <c r="K145" s="151">
        <v>3700</v>
      </c>
      <c r="L145" s="151">
        <f t="shared" ref="L145:L146" si="97">K145</f>
        <v>3700</v>
      </c>
      <c r="M145" s="155" t="s">
        <v>179</v>
      </c>
    </row>
    <row r="146" spans="1:13" ht="13.5" hidden="1" customHeight="1" x14ac:dyDescent="0.2">
      <c r="A146" s="149" t="s">
        <v>264</v>
      </c>
      <c r="B146" s="150" t="s">
        <v>23</v>
      </c>
      <c r="C146" s="151">
        <v>66772</v>
      </c>
      <c r="D146" s="152" t="s">
        <v>34</v>
      </c>
      <c r="E146" s="161" t="s">
        <v>39</v>
      </c>
      <c r="F146" s="151"/>
      <c r="G146" s="154" t="s">
        <v>36</v>
      </c>
      <c r="H146" s="151"/>
      <c r="I146" s="151"/>
      <c r="J146" s="151"/>
      <c r="K146" s="151">
        <v>4200</v>
      </c>
      <c r="L146" s="151">
        <f t="shared" si="97"/>
        <v>4200</v>
      </c>
      <c r="M146" s="155" t="s">
        <v>26</v>
      </c>
    </row>
    <row r="147" spans="1:13" ht="13.5" hidden="1" customHeight="1" x14ac:dyDescent="0.2">
      <c r="A147" s="149" t="s">
        <v>264</v>
      </c>
      <c r="B147" s="150" t="s">
        <v>23</v>
      </c>
      <c r="C147" s="151">
        <v>66772</v>
      </c>
      <c r="D147" s="152" t="s">
        <v>34</v>
      </c>
      <c r="E147" s="153" t="s">
        <v>30</v>
      </c>
      <c r="F147" s="151"/>
      <c r="G147" s="154" t="s">
        <v>78</v>
      </c>
      <c r="H147" s="151"/>
      <c r="I147" s="151"/>
      <c r="J147" s="151"/>
      <c r="K147" s="151">
        <v>4200</v>
      </c>
      <c r="L147" s="151">
        <f>K147</f>
        <v>4200</v>
      </c>
      <c r="M147" s="155" t="s">
        <v>180</v>
      </c>
    </row>
    <row r="148" spans="1:13" ht="13.5" hidden="1" customHeight="1" x14ac:dyDescent="0.2">
      <c r="A148" s="149" t="s">
        <v>264</v>
      </c>
      <c r="B148" s="150" t="s">
        <v>23</v>
      </c>
      <c r="C148" s="151">
        <v>65548</v>
      </c>
      <c r="D148" s="156" t="s">
        <v>24</v>
      </c>
      <c r="E148" s="157" t="s">
        <v>25</v>
      </c>
      <c r="F148" s="151"/>
      <c r="G148" s="154"/>
      <c r="H148" s="151"/>
      <c r="I148" s="151"/>
      <c r="J148" s="151"/>
      <c r="K148" s="151">
        <v>5000</v>
      </c>
      <c r="L148" s="151">
        <f t="shared" ref="L148:L149" si="98">K148</f>
        <v>5000</v>
      </c>
      <c r="M148" s="155" t="s">
        <v>179</v>
      </c>
    </row>
    <row r="149" spans="1:13" ht="13.5" hidden="1" customHeight="1" x14ac:dyDescent="0.2">
      <c r="A149" s="149" t="s">
        <v>264</v>
      </c>
      <c r="B149" s="150" t="s">
        <v>23</v>
      </c>
      <c r="C149" s="151">
        <v>65548</v>
      </c>
      <c r="D149" s="156" t="s">
        <v>24</v>
      </c>
      <c r="E149" s="157" t="s">
        <v>30</v>
      </c>
      <c r="F149" s="151"/>
      <c r="G149" s="154"/>
      <c r="H149" s="151"/>
      <c r="I149" s="151"/>
      <c r="J149" s="151"/>
      <c r="K149" s="151">
        <v>2700</v>
      </c>
      <c r="L149" s="151">
        <f t="shared" si="98"/>
        <v>2700</v>
      </c>
      <c r="M149" s="155" t="s">
        <v>180</v>
      </c>
    </row>
    <row r="150" spans="1:13" ht="13.5" hidden="1" customHeight="1" x14ac:dyDescent="0.2">
      <c r="A150" s="149" t="s">
        <v>264</v>
      </c>
      <c r="B150" s="152" t="s">
        <v>14</v>
      </c>
      <c r="C150" s="151">
        <v>7479</v>
      </c>
      <c r="D150" s="152" t="s">
        <v>20</v>
      </c>
      <c r="E150" s="152" t="s">
        <v>25</v>
      </c>
      <c r="F150" s="151"/>
      <c r="G150" s="151"/>
      <c r="H150" s="151"/>
      <c r="I150" s="151"/>
      <c r="J150" s="151">
        <v>1</v>
      </c>
      <c r="K150" s="151">
        <v>6600</v>
      </c>
      <c r="L150" s="151">
        <f>K150</f>
        <v>6600</v>
      </c>
      <c r="M150" s="155" t="s">
        <v>181</v>
      </c>
    </row>
    <row r="151" spans="1:13" ht="13.5" hidden="1" customHeight="1" x14ac:dyDescent="0.2">
      <c r="A151" s="149" t="s">
        <v>264</v>
      </c>
      <c r="B151" s="152" t="s">
        <v>14</v>
      </c>
      <c r="C151" s="151">
        <v>6380</v>
      </c>
      <c r="D151" s="152" t="s">
        <v>16</v>
      </c>
      <c r="E151" s="152" t="s">
        <v>17</v>
      </c>
      <c r="F151" s="151">
        <v>102</v>
      </c>
      <c r="G151" s="151">
        <v>0.42499999999999999</v>
      </c>
      <c r="H151" s="151">
        <f t="shared" ref="H151" si="99">F151*G151</f>
        <v>43.35</v>
      </c>
      <c r="I151" s="151">
        <v>56</v>
      </c>
      <c r="J151" s="151">
        <v>4</v>
      </c>
      <c r="K151" s="151">
        <f t="shared" ref="K151" si="100">F151*I151</f>
        <v>5712</v>
      </c>
      <c r="L151" s="151">
        <f t="shared" ref="L151" si="101">K151*J151</f>
        <v>22848</v>
      </c>
      <c r="M151" s="155" t="s">
        <v>22</v>
      </c>
    </row>
    <row r="152" spans="1:13" ht="13.5" hidden="1" customHeight="1" x14ac:dyDescent="0.2">
      <c r="A152" s="149" t="s">
        <v>264</v>
      </c>
      <c r="B152" s="152" t="s">
        <v>14</v>
      </c>
      <c r="C152" s="151">
        <v>8283</v>
      </c>
      <c r="D152" s="152" t="s">
        <v>84</v>
      </c>
      <c r="E152" s="152" t="s">
        <v>25</v>
      </c>
      <c r="F152" s="151"/>
      <c r="G152" s="151"/>
      <c r="H152" s="151"/>
      <c r="I152" s="151"/>
      <c r="J152" s="151"/>
      <c r="K152" s="151">
        <v>1235</v>
      </c>
      <c r="L152" s="151">
        <f t="shared" ref="L152:L154" si="102">K152</f>
        <v>1235</v>
      </c>
      <c r="M152" s="155" t="s">
        <v>179</v>
      </c>
    </row>
    <row r="153" spans="1:13" ht="13.5" hidden="1" customHeight="1" x14ac:dyDescent="0.2">
      <c r="A153" s="149" t="s">
        <v>265</v>
      </c>
      <c r="B153" s="150" t="s">
        <v>23</v>
      </c>
      <c r="C153" s="151">
        <v>65548</v>
      </c>
      <c r="D153" s="156" t="s">
        <v>24</v>
      </c>
      <c r="E153" s="157" t="s">
        <v>25</v>
      </c>
      <c r="F153" s="151"/>
      <c r="G153" s="154"/>
      <c r="H153" s="151"/>
      <c r="I153" s="151"/>
      <c r="J153" s="151"/>
      <c r="K153" s="151">
        <v>10000</v>
      </c>
      <c r="L153" s="151">
        <f t="shared" si="102"/>
        <v>10000</v>
      </c>
      <c r="M153" s="155" t="s">
        <v>179</v>
      </c>
    </row>
    <row r="154" spans="1:13" ht="13.5" hidden="1" customHeight="1" x14ac:dyDescent="0.2">
      <c r="A154" s="149" t="s">
        <v>265</v>
      </c>
      <c r="B154" s="150" t="s">
        <v>23</v>
      </c>
      <c r="C154" s="151">
        <v>65548</v>
      </c>
      <c r="D154" s="156" t="s">
        <v>24</v>
      </c>
      <c r="E154" s="157" t="s">
        <v>30</v>
      </c>
      <c r="F154" s="151"/>
      <c r="G154" s="154"/>
      <c r="H154" s="151"/>
      <c r="I154" s="151"/>
      <c r="J154" s="151"/>
      <c r="K154" s="151">
        <v>7700</v>
      </c>
      <c r="L154" s="151">
        <f t="shared" si="102"/>
        <v>7700</v>
      </c>
      <c r="M154" s="155" t="s">
        <v>180</v>
      </c>
    </row>
    <row r="155" spans="1:13" ht="13.5" hidden="1" customHeight="1" x14ac:dyDescent="0.2">
      <c r="A155" s="149" t="s">
        <v>265</v>
      </c>
      <c r="B155" s="152" t="s">
        <v>14</v>
      </c>
      <c r="C155" s="151">
        <v>6380</v>
      </c>
      <c r="D155" s="152" t="s">
        <v>16</v>
      </c>
      <c r="E155" s="152" t="s">
        <v>17</v>
      </c>
      <c r="F155" s="151">
        <v>7</v>
      </c>
      <c r="G155" s="151">
        <v>0.42499999999999999</v>
      </c>
      <c r="H155" s="151">
        <f t="shared" ref="H155" si="103">F155*G155</f>
        <v>2.9750000000000001</v>
      </c>
      <c r="I155" s="151">
        <v>56</v>
      </c>
      <c r="J155" s="151">
        <v>4</v>
      </c>
      <c r="K155" s="151">
        <f t="shared" ref="K155" si="104">F155*I155</f>
        <v>392</v>
      </c>
      <c r="L155" s="151">
        <f t="shared" ref="L155" si="105">K155*J155</f>
        <v>1568</v>
      </c>
      <c r="M155" s="155" t="s">
        <v>22</v>
      </c>
    </row>
    <row r="156" spans="1:13" ht="13.5" hidden="1" customHeight="1" x14ac:dyDescent="0.2">
      <c r="A156" s="149" t="s">
        <v>265</v>
      </c>
      <c r="B156" s="152" t="s">
        <v>14</v>
      </c>
      <c r="C156" s="151">
        <v>7479</v>
      </c>
      <c r="D156" s="152" t="s">
        <v>20</v>
      </c>
      <c r="E156" s="152" t="s">
        <v>25</v>
      </c>
      <c r="F156" s="151"/>
      <c r="G156" s="151"/>
      <c r="H156" s="151"/>
      <c r="I156" s="151"/>
      <c r="J156" s="151">
        <v>1</v>
      </c>
      <c r="K156" s="151">
        <v>6000</v>
      </c>
      <c r="L156" s="151">
        <f>K156</f>
        <v>6000</v>
      </c>
      <c r="M156" s="155" t="s">
        <v>181</v>
      </c>
    </row>
    <row r="157" spans="1:13" ht="13.5" hidden="1" customHeight="1" x14ac:dyDescent="0.2">
      <c r="A157" s="149" t="s">
        <v>265</v>
      </c>
      <c r="B157" s="152" t="s">
        <v>14</v>
      </c>
      <c r="C157" s="151">
        <v>5036</v>
      </c>
      <c r="D157" s="152" t="s">
        <v>16</v>
      </c>
      <c r="E157" s="152" t="s">
        <v>17</v>
      </c>
      <c r="F157" s="151">
        <v>72</v>
      </c>
      <c r="G157" s="151">
        <v>0.32500000000000001</v>
      </c>
      <c r="H157" s="151">
        <f t="shared" ref="H157" si="106">F157*G157</f>
        <v>23.400000000000002</v>
      </c>
      <c r="I157" s="151">
        <v>62</v>
      </c>
      <c r="J157" s="151">
        <v>4</v>
      </c>
      <c r="K157" s="151">
        <f t="shared" ref="K157" si="107">F157*I157</f>
        <v>4464</v>
      </c>
      <c r="L157" s="151">
        <f>K157*J157</f>
        <v>17856</v>
      </c>
      <c r="M157" s="155" t="s">
        <v>22</v>
      </c>
    </row>
    <row r="158" spans="1:13" ht="13.5" hidden="1" customHeight="1" x14ac:dyDescent="0.2">
      <c r="A158" s="149" t="s">
        <v>265</v>
      </c>
      <c r="B158" s="152" t="s">
        <v>14</v>
      </c>
      <c r="C158" s="151">
        <v>8283</v>
      </c>
      <c r="D158" s="152" t="s">
        <v>84</v>
      </c>
      <c r="E158" s="152" t="s">
        <v>25</v>
      </c>
      <c r="F158" s="151"/>
      <c r="G158" s="151"/>
      <c r="H158" s="151"/>
      <c r="I158" s="151"/>
      <c r="J158" s="151"/>
      <c r="K158" s="151">
        <v>5000</v>
      </c>
      <c r="L158" s="151">
        <f t="shared" ref="L158:L159" si="108">K158</f>
        <v>5000</v>
      </c>
      <c r="M158" s="155" t="s">
        <v>179</v>
      </c>
    </row>
    <row r="159" spans="1:13" ht="13.5" hidden="1" customHeight="1" x14ac:dyDescent="0.2">
      <c r="A159" s="149" t="s">
        <v>266</v>
      </c>
      <c r="B159" s="150" t="s">
        <v>23</v>
      </c>
      <c r="C159" s="151">
        <v>65548</v>
      </c>
      <c r="D159" s="156" t="s">
        <v>24</v>
      </c>
      <c r="E159" s="157" t="s">
        <v>30</v>
      </c>
      <c r="F159" s="151"/>
      <c r="G159" s="154"/>
      <c r="H159" s="151"/>
      <c r="I159" s="151"/>
      <c r="J159" s="151"/>
      <c r="K159" s="151">
        <v>4500</v>
      </c>
      <c r="L159" s="151">
        <f t="shared" si="108"/>
        <v>4500</v>
      </c>
      <c r="M159" s="155" t="s">
        <v>180</v>
      </c>
    </row>
    <row r="160" spans="1:13" ht="13.5" hidden="1" customHeight="1" x14ac:dyDescent="0.2">
      <c r="A160" s="149" t="s">
        <v>266</v>
      </c>
      <c r="B160" s="152" t="s">
        <v>14</v>
      </c>
      <c r="C160" s="151">
        <v>5036</v>
      </c>
      <c r="D160" s="152" t="s">
        <v>16</v>
      </c>
      <c r="E160" s="152" t="s">
        <v>17</v>
      </c>
      <c r="F160" s="151">
        <v>69</v>
      </c>
      <c r="G160" s="151">
        <v>0.32500000000000001</v>
      </c>
      <c r="H160" s="151">
        <f t="shared" ref="H160" si="109">F160*G160</f>
        <v>22.425000000000001</v>
      </c>
      <c r="I160" s="151">
        <v>62</v>
      </c>
      <c r="J160" s="151">
        <v>4</v>
      </c>
      <c r="K160" s="151">
        <f t="shared" ref="K160" si="110">F160*I160</f>
        <v>4278</v>
      </c>
      <c r="L160" s="151">
        <f>K160*J160</f>
        <v>17112</v>
      </c>
      <c r="M160" s="155" t="s">
        <v>22</v>
      </c>
    </row>
    <row r="161" spans="1:13" ht="13.5" hidden="1" customHeight="1" x14ac:dyDescent="0.2">
      <c r="A161" s="149" t="s">
        <v>266</v>
      </c>
      <c r="B161" s="152" t="s">
        <v>14</v>
      </c>
      <c r="C161" s="151">
        <v>8283</v>
      </c>
      <c r="D161" s="152" t="s">
        <v>84</v>
      </c>
      <c r="E161" s="152" t="s">
        <v>25</v>
      </c>
      <c r="F161" s="151"/>
      <c r="G161" s="151"/>
      <c r="H161" s="151"/>
      <c r="I161" s="151"/>
      <c r="J161" s="151"/>
      <c r="K161" s="151">
        <v>1610</v>
      </c>
      <c r="L161" s="151">
        <f t="shared" ref="L161" si="111">K161</f>
        <v>1610</v>
      </c>
      <c r="M161" s="155" t="s">
        <v>179</v>
      </c>
    </row>
    <row r="162" spans="1:13" ht="13.5" customHeight="1" x14ac:dyDescent="0.2">
      <c r="A162" s="149" t="s">
        <v>266</v>
      </c>
      <c r="B162" s="152" t="s">
        <v>14</v>
      </c>
      <c r="C162" s="151" t="s">
        <v>86</v>
      </c>
      <c r="D162" s="152" t="s">
        <v>84</v>
      </c>
      <c r="E162" s="152" t="s">
        <v>17</v>
      </c>
      <c r="F162" s="151">
        <v>55</v>
      </c>
      <c r="G162" s="151">
        <v>0.46</v>
      </c>
      <c r="H162" s="151">
        <v>36.340000000000003</v>
      </c>
      <c r="I162" s="151">
        <v>38</v>
      </c>
      <c r="J162" s="151">
        <v>1</v>
      </c>
      <c r="K162" s="151">
        <f t="shared" ref="K162" si="112">F162*I162</f>
        <v>2090</v>
      </c>
      <c r="L162" s="151">
        <f t="shared" ref="L162" si="113">K162*J162</f>
        <v>2090</v>
      </c>
      <c r="M162" s="155" t="s">
        <v>22</v>
      </c>
    </row>
    <row r="163" spans="1:13" ht="13.5" customHeight="1" x14ac:dyDescent="0.2">
      <c r="A163" s="149" t="s">
        <v>266</v>
      </c>
      <c r="B163" s="152" t="s">
        <v>14</v>
      </c>
      <c r="C163" s="151" t="s">
        <v>86</v>
      </c>
      <c r="D163" s="152" t="s">
        <v>84</v>
      </c>
      <c r="E163" s="152" t="s">
        <v>25</v>
      </c>
      <c r="F163" s="151"/>
      <c r="G163" s="151"/>
      <c r="H163" s="151"/>
      <c r="I163" s="151"/>
      <c r="J163" s="151"/>
      <c r="K163" s="151">
        <v>1600</v>
      </c>
      <c r="L163" s="152">
        <f t="shared" ref="L163:L166" si="114">K163</f>
        <v>1600</v>
      </c>
      <c r="M163" s="155" t="s">
        <v>37</v>
      </c>
    </row>
    <row r="164" spans="1:13" ht="13.5" hidden="1" customHeight="1" x14ac:dyDescent="0.2">
      <c r="A164" s="149" t="s">
        <v>266</v>
      </c>
      <c r="B164" s="160" t="s">
        <v>44</v>
      </c>
      <c r="C164" s="152" t="s">
        <v>45</v>
      </c>
      <c r="D164" s="152" t="s">
        <v>46</v>
      </c>
      <c r="E164" s="152" t="s">
        <v>25</v>
      </c>
      <c r="F164" s="152"/>
      <c r="G164" s="152"/>
      <c r="H164" s="152"/>
      <c r="I164" s="152"/>
      <c r="J164" s="152"/>
      <c r="K164" s="152">
        <v>600</v>
      </c>
      <c r="L164" s="152">
        <f t="shared" si="114"/>
        <v>600</v>
      </c>
      <c r="M164" s="159" t="s">
        <v>48</v>
      </c>
    </row>
    <row r="165" spans="1:13" ht="13.5" hidden="1" customHeight="1" x14ac:dyDescent="0.2">
      <c r="A165" s="149" t="s">
        <v>267</v>
      </c>
      <c r="B165" s="150" t="s">
        <v>23</v>
      </c>
      <c r="C165" s="151">
        <v>65548</v>
      </c>
      <c r="D165" s="156" t="s">
        <v>24</v>
      </c>
      <c r="E165" s="157" t="s">
        <v>25</v>
      </c>
      <c r="F165" s="151"/>
      <c r="G165" s="154"/>
      <c r="H165" s="151"/>
      <c r="I165" s="151"/>
      <c r="J165" s="151"/>
      <c r="K165" s="151">
        <v>6400</v>
      </c>
      <c r="L165" s="151">
        <f t="shared" si="114"/>
        <v>6400</v>
      </c>
      <c r="M165" s="155" t="s">
        <v>179</v>
      </c>
    </row>
    <row r="166" spans="1:13" ht="13.5" hidden="1" customHeight="1" x14ac:dyDescent="0.2">
      <c r="A166" s="149" t="s">
        <v>267</v>
      </c>
      <c r="B166" s="150" t="s">
        <v>23</v>
      </c>
      <c r="C166" s="151">
        <v>65548</v>
      </c>
      <c r="D166" s="156" t="s">
        <v>24</v>
      </c>
      <c r="E166" s="157" t="s">
        <v>30</v>
      </c>
      <c r="F166" s="151"/>
      <c r="G166" s="154"/>
      <c r="H166" s="151"/>
      <c r="I166" s="151"/>
      <c r="J166" s="151"/>
      <c r="K166" s="151">
        <v>6100</v>
      </c>
      <c r="L166" s="151">
        <f t="shared" si="114"/>
        <v>6100</v>
      </c>
      <c r="M166" s="155" t="s">
        <v>180</v>
      </c>
    </row>
    <row r="167" spans="1:13" ht="13.5" customHeight="1" x14ac:dyDescent="0.2">
      <c r="A167" s="149" t="s">
        <v>267</v>
      </c>
      <c r="B167" s="152" t="s">
        <v>14</v>
      </c>
      <c r="C167" s="151" t="s">
        <v>86</v>
      </c>
      <c r="D167" s="152" t="s">
        <v>84</v>
      </c>
      <c r="E167" s="152" t="s">
        <v>17</v>
      </c>
      <c r="F167" s="151">
        <v>91</v>
      </c>
      <c r="G167" s="151">
        <v>0.46</v>
      </c>
      <c r="H167" s="151">
        <v>36.340000000000003</v>
      </c>
      <c r="I167" s="151">
        <v>38</v>
      </c>
      <c r="J167" s="151">
        <v>1</v>
      </c>
      <c r="K167" s="151">
        <f t="shared" ref="K167" si="115">F167*I167</f>
        <v>3458</v>
      </c>
      <c r="L167" s="151">
        <f t="shared" ref="L167" si="116">K167*J167</f>
        <v>3458</v>
      </c>
      <c r="M167" s="155" t="s">
        <v>22</v>
      </c>
    </row>
    <row r="168" spans="1:13" ht="13.5" customHeight="1" x14ac:dyDescent="0.2">
      <c r="A168" s="149" t="s">
        <v>267</v>
      </c>
      <c r="B168" s="152" t="s">
        <v>14</v>
      </c>
      <c r="C168" s="151" t="s">
        <v>86</v>
      </c>
      <c r="D168" s="152" t="s">
        <v>84</v>
      </c>
      <c r="E168" s="152" t="s">
        <v>25</v>
      </c>
      <c r="F168" s="151"/>
      <c r="G168" s="151"/>
      <c r="H168" s="151"/>
      <c r="I168" s="151"/>
      <c r="J168" s="151"/>
      <c r="K168" s="151">
        <v>4031</v>
      </c>
      <c r="L168" s="152">
        <f t="shared" ref="L168" si="117">K168</f>
        <v>4031</v>
      </c>
      <c r="M168" s="155" t="s">
        <v>37</v>
      </c>
    </row>
    <row r="169" spans="1:13" ht="13.5" hidden="1" customHeight="1" x14ac:dyDescent="0.2">
      <c r="A169" s="149" t="s">
        <v>267</v>
      </c>
      <c r="B169" s="152" t="s">
        <v>14</v>
      </c>
      <c r="C169" s="151">
        <v>5036</v>
      </c>
      <c r="D169" s="152" t="s">
        <v>16</v>
      </c>
      <c r="E169" s="152" t="s">
        <v>17</v>
      </c>
      <c r="F169" s="151">
        <v>90</v>
      </c>
      <c r="G169" s="151">
        <v>0.32500000000000001</v>
      </c>
      <c r="H169" s="151">
        <f t="shared" ref="H169" si="118">F169*G169</f>
        <v>29.25</v>
      </c>
      <c r="I169" s="151">
        <v>62</v>
      </c>
      <c r="J169" s="151">
        <v>4</v>
      </c>
      <c r="K169" s="151">
        <f t="shared" ref="K169" si="119">F169*I169</f>
        <v>5580</v>
      </c>
      <c r="L169" s="151">
        <f>K169*J169</f>
        <v>22320</v>
      </c>
      <c r="M169" s="155" t="s">
        <v>22</v>
      </c>
    </row>
    <row r="170" spans="1:13" ht="13.5" hidden="1" customHeight="1" x14ac:dyDescent="0.2">
      <c r="A170" s="149" t="s">
        <v>267</v>
      </c>
      <c r="B170" s="152" t="s">
        <v>14</v>
      </c>
      <c r="C170" s="151">
        <v>8283</v>
      </c>
      <c r="D170" s="152" t="s">
        <v>84</v>
      </c>
      <c r="E170" s="152" t="s">
        <v>25</v>
      </c>
      <c r="F170" s="151"/>
      <c r="G170" s="151"/>
      <c r="H170" s="151"/>
      <c r="I170" s="151"/>
      <c r="J170" s="151"/>
      <c r="K170" s="151">
        <v>3662</v>
      </c>
      <c r="L170" s="151">
        <f t="shared" ref="L170" si="120">K170</f>
        <v>3662</v>
      </c>
      <c r="M170" s="155" t="s">
        <v>179</v>
      </c>
    </row>
    <row r="171" spans="1:13" ht="13.5" hidden="1" customHeight="1" x14ac:dyDescent="0.2">
      <c r="A171" s="149" t="s">
        <v>267</v>
      </c>
      <c r="B171" s="152" t="s">
        <v>14</v>
      </c>
      <c r="C171" s="151">
        <v>6871</v>
      </c>
      <c r="D171" s="152" t="s">
        <v>16</v>
      </c>
      <c r="E171" s="152" t="s">
        <v>17</v>
      </c>
      <c r="F171" s="151">
        <v>37</v>
      </c>
      <c r="G171" s="151">
        <v>0.64</v>
      </c>
      <c r="H171" s="151">
        <f>G171*F171</f>
        <v>23.68</v>
      </c>
      <c r="I171" s="151">
        <v>70</v>
      </c>
      <c r="J171" s="151">
        <v>2</v>
      </c>
      <c r="K171" s="151">
        <f t="shared" ref="K171" si="121">F171*I171</f>
        <v>2590</v>
      </c>
      <c r="L171" s="151">
        <f t="shared" ref="L171" si="122">K171*J171</f>
        <v>5180</v>
      </c>
      <c r="M171" s="155" t="s">
        <v>22</v>
      </c>
    </row>
    <row r="172" spans="1:13" ht="13.5" hidden="1" customHeight="1" x14ac:dyDescent="0.2">
      <c r="A172" s="149"/>
      <c r="B172" s="152"/>
      <c r="C172" s="151"/>
      <c r="D172" s="152"/>
      <c r="E172" s="152"/>
      <c r="F172" s="151"/>
      <c r="G172" s="151"/>
      <c r="H172" s="151"/>
      <c r="I172" s="151"/>
      <c r="J172" s="151"/>
      <c r="K172" s="151"/>
      <c r="L172" s="152"/>
      <c r="M172" s="155"/>
    </row>
    <row r="173" spans="1:13" ht="13.5" hidden="1" customHeight="1" x14ac:dyDescent="0.2">
      <c r="A173" s="149"/>
      <c r="B173" s="152"/>
      <c r="C173" s="151"/>
      <c r="D173" s="152"/>
      <c r="E173" s="152"/>
      <c r="F173" s="151"/>
      <c r="G173" s="151"/>
      <c r="H173" s="151"/>
      <c r="I173" s="151"/>
      <c r="J173" s="151"/>
      <c r="K173" s="151"/>
      <c r="L173" s="152"/>
      <c r="M173" s="155"/>
    </row>
    <row r="174" spans="1:13" ht="13.5" hidden="1" customHeight="1" x14ac:dyDescent="0.2">
      <c r="A174" s="149"/>
      <c r="B174" s="152"/>
      <c r="C174" s="151"/>
      <c r="D174" s="152"/>
      <c r="E174" s="152"/>
      <c r="F174" s="151"/>
      <c r="G174" s="151"/>
      <c r="H174" s="151"/>
      <c r="I174" s="151"/>
      <c r="J174" s="151"/>
      <c r="K174" s="151"/>
      <c r="L174" s="152"/>
      <c r="M174" s="155"/>
    </row>
    <row r="175" spans="1:13" ht="13.5" hidden="1" customHeight="1" x14ac:dyDescent="0.2">
      <c r="A175" s="149"/>
      <c r="B175" s="150"/>
      <c r="C175" s="151"/>
      <c r="D175" s="156"/>
      <c r="E175" s="157"/>
      <c r="F175" s="151"/>
      <c r="G175" s="154"/>
      <c r="H175" s="151"/>
      <c r="I175" s="151"/>
      <c r="J175" s="151"/>
      <c r="K175" s="151"/>
      <c r="L175" s="151"/>
      <c r="M175" s="155"/>
    </row>
    <row r="176" spans="1:13" ht="13.5" hidden="1" customHeight="1" x14ac:dyDescent="0.2">
      <c r="A176" s="149"/>
      <c r="B176" s="152"/>
      <c r="C176" s="151"/>
      <c r="D176" s="152"/>
      <c r="E176" s="152"/>
      <c r="F176" s="151"/>
      <c r="G176" s="151"/>
      <c r="H176" s="151"/>
      <c r="I176" s="151"/>
      <c r="J176" s="151"/>
      <c r="K176" s="151"/>
      <c r="L176" s="151"/>
      <c r="M176" s="155"/>
    </row>
    <row r="177" spans="1:13" ht="29.25" hidden="1" customHeight="1" x14ac:dyDescent="0.2">
      <c r="A177" s="141"/>
      <c r="B177" s="142"/>
      <c r="C177" s="142"/>
      <c r="D177" s="142"/>
      <c r="E177" s="142"/>
      <c r="F177" s="142">
        <f t="shared" ref="F177:L177" si="123">SUM(F3:F176)</f>
        <v>4677</v>
      </c>
      <c r="G177" s="163">
        <f t="shared" si="123"/>
        <v>16.800000000000008</v>
      </c>
      <c r="H177" s="143">
        <f t="shared" si="123"/>
        <v>1255.78</v>
      </c>
      <c r="I177" s="142">
        <f t="shared" si="123"/>
        <v>2718</v>
      </c>
      <c r="J177" s="142">
        <f t="shared" si="123"/>
        <v>134</v>
      </c>
      <c r="K177" s="144">
        <f t="shared" si="123"/>
        <v>730313</v>
      </c>
      <c r="L177" s="145">
        <f t="shared" si="123"/>
        <v>983199</v>
      </c>
      <c r="M177" s="146"/>
    </row>
    <row r="179" spans="1:13" x14ac:dyDescent="0.2">
      <c r="H179" s="147">
        <f>SUM(H53:H176)</f>
        <v>998.22000000000014</v>
      </c>
    </row>
  </sheetData>
  <autoFilter ref="A2:M177">
    <filterColumn colId="2">
      <filters>
        <filter val="F1341"/>
        <filter val="F1342"/>
      </filters>
    </filterColumn>
  </autoFilter>
  <mergeCells count="1">
    <mergeCell ref="A1:M1"/>
  </mergeCells>
  <pageMargins left="0.7" right="0.7" top="0.75" bottom="0.75" header="0.3" footer="0.3"/>
  <pageSetup orientation="portrait" horizontalDpi="0" verticalDpi="0" r:id="rId1"/>
  <ignoredErrors>
    <ignoredError sqref="L6 L8 L10 L1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75"/>
  <sheetViews>
    <sheetView workbookViewId="0">
      <selection activeCell="A145" sqref="A145:M145"/>
    </sheetView>
  </sheetViews>
  <sheetFormatPr defaultRowHeight="14.25" x14ac:dyDescent="0.2"/>
  <cols>
    <col min="1" max="1" width="9.140625" style="140"/>
    <col min="2" max="2" width="9.7109375" style="140" customWidth="1"/>
    <col min="3" max="3" width="9.140625" style="140"/>
    <col min="4" max="4" width="12.7109375" style="140" customWidth="1"/>
    <col min="5" max="5" width="11.42578125" style="140" customWidth="1"/>
    <col min="6" max="12" width="7.5703125" style="140" customWidth="1"/>
    <col min="13" max="19" width="9.140625" style="140"/>
    <col min="20" max="20" width="5.7109375" style="140" bestFit="1" customWidth="1"/>
    <col min="21" max="16384" width="9.140625" style="140"/>
  </cols>
  <sheetData>
    <row r="1" spans="1:13" ht="29.25" customHeight="1" x14ac:dyDescent="0.2">
      <c r="A1" s="296" t="s">
        <v>268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</row>
    <row r="2" spans="1:13" ht="28.5" customHeight="1" x14ac:dyDescent="0.2">
      <c r="A2" s="162" t="s">
        <v>0</v>
      </c>
      <c r="B2" s="162" t="s">
        <v>1</v>
      </c>
      <c r="C2" s="162" t="s">
        <v>2</v>
      </c>
      <c r="D2" s="162" t="s">
        <v>3</v>
      </c>
      <c r="E2" s="162" t="s">
        <v>4</v>
      </c>
      <c r="F2" s="162" t="s">
        <v>5</v>
      </c>
      <c r="G2" s="162" t="s">
        <v>6</v>
      </c>
      <c r="H2" s="162" t="s">
        <v>7</v>
      </c>
      <c r="I2" s="162" t="s">
        <v>8</v>
      </c>
      <c r="J2" s="162" t="s">
        <v>9</v>
      </c>
      <c r="K2" s="162" t="s">
        <v>10</v>
      </c>
      <c r="L2" s="162" t="s">
        <v>11</v>
      </c>
      <c r="M2" s="162" t="s">
        <v>12</v>
      </c>
    </row>
    <row r="3" spans="1:13" ht="13.5" hidden="1" customHeight="1" x14ac:dyDescent="0.2">
      <c r="A3" s="149" t="s">
        <v>269</v>
      </c>
      <c r="B3" s="152" t="s">
        <v>14</v>
      </c>
      <c r="C3" s="151">
        <v>5036</v>
      </c>
      <c r="D3" s="152" t="s">
        <v>16</v>
      </c>
      <c r="E3" s="152" t="s">
        <v>17</v>
      </c>
      <c r="F3" s="151">
        <v>74</v>
      </c>
      <c r="G3" s="151">
        <v>0.32500000000000001</v>
      </c>
      <c r="H3" s="151">
        <f t="shared" ref="H3" si="0">F3*G3</f>
        <v>24.05</v>
      </c>
      <c r="I3" s="151">
        <v>62</v>
      </c>
      <c r="J3" s="151">
        <v>4</v>
      </c>
      <c r="K3" s="151">
        <f t="shared" ref="K3" si="1">F3*I3</f>
        <v>4588</v>
      </c>
      <c r="L3" s="151">
        <f>K3*J3</f>
        <v>18352</v>
      </c>
      <c r="M3" s="155" t="s">
        <v>22</v>
      </c>
    </row>
    <row r="4" spans="1:13" ht="13.5" hidden="1" customHeight="1" x14ac:dyDescent="0.2">
      <c r="A4" s="149" t="s">
        <v>269</v>
      </c>
      <c r="B4" s="150" t="s">
        <v>23</v>
      </c>
      <c r="C4" s="151">
        <v>65548</v>
      </c>
      <c r="D4" s="156" t="s">
        <v>24</v>
      </c>
      <c r="E4" s="157" t="s">
        <v>25</v>
      </c>
      <c r="F4" s="151"/>
      <c r="G4" s="154"/>
      <c r="H4" s="151"/>
      <c r="I4" s="151"/>
      <c r="J4" s="151"/>
      <c r="K4" s="151">
        <v>3500</v>
      </c>
      <c r="L4" s="151">
        <f t="shared" ref="L4:L5" si="2">K4</f>
        <v>3500</v>
      </c>
      <c r="M4" s="155" t="s">
        <v>179</v>
      </c>
    </row>
    <row r="5" spans="1:13" ht="13.5" hidden="1" customHeight="1" x14ac:dyDescent="0.2">
      <c r="A5" s="149" t="s">
        <v>269</v>
      </c>
      <c r="B5" s="150" t="s">
        <v>23</v>
      </c>
      <c r="C5" s="151">
        <v>65548</v>
      </c>
      <c r="D5" s="156" t="s">
        <v>24</v>
      </c>
      <c r="E5" s="157" t="s">
        <v>30</v>
      </c>
      <c r="F5" s="151"/>
      <c r="G5" s="154"/>
      <c r="H5" s="151"/>
      <c r="I5" s="151"/>
      <c r="J5" s="151"/>
      <c r="K5" s="151">
        <v>4000</v>
      </c>
      <c r="L5" s="151">
        <f t="shared" si="2"/>
        <v>4000</v>
      </c>
      <c r="M5" s="155" t="s">
        <v>180</v>
      </c>
    </row>
    <row r="6" spans="1:13" ht="13.5" hidden="1" customHeight="1" x14ac:dyDescent="0.2">
      <c r="A6" s="149" t="s">
        <v>269</v>
      </c>
      <c r="B6" s="152" t="s">
        <v>14</v>
      </c>
      <c r="C6" s="151">
        <v>6871</v>
      </c>
      <c r="D6" s="152" t="s">
        <v>16</v>
      </c>
      <c r="E6" s="152" t="s">
        <v>17</v>
      </c>
      <c r="F6" s="151">
        <v>10</v>
      </c>
      <c r="G6" s="151">
        <v>0.64</v>
      </c>
      <c r="H6" s="151">
        <f>G6*F6</f>
        <v>6.4</v>
      </c>
      <c r="I6" s="151">
        <v>70</v>
      </c>
      <c r="J6" s="151">
        <v>2</v>
      </c>
      <c r="K6" s="151">
        <f t="shared" ref="K6:K7" si="3">F6*I6</f>
        <v>700</v>
      </c>
      <c r="L6" s="151">
        <f t="shared" ref="L6:L7" si="4">K6*J6</f>
        <v>1400</v>
      </c>
      <c r="M6" s="155" t="s">
        <v>22</v>
      </c>
    </row>
    <row r="7" spans="1:13" ht="13.5" hidden="1" customHeight="1" x14ac:dyDescent="0.2">
      <c r="A7" s="149" t="s">
        <v>270</v>
      </c>
      <c r="B7" s="152" t="s">
        <v>14</v>
      </c>
      <c r="C7" s="151" t="s">
        <v>86</v>
      </c>
      <c r="D7" s="152" t="s">
        <v>84</v>
      </c>
      <c r="E7" s="152" t="s">
        <v>17</v>
      </c>
      <c r="F7" s="151">
        <v>85</v>
      </c>
      <c r="G7" s="151">
        <v>0.46</v>
      </c>
      <c r="H7" s="151">
        <v>36.340000000000003</v>
      </c>
      <c r="I7" s="151">
        <v>38</v>
      </c>
      <c r="J7" s="151">
        <v>1</v>
      </c>
      <c r="K7" s="151">
        <f t="shared" si="3"/>
        <v>3230</v>
      </c>
      <c r="L7" s="151">
        <f t="shared" si="4"/>
        <v>3230</v>
      </c>
      <c r="M7" s="155" t="s">
        <v>22</v>
      </c>
    </row>
    <row r="8" spans="1:13" ht="13.5" hidden="1" customHeight="1" x14ac:dyDescent="0.2">
      <c r="A8" s="149" t="s">
        <v>270</v>
      </c>
      <c r="B8" s="152" t="s">
        <v>14</v>
      </c>
      <c r="C8" s="151" t="s">
        <v>86</v>
      </c>
      <c r="D8" s="152" t="s">
        <v>84</v>
      </c>
      <c r="E8" s="152" t="s">
        <v>25</v>
      </c>
      <c r="F8" s="151"/>
      <c r="G8" s="151"/>
      <c r="H8" s="151"/>
      <c r="I8" s="151"/>
      <c r="J8" s="151"/>
      <c r="K8" s="151">
        <v>2500</v>
      </c>
      <c r="L8" s="152">
        <f t="shared" ref="L8:L10" si="5">K8</f>
        <v>2500</v>
      </c>
      <c r="M8" s="155" t="s">
        <v>37</v>
      </c>
    </row>
    <row r="9" spans="1:13" ht="13.5" hidden="1" customHeight="1" x14ac:dyDescent="0.2">
      <c r="A9" s="149" t="s">
        <v>270</v>
      </c>
      <c r="B9" s="150" t="s">
        <v>23</v>
      </c>
      <c r="C9" s="151">
        <v>66772</v>
      </c>
      <c r="D9" s="152" t="s">
        <v>34</v>
      </c>
      <c r="E9" s="157" t="s">
        <v>35</v>
      </c>
      <c r="F9" s="151"/>
      <c r="G9" s="154" t="s">
        <v>77</v>
      </c>
      <c r="H9" s="151"/>
      <c r="I9" s="151"/>
      <c r="J9" s="151"/>
      <c r="K9" s="151">
        <v>6000</v>
      </c>
      <c r="L9" s="151">
        <f t="shared" si="5"/>
        <v>6000</v>
      </c>
      <c r="M9" s="155" t="s">
        <v>179</v>
      </c>
    </row>
    <row r="10" spans="1:13" ht="13.5" hidden="1" customHeight="1" x14ac:dyDescent="0.2">
      <c r="A10" s="149" t="s">
        <v>270</v>
      </c>
      <c r="B10" s="150" t="s">
        <v>23</v>
      </c>
      <c r="C10" s="151">
        <v>66772</v>
      </c>
      <c r="D10" s="152" t="s">
        <v>34</v>
      </c>
      <c r="E10" s="161" t="s">
        <v>39</v>
      </c>
      <c r="F10" s="151"/>
      <c r="G10" s="154" t="s">
        <v>36</v>
      </c>
      <c r="H10" s="151"/>
      <c r="I10" s="151"/>
      <c r="J10" s="151"/>
      <c r="K10" s="151">
        <v>5400</v>
      </c>
      <c r="L10" s="151">
        <f t="shared" si="5"/>
        <v>5400</v>
      </c>
      <c r="M10" s="155" t="s">
        <v>26</v>
      </c>
    </row>
    <row r="11" spans="1:13" ht="13.5" hidden="1" customHeight="1" x14ac:dyDescent="0.2">
      <c r="A11" s="149" t="s">
        <v>270</v>
      </c>
      <c r="B11" s="150" t="s">
        <v>23</v>
      </c>
      <c r="C11" s="151">
        <v>66772</v>
      </c>
      <c r="D11" s="152" t="s">
        <v>34</v>
      </c>
      <c r="E11" s="153" t="s">
        <v>30</v>
      </c>
      <c r="F11" s="151"/>
      <c r="G11" s="154" t="s">
        <v>78</v>
      </c>
      <c r="H11" s="151"/>
      <c r="I11" s="151"/>
      <c r="J11" s="151"/>
      <c r="K11" s="151">
        <v>5300</v>
      </c>
      <c r="L11" s="151">
        <f>K11</f>
        <v>5300</v>
      </c>
      <c r="M11" s="155" t="s">
        <v>180</v>
      </c>
    </row>
    <row r="12" spans="1:13" ht="13.5" hidden="1" customHeight="1" x14ac:dyDescent="0.2">
      <c r="A12" s="149" t="s">
        <v>271</v>
      </c>
      <c r="B12" s="150" t="s">
        <v>23</v>
      </c>
      <c r="C12" s="151">
        <v>66772</v>
      </c>
      <c r="D12" s="152" t="s">
        <v>34</v>
      </c>
      <c r="E12" s="157" t="s">
        <v>35</v>
      </c>
      <c r="F12" s="151"/>
      <c r="G12" s="154" t="s">
        <v>77</v>
      </c>
      <c r="H12" s="151"/>
      <c r="I12" s="151"/>
      <c r="J12" s="151"/>
      <c r="K12" s="151">
        <v>7400</v>
      </c>
      <c r="L12" s="151">
        <f t="shared" ref="L12:L13" si="6">K12</f>
        <v>7400</v>
      </c>
      <c r="M12" s="155" t="s">
        <v>179</v>
      </c>
    </row>
    <row r="13" spans="1:13" ht="13.5" hidden="1" customHeight="1" x14ac:dyDescent="0.2">
      <c r="A13" s="149" t="s">
        <v>271</v>
      </c>
      <c r="B13" s="150" t="s">
        <v>23</v>
      </c>
      <c r="C13" s="151">
        <v>66772</v>
      </c>
      <c r="D13" s="152" t="s">
        <v>34</v>
      </c>
      <c r="E13" s="161" t="s">
        <v>39</v>
      </c>
      <c r="F13" s="151"/>
      <c r="G13" s="154" t="s">
        <v>36</v>
      </c>
      <c r="H13" s="151"/>
      <c r="I13" s="151"/>
      <c r="J13" s="151"/>
      <c r="K13" s="151">
        <v>7500</v>
      </c>
      <c r="L13" s="151">
        <f t="shared" si="6"/>
        <v>7500</v>
      </c>
      <c r="M13" s="155" t="s">
        <v>26</v>
      </c>
    </row>
    <row r="14" spans="1:13" ht="13.5" hidden="1" customHeight="1" x14ac:dyDescent="0.2">
      <c r="A14" s="149" t="s">
        <v>271</v>
      </c>
      <c r="B14" s="150" t="s">
        <v>23</v>
      </c>
      <c r="C14" s="151">
        <v>66772</v>
      </c>
      <c r="D14" s="152" t="s">
        <v>34</v>
      </c>
      <c r="E14" s="153" t="s">
        <v>30</v>
      </c>
      <c r="F14" s="151"/>
      <c r="G14" s="154" t="s">
        <v>78</v>
      </c>
      <c r="H14" s="151"/>
      <c r="I14" s="151"/>
      <c r="J14" s="151"/>
      <c r="K14" s="151">
        <v>7500</v>
      </c>
      <c r="L14" s="151">
        <f>K14</f>
        <v>7500</v>
      </c>
      <c r="M14" s="155" t="s">
        <v>180</v>
      </c>
    </row>
    <row r="15" spans="1:13" ht="13.5" hidden="1" customHeight="1" x14ac:dyDescent="0.2">
      <c r="A15" s="149" t="s">
        <v>271</v>
      </c>
      <c r="B15" s="152" t="s">
        <v>14</v>
      </c>
      <c r="C15" s="151">
        <v>2576</v>
      </c>
      <c r="D15" s="152" t="s">
        <v>84</v>
      </c>
      <c r="E15" s="152" t="s">
        <v>17</v>
      </c>
      <c r="F15" s="151">
        <v>107</v>
      </c>
      <c r="G15" s="151">
        <v>0.1</v>
      </c>
      <c r="H15" s="151">
        <v>18.100000000000001</v>
      </c>
      <c r="I15" s="151">
        <v>17</v>
      </c>
      <c r="J15" s="151">
        <v>1</v>
      </c>
      <c r="K15" s="151">
        <f>F15*I15</f>
        <v>1819</v>
      </c>
      <c r="L15" s="151">
        <f>K15*J15</f>
        <v>1819</v>
      </c>
      <c r="M15" s="155" t="s">
        <v>22</v>
      </c>
    </row>
    <row r="16" spans="1:13" ht="13.5" hidden="1" customHeight="1" x14ac:dyDescent="0.2">
      <c r="A16" s="149" t="s">
        <v>271</v>
      </c>
      <c r="B16" s="152" t="s">
        <v>14</v>
      </c>
      <c r="C16" s="151">
        <v>7479</v>
      </c>
      <c r="D16" s="152" t="s">
        <v>20</v>
      </c>
      <c r="E16" s="152" t="s">
        <v>21</v>
      </c>
      <c r="F16" s="151">
        <v>83</v>
      </c>
      <c r="G16" s="151">
        <v>0.15</v>
      </c>
      <c r="H16" s="151">
        <f>G16*F16</f>
        <v>12.45</v>
      </c>
      <c r="I16" s="151">
        <v>80</v>
      </c>
      <c r="J16" s="151">
        <v>1</v>
      </c>
      <c r="K16" s="151">
        <f>F16*I16</f>
        <v>6640</v>
      </c>
      <c r="L16" s="151">
        <f>K16*J16</f>
        <v>6640</v>
      </c>
      <c r="M16" s="155" t="s">
        <v>22</v>
      </c>
    </row>
    <row r="17" spans="1:13" ht="13.5" hidden="1" customHeight="1" x14ac:dyDescent="0.2">
      <c r="A17" s="149" t="s">
        <v>271</v>
      </c>
      <c r="B17" s="152" t="s">
        <v>14</v>
      </c>
      <c r="C17" s="151" t="s">
        <v>86</v>
      </c>
      <c r="D17" s="152" t="s">
        <v>84</v>
      </c>
      <c r="E17" s="152" t="s">
        <v>25</v>
      </c>
      <c r="F17" s="151"/>
      <c r="G17" s="151"/>
      <c r="H17" s="151"/>
      <c r="I17" s="151"/>
      <c r="J17" s="151"/>
      <c r="K17" s="151">
        <v>3300</v>
      </c>
      <c r="L17" s="152">
        <f t="shared" ref="L17:L19" si="7">K17</f>
        <v>3300</v>
      </c>
      <c r="M17" s="155" t="s">
        <v>37</v>
      </c>
    </row>
    <row r="18" spans="1:13" ht="13.5" hidden="1" customHeight="1" x14ac:dyDescent="0.2">
      <c r="A18" s="149" t="s">
        <v>272</v>
      </c>
      <c r="B18" s="150" t="s">
        <v>23</v>
      </c>
      <c r="C18" s="151">
        <v>66772</v>
      </c>
      <c r="D18" s="152" t="s">
        <v>34</v>
      </c>
      <c r="E18" s="157" t="s">
        <v>35</v>
      </c>
      <c r="F18" s="151"/>
      <c r="G18" s="154" t="s">
        <v>77</v>
      </c>
      <c r="H18" s="151"/>
      <c r="I18" s="151"/>
      <c r="J18" s="151"/>
      <c r="K18" s="151">
        <v>1790</v>
      </c>
      <c r="L18" s="151">
        <f t="shared" si="7"/>
        <v>1790</v>
      </c>
      <c r="M18" s="155" t="s">
        <v>179</v>
      </c>
    </row>
    <row r="19" spans="1:13" ht="13.5" hidden="1" customHeight="1" x14ac:dyDescent="0.2">
      <c r="A19" s="149" t="s">
        <v>272</v>
      </c>
      <c r="B19" s="150" t="s">
        <v>23</v>
      </c>
      <c r="C19" s="151">
        <v>66772</v>
      </c>
      <c r="D19" s="152" t="s">
        <v>34</v>
      </c>
      <c r="E19" s="161" t="s">
        <v>39</v>
      </c>
      <c r="F19" s="151"/>
      <c r="G19" s="154" t="s">
        <v>36</v>
      </c>
      <c r="H19" s="151"/>
      <c r="I19" s="151"/>
      <c r="J19" s="151"/>
      <c r="K19" s="151">
        <v>2000</v>
      </c>
      <c r="L19" s="151">
        <f t="shared" si="7"/>
        <v>2000</v>
      </c>
      <c r="M19" s="155" t="s">
        <v>26</v>
      </c>
    </row>
    <row r="20" spans="1:13" ht="13.5" hidden="1" customHeight="1" x14ac:dyDescent="0.2">
      <c r="A20" s="149" t="s">
        <v>272</v>
      </c>
      <c r="B20" s="150" t="s">
        <v>23</v>
      </c>
      <c r="C20" s="151">
        <v>66772</v>
      </c>
      <c r="D20" s="152" t="s">
        <v>34</v>
      </c>
      <c r="E20" s="153" t="s">
        <v>30</v>
      </c>
      <c r="F20" s="151"/>
      <c r="G20" s="154" t="s">
        <v>78</v>
      </c>
      <c r="H20" s="151"/>
      <c r="I20" s="151"/>
      <c r="J20" s="151"/>
      <c r="K20" s="151">
        <v>2000</v>
      </c>
      <c r="L20" s="151">
        <f>K20</f>
        <v>2000</v>
      </c>
      <c r="M20" s="155" t="s">
        <v>180</v>
      </c>
    </row>
    <row r="21" spans="1:13" ht="13.5" hidden="1" customHeight="1" x14ac:dyDescent="0.2">
      <c r="A21" s="149" t="s">
        <v>272</v>
      </c>
      <c r="B21" s="150" t="s">
        <v>23</v>
      </c>
      <c r="C21" s="151">
        <v>66772</v>
      </c>
      <c r="D21" s="152" t="s">
        <v>34</v>
      </c>
      <c r="E21" s="157" t="s">
        <v>35</v>
      </c>
      <c r="F21" s="151"/>
      <c r="G21" s="154" t="s">
        <v>77</v>
      </c>
      <c r="H21" s="151"/>
      <c r="I21" s="151"/>
      <c r="J21" s="151"/>
      <c r="K21" s="151">
        <v>6000</v>
      </c>
      <c r="L21" s="151">
        <f t="shared" ref="L21" si="8">K21</f>
        <v>6000</v>
      </c>
      <c r="M21" s="155" t="s">
        <v>179</v>
      </c>
    </row>
    <row r="22" spans="1:13" ht="13.5" hidden="1" customHeight="1" x14ac:dyDescent="0.2">
      <c r="A22" s="149" t="s">
        <v>272</v>
      </c>
      <c r="B22" s="150" t="s">
        <v>23</v>
      </c>
      <c r="C22" s="151">
        <v>66772</v>
      </c>
      <c r="D22" s="152" t="s">
        <v>34</v>
      </c>
      <c r="E22" s="157" t="s">
        <v>35</v>
      </c>
      <c r="F22" s="151"/>
      <c r="G22" s="154" t="s">
        <v>77</v>
      </c>
      <c r="H22" s="151"/>
      <c r="I22" s="151"/>
      <c r="J22" s="151"/>
      <c r="K22" s="151">
        <v>2000</v>
      </c>
      <c r="L22" s="151">
        <f t="shared" ref="L22:L23" si="9">K22</f>
        <v>2000</v>
      </c>
      <c r="M22" s="155" t="s">
        <v>179</v>
      </c>
    </row>
    <row r="23" spans="1:13" ht="13.5" hidden="1" customHeight="1" x14ac:dyDescent="0.2">
      <c r="A23" s="149" t="s">
        <v>272</v>
      </c>
      <c r="B23" s="150" t="s">
        <v>23</v>
      </c>
      <c r="C23" s="151">
        <v>66772</v>
      </c>
      <c r="D23" s="152" t="s">
        <v>34</v>
      </c>
      <c r="E23" s="161" t="s">
        <v>39</v>
      </c>
      <c r="F23" s="151"/>
      <c r="G23" s="154" t="s">
        <v>36</v>
      </c>
      <c r="H23" s="151"/>
      <c r="I23" s="151"/>
      <c r="J23" s="151"/>
      <c r="K23" s="151">
        <v>4500</v>
      </c>
      <c r="L23" s="151">
        <f t="shared" si="9"/>
        <v>4500</v>
      </c>
      <c r="M23" s="155" t="s">
        <v>26</v>
      </c>
    </row>
    <row r="24" spans="1:13" ht="13.5" hidden="1" customHeight="1" x14ac:dyDescent="0.2">
      <c r="A24" s="149" t="s">
        <v>272</v>
      </c>
      <c r="B24" s="150" t="s">
        <v>23</v>
      </c>
      <c r="C24" s="151">
        <v>66772</v>
      </c>
      <c r="D24" s="152" t="s">
        <v>34</v>
      </c>
      <c r="E24" s="153" t="s">
        <v>30</v>
      </c>
      <c r="F24" s="151"/>
      <c r="G24" s="154" t="s">
        <v>78</v>
      </c>
      <c r="H24" s="151"/>
      <c r="I24" s="151"/>
      <c r="J24" s="151"/>
      <c r="K24" s="151">
        <v>4400</v>
      </c>
      <c r="L24" s="151">
        <f>K24</f>
        <v>4400</v>
      </c>
      <c r="M24" s="155" t="s">
        <v>180</v>
      </c>
    </row>
    <row r="25" spans="1:13" ht="13.5" hidden="1" customHeight="1" x14ac:dyDescent="0.2">
      <c r="A25" s="149" t="s">
        <v>273</v>
      </c>
      <c r="B25" s="150" t="s">
        <v>23</v>
      </c>
      <c r="C25" s="151">
        <v>66772</v>
      </c>
      <c r="D25" s="152" t="s">
        <v>34</v>
      </c>
      <c r="E25" s="157" t="s">
        <v>35</v>
      </c>
      <c r="F25" s="151"/>
      <c r="G25" s="154" t="s">
        <v>77</v>
      </c>
      <c r="H25" s="151"/>
      <c r="I25" s="151"/>
      <c r="J25" s="151"/>
      <c r="K25" s="151">
        <v>3500</v>
      </c>
      <c r="L25" s="151">
        <f t="shared" ref="L25:L26" si="10">K25</f>
        <v>3500</v>
      </c>
      <c r="M25" s="155" t="s">
        <v>179</v>
      </c>
    </row>
    <row r="26" spans="1:13" ht="13.5" hidden="1" customHeight="1" x14ac:dyDescent="0.2">
      <c r="A26" s="149" t="s">
        <v>273</v>
      </c>
      <c r="B26" s="150" t="s">
        <v>23</v>
      </c>
      <c r="C26" s="151">
        <v>66772</v>
      </c>
      <c r="D26" s="152" t="s">
        <v>34</v>
      </c>
      <c r="E26" s="161" t="s">
        <v>39</v>
      </c>
      <c r="F26" s="151"/>
      <c r="G26" s="154" t="s">
        <v>36</v>
      </c>
      <c r="H26" s="151"/>
      <c r="I26" s="151"/>
      <c r="J26" s="151"/>
      <c r="K26" s="151">
        <v>6500</v>
      </c>
      <c r="L26" s="151">
        <f t="shared" si="10"/>
        <v>6500</v>
      </c>
      <c r="M26" s="155" t="s">
        <v>26</v>
      </c>
    </row>
    <row r="27" spans="1:13" ht="13.5" hidden="1" customHeight="1" x14ac:dyDescent="0.2">
      <c r="A27" s="149" t="s">
        <v>273</v>
      </c>
      <c r="B27" s="150" t="s">
        <v>23</v>
      </c>
      <c r="C27" s="151">
        <v>66772</v>
      </c>
      <c r="D27" s="152" t="s">
        <v>34</v>
      </c>
      <c r="E27" s="153" t="s">
        <v>30</v>
      </c>
      <c r="F27" s="151"/>
      <c r="G27" s="154" t="s">
        <v>78</v>
      </c>
      <c r="H27" s="151"/>
      <c r="I27" s="151"/>
      <c r="J27" s="151"/>
      <c r="K27" s="151">
        <v>5500</v>
      </c>
      <c r="L27" s="151">
        <f>K27</f>
        <v>5500</v>
      </c>
      <c r="M27" s="155" t="s">
        <v>180</v>
      </c>
    </row>
    <row r="28" spans="1:13" ht="13.5" hidden="1" customHeight="1" x14ac:dyDescent="0.2">
      <c r="A28" s="149" t="s">
        <v>273</v>
      </c>
      <c r="B28" s="150" t="s">
        <v>23</v>
      </c>
      <c r="C28" s="151">
        <v>65548</v>
      </c>
      <c r="D28" s="156" t="s">
        <v>24</v>
      </c>
      <c r="E28" s="157" t="s">
        <v>25</v>
      </c>
      <c r="F28" s="151"/>
      <c r="G28" s="154"/>
      <c r="H28" s="151"/>
      <c r="I28" s="151"/>
      <c r="J28" s="151"/>
      <c r="K28" s="151">
        <v>5000</v>
      </c>
      <c r="L28" s="151">
        <f t="shared" ref="L28:L31" si="11">K28</f>
        <v>5000</v>
      </c>
      <c r="M28" s="155" t="s">
        <v>179</v>
      </c>
    </row>
    <row r="29" spans="1:13" ht="13.5" hidden="1" customHeight="1" x14ac:dyDescent="0.2">
      <c r="A29" s="149" t="s">
        <v>273</v>
      </c>
      <c r="B29" s="150" t="s">
        <v>23</v>
      </c>
      <c r="C29" s="151">
        <v>65548</v>
      </c>
      <c r="D29" s="156" t="s">
        <v>24</v>
      </c>
      <c r="E29" s="157" t="s">
        <v>30</v>
      </c>
      <c r="F29" s="151"/>
      <c r="G29" s="154"/>
      <c r="H29" s="151"/>
      <c r="I29" s="151"/>
      <c r="J29" s="151"/>
      <c r="K29" s="151">
        <v>7700</v>
      </c>
      <c r="L29" s="151">
        <f t="shared" si="11"/>
        <v>7700</v>
      </c>
      <c r="M29" s="155" t="s">
        <v>180</v>
      </c>
    </row>
    <row r="30" spans="1:13" ht="13.5" hidden="1" customHeight="1" x14ac:dyDescent="0.2">
      <c r="A30" s="149" t="s">
        <v>274</v>
      </c>
      <c r="B30" s="150" t="s">
        <v>23</v>
      </c>
      <c r="C30" s="151">
        <v>66772</v>
      </c>
      <c r="D30" s="152" t="s">
        <v>34</v>
      </c>
      <c r="E30" s="157" t="s">
        <v>35</v>
      </c>
      <c r="F30" s="151"/>
      <c r="G30" s="154" t="s">
        <v>77</v>
      </c>
      <c r="H30" s="151"/>
      <c r="I30" s="151"/>
      <c r="J30" s="151"/>
      <c r="K30" s="151">
        <v>4000</v>
      </c>
      <c r="L30" s="151">
        <f t="shared" si="11"/>
        <v>4000</v>
      </c>
      <c r="M30" s="155" t="s">
        <v>179</v>
      </c>
    </row>
    <row r="31" spans="1:13" ht="13.5" hidden="1" customHeight="1" x14ac:dyDescent="0.2">
      <c r="A31" s="149" t="s">
        <v>274</v>
      </c>
      <c r="B31" s="150" t="s">
        <v>23</v>
      </c>
      <c r="C31" s="151">
        <v>66772</v>
      </c>
      <c r="D31" s="152" t="s">
        <v>34</v>
      </c>
      <c r="E31" s="161" t="s">
        <v>39</v>
      </c>
      <c r="F31" s="151"/>
      <c r="G31" s="154" t="s">
        <v>36</v>
      </c>
      <c r="H31" s="151"/>
      <c r="I31" s="151"/>
      <c r="J31" s="151"/>
      <c r="K31" s="151">
        <v>4800</v>
      </c>
      <c r="L31" s="151">
        <f t="shared" si="11"/>
        <v>4800</v>
      </c>
      <c r="M31" s="155" t="s">
        <v>26</v>
      </c>
    </row>
    <row r="32" spans="1:13" ht="13.5" hidden="1" customHeight="1" x14ac:dyDescent="0.2">
      <c r="A32" s="149" t="s">
        <v>274</v>
      </c>
      <c r="B32" s="150" t="s">
        <v>23</v>
      </c>
      <c r="C32" s="151">
        <v>66772</v>
      </c>
      <c r="D32" s="152" t="s">
        <v>34</v>
      </c>
      <c r="E32" s="153" t="s">
        <v>30</v>
      </c>
      <c r="F32" s="151"/>
      <c r="G32" s="154" t="s">
        <v>78</v>
      </c>
      <c r="H32" s="151"/>
      <c r="I32" s="151"/>
      <c r="J32" s="151"/>
      <c r="K32" s="151">
        <v>6000</v>
      </c>
      <c r="L32" s="151">
        <f>K32</f>
        <v>6000</v>
      </c>
      <c r="M32" s="155" t="s">
        <v>180</v>
      </c>
    </row>
    <row r="33" spans="1:13" ht="13.5" hidden="1" customHeight="1" x14ac:dyDescent="0.2">
      <c r="A33" s="149" t="s">
        <v>274</v>
      </c>
      <c r="B33" s="150" t="s">
        <v>23</v>
      </c>
      <c r="C33" s="151">
        <v>65548</v>
      </c>
      <c r="D33" s="156" t="s">
        <v>24</v>
      </c>
      <c r="E33" s="157" t="s">
        <v>25</v>
      </c>
      <c r="F33" s="151"/>
      <c r="G33" s="154"/>
      <c r="H33" s="151"/>
      <c r="I33" s="151"/>
      <c r="J33" s="151"/>
      <c r="K33" s="151">
        <v>4000</v>
      </c>
      <c r="L33" s="151">
        <f t="shared" ref="L33:L34" si="12">K33</f>
        <v>4000</v>
      </c>
      <c r="M33" s="155" t="s">
        <v>179</v>
      </c>
    </row>
    <row r="34" spans="1:13" ht="13.5" hidden="1" customHeight="1" x14ac:dyDescent="0.2">
      <c r="A34" s="149" t="s">
        <v>274</v>
      </c>
      <c r="B34" s="150" t="s">
        <v>23</v>
      </c>
      <c r="C34" s="151">
        <v>65548</v>
      </c>
      <c r="D34" s="156" t="s">
        <v>24</v>
      </c>
      <c r="E34" s="157" t="s">
        <v>30</v>
      </c>
      <c r="F34" s="151"/>
      <c r="G34" s="154"/>
      <c r="H34" s="151"/>
      <c r="I34" s="151"/>
      <c r="J34" s="151"/>
      <c r="K34" s="151">
        <v>2000</v>
      </c>
      <c r="L34" s="151">
        <f t="shared" si="12"/>
        <v>2000</v>
      </c>
      <c r="M34" s="155" t="s">
        <v>180</v>
      </c>
    </row>
    <row r="35" spans="1:13" ht="13.5" hidden="1" customHeight="1" x14ac:dyDescent="0.2">
      <c r="A35" s="149" t="s">
        <v>274</v>
      </c>
      <c r="B35" s="152" t="s">
        <v>14</v>
      </c>
      <c r="C35" s="151">
        <v>6871</v>
      </c>
      <c r="D35" s="152" t="s">
        <v>16</v>
      </c>
      <c r="E35" s="152" t="s">
        <v>17</v>
      </c>
      <c r="F35" s="151">
        <v>119</v>
      </c>
      <c r="G35" s="151">
        <v>0.64</v>
      </c>
      <c r="H35" s="151">
        <f>G35*F35</f>
        <v>76.16</v>
      </c>
      <c r="I35" s="151">
        <v>70</v>
      </c>
      <c r="J35" s="151">
        <v>2</v>
      </c>
      <c r="K35" s="151">
        <f t="shared" ref="K35" si="13">F35*I35</f>
        <v>8330</v>
      </c>
      <c r="L35" s="151">
        <f t="shared" ref="L35" si="14">K35*J35</f>
        <v>16660</v>
      </c>
      <c r="M35" s="155" t="s">
        <v>22</v>
      </c>
    </row>
    <row r="36" spans="1:13" ht="13.5" hidden="1" customHeight="1" x14ac:dyDescent="0.2">
      <c r="A36" s="149" t="s">
        <v>274</v>
      </c>
      <c r="B36" s="152" t="s">
        <v>14</v>
      </c>
      <c r="C36" s="151">
        <v>7479</v>
      </c>
      <c r="D36" s="152" t="s">
        <v>20</v>
      </c>
      <c r="E36" s="152" t="s">
        <v>25</v>
      </c>
      <c r="F36" s="151"/>
      <c r="G36" s="151"/>
      <c r="H36" s="151"/>
      <c r="I36" s="151"/>
      <c r="J36" s="151">
        <v>1</v>
      </c>
      <c r="K36" s="151">
        <v>700</v>
      </c>
      <c r="L36" s="151">
        <f t="shared" ref="L36:L39" si="15">K36</f>
        <v>700</v>
      </c>
      <c r="M36" s="155" t="s">
        <v>37</v>
      </c>
    </row>
    <row r="37" spans="1:13" ht="13.5" hidden="1" customHeight="1" x14ac:dyDescent="0.2">
      <c r="A37" s="149" t="s">
        <v>275</v>
      </c>
      <c r="B37" s="150" t="s">
        <v>23</v>
      </c>
      <c r="C37" s="151">
        <v>65548</v>
      </c>
      <c r="D37" s="156" t="s">
        <v>24</v>
      </c>
      <c r="E37" s="157" t="s">
        <v>25</v>
      </c>
      <c r="F37" s="151"/>
      <c r="G37" s="154"/>
      <c r="H37" s="151"/>
      <c r="I37" s="151"/>
      <c r="J37" s="151"/>
      <c r="K37" s="151">
        <v>1000</v>
      </c>
      <c r="L37" s="151">
        <f t="shared" si="15"/>
        <v>1000</v>
      </c>
      <c r="M37" s="155" t="s">
        <v>179</v>
      </c>
    </row>
    <row r="38" spans="1:13" ht="13.5" hidden="1" customHeight="1" x14ac:dyDescent="0.2">
      <c r="A38" s="149" t="s">
        <v>275</v>
      </c>
      <c r="B38" s="150" t="s">
        <v>23</v>
      </c>
      <c r="C38" s="151">
        <v>65548</v>
      </c>
      <c r="D38" s="156" t="s">
        <v>24</v>
      </c>
      <c r="E38" s="157" t="s">
        <v>30</v>
      </c>
      <c r="F38" s="151"/>
      <c r="G38" s="154"/>
      <c r="H38" s="151"/>
      <c r="I38" s="151"/>
      <c r="J38" s="151"/>
      <c r="K38" s="151">
        <v>300</v>
      </c>
      <c r="L38" s="151">
        <f t="shared" si="15"/>
        <v>300</v>
      </c>
      <c r="M38" s="155" t="s">
        <v>180</v>
      </c>
    </row>
    <row r="39" spans="1:13" ht="13.5" hidden="1" customHeight="1" x14ac:dyDescent="0.2">
      <c r="A39" s="149" t="s">
        <v>275</v>
      </c>
      <c r="B39" s="152" t="s">
        <v>14</v>
      </c>
      <c r="C39" s="151">
        <v>8283</v>
      </c>
      <c r="D39" s="152" t="s">
        <v>84</v>
      </c>
      <c r="E39" s="152" t="s">
        <v>25</v>
      </c>
      <c r="F39" s="151"/>
      <c r="G39" s="151"/>
      <c r="H39" s="151"/>
      <c r="I39" s="151"/>
      <c r="J39" s="151"/>
      <c r="K39" s="151">
        <v>3500</v>
      </c>
      <c r="L39" s="151">
        <f t="shared" si="15"/>
        <v>3500</v>
      </c>
      <c r="M39" s="155" t="s">
        <v>179</v>
      </c>
    </row>
    <row r="40" spans="1:13" ht="13.5" hidden="1" customHeight="1" x14ac:dyDescent="0.2">
      <c r="A40" s="149" t="s">
        <v>275</v>
      </c>
      <c r="B40" s="152" t="s">
        <v>14</v>
      </c>
      <c r="C40" s="151">
        <v>7479</v>
      </c>
      <c r="D40" s="152" t="s">
        <v>20</v>
      </c>
      <c r="E40" s="152" t="s">
        <v>25</v>
      </c>
      <c r="F40" s="151"/>
      <c r="G40" s="151"/>
      <c r="H40" s="151"/>
      <c r="I40" s="151"/>
      <c r="J40" s="151">
        <v>1</v>
      </c>
      <c r="K40" s="151">
        <v>5700</v>
      </c>
      <c r="L40" s="151">
        <f t="shared" ref="L40:L41" si="16">K40</f>
        <v>5700</v>
      </c>
      <c r="M40" s="155" t="s">
        <v>37</v>
      </c>
    </row>
    <row r="41" spans="1:13" ht="13.5" hidden="1" customHeight="1" x14ac:dyDescent="0.2">
      <c r="A41" s="149" t="s">
        <v>275</v>
      </c>
      <c r="B41" s="152" t="s">
        <v>14</v>
      </c>
      <c r="C41" s="151">
        <v>2576</v>
      </c>
      <c r="D41" s="152" t="s">
        <v>90</v>
      </c>
      <c r="E41" s="152" t="s">
        <v>25</v>
      </c>
      <c r="F41" s="151"/>
      <c r="G41" s="151"/>
      <c r="H41" s="151"/>
      <c r="I41" s="151"/>
      <c r="J41" s="151"/>
      <c r="K41" s="151">
        <v>4400</v>
      </c>
      <c r="L41" s="151">
        <f t="shared" si="16"/>
        <v>4400</v>
      </c>
      <c r="M41" s="155" t="s">
        <v>31</v>
      </c>
    </row>
    <row r="42" spans="1:13" ht="13.5" hidden="1" customHeight="1" x14ac:dyDescent="0.2">
      <c r="A42" s="149" t="s">
        <v>275</v>
      </c>
      <c r="B42" s="152" t="s">
        <v>14</v>
      </c>
      <c r="C42" s="151">
        <v>6871</v>
      </c>
      <c r="D42" s="152" t="s">
        <v>16</v>
      </c>
      <c r="E42" s="152" t="s">
        <v>17</v>
      </c>
      <c r="F42" s="151">
        <v>95</v>
      </c>
      <c r="G42" s="151">
        <v>0.64</v>
      </c>
      <c r="H42" s="151">
        <f>G42*F42</f>
        <v>60.800000000000004</v>
      </c>
      <c r="I42" s="151">
        <v>70</v>
      </c>
      <c r="J42" s="151">
        <v>2</v>
      </c>
      <c r="K42" s="151">
        <f t="shared" ref="K42" si="17">F42*I42</f>
        <v>6650</v>
      </c>
      <c r="L42" s="151">
        <f t="shared" ref="L42" si="18">K42*J42</f>
        <v>13300</v>
      </c>
      <c r="M42" s="155" t="s">
        <v>22</v>
      </c>
    </row>
    <row r="43" spans="1:13" ht="13.5" hidden="1" customHeight="1" x14ac:dyDescent="0.2">
      <c r="A43" s="149" t="s">
        <v>275</v>
      </c>
      <c r="B43" s="165" t="s">
        <v>41</v>
      </c>
      <c r="C43" s="151" t="s">
        <v>159</v>
      </c>
      <c r="D43" s="152" t="s">
        <v>159</v>
      </c>
      <c r="E43" s="152" t="s">
        <v>30</v>
      </c>
      <c r="F43" s="151"/>
      <c r="G43" s="151"/>
      <c r="H43" s="151"/>
      <c r="I43" s="151"/>
      <c r="J43" s="151"/>
      <c r="K43" s="151">
        <v>200</v>
      </c>
      <c r="L43" s="151">
        <f t="shared" ref="L43:L47" si="19">K43</f>
        <v>200</v>
      </c>
      <c r="M43" s="155" t="s">
        <v>22</v>
      </c>
    </row>
    <row r="44" spans="1:13" ht="13.5" hidden="1" customHeight="1" x14ac:dyDescent="0.2">
      <c r="A44" s="149" t="s">
        <v>276</v>
      </c>
      <c r="B44" s="150" t="s">
        <v>23</v>
      </c>
      <c r="C44" s="151">
        <v>65548</v>
      </c>
      <c r="D44" s="156" t="s">
        <v>24</v>
      </c>
      <c r="E44" s="157" t="s">
        <v>25</v>
      </c>
      <c r="F44" s="151"/>
      <c r="G44" s="154"/>
      <c r="H44" s="151"/>
      <c r="I44" s="151"/>
      <c r="J44" s="151"/>
      <c r="K44" s="151">
        <v>2990</v>
      </c>
      <c r="L44" s="151">
        <f t="shared" si="19"/>
        <v>2990</v>
      </c>
      <c r="M44" s="155" t="s">
        <v>179</v>
      </c>
    </row>
    <row r="45" spans="1:13" ht="13.5" hidden="1" customHeight="1" x14ac:dyDescent="0.2">
      <c r="A45" s="149" t="s">
        <v>276</v>
      </c>
      <c r="B45" s="150" t="s">
        <v>23</v>
      </c>
      <c r="C45" s="151">
        <v>65548</v>
      </c>
      <c r="D45" s="156" t="s">
        <v>24</v>
      </c>
      <c r="E45" s="157" t="s">
        <v>30</v>
      </c>
      <c r="F45" s="151"/>
      <c r="G45" s="154"/>
      <c r="H45" s="151"/>
      <c r="I45" s="151"/>
      <c r="J45" s="151"/>
      <c r="K45" s="151">
        <v>2260</v>
      </c>
      <c r="L45" s="151">
        <f t="shared" si="19"/>
        <v>2260</v>
      </c>
      <c r="M45" s="155" t="s">
        <v>180</v>
      </c>
    </row>
    <row r="46" spans="1:13" ht="13.5" hidden="1" customHeight="1" x14ac:dyDescent="0.2">
      <c r="A46" s="149" t="s">
        <v>276</v>
      </c>
      <c r="B46" s="152" t="s">
        <v>14</v>
      </c>
      <c r="C46" s="151">
        <v>8283</v>
      </c>
      <c r="D46" s="152" t="s">
        <v>84</v>
      </c>
      <c r="E46" s="152" t="s">
        <v>25</v>
      </c>
      <c r="F46" s="151"/>
      <c r="G46" s="151"/>
      <c r="H46" s="151"/>
      <c r="I46" s="151"/>
      <c r="J46" s="151"/>
      <c r="K46" s="151">
        <v>4500</v>
      </c>
      <c r="L46" s="151">
        <f t="shared" ref="L46" si="20">K46</f>
        <v>4500</v>
      </c>
      <c r="M46" s="155" t="s">
        <v>277</v>
      </c>
    </row>
    <row r="47" spans="1:13" ht="13.5" hidden="1" customHeight="1" x14ac:dyDescent="0.2">
      <c r="A47" s="149" t="s">
        <v>276</v>
      </c>
      <c r="B47" s="152" t="s">
        <v>14</v>
      </c>
      <c r="C47" s="151">
        <v>2576</v>
      </c>
      <c r="D47" s="152" t="s">
        <v>90</v>
      </c>
      <c r="E47" s="152" t="s">
        <v>25</v>
      </c>
      <c r="F47" s="151"/>
      <c r="G47" s="151"/>
      <c r="H47" s="151"/>
      <c r="I47" s="151"/>
      <c r="J47" s="151"/>
      <c r="K47" s="151">
        <v>1910</v>
      </c>
      <c r="L47" s="151">
        <f t="shared" si="19"/>
        <v>1910</v>
      </c>
      <c r="M47" s="155" t="s">
        <v>31</v>
      </c>
    </row>
    <row r="48" spans="1:13" ht="13.5" hidden="1" customHeight="1" x14ac:dyDescent="0.2">
      <c r="A48" s="149" t="s">
        <v>276</v>
      </c>
      <c r="B48" s="165" t="s">
        <v>41</v>
      </c>
      <c r="C48" s="151" t="s">
        <v>159</v>
      </c>
      <c r="D48" s="152" t="s">
        <v>159</v>
      </c>
      <c r="E48" s="152" t="s">
        <v>30</v>
      </c>
      <c r="F48" s="151"/>
      <c r="G48" s="151"/>
      <c r="H48" s="151"/>
      <c r="I48" s="151"/>
      <c r="J48" s="151"/>
      <c r="K48" s="151">
        <v>2500</v>
      </c>
      <c r="L48" s="151">
        <f t="shared" ref="L48" si="21">K48</f>
        <v>2500</v>
      </c>
      <c r="M48" s="155" t="s">
        <v>22</v>
      </c>
    </row>
    <row r="49" spans="1:14" ht="13.5" hidden="1" customHeight="1" x14ac:dyDescent="0.2">
      <c r="A49" s="149" t="s">
        <v>278</v>
      </c>
      <c r="B49" s="152" t="s">
        <v>14</v>
      </c>
      <c r="C49" s="151" t="s">
        <v>51</v>
      </c>
      <c r="D49" s="152" t="s">
        <v>52</v>
      </c>
      <c r="E49" s="152" t="s">
        <v>17</v>
      </c>
      <c r="F49" s="151">
        <v>251</v>
      </c>
      <c r="G49" s="151">
        <v>0.20499999999999999</v>
      </c>
      <c r="H49" s="151">
        <f t="shared" ref="H49" si="22">F49*G49</f>
        <v>51.454999999999998</v>
      </c>
      <c r="I49" s="151">
        <v>26</v>
      </c>
      <c r="J49" s="151">
        <v>4</v>
      </c>
      <c r="K49" s="151">
        <f>F49*I49</f>
        <v>6526</v>
      </c>
      <c r="L49" s="151">
        <f t="shared" ref="L49" si="23">K49*J49</f>
        <v>26104</v>
      </c>
      <c r="M49" s="155" t="s">
        <v>18</v>
      </c>
    </row>
    <row r="50" spans="1:14" ht="13.5" hidden="1" customHeight="1" x14ac:dyDescent="0.2">
      <c r="A50" s="149" t="s">
        <v>278</v>
      </c>
      <c r="B50" s="150" t="s">
        <v>23</v>
      </c>
      <c r="C50" s="151">
        <v>65548</v>
      </c>
      <c r="D50" s="156" t="s">
        <v>24</v>
      </c>
      <c r="E50" s="157" t="s">
        <v>25</v>
      </c>
      <c r="F50" s="151"/>
      <c r="G50" s="154"/>
      <c r="H50" s="151"/>
      <c r="I50" s="151"/>
      <c r="J50" s="151"/>
      <c r="K50" s="151">
        <v>7150</v>
      </c>
      <c r="L50" s="151">
        <f t="shared" ref="L50:L52" si="24">K50</f>
        <v>7150</v>
      </c>
      <c r="M50" s="155" t="s">
        <v>179</v>
      </c>
    </row>
    <row r="51" spans="1:14" ht="13.5" hidden="1" customHeight="1" x14ac:dyDescent="0.2">
      <c r="A51" s="149" t="s">
        <v>278</v>
      </c>
      <c r="B51" s="150" t="s">
        <v>23</v>
      </c>
      <c r="C51" s="151">
        <v>65548</v>
      </c>
      <c r="D51" s="156" t="s">
        <v>24</v>
      </c>
      <c r="E51" s="157" t="s">
        <v>30</v>
      </c>
      <c r="F51" s="151"/>
      <c r="G51" s="154"/>
      <c r="H51" s="151"/>
      <c r="I51" s="151"/>
      <c r="J51" s="151"/>
      <c r="K51" s="151">
        <v>7200</v>
      </c>
      <c r="L51" s="151">
        <f t="shared" si="24"/>
        <v>7200</v>
      </c>
      <c r="M51" s="155" t="s">
        <v>180</v>
      </c>
    </row>
    <row r="52" spans="1:14" ht="13.5" hidden="1" customHeight="1" x14ac:dyDescent="0.2">
      <c r="A52" s="149" t="s">
        <v>278</v>
      </c>
      <c r="B52" s="152" t="s">
        <v>14</v>
      </c>
      <c r="C52" s="151">
        <v>8283</v>
      </c>
      <c r="D52" s="152" t="s">
        <v>84</v>
      </c>
      <c r="E52" s="152" t="s">
        <v>25</v>
      </c>
      <c r="F52" s="151"/>
      <c r="G52" s="151"/>
      <c r="H52" s="151"/>
      <c r="I52" s="151"/>
      <c r="J52" s="151"/>
      <c r="K52" s="151">
        <v>4000</v>
      </c>
      <c r="L52" s="151">
        <f t="shared" si="24"/>
        <v>4000</v>
      </c>
      <c r="M52" s="155" t="s">
        <v>277</v>
      </c>
      <c r="N52" s="151" t="s">
        <v>279</v>
      </c>
    </row>
    <row r="53" spans="1:14" ht="13.5" hidden="1" customHeight="1" x14ac:dyDescent="0.2">
      <c r="A53" s="149" t="s">
        <v>280</v>
      </c>
      <c r="B53" s="150" t="s">
        <v>23</v>
      </c>
      <c r="C53" s="151">
        <v>65548</v>
      </c>
      <c r="D53" s="156" t="s">
        <v>24</v>
      </c>
      <c r="E53" s="157" t="s">
        <v>25</v>
      </c>
      <c r="F53" s="151"/>
      <c r="G53" s="154"/>
      <c r="H53" s="151"/>
      <c r="I53" s="151"/>
      <c r="J53" s="151"/>
      <c r="K53" s="151">
        <v>6000</v>
      </c>
      <c r="L53" s="151">
        <f t="shared" ref="L53:L54" si="25">K53</f>
        <v>6000</v>
      </c>
      <c r="M53" s="155" t="s">
        <v>179</v>
      </c>
    </row>
    <row r="54" spans="1:14" ht="13.5" hidden="1" customHeight="1" x14ac:dyDescent="0.2">
      <c r="A54" s="149" t="s">
        <v>280</v>
      </c>
      <c r="B54" s="150" t="s">
        <v>23</v>
      </c>
      <c r="C54" s="151">
        <v>65548</v>
      </c>
      <c r="D54" s="156" t="s">
        <v>24</v>
      </c>
      <c r="E54" s="157" t="s">
        <v>30</v>
      </c>
      <c r="F54" s="151"/>
      <c r="G54" s="154"/>
      <c r="H54" s="151"/>
      <c r="I54" s="151"/>
      <c r="J54" s="151"/>
      <c r="K54" s="151">
        <v>6006</v>
      </c>
      <c r="L54" s="151">
        <f t="shared" si="25"/>
        <v>6006</v>
      </c>
      <c r="M54" s="155" t="s">
        <v>180</v>
      </c>
    </row>
    <row r="55" spans="1:14" ht="13.5" hidden="1" customHeight="1" x14ac:dyDescent="0.2">
      <c r="A55" s="149" t="s">
        <v>280</v>
      </c>
      <c r="B55" s="152" t="s">
        <v>14</v>
      </c>
      <c r="C55" s="151">
        <v>6871</v>
      </c>
      <c r="D55" s="152" t="s">
        <v>16</v>
      </c>
      <c r="E55" s="152" t="s">
        <v>17</v>
      </c>
      <c r="F55" s="151">
        <v>70</v>
      </c>
      <c r="G55" s="151">
        <v>0.64</v>
      </c>
      <c r="H55" s="151">
        <f>G55*F55</f>
        <v>44.800000000000004</v>
      </c>
      <c r="I55" s="151">
        <v>70</v>
      </c>
      <c r="J55" s="151">
        <v>2</v>
      </c>
      <c r="K55" s="151">
        <f t="shared" ref="K55" si="26">F55*I55</f>
        <v>4900</v>
      </c>
      <c r="L55" s="151">
        <f t="shared" ref="L55:L56" si="27">K55*J55</f>
        <v>9800</v>
      </c>
      <c r="M55" s="155" t="s">
        <v>22</v>
      </c>
    </row>
    <row r="56" spans="1:14" ht="13.5" hidden="1" customHeight="1" x14ac:dyDescent="0.2">
      <c r="A56" s="149" t="s">
        <v>280</v>
      </c>
      <c r="B56" s="152" t="s">
        <v>14</v>
      </c>
      <c r="C56" s="151" t="s">
        <v>51</v>
      </c>
      <c r="D56" s="152" t="s">
        <v>52</v>
      </c>
      <c r="E56" s="152" t="s">
        <v>17</v>
      </c>
      <c r="F56" s="151">
        <v>179</v>
      </c>
      <c r="G56" s="151">
        <v>0.20499999999999999</v>
      </c>
      <c r="H56" s="151">
        <f t="shared" ref="H56" si="28">F56*G56</f>
        <v>36.695</v>
      </c>
      <c r="I56" s="151">
        <v>26</v>
      </c>
      <c r="J56" s="151">
        <v>4</v>
      </c>
      <c r="K56" s="151">
        <f>F56*I56</f>
        <v>4654</v>
      </c>
      <c r="L56" s="151">
        <f t="shared" si="27"/>
        <v>18616</v>
      </c>
      <c r="M56" s="155" t="s">
        <v>18</v>
      </c>
    </row>
    <row r="57" spans="1:14" ht="13.5" hidden="1" customHeight="1" x14ac:dyDescent="0.2">
      <c r="A57" s="149" t="s">
        <v>280</v>
      </c>
      <c r="B57" s="152" t="s">
        <v>14</v>
      </c>
      <c r="C57" s="151">
        <v>7479</v>
      </c>
      <c r="D57" s="152" t="s">
        <v>20</v>
      </c>
      <c r="E57" s="152" t="s">
        <v>21</v>
      </c>
      <c r="F57" s="151">
        <v>115</v>
      </c>
      <c r="G57" s="151">
        <v>0.15</v>
      </c>
      <c r="H57" s="151">
        <f>G57*F57</f>
        <v>17.25</v>
      </c>
      <c r="I57" s="151">
        <v>80</v>
      </c>
      <c r="J57" s="151">
        <v>1</v>
      </c>
      <c r="K57" s="151">
        <f>F57*I57</f>
        <v>9200</v>
      </c>
      <c r="L57" s="151">
        <f>K57*J57</f>
        <v>9200</v>
      </c>
      <c r="M57" s="155" t="s">
        <v>22</v>
      </c>
    </row>
    <row r="58" spans="1:14" ht="13.5" hidden="1" customHeight="1" x14ac:dyDescent="0.2">
      <c r="A58" s="149" t="s">
        <v>280</v>
      </c>
      <c r="B58" s="152" t="s">
        <v>14</v>
      </c>
      <c r="C58" s="151">
        <v>5036</v>
      </c>
      <c r="D58" s="152" t="s">
        <v>16</v>
      </c>
      <c r="E58" s="152" t="s">
        <v>17</v>
      </c>
      <c r="F58" s="151">
        <v>16</v>
      </c>
      <c r="G58" s="151">
        <v>0.32500000000000001</v>
      </c>
      <c r="H58" s="151">
        <f t="shared" ref="H58" si="29">F58*G58</f>
        <v>5.2</v>
      </c>
      <c r="I58" s="151">
        <v>62</v>
      </c>
      <c r="J58" s="151">
        <v>4</v>
      </c>
      <c r="K58" s="151">
        <f t="shared" ref="K58" si="30">F58*I58</f>
        <v>992</v>
      </c>
      <c r="L58" s="151">
        <f>K58*J58</f>
        <v>3968</v>
      </c>
      <c r="M58" s="155" t="s">
        <v>22</v>
      </c>
    </row>
    <row r="59" spans="1:14" ht="13.5" hidden="1" customHeight="1" x14ac:dyDescent="0.2">
      <c r="A59" s="149" t="s">
        <v>281</v>
      </c>
      <c r="B59" s="152" t="s">
        <v>14</v>
      </c>
      <c r="C59" s="151">
        <v>7479</v>
      </c>
      <c r="D59" s="152" t="s">
        <v>20</v>
      </c>
      <c r="E59" s="152" t="s">
        <v>21</v>
      </c>
      <c r="F59" s="151">
        <v>41</v>
      </c>
      <c r="G59" s="151">
        <v>0.15</v>
      </c>
      <c r="H59" s="151">
        <f>G59*F59</f>
        <v>6.1499999999999995</v>
      </c>
      <c r="I59" s="151">
        <v>80</v>
      </c>
      <c r="J59" s="151">
        <v>1</v>
      </c>
      <c r="K59" s="151">
        <f>F59*I59</f>
        <v>3280</v>
      </c>
      <c r="L59" s="151">
        <f>K59*J59</f>
        <v>3280</v>
      </c>
      <c r="M59" s="155" t="s">
        <v>22</v>
      </c>
    </row>
    <row r="60" spans="1:14" ht="13.5" hidden="1" customHeight="1" x14ac:dyDescent="0.2">
      <c r="A60" s="149" t="s">
        <v>281</v>
      </c>
      <c r="B60" s="152" t="s">
        <v>14</v>
      </c>
      <c r="C60" s="151">
        <v>7479</v>
      </c>
      <c r="D60" s="152" t="s">
        <v>20</v>
      </c>
      <c r="E60" s="152" t="s">
        <v>25</v>
      </c>
      <c r="F60" s="151"/>
      <c r="G60" s="151"/>
      <c r="H60" s="151"/>
      <c r="I60" s="151"/>
      <c r="J60" s="151">
        <v>1</v>
      </c>
      <c r="K60" s="151">
        <v>4200</v>
      </c>
      <c r="L60" s="151">
        <f t="shared" ref="L60" si="31">K60</f>
        <v>4200</v>
      </c>
      <c r="M60" s="155" t="s">
        <v>37</v>
      </c>
    </row>
    <row r="61" spans="1:14" ht="13.5" hidden="1" customHeight="1" x14ac:dyDescent="0.2">
      <c r="A61" s="149" t="s">
        <v>281</v>
      </c>
      <c r="B61" s="152" t="s">
        <v>14</v>
      </c>
      <c r="C61" s="151">
        <v>5036</v>
      </c>
      <c r="D61" s="152" t="s">
        <v>16</v>
      </c>
      <c r="E61" s="152" t="s">
        <v>17</v>
      </c>
      <c r="F61" s="151">
        <v>70</v>
      </c>
      <c r="G61" s="151">
        <v>0.32500000000000001</v>
      </c>
      <c r="H61" s="151">
        <f t="shared" ref="H61" si="32">F61*G61</f>
        <v>22.75</v>
      </c>
      <c r="I61" s="151">
        <v>62</v>
      </c>
      <c r="J61" s="151">
        <v>4</v>
      </c>
      <c r="K61" s="151">
        <f t="shared" ref="K61" si="33">F61*I61</f>
        <v>4340</v>
      </c>
      <c r="L61" s="151">
        <f>K61*J61</f>
        <v>17360</v>
      </c>
      <c r="M61" s="155" t="s">
        <v>22</v>
      </c>
    </row>
    <row r="62" spans="1:14" ht="13.5" hidden="1" customHeight="1" x14ac:dyDescent="0.2">
      <c r="A62" s="149" t="s">
        <v>281</v>
      </c>
      <c r="B62" s="150" t="s">
        <v>23</v>
      </c>
      <c r="C62" s="151">
        <v>66772</v>
      </c>
      <c r="D62" s="152" t="s">
        <v>34</v>
      </c>
      <c r="E62" s="157" t="s">
        <v>35</v>
      </c>
      <c r="F62" s="151"/>
      <c r="G62" s="154" t="s">
        <v>77</v>
      </c>
      <c r="H62" s="151"/>
      <c r="I62" s="151"/>
      <c r="J62" s="151"/>
      <c r="K62" s="151">
        <v>3800</v>
      </c>
      <c r="L62" s="151">
        <f t="shared" ref="L62:L63" si="34">K62</f>
        <v>3800</v>
      </c>
      <c r="M62" s="155" t="s">
        <v>179</v>
      </c>
    </row>
    <row r="63" spans="1:14" ht="13.5" hidden="1" customHeight="1" x14ac:dyDescent="0.2">
      <c r="A63" s="149" t="s">
        <v>281</v>
      </c>
      <c r="B63" s="150" t="s">
        <v>23</v>
      </c>
      <c r="C63" s="151">
        <v>66772</v>
      </c>
      <c r="D63" s="152" t="s">
        <v>34</v>
      </c>
      <c r="E63" s="161" t="s">
        <v>39</v>
      </c>
      <c r="F63" s="151"/>
      <c r="G63" s="154" t="s">
        <v>36</v>
      </c>
      <c r="H63" s="151"/>
      <c r="I63" s="151"/>
      <c r="J63" s="151"/>
      <c r="K63" s="151">
        <v>3800</v>
      </c>
      <c r="L63" s="151">
        <f t="shared" si="34"/>
        <v>3800</v>
      </c>
      <c r="M63" s="155" t="s">
        <v>26</v>
      </c>
    </row>
    <row r="64" spans="1:14" ht="13.5" hidden="1" customHeight="1" x14ac:dyDescent="0.2">
      <c r="A64" s="149" t="s">
        <v>281</v>
      </c>
      <c r="B64" s="150" t="s">
        <v>23</v>
      </c>
      <c r="C64" s="151">
        <v>66772</v>
      </c>
      <c r="D64" s="152" t="s">
        <v>34</v>
      </c>
      <c r="E64" s="153" t="s">
        <v>30</v>
      </c>
      <c r="F64" s="151"/>
      <c r="G64" s="154" t="s">
        <v>78</v>
      </c>
      <c r="H64" s="151"/>
      <c r="I64" s="151"/>
      <c r="J64" s="151"/>
      <c r="K64" s="151">
        <v>3000</v>
      </c>
      <c r="L64" s="151">
        <f>K64</f>
        <v>3000</v>
      </c>
      <c r="M64" s="155" t="s">
        <v>180</v>
      </c>
    </row>
    <row r="65" spans="1:13" ht="13.5" hidden="1" customHeight="1" x14ac:dyDescent="0.2">
      <c r="A65" s="149" t="s">
        <v>281</v>
      </c>
      <c r="B65" s="152" t="s">
        <v>14</v>
      </c>
      <c r="C65" s="151">
        <v>8283</v>
      </c>
      <c r="D65" s="152" t="s">
        <v>84</v>
      </c>
      <c r="E65" s="152" t="s">
        <v>25</v>
      </c>
      <c r="F65" s="151"/>
      <c r="G65" s="151"/>
      <c r="H65" s="151"/>
      <c r="I65" s="151"/>
      <c r="J65" s="151"/>
      <c r="K65" s="151">
        <v>4850</v>
      </c>
      <c r="L65" s="151">
        <f t="shared" ref="L65:L66" si="35">K65</f>
        <v>4850</v>
      </c>
      <c r="M65" s="155" t="s">
        <v>277</v>
      </c>
    </row>
    <row r="66" spans="1:13" ht="13.5" hidden="1" customHeight="1" x14ac:dyDescent="0.2">
      <c r="A66" s="149" t="s">
        <v>282</v>
      </c>
      <c r="B66" s="152" t="s">
        <v>14</v>
      </c>
      <c r="C66" s="151">
        <v>7479</v>
      </c>
      <c r="D66" s="152" t="s">
        <v>20</v>
      </c>
      <c r="E66" s="152" t="s">
        <v>25</v>
      </c>
      <c r="F66" s="151"/>
      <c r="G66" s="151"/>
      <c r="H66" s="151"/>
      <c r="I66" s="151"/>
      <c r="J66" s="151">
        <v>1</v>
      </c>
      <c r="K66" s="151">
        <v>6110</v>
      </c>
      <c r="L66" s="151">
        <f t="shared" si="35"/>
        <v>6110</v>
      </c>
      <c r="M66" s="155" t="s">
        <v>37</v>
      </c>
    </row>
    <row r="67" spans="1:13" ht="13.5" hidden="1" customHeight="1" x14ac:dyDescent="0.2">
      <c r="A67" s="149" t="s">
        <v>282</v>
      </c>
      <c r="B67" s="152" t="s">
        <v>14</v>
      </c>
      <c r="C67" s="151">
        <v>7479</v>
      </c>
      <c r="D67" s="152" t="s">
        <v>20</v>
      </c>
      <c r="E67" s="152" t="s">
        <v>21</v>
      </c>
      <c r="F67" s="151">
        <v>100</v>
      </c>
      <c r="G67" s="151">
        <v>0.15</v>
      </c>
      <c r="H67" s="151">
        <f>G67*F67</f>
        <v>15</v>
      </c>
      <c r="I67" s="151">
        <v>80</v>
      </c>
      <c r="J67" s="151">
        <v>1</v>
      </c>
      <c r="K67" s="151">
        <f>F67*I67</f>
        <v>8000</v>
      </c>
      <c r="L67" s="151">
        <f>K67*J67</f>
        <v>8000</v>
      </c>
      <c r="M67" s="155" t="s">
        <v>22</v>
      </c>
    </row>
    <row r="68" spans="1:13" ht="13.5" hidden="1" customHeight="1" x14ac:dyDescent="0.2">
      <c r="A68" s="149" t="s">
        <v>282</v>
      </c>
      <c r="B68" s="152" t="s">
        <v>14</v>
      </c>
      <c r="C68" s="151">
        <v>8283</v>
      </c>
      <c r="D68" s="152" t="s">
        <v>84</v>
      </c>
      <c r="E68" s="152" t="s">
        <v>25</v>
      </c>
      <c r="F68" s="151"/>
      <c r="G68" s="151"/>
      <c r="H68" s="151"/>
      <c r="I68" s="151"/>
      <c r="J68" s="151"/>
      <c r="K68" s="151">
        <v>5000</v>
      </c>
      <c r="L68" s="151">
        <f t="shared" ref="L68:L70" si="36">K68</f>
        <v>5000</v>
      </c>
      <c r="M68" s="155" t="s">
        <v>277</v>
      </c>
    </row>
    <row r="69" spans="1:13" ht="13.5" hidden="1" customHeight="1" x14ac:dyDescent="0.2">
      <c r="A69" s="149" t="s">
        <v>282</v>
      </c>
      <c r="B69" s="150" t="s">
        <v>23</v>
      </c>
      <c r="C69" s="151">
        <v>66772</v>
      </c>
      <c r="D69" s="152" t="s">
        <v>34</v>
      </c>
      <c r="E69" s="157" t="s">
        <v>35</v>
      </c>
      <c r="F69" s="151"/>
      <c r="G69" s="154" t="s">
        <v>77</v>
      </c>
      <c r="H69" s="151"/>
      <c r="I69" s="151"/>
      <c r="J69" s="151"/>
      <c r="K69" s="151">
        <v>4500</v>
      </c>
      <c r="L69" s="151">
        <f t="shared" si="36"/>
        <v>4500</v>
      </c>
      <c r="M69" s="155" t="s">
        <v>179</v>
      </c>
    </row>
    <row r="70" spans="1:13" ht="13.5" hidden="1" customHeight="1" x14ac:dyDescent="0.2">
      <c r="A70" s="149" t="s">
        <v>282</v>
      </c>
      <c r="B70" s="150" t="s">
        <v>23</v>
      </c>
      <c r="C70" s="151">
        <v>66772</v>
      </c>
      <c r="D70" s="152" t="s">
        <v>34</v>
      </c>
      <c r="E70" s="161" t="s">
        <v>39</v>
      </c>
      <c r="F70" s="151"/>
      <c r="G70" s="154" t="s">
        <v>36</v>
      </c>
      <c r="H70" s="151"/>
      <c r="I70" s="151"/>
      <c r="J70" s="151"/>
      <c r="K70" s="151">
        <v>4380</v>
      </c>
      <c r="L70" s="151">
        <f t="shared" si="36"/>
        <v>4380</v>
      </c>
      <c r="M70" s="155" t="s">
        <v>26</v>
      </c>
    </row>
    <row r="71" spans="1:13" ht="13.5" hidden="1" customHeight="1" x14ac:dyDescent="0.2">
      <c r="A71" s="149" t="s">
        <v>282</v>
      </c>
      <c r="B71" s="152" t="s">
        <v>14</v>
      </c>
      <c r="C71" s="151">
        <v>5036</v>
      </c>
      <c r="D71" s="152" t="s">
        <v>16</v>
      </c>
      <c r="E71" s="152" t="s">
        <v>17</v>
      </c>
      <c r="F71" s="151">
        <v>70</v>
      </c>
      <c r="G71" s="151">
        <v>0.32500000000000001</v>
      </c>
      <c r="H71" s="151">
        <f t="shared" ref="H71" si="37">F71*G71</f>
        <v>22.75</v>
      </c>
      <c r="I71" s="151">
        <v>62</v>
      </c>
      <c r="J71" s="151">
        <v>4</v>
      </c>
      <c r="K71" s="151">
        <f t="shared" ref="K71" si="38">F71*I71</f>
        <v>4340</v>
      </c>
      <c r="L71" s="151">
        <f>K71*J71</f>
        <v>17360</v>
      </c>
      <c r="M71" s="155" t="s">
        <v>22</v>
      </c>
    </row>
    <row r="72" spans="1:13" ht="13.5" hidden="1" customHeight="1" x14ac:dyDescent="0.2">
      <c r="A72" s="149" t="s">
        <v>283</v>
      </c>
      <c r="B72" s="150" t="s">
        <v>23</v>
      </c>
      <c r="C72" s="151">
        <v>66772</v>
      </c>
      <c r="D72" s="152" t="s">
        <v>34</v>
      </c>
      <c r="E72" s="157" t="s">
        <v>35</v>
      </c>
      <c r="F72" s="151"/>
      <c r="G72" s="154" t="s">
        <v>77</v>
      </c>
      <c r="H72" s="151"/>
      <c r="I72" s="151"/>
      <c r="J72" s="151"/>
      <c r="K72" s="151">
        <v>4500</v>
      </c>
      <c r="L72" s="151">
        <f t="shared" ref="L72:L73" si="39">K72</f>
        <v>4500</v>
      </c>
      <c r="M72" s="155" t="s">
        <v>179</v>
      </c>
    </row>
    <row r="73" spans="1:13" ht="13.5" hidden="1" customHeight="1" x14ac:dyDescent="0.2">
      <c r="A73" s="149" t="s">
        <v>283</v>
      </c>
      <c r="B73" s="150" t="s">
        <v>23</v>
      </c>
      <c r="C73" s="151">
        <v>66772</v>
      </c>
      <c r="D73" s="152" t="s">
        <v>34</v>
      </c>
      <c r="E73" s="161" t="s">
        <v>39</v>
      </c>
      <c r="F73" s="151"/>
      <c r="G73" s="154" t="s">
        <v>36</v>
      </c>
      <c r="H73" s="151"/>
      <c r="I73" s="151"/>
      <c r="J73" s="151"/>
      <c r="K73" s="151">
        <v>8500</v>
      </c>
      <c r="L73" s="151">
        <f t="shared" si="39"/>
        <v>8500</v>
      </c>
      <c r="M73" s="155" t="s">
        <v>26</v>
      </c>
    </row>
    <row r="74" spans="1:13" ht="13.5" hidden="1" customHeight="1" x14ac:dyDescent="0.2">
      <c r="A74" s="149" t="s">
        <v>283</v>
      </c>
      <c r="B74" s="150" t="s">
        <v>23</v>
      </c>
      <c r="C74" s="151">
        <v>66772</v>
      </c>
      <c r="D74" s="152" t="s">
        <v>34</v>
      </c>
      <c r="E74" s="153" t="s">
        <v>30</v>
      </c>
      <c r="F74" s="151"/>
      <c r="G74" s="154" t="s">
        <v>78</v>
      </c>
      <c r="H74" s="151"/>
      <c r="I74" s="151"/>
      <c r="J74" s="151"/>
      <c r="K74" s="151">
        <v>6700</v>
      </c>
      <c r="L74" s="151">
        <f>K74</f>
        <v>6700</v>
      </c>
      <c r="M74" s="155" t="s">
        <v>180</v>
      </c>
    </row>
    <row r="75" spans="1:13" ht="13.5" hidden="1" customHeight="1" x14ac:dyDescent="0.2">
      <c r="A75" s="149" t="s">
        <v>283</v>
      </c>
      <c r="B75" s="152" t="s">
        <v>14</v>
      </c>
      <c r="C75" s="151">
        <v>5036</v>
      </c>
      <c r="D75" s="152" t="s">
        <v>16</v>
      </c>
      <c r="E75" s="152" t="s">
        <v>17</v>
      </c>
      <c r="F75" s="151">
        <v>137</v>
      </c>
      <c r="G75" s="151">
        <v>0.32500000000000001</v>
      </c>
      <c r="H75" s="151">
        <f t="shared" ref="H75" si="40">F75*G75</f>
        <v>44.524999999999999</v>
      </c>
      <c r="I75" s="151">
        <v>62</v>
      </c>
      <c r="J75" s="151">
        <v>4</v>
      </c>
      <c r="K75" s="151">
        <f t="shared" ref="K75" si="41">F75*I75</f>
        <v>8494</v>
      </c>
      <c r="L75" s="151">
        <f>K75*J75</f>
        <v>33976</v>
      </c>
      <c r="M75" s="155" t="s">
        <v>22</v>
      </c>
    </row>
    <row r="76" spans="1:13" ht="13.5" hidden="1" customHeight="1" x14ac:dyDescent="0.2">
      <c r="A76" s="149" t="s">
        <v>283</v>
      </c>
      <c r="B76" s="152" t="s">
        <v>14</v>
      </c>
      <c r="C76" s="151">
        <v>7479</v>
      </c>
      <c r="D76" s="152" t="s">
        <v>20</v>
      </c>
      <c r="E76" s="152" t="s">
        <v>25</v>
      </c>
      <c r="F76" s="151"/>
      <c r="G76" s="151"/>
      <c r="H76" s="151"/>
      <c r="I76" s="151"/>
      <c r="J76" s="151">
        <v>1</v>
      </c>
      <c r="K76" s="151">
        <v>6100</v>
      </c>
      <c r="L76" s="151">
        <f t="shared" ref="L76:L77" si="42">K76</f>
        <v>6100</v>
      </c>
      <c r="M76" s="155" t="s">
        <v>37</v>
      </c>
    </row>
    <row r="77" spans="1:13" ht="13.5" hidden="1" customHeight="1" x14ac:dyDescent="0.2">
      <c r="A77" s="149" t="s">
        <v>284</v>
      </c>
      <c r="B77" s="152" t="s">
        <v>14</v>
      </c>
      <c r="C77" s="151">
        <v>7479</v>
      </c>
      <c r="D77" s="152" t="s">
        <v>20</v>
      </c>
      <c r="E77" s="152" t="s">
        <v>25</v>
      </c>
      <c r="F77" s="151"/>
      <c r="G77" s="151"/>
      <c r="H77" s="151"/>
      <c r="I77" s="151"/>
      <c r="J77" s="151">
        <v>1</v>
      </c>
      <c r="K77" s="151">
        <v>4760</v>
      </c>
      <c r="L77" s="151">
        <f t="shared" si="42"/>
        <v>4760</v>
      </c>
      <c r="M77" s="155" t="s">
        <v>37</v>
      </c>
    </row>
    <row r="78" spans="1:13" ht="13.5" hidden="1" customHeight="1" x14ac:dyDescent="0.2">
      <c r="A78" s="149" t="s">
        <v>284</v>
      </c>
      <c r="B78" s="152" t="s">
        <v>14</v>
      </c>
      <c r="C78" s="151">
        <v>7479</v>
      </c>
      <c r="D78" s="152" t="s">
        <v>20</v>
      </c>
      <c r="E78" s="152" t="s">
        <v>21</v>
      </c>
      <c r="F78" s="151">
        <v>149</v>
      </c>
      <c r="G78" s="151">
        <v>0.15</v>
      </c>
      <c r="H78" s="151">
        <f>G78*F78</f>
        <v>22.349999999999998</v>
      </c>
      <c r="I78" s="151">
        <v>80</v>
      </c>
      <c r="J78" s="151">
        <v>1</v>
      </c>
      <c r="K78" s="151">
        <f>F78*I78</f>
        <v>11920</v>
      </c>
      <c r="L78" s="151">
        <f>K78*J78</f>
        <v>11920</v>
      </c>
      <c r="M78" s="155" t="s">
        <v>22</v>
      </c>
    </row>
    <row r="79" spans="1:13" ht="13.5" hidden="1" customHeight="1" x14ac:dyDescent="0.2">
      <c r="A79" s="149" t="s">
        <v>284</v>
      </c>
      <c r="B79" s="152" t="s">
        <v>14</v>
      </c>
      <c r="C79" s="151">
        <v>5036</v>
      </c>
      <c r="D79" s="152" t="s">
        <v>16</v>
      </c>
      <c r="E79" s="152" t="s">
        <v>17</v>
      </c>
      <c r="F79" s="151">
        <v>40</v>
      </c>
      <c r="G79" s="151">
        <v>0.32500000000000001</v>
      </c>
      <c r="H79" s="151">
        <f t="shared" ref="H79" si="43">F79*G79</f>
        <v>13</v>
      </c>
      <c r="I79" s="151">
        <v>62</v>
      </c>
      <c r="J79" s="151">
        <v>4</v>
      </c>
      <c r="K79" s="151">
        <f t="shared" ref="K79" si="44">F79*I79</f>
        <v>2480</v>
      </c>
      <c r="L79" s="151">
        <f>K79*J79</f>
        <v>9920</v>
      </c>
      <c r="M79" s="155" t="s">
        <v>22</v>
      </c>
    </row>
    <row r="80" spans="1:13" ht="13.5" hidden="1" customHeight="1" x14ac:dyDescent="0.2">
      <c r="A80" s="149" t="s">
        <v>284</v>
      </c>
      <c r="B80" s="150" t="s">
        <v>23</v>
      </c>
      <c r="C80" s="151">
        <v>66772</v>
      </c>
      <c r="D80" s="152" t="s">
        <v>34</v>
      </c>
      <c r="E80" s="157" t="s">
        <v>35</v>
      </c>
      <c r="F80" s="151"/>
      <c r="G80" s="154" t="s">
        <v>77</v>
      </c>
      <c r="H80" s="151"/>
      <c r="I80" s="151"/>
      <c r="J80" s="151"/>
      <c r="K80" s="151">
        <v>4000</v>
      </c>
      <c r="L80" s="151">
        <f t="shared" ref="L80:L81" si="45">K80</f>
        <v>4000</v>
      </c>
      <c r="M80" s="155" t="s">
        <v>179</v>
      </c>
    </row>
    <row r="81" spans="1:13" ht="13.5" hidden="1" customHeight="1" x14ac:dyDescent="0.2">
      <c r="A81" s="149" t="s">
        <v>284</v>
      </c>
      <c r="B81" s="150" t="s">
        <v>23</v>
      </c>
      <c r="C81" s="151">
        <v>66772</v>
      </c>
      <c r="D81" s="152" t="s">
        <v>34</v>
      </c>
      <c r="E81" s="161" t="s">
        <v>39</v>
      </c>
      <c r="F81" s="151"/>
      <c r="G81" s="154" t="s">
        <v>36</v>
      </c>
      <c r="H81" s="151"/>
      <c r="I81" s="151"/>
      <c r="J81" s="151"/>
      <c r="K81" s="151">
        <v>2500</v>
      </c>
      <c r="L81" s="151">
        <f t="shared" si="45"/>
        <v>2500</v>
      </c>
      <c r="M81" s="155" t="s">
        <v>26</v>
      </c>
    </row>
    <row r="82" spans="1:13" ht="13.5" hidden="1" customHeight="1" x14ac:dyDescent="0.2">
      <c r="A82" s="149" t="s">
        <v>284</v>
      </c>
      <c r="B82" s="150" t="s">
        <v>23</v>
      </c>
      <c r="C82" s="151">
        <v>66772</v>
      </c>
      <c r="D82" s="152" t="s">
        <v>34</v>
      </c>
      <c r="E82" s="153" t="s">
        <v>30</v>
      </c>
      <c r="F82" s="151"/>
      <c r="G82" s="154" t="s">
        <v>78</v>
      </c>
      <c r="H82" s="151"/>
      <c r="I82" s="151"/>
      <c r="J82" s="151"/>
      <c r="K82" s="151">
        <v>2785</v>
      </c>
      <c r="L82" s="151">
        <f>K82</f>
        <v>2785</v>
      </c>
      <c r="M82" s="155" t="s">
        <v>180</v>
      </c>
    </row>
    <row r="83" spans="1:13" ht="13.5" hidden="1" customHeight="1" x14ac:dyDescent="0.2">
      <c r="A83" s="149" t="s">
        <v>284</v>
      </c>
      <c r="B83" s="152" t="s">
        <v>14</v>
      </c>
      <c r="C83" s="151">
        <v>8283</v>
      </c>
      <c r="D83" s="152" t="s">
        <v>84</v>
      </c>
      <c r="E83" s="152" t="s">
        <v>25</v>
      </c>
      <c r="F83" s="151"/>
      <c r="G83" s="151"/>
      <c r="H83" s="151"/>
      <c r="I83" s="151"/>
      <c r="J83" s="151"/>
      <c r="K83" s="151">
        <v>2830</v>
      </c>
      <c r="L83" s="151">
        <f t="shared" ref="L83" si="46">K83</f>
        <v>2830</v>
      </c>
      <c r="M83" s="155" t="s">
        <v>277</v>
      </c>
    </row>
    <row r="84" spans="1:13" ht="13.5" hidden="1" customHeight="1" x14ac:dyDescent="0.2">
      <c r="A84" s="149" t="s">
        <v>284</v>
      </c>
      <c r="B84" s="152" t="s">
        <v>14</v>
      </c>
      <c r="C84" s="151">
        <v>2576</v>
      </c>
      <c r="D84" s="152" t="s">
        <v>84</v>
      </c>
      <c r="E84" s="152" t="s">
        <v>17</v>
      </c>
      <c r="F84" s="151">
        <v>114</v>
      </c>
      <c r="G84" s="151">
        <v>0.1</v>
      </c>
      <c r="H84" s="151">
        <v>18.100000000000001</v>
      </c>
      <c r="I84" s="151">
        <v>17</v>
      </c>
      <c r="J84" s="151">
        <v>1</v>
      </c>
      <c r="K84" s="151">
        <f>F84*I84</f>
        <v>1938</v>
      </c>
      <c r="L84" s="151">
        <f>K84*J84</f>
        <v>1938</v>
      </c>
      <c r="M84" s="155" t="s">
        <v>22</v>
      </c>
    </row>
    <row r="85" spans="1:13" ht="13.5" hidden="1" customHeight="1" x14ac:dyDescent="0.2">
      <c r="A85" s="149" t="s">
        <v>284</v>
      </c>
      <c r="B85" s="152" t="s">
        <v>14</v>
      </c>
      <c r="C85" s="151">
        <v>2576</v>
      </c>
      <c r="D85" s="152" t="s">
        <v>90</v>
      </c>
      <c r="E85" s="152" t="s">
        <v>25</v>
      </c>
      <c r="F85" s="151"/>
      <c r="G85" s="151"/>
      <c r="H85" s="151"/>
      <c r="I85" s="151"/>
      <c r="J85" s="151"/>
      <c r="K85" s="151">
        <v>1000</v>
      </c>
      <c r="L85" s="151">
        <f t="shared" ref="L85" si="47">K85</f>
        <v>1000</v>
      </c>
      <c r="M85" s="155" t="s">
        <v>31</v>
      </c>
    </row>
    <row r="86" spans="1:13" ht="13.5" hidden="1" customHeight="1" x14ac:dyDescent="0.2">
      <c r="A86" s="149" t="s">
        <v>285</v>
      </c>
      <c r="B86" s="152" t="s">
        <v>14</v>
      </c>
      <c r="C86" s="151">
        <v>2576</v>
      </c>
      <c r="D86" s="152" t="s">
        <v>84</v>
      </c>
      <c r="E86" s="152" t="s">
        <v>17</v>
      </c>
      <c r="F86" s="151">
        <v>308</v>
      </c>
      <c r="G86" s="151">
        <v>0.1</v>
      </c>
      <c r="H86" s="151">
        <v>18.100000000000001</v>
      </c>
      <c r="I86" s="151">
        <v>17</v>
      </c>
      <c r="J86" s="151">
        <v>1</v>
      </c>
      <c r="K86" s="151">
        <f>F86*I86</f>
        <v>5236</v>
      </c>
      <c r="L86" s="151">
        <f>K86*J86</f>
        <v>5236</v>
      </c>
      <c r="M86" s="155" t="s">
        <v>22</v>
      </c>
    </row>
    <row r="87" spans="1:13" ht="13.5" hidden="1" customHeight="1" x14ac:dyDescent="0.2">
      <c r="A87" s="149" t="s">
        <v>285</v>
      </c>
      <c r="B87" s="152" t="s">
        <v>14</v>
      </c>
      <c r="C87" s="151">
        <v>2576</v>
      </c>
      <c r="D87" s="152" t="s">
        <v>90</v>
      </c>
      <c r="E87" s="152" t="s">
        <v>25</v>
      </c>
      <c r="F87" s="151"/>
      <c r="G87" s="151"/>
      <c r="H87" s="151"/>
      <c r="I87" s="151"/>
      <c r="J87" s="151"/>
      <c r="K87" s="151">
        <v>6500</v>
      </c>
      <c r="L87" s="151">
        <f t="shared" ref="L87:L88" si="48">K87</f>
        <v>6500</v>
      </c>
      <c r="M87" s="155" t="s">
        <v>31</v>
      </c>
    </row>
    <row r="88" spans="1:13" ht="13.5" hidden="1" customHeight="1" x14ac:dyDescent="0.2">
      <c r="A88" s="149" t="s">
        <v>285</v>
      </c>
      <c r="B88" s="152" t="s">
        <v>14</v>
      </c>
      <c r="C88" s="151">
        <v>7479</v>
      </c>
      <c r="D88" s="152" t="s">
        <v>20</v>
      </c>
      <c r="E88" s="152" t="s">
        <v>25</v>
      </c>
      <c r="F88" s="151"/>
      <c r="G88" s="151"/>
      <c r="H88" s="151"/>
      <c r="I88" s="151"/>
      <c r="J88" s="151">
        <v>1</v>
      </c>
      <c r="K88" s="151">
        <v>8900</v>
      </c>
      <c r="L88" s="151">
        <f t="shared" si="48"/>
        <v>8900</v>
      </c>
      <c r="M88" s="155" t="s">
        <v>37</v>
      </c>
    </row>
    <row r="89" spans="1:13" ht="13.5" hidden="1" customHeight="1" x14ac:dyDescent="0.2">
      <c r="A89" s="149" t="s">
        <v>285</v>
      </c>
      <c r="B89" s="152" t="s">
        <v>14</v>
      </c>
      <c r="C89" s="151">
        <v>7479</v>
      </c>
      <c r="D89" s="152" t="s">
        <v>20</v>
      </c>
      <c r="E89" s="152" t="s">
        <v>21</v>
      </c>
      <c r="F89" s="151">
        <v>76</v>
      </c>
      <c r="G89" s="151">
        <v>0.15</v>
      </c>
      <c r="H89" s="151">
        <f>G89*F89</f>
        <v>11.4</v>
      </c>
      <c r="I89" s="151">
        <v>80</v>
      </c>
      <c r="J89" s="151">
        <v>1</v>
      </c>
      <c r="K89" s="151">
        <f>F89*I89</f>
        <v>6080</v>
      </c>
      <c r="L89" s="151">
        <f>K89*J89</f>
        <v>6080</v>
      </c>
      <c r="M89" s="155" t="s">
        <v>22</v>
      </c>
    </row>
    <row r="90" spans="1:13" ht="13.5" hidden="1" customHeight="1" x14ac:dyDescent="0.2">
      <c r="A90" s="149" t="s">
        <v>285</v>
      </c>
      <c r="B90" s="152" t="s">
        <v>14</v>
      </c>
      <c r="C90" s="151">
        <v>8283</v>
      </c>
      <c r="D90" s="152" t="s">
        <v>84</v>
      </c>
      <c r="E90" s="152" t="s">
        <v>25</v>
      </c>
      <c r="F90" s="151"/>
      <c r="G90" s="151"/>
      <c r="H90" s="151"/>
      <c r="I90" s="151"/>
      <c r="J90" s="151"/>
      <c r="K90" s="151">
        <v>4400</v>
      </c>
      <c r="L90" s="151">
        <f t="shared" ref="L90:L94" si="49">K90</f>
        <v>4400</v>
      </c>
      <c r="M90" s="155" t="s">
        <v>277</v>
      </c>
    </row>
    <row r="91" spans="1:13" ht="13.5" hidden="1" customHeight="1" x14ac:dyDescent="0.2">
      <c r="A91" s="149" t="s">
        <v>285</v>
      </c>
      <c r="B91" s="150" t="s">
        <v>23</v>
      </c>
      <c r="C91" s="151">
        <v>66772</v>
      </c>
      <c r="D91" s="152" t="s">
        <v>34</v>
      </c>
      <c r="E91" s="157" t="s">
        <v>35</v>
      </c>
      <c r="F91" s="151"/>
      <c r="G91" s="154" t="s">
        <v>77</v>
      </c>
      <c r="H91" s="151"/>
      <c r="I91" s="151"/>
      <c r="J91" s="151"/>
      <c r="K91" s="151">
        <v>4000</v>
      </c>
      <c r="L91" s="151">
        <f t="shared" si="49"/>
        <v>4000</v>
      </c>
      <c r="M91" s="155" t="s">
        <v>179</v>
      </c>
    </row>
    <row r="92" spans="1:13" ht="13.5" hidden="1" customHeight="1" x14ac:dyDescent="0.2">
      <c r="A92" s="149" t="s">
        <v>285</v>
      </c>
      <c r="B92" s="150" t="s">
        <v>23</v>
      </c>
      <c r="C92" s="151">
        <v>66772</v>
      </c>
      <c r="D92" s="152" t="s">
        <v>34</v>
      </c>
      <c r="E92" s="161" t="s">
        <v>39</v>
      </c>
      <c r="F92" s="151"/>
      <c r="G92" s="154" t="s">
        <v>36</v>
      </c>
      <c r="H92" s="151"/>
      <c r="I92" s="151"/>
      <c r="J92" s="151"/>
      <c r="K92" s="151">
        <v>2800</v>
      </c>
      <c r="L92" s="151">
        <f t="shared" si="49"/>
        <v>2800</v>
      </c>
      <c r="M92" s="155" t="s">
        <v>26</v>
      </c>
    </row>
    <row r="93" spans="1:13" ht="13.5" hidden="1" customHeight="1" x14ac:dyDescent="0.2">
      <c r="A93" s="149" t="s">
        <v>286</v>
      </c>
      <c r="B93" s="152" t="s">
        <v>14</v>
      </c>
      <c r="C93" s="151">
        <v>7479</v>
      </c>
      <c r="D93" s="152" t="s">
        <v>20</v>
      </c>
      <c r="E93" s="152" t="s">
        <v>21</v>
      </c>
      <c r="F93" s="151">
        <v>15</v>
      </c>
      <c r="G93" s="151">
        <v>0.15</v>
      </c>
      <c r="H93" s="151">
        <f>G93*F93</f>
        <v>2.25</v>
      </c>
      <c r="I93" s="151">
        <v>80</v>
      </c>
      <c r="J93" s="151">
        <v>1</v>
      </c>
      <c r="K93" s="151">
        <f>F93*I93</f>
        <v>1200</v>
      </c>
      <c r="L93" s="151">
        <f>K93*J93</f>
        <v>1200</v>
      </c>
      <c r="M93" s="155" t="s">
        <v>22</v>
      </c>
    </row>
    <row r="94" spans="1:13" ht="13.5" hidden="1" customHeight="1" x14ac:dyDescent="0.2">
      <c r="A94" s="149" t="s">
        <v>286</v>
      </c>
      <c r="B94" s="152" t="s">
        <v>14</v>
      </c>
      <c r="C94" s="151">
        <v>7479</v>
      </c>
      <c r="D94" s="152" t="s">
        <v>20</v>
      </c>
      <c r="E94" s="152" t="s">
        <v>25</v>
      </c>
      <c r="F94" s="151"/>
      <c r="G94" s="151"/>
      <c r="H94" s="151"/>
      <c r="I94" s="151"/>
      <c r="J94" s="151">
        <v>1</v>
      </c>
      <c r="K94" s="151">
        <v>2800</v>
      </c>
      <c r="L94" s="151">
        <f t="shared" si="49"/>
        <v>2800</v>
      </c>
      <c r="M94" s="155" t="s">
        <v>37</v>
      </c>
    </row>
    <row r="95" spans="1:13" ht="13.5" hidden="1" customHeight="1" x14ac:dyDescent="0.2">
      <c r="A95" s="149" t="s">
        <v>286</v>
      </c>
      <c r="B95" s="152" t="s">
        <v>14</v>
      </c>
      <c r="C95" s="151">
        <v>2576</v>
      </c>
      <c r="D95" s="152" t="s">
        <v>84</v>
      </c>
      <c r="E95" s="152" t="s">
        <v>17</v>
      </c>
      <c r="F95" s="151">
        <v>231</v>
      </c>
      <c r="G95" s="151">
        <v>0.1</v>
      </c>
      <c r="H95" s="151">
        <v>18.100000000000001</v>
      </c>
      <c r="I95" s="151">
        <v>17</v>
      </c>
      <c r="J95" s="151">
        <v>1</v>
      </c>
      <c r="K95" s="151">
        <f>F95*I95</f>
        <v>3927</v>
      </c>
      <c r="L95" s="151">
        <f>K95*J95</f>
        <v>3927</v>
      </c>
      <c r="M95" s="155" t="s">
        <v>22</v>
      </c>
    </row>
    <row r="96" spans="1:13" ht="13.5" hidden="1" customHeight="1" x14ac:dyDescent="0.2">
      <c r="A96" s="149" t="s">
        <v>286</v>
      </c>
      <c r="B96" s="152" t="s">
        <v>14</v>
      </c>
      <c r="C96" s="151">
        <v>2576</v>
      </c>
      <c r="D96" s="152" t="s">
        <v>90</v>
      </c>
      <c r="E96" s="152" t="s">
        <v>25</v>
      </c>
      <c r="F96" s="151"/>
      <c r="G96" s="151"/>
      <c r="H96" s="151"/>
      <c r="I96" s="151"/>
      <c r="J96" s="151"/>
      <c r="K96" s="151">
        <v>1400</v>
      </c>
      <c r="L96" s="151">
        <f t="shared" ref="L96" si="50">K96</f>
        <v>1400</v>
      </c>
      <c r="M96" s="155" t="s">
        <v>31</v>
      </c>
    </row>
    <row r="97" spans="1:13" ht="13.5" hidden="1" customHeight="1" x14ac:dyDescent="0.2">
      <c r="A97" s="149" t="s">
        <v>286</v>
      </c>
      <c r="B97" s="150" t="s">
        <v>23</v>
      </c>
      <c r="C97" s="151">
        <v>66772</v>
      </c>
      <c r="D97" s="152" t="s">
        <v>34</v>
      </c>
      <c r="E97" s="157" t="s">
        <v>35</v>
      </c>
      <c r="F97" s="151"/>
      <c r="G97" s="154" t="s">
        <v>77</v>
      </c>
      <c r="H97" s="151"/>
      <c r="I97" s="151"/>
      <c r="J97" s="151"/>
      <c r="K97" s="151">
        <v>3500</v>
      </c>
      <c r="L97" s="151">
        <f t="shared" ref="L97:L98" si="51">K97</f>
        <v>3500</v>
      </c>
      <c r="M97" s="155" t="s">
        <v>179</v>
      </c>
    </row>
    <row r="98" spans="1:13" ht="13.5" hidden="1" customHeight="1" x14ac:dyDescent="0.2">
      <c r="A98" s="149" t="s">
        <v>286</v>
      </c>
      <c r="B98" s="150" t="s">
        <v>23</v>
      </c>
      <c r="C98" s="151">
        <v>66772</v>
      </c>
      <c r="D98" s="152" t="s">
        <v>34</v>
      </c>
      <c r="E98" s="161" t="s">
        <v>39</v>
      </c>
      <c r="F98" s="151"/>
      <c r="G98" s="154" t="s">
        <v>36</v>
      </c>
      <c r="H98" s="151"/>
      <c r="I98" s="151"/>
      <c r="J98" s="151"/>
      <c r="K98" s="151">
        <v>8500</v>
      </c>
      <c r="L98" s="151">
        <f t="shared" si="51"/>
        <v>8500</v>
      </c>
      <c r="M98" s="155" t="s">
        <v>26</v>
      </c>
    </row>
    <row r="99" spans="1:13" ht="13.5" hidden="1" customHeight="1" x14ac:dyDescent="0.2">
      <c r="A99" s="149" t="s">
        <v>286</v>
      </c>
      <c r="B99" s="150" t="s">
        <v>23</v>
      </c>
      <c r="C99" s="151">
        <v>66772</v>
      </c>
      <c r="D99" s="152" t="s">
        <v>34</v>
      </c>
      <c r="E99" s="153" t="s">
        <v>30</v>
      </c>
      <c r="F99" s="151"/>
      <c r="G99" s="154" t="s">
        <v>78</v>
      </c>
      <c r="H99" s="151"/>
      <c r="I99" s="151"/>
      <c r="J99" s="151"/>
      <c r="K99" s="151">
        <v>4000</v>
      </c>
      <c r="L99" s="151">
        <f>K99</f>
        <v>4000</v>
      </c>
      <c r="M99" s="155" t="s">
        <v>180</v>
      </c>
    </row>
    <row r="100" spans="1:13" ht="13.5" hidden="1" customHeight="1" x14ac:dyDescent="0.2">
      <c r="A100" s="149" t="s">
        <v>286</v>
      </c>
      <c r="B100" s="165" t="s">
        <v>41</v>
      </c>
      <c r="C100" s="151" t="s">
        <v>42</v>
      </c>
      <c r="D100" s="152" t="s">
        <v>93</v>
      </c>
      <c r="E100" s="152" t="s">
        <v>21</v>
      </c>
      <c r="F100" s="151">
        <v>25</v>
      </c>
      <c r="G100" s="151">
        <v>0</v>
      </c>
      <c r="H100" s="151">
        <f>G100*F100</f>
        <v>0</v>
      </c>
      <c r="I100" s="151">
        <v>42</v>
      </c>
      <c r="J100" s="151">
        <v>4</v>
      </c>
      <c r="K100" s="151">
        <f>F100*I100</f>
        <v>1050</v>
      </c>
      <c r="L100" s="151">
        <f>K100*J100</f>
        <v>4200</v>
      </c>
      <c r="M100" s="155" t="s">
        <v>91</v>
      </c>
    </row>
    <row r="101" spans="1:13" ht="13.5" hidden="1" customHeight="1" x14ac:dyDescent="0.2">
      <c r="A101" s="149" t="s">
        <v>286</v>
      </c>
      <c r="B101" s="152" t="s">
        <v>14</v>
      </c>
      <c r="C101" s="151" t="s">
        <v>83</v>
      </c>
      <c r="D101" s="152" t="s">
        <v>84</v>
      </c>
      <c r="E101" s="152" t="s">
        <v>17</v>
      </c>
      <c r="F101" s="151">
        <v>9</v>
      </c>
      <c r="G101" s="151">
        <v>0.44</v>
      </c>
      <c r="H101" s="151">
        <v>22</v>
      </c>
      <c r="I101" s="151">
        <v>50</v>
      </c>
      <c r="J101" s="151">
        <v>1</v>
      </c>
      <c r="K101" s="151">
        <f t="shared" ref="K101" si="52">F101*I101</f>
        <v>450</v>
      </c>
      <c r="L101" s="151">
        <f t="shared" ref="L101" si="53">K101*J101</f>
        <v>450</v>
      </c>
      <c r="M101" s="155" t="s">
        <v>22</v>
      </c>
    </row>
    <row r="102" spans="1:13" ht="13.5" hidden="1" customHeight="1" x14ac:dyDescent="0.2">
      <c r="A102" s="149" t="s">
        <v>286</v>
      </c>
      <c r="B102" s="152" t="s">
        <v>14</v>
      </c>
      <c r="C102" s="151">
        <v>5875</v>
      </c>
      <c r="D102" s="152" t="s">
        <v>20</v>
      </c>
      <c r="E102" s="152" t="s">
        <v>287</v>
      </c>
      <c r="F102" s="151"/>
      <c r="G102" s="151"/>
      <c r="H102" s="151"/>
      <c r="I102" s="151"/>
      <c r="J102" s="151">
        <v>1</v>
      </c>
      <c r="K102" s="151">
        <v>750</v>
      </c>
      <c r="L102" s="151">
        <f t="shared" ref="L102" si="54">K102</f>
        <v>750</v>
      </c>
      <c r="M102" s="155" t="s">
        <v>37</v>
      </c>
    </row>
    <row r="103" spans="1:13" ht="13.5" hidden="1" customHeight="1" x14ac:dyDescent="0.2">
      <c r="A103" s="149" t="s">
        <v>286</v>
      </c>
      <c r="B103" s="152" t="s">
        <v>14</v>
      </c>
      <c r="C103" s="151">
        <v>5875</v>
      </c>
      <c r="D103" s="152" t="s">
        <v>20</v>
      </c>
      <c r="E103" s="152" t="s">
        <v>288</v>
      </c>
      <c r="F103" s="151"/>
      <c r="G103" s="151"/>
      <c r="H103" s="151"/>
      <c r="I103" s="151"/>
      <c r="J103" s="151">
        <v>1</v>
      </c>
      <c r="K103" s="151">
        <v>750</v>
      </c>
      <c r="L103" s="151">
        <f t="shared" ref="L103" si="55">K103</f>
        <v>750</v>
      </c>
      <c r="M103" s="155" t="s">
        <v>91</v>
      </c>
    </row>
    <row r="104" spans="1:13" ht="13.5" hidden="1" customHeight="1" x14ac:dyDescent="0.2">
      <c r="A104" s="149" t="s">
        <v>286</v>
      </c>
      <c r="B104" s="152" t="s">
        <v>14</v>
      </c>
      <c r="C104" s="151">
        <v>5875</v>
      </c>
      <c r="D104" s="152" t="s">
        <v>20</v>
      </c>
      <c r="E104" s="152" t="s">
        <v>289</v>
      </c>
      <c r="F104" s="151"/>
      <c r="G104" s="151"/>
      <c r="H104" s="151"/>
      <c r="I104" s="151"/>
      <c r="J104" s="151">
        <v>1</v>
      </c>
      <c r="K104" s="151">
        <v>750</v>
      </c>
      <c r="L104" s="151">
        <f t="shared" ref="L104" si="56">K104</f>
        <v>750</v>
      </c>
      <c r="M104" s="155" t="s">
        <v>181</v>
      </c>
    </row>
    <row r="105" spans="1:13" ht="13.5" hidden="1" customHeight="1" x14ac:dyDescent="0.2">
      <c r="A105" s="149" t="s">
        <v>290</v>
      </c>
      <c r="B105" s="152" t="s">
        <v>14</v>
      </c>
      <c r="C105" s="151" t="s">
        <v>83</v>
      </c>
      <c r="D105" s="152" t="s">
        <v>84</v>
      </c>
      <c r="E105" s="152" t="s">
        <v>17</v>
      </c>
      <c r="F105" s="151">
        <v>93</v>
      </c>
      <c r="G105" s="151">
        <v>0.44</v>
      </c>
      <c r="H105" s="151">
        <v>22</v>
      </c>
      <c r="I105" s="151">
        <v>50</v>
      </c>
      <c r="J105" s="151">
        <v>1</v>
      </c>
      <c r="K105" s="151">
        <f t="shared" ref="K105" si="57">F105*I105</f>
        <v>4650</v>
      </c>
      <c r="L105" s="151">
        <f t="shared" ref="L105" si="58">K105*J105</f>
        <v>4650</v>
      </c>
      <c r="M105" s="155" t="s">
        <v>22</v>
      </c>
    </row>
    <row r="106" spans="1:13" ht="13.5" hidden="1" customHeight="1" x14ac:dyDescent="0.2">
      <c r="A106" s="149" t="s">
        <v>290</v>
      </c>
      <c r="B106" s="150" t="s">
        <v>23</v>
      </c>
      <c r="C106" s="151">
        <v>66772</v>
      </c>
      <c r="D106" s="152" t="s">
        <v>34</v>
      </c>
      <c r="E106" s="157" t="s">
        <v>35</v>
      </c>
      <c r="F106" s="151"/>
      <c r="G106" s="154" t="s">
        <v>77</v>
      </c>
      <c r="H106" s="151"/>
      <c r="I106" s="151"/>
      <c r="J106" s="151"/>
      <c r="K106" s="151">
        <v>5000</v>
      </c>
      <c r="L106" s="151">
        <f t="shared" ref="L106:L107" si="59">K106</f>
        <v>5000</v>
      </c>
      <c r="M106" s="155" t="s">
        <v>179</v>
      </c>
    </row>
    <row r="107" spans="1:13" ht="13.5" hidden="1" customHeight="1" x14ac:dyDescent="0.2">
      <c r="A107" s="149" t="s">
        <v>290</v>
      </c>
      <c r="B107" s="150" t="s">
        <v>23</v>
      </c>
      <c r="C107" s="151">
        <v>66772</v>
      </c>
      <c r="D107" s="152" t="s">
        <v>34</v>
      </c>
      <c r="E107" s="161" t="s">
        <v>39</v>
      </c>
      <c r="F107" s="151"/>
      <c r="G107" s="154" t="s">
        <v>36</v>
      </c>
      <c r="H107" s="151"/>
      <c r="I107" s="151"/>
      <c r="J107" s="151"/>
      <c r="K107" s="151">
        <v>5100</v>
      </c>
      <c r="L107" s="151">
        <f t="shared" si="59"/>
        <v>5100</v>
      </c>
      <c r="M107" s="155" t="s">
        <v>26</v>
      </c>
    </row>
    <row r="108" spans="1:13" ht="13.5" hidden="1" customHeight="1" x14ac:dyDescent="0.2">
      <c r="A108" s="149" t="s">
        <v>290</v>
      </c>
      <c r="B108" s="150" t="s">
        <v>23</v>
      </c>
      <c r="C108" s="151">
        <v>66772</v>
      </c>
      <c r="D108" s="152" t="s">
        <v>34</v>
      </c>
      <c r="E108" s="153" t="s">
        <v>30</v>
      </c>
      <c r="F108" s="151"/>
      <c r="G108" s="154" t="s">
        <v>78</v>
      </c>
      <c r="H108" s="151"/>
      <c r="I108" s="151"/>
      <c r="J108" s="151"/>
      <c r="K108" s="151">
        <v>7320</v>
      </c>
      <c r="L108" s="151">
        <f>K108</f>
        <v>7320</v>
      </c>
      <c r="M108" s="155" t="s">
        <v>180</v>
      </c>
    </row>
    <row r="109" spans="1:13" ht="13.5" hidden="1" customHeight="1" x14ac:dyDescent="0.2">
      <c r="A109" s="149" t="s">
        <v>290</v>
      </c>
      <c r="B109" s="152" t="s">
        <v>14</v>
      </c>
      <c r="C109" s="151">
        <v>5875</v>
      </c>
      <c r="D109" s="152" t="s">
        <v>20</v>
      </c>
      <c r="E109" s="152" t="s">
        <v>287</v>
      </c>
      <c r="F109" s="151"/>
      <c r="G109" s="151"/>
      <c r="H109" s="151"/>
      <c r="I109" s="151"/>
      <c r="J109" s="151">
        <v>1</v>
      </c>
      <c r="K109" s="151">
        <v>1475</v>
      </c>
      <c r="L109" s="151">
        <f t="shared" ref="L109:L111" si="60">K109</f>
        <v>1475</v>
      </c>
      <c r="M109" s="155" t="s">
        <v>37</v>
      </c>
    </row>
    <row r="110" spans="1:13" ht="13.5" hidden="1" customHeight="1" x14ac:dyDescent="0.2">
      <c r="A110" s="149" t="s">
        <v>290</v>
      </c>
      <c r="B110" s="152" t="s">
        <v>14</v>
      </c>
      <c r="C110" s="151">
        <v>5875</v>
      </c>
      <c r="D110" s="152" t="s">
        <v>20</v>
      </c>
      <c r="E110" s="152" t="s">
        <v>288</v>
      </c>
      <c r="F110" s="151"/>
      <c r="G110" s="151"/>
      <c r="H110" s="151"/>
      <c r="I110" s="151"/>
      <c r="J110" s="151">
        <v>1</v>
      </c>
      <c r="K110" s="151">
        <v>1475</v>
      </c>
      <c r="L110" s="151">
        <f t="shared" si="60"/>
        <v>1475</v>
      </c>
      <c r="M110" s="155" t="s">
        <v>91</v>
      </c>
    </row>
    <row r="111" spans="1:13" ht="13.5" hidden="1" customHeight="1" x14ac:dyDescent="0.2">
      <c r="A111" s="149" t="s">
        <v>290</v>
      </c>
      <c r="B111" s="152" t="s">
        <v>14</v>
      </c>
      <c r="C111" s="151">
        <v>5875</v>
      </c>
      <c r="D111" s="152" t="s">
        <v>20</v>
      </c>
      <c r="E111" s="152" t="s">
        <v>289</v>
      </c>
      <c r="F111" s="151"/>
      <c r="G111" s="151"/>
      <c r="H111" s="151"/>
      <c r="I111" s="151"/>
      <c r="J111" s="151">
        <v>1</v>
      </c>
      <c r="K111" s="151">
        <v>1475</v>
      </c>
      <c r="L111" s="151">
        <f t="shared" si="60"/>
        <v>1475</v>
      </c>
      <c r="M111" s="155" t="s">
        <v>181</v>
      </c>
    </row>
    <row r="112" spans="1:13" ht="13.5" hidden="1" customHeight="1" x14ac:dyDescent="0.2">
      <c r="A112" s="149" t="s">
        <v>261</v>
      </c>
      <c r="B112" s="152" t="s">
        <v>14</v>
      </c>
      <c r="C112" s="151" t="s">
        <v>86</v>
      </c>
      <c r="D112" s="152" t="s">
        <v>84</v>
      </c>
      <c r="E112" s="152" t="s">
        <v>17</v>
      </c>
      <c r="F112" s="151">
        <v>125</v>
      </c>
      <c r="G112" s="151">
        <v>0.46</v>
      </c>
      <c r="H112" s="151">
        <v>36.340000000000003</v>
      </c>
      <c r="I112" s="151">
        <v>38</v>
      </c>
      <c r="J112" s="151">
        <v>1</v>
      </c>
      <c r="K112" s="151">
        <f t="shared" ref="K112" si="61">F112*I112</f>
        <v>4750</v>
      </c>
      <c r="L112" s="151">
        <f t="shared" ref="L112" si="62">K112*J112</f>
        <v>4750</v>
      </c>
      <c r="M112" s="155" t="s">
        <v>22</v>
      </c>
    </row>
    <row r="113" spans="1:13" ht="13.5" hidden="1" customHeight="1" x14ac:dyDescent="0.2">
      <c r="A113" s="149" t="s">
        <v>261</v>
      </c>
      <c r="B113" s="150" t="s">
        <v>23</v>
      </c>
      <c r="C113" s="151">
        <v>66772</v>
      </c>
      <c r="D113" s="152" t="s">
        <v>34</v>
      </c>
      <c r="E113" s="157" t="s">
        <v>35</v>
      </c>
      <c r="F113" s="151"/>
      <c r="G113" s="154" t="s">
        <v>77</v>
      </c>
      <c r="H113" s="151"/>
      <c r="I113" s="151"/>
      <c r="J113" s="151"/>
      <c r="K113" s="151">
        <v>4300</v>
      </c>
      <c r="L113" s="151">
        <f t="shared" ref="L113:L114" si="63">K113</f>
        <v>4300</v>
      </c>
      <c r="M113" s="155" t="s">
        <v>179</v>
      </c>
    </row>
    <row r="114" spans="1:13" ht="13.5" hidden="1" customHeight="1" x14ac:dyDescent="0.2">
      <c r="A114" s="149" t="s">
        <v>261</v>
      </c>
      <c r="B114" s="150" t="s">
        <v>23</v>
      </c>
      <c r="C114" s="151">
        <v>66772</v>
      </c>
      <c r="D114" s="152" t="s">
        <v>34</v>
      </c>
      <c r="E114" s="161" t="s">
        <v>39</v>
      </c>
      <c r="F114" s="151"/>
      <c r="G114" s="154" t="s">
        <v>36</v>
      </c>
      <c r="H114" s="151"/>
      <c r="I114" s="151"/>
      <c r="J114" s="151"/>
      <c r="K114" s="151">
        <v>5000</v>
      </c>
      <c r="L114" s="151">
        <f t="shared" si="63"/>
        <v>5000</v>
      </c>
      <c r="M114" s="155" t="s">
        <v>26</v>
      </c>
    </row>
    <row r="115" spans="1:13" ht="13.5" hidden="1" customHeight="1" x14ac:dyDescent="0.2">
      <c r="A115" s="149" t="s">
        <v>261</v>
      </c>
      <c r="B115" s="150" t="s">
        <v>23</v>
      </c>
      <c r="C115" s="151">
        <v>66772</v>
      </c>
      <c r="D115" s="152" t="s">
        <v>34</v>
      </c>
      <c r="E115" s="153" t="s">
        <v>30</v>
      </c>
      <c r="F115" s="151"/>
      <c r="G115" s="154" t="s">
        <v>78</v>
      </c>
      <c r="H115" s="151"/>
      <c r="I115" s="151"/>
      <c r="J115" s="151"/>
      <c r="K115" s="151">
        <v>8000</v>
      </c>
      <c r="L115" s="151">
        <f>K115</f>
        <v>8000</v>
      </c>
      <c r="M115" s="155" t="s">
        <v>180</v>
      </c>
    </row>
    <row r="116" spans="1:13" ht="13.5" hidden="1" customHeight="1" x14ac:dyDescent="0.2">
      <c r="A116" s="149" t="s">
        <v>261</v>
      </c>
      <c r="B116" s="152" t="s">
        <v>14</v>
      </c>
      <c r="C116" s="151">
        <v>5875</v>
      </c>
      <c r="D116" s="152" t="s">
        <v>20</v>
      </c>
      <c r="E116" s="152" t="s">
        <v>287</v>
      </c>
      <c r="F116" s="151"/>
      <c r="G116" s="151"/>
      <c r="H116" s="151"/>
      <c r="I116" s="151"/>
      <c r="J116" s="151">
        <v>1</v>
      </c>
      <c r="K116" s="151">
        <v>1500</v>
      </c>
      <c r="L116" s="151">
        <f t="shared" ref="L116:L117" si="64">K116</f>
        <v>1500</v>
      </c>
      <c r="M116" s="155" t="s">
        <v>37</v>
      </c>
    </row>
    <row r="117" spans="1:13" ht="13.5" hidden="1" customHeight="1" x14ac:dyDescent="0.2">
      <c r="A117" s="149" t="s">
        <v>261</v>
      </c>
      <c r="B117" s="152" t="s">
        <v>14</v>
      </c>
      <c r="C117" s="151">
        <v>5875</v>
      </c>
      <c r="D117" s="152" t="s">
        <v>20</v>
      </c>
      <c r="E117" s="152" t="s">
        <v>288</v>
      </c>
      <c r="F117" s="151"/>
      <c r="G117" s="151"/>
      <c r="H117" s="151"/>
      <c r="I117" s="151"/>
      <c r="J117" s="151">
        <v>1</v>
      </c>
      <c r="K117" s="151">
        <v>1500</v>
      </c>
      <c r="L117" s="151">
        <f t="shared" si="64"/>
        <v>1500</v>
      </c>
      <c r="M117" s="155" t="s">
        <v>91</v>
      </c>
    </row>
    <row r="118" spans="1:13" ht="13.5" hidden="1" customHeight="1" x14ac:dyDescent="0.2">
      <c r="A118" s="149" t="s">
        <v>261</v>
      </c>
      <c r="B118" s="152" t="s">
        <v>14</v>
      </c>
      <c r="C118" s="151">
        <v>5875</v>
      </c>
      <c r="D118" s="152" t="s">
        <v>20</v>
      </c>
      <c r="E118" s="152" t="s">
        <v>288</v>
      </c>
      <c r="F118" s="151"/>
      <c r="G118" s="151"/>
      <c r="H118" s="151"/>
      <c r="I118" s="151"/>
      <c r="J118" s="151">
        <v>1</v>
      </c>
      <c r="K118" s="151">
        <v>3300</v>
      </c>
      <c r="L118" s="151">
        <f t="shared" ref="L118:L120" si="65">K118</f>
        <v>3300</v>
      </c>
      <c r="M118" s="155" t="s">
        <v>91</v>
      </c>
    </row>
    <row r="119" spans="1:13" ht="13.5" hidden="1" customHeight="1" x14ac:dyDescent="0.2">
      <c r="A119" s="149" t="s">
        <v>261</v>
      </c>
      <c r="B119" s="167" t="s">
        <v>27</v>
      </c>
      <c r="C119" s="166" t="s">
        <v>28</v>
      </c>
      <c r="D119" s="152" t="s">
        <v>29</v>
      </c>
      <c r="E119" s="152" t="s">
        <v>30</v>
      </c>
      <c r="F119" s="151"/>
      <c r="G119" s="151"/>
      <c r="H119" s="151"/>
      <c r="I119" s="151"/>
      <c r="J119" s="151"/>
      <c r="K119" s="151">
        <v>750</v>
      </c>
      <c r="L119" s="151">
        <f t="shared" si="65"/>
        <v>750</v>
      </c>
      <c r="M119" s="155" t="s">
        <v>31</v>
      </c>
    </row>
    <row r="120" spans="1:13" ht="13.5" hidden="1" customHeight="1" x14ac:dyDescent="0.2">
      <c r="A120" s="149" t="s">
        <v>262</v>
      </c>
      <c r="B120" s="150" t="s">
        <v>23</v>
      </c>
      <c r="C120" s="151">
        <v>66772</v>
      </c>
      <c r="D120" s="152" t="s">
        <v>34</v>
      </c>
      <c r="E120" s="157" t="s">
        <v>35</v>
      </c>
      <c r="F120" s="151"/>
      <c r="G120" s="154" t="s">
        <v>77</v>
      </c>
      <c r="H120" s="151"/>
      <c r="I120" s="151"/>
      <c r="J120" s="151"/>
      <c r="K120" s="151">
        <v>3300</v>
      </c>
      <c r="L120" s="151">
        <f t="shared" si="65"/>
        <v>3300</v>
      </c>
      <c r="M120" s="155" t="s">
        <v>179</v>
      </c>
    </row>
    <row r="121" spans="1:13" ht="13.5" hidden="1" customHeight="1" x14ac:dyDescent="0.2">
      <c r="A121" s="149" t="s">
        <v>262</v>
      </c>
      <c r="B121" s="167" t="s">
        <v>27</v>
      </c>
      <c r="C121" s="166" t="s">
        <v>28</v>
      </c>
      <c r="D121" s="152" t="s">
        <v>29</v>
      </c>
      <c r="E121" s="152" t="s">
        <v>30</v>
      </c>
      <c r="F121" s="151"/>
      <c r="G121" s="151"/>
      <c r="H121" s="151"/>
      <c r="I121" s="151"/>
      <c r="J121" s="151"/>
      <c r="K121" s="151">
        <v>2600</v>
      </c>
      <c r="L121" s="151">
        <f t="shared" ref="L121" si="66">K121</f>
        <v>2600</v>
      </c>
      <c r="M121" s="155" t="s">
        <v>31</v>
      </c>
    </row>
    <row r="122" spans="1:13" ht="13.5" hidden="1" customHeight="1" x14ac:dyDescent="0.2">
      <c r="A122" s="149" t="s">
        <v>262</v>
      </c>
      <c r="B122" s="152" t="s">
        <v>14</v>
      </c>
      <c r="C122" s="151" t="s">
        <v>86</v>
      </c>
      <c r="D122" s="152" t="s">
        <v>84</v>
      </c>
      <c r="E122" s="152" t="s">
        <v>17</v>
      </c>
      <c r="F122" s="151">
        <v>7</v>
      </c>
      <c r="G122" s="151">
        <v>0.46</v>
      </c>
      <c r="H122" s="151">
        <v>36.340000000000003</v>
      </c>
      <c r="I122" s="151">
        <v>38</v>
      </c>
      <c r="J122" s="151">
        <v>1</v>
      </c>
      <c r="K122" s="151">
        <f t="shared" ref="K122" si="67">F122*I122</f>
        <v>266</v>
      </c>
      <c r="L122" s="151">
        <f t="shared" ref="L122" si="68">K122*J122</f>
        <v>266</v>
      </c>
      <c r="M122" s="155" t="s">
        <v>22</v>
      </c>
    </row>
    <row r="123" spans="1:13" ht="13.5" hidden="1" customHeight="1" x14ac:dyDescent="0.2">
      <c r="A123" s="149" t="s">
        <v>262</v>
      </c>
      <c r="B123" s="150" t="s">
        <v>23</v>
      </c>
      <c r="C123" s="151">
        <v>66772</v>
      </c>
      <c r="D123" s="152" t="s">
        <v>34</v>
      </c>
      <c r="E123" s="153" t="s">
        <v>30</v>
      </c>
      <c r="F123" s="151"/>
      <c r="G123" s="154" t="s">
        <v>78</v>
      </c>
      <c r="H123" s="151"/>
      <c r="I123" s="151"/>
      <c r="J123" s="151"/>
      <c r="K123" s="151">
        <v>6000</v>
      </c>
      <c r="L123" s="151">
        <f>K123</f>
        <v>6000</v>
      </c>
      <c r="M123" s="155" t="s">
        <v>180</v>
      </c>
    </row>
    <row r="124" spans="1:13" ht="13.5" hidden="1" customHeight="1" x14ac:dyDescent="0.2">
      <c r="A124" s="149" t="s">
        <v>262</v>
      </c>
      <c r="B124" s="152" t="s">
        <v>14</v>
      </c>
      <c r="C124" s="151">
        <v>8283</v>
      </c>
      <c r="D124" s="152" t="s">
        <v>84</v>
      </c>
      <c r="E124" s="152" t="s">
        <v>25</v>
      </c>
      <c r="F124" s="151"/>
      <c r="G124" s="151"/>
      <c r="H124" s="151"/>
      <c r="I124" s="151"/>
      <c r="J124" s="151"/>
      <c r="K124" s="151">
        <v>6030</v>
      </c>
      <c r="L124" s="151">
        <f t="shared" ref="L124:L126" si="69">K124</f>
        <v>6030</v>
      </c>
      <c r="M124" s="155" t="s">
        <v>277</v>
      </c>
    </row>
    <row r="125" spans="1:13" ht="13.5" hidden="1" customHeight="1" x14ac:dyDescent="0.2">
      <c r="A125" s="149" t="s">
        <v>262</v>
      </c>
      <c r="B125" s="150" t="s">
        <v>23</v>
      </c>
      <c r="C125" s="151">
        <v>65548</v>
      </c>
      <c r="D125" s="156" t="s">
        <v>24</v>
      </c>
      <c r="E125" s="157" t="s">
        <v>25</v>
      </c>
      <c r="F125" s="151"/>
      <c r="G125" s="154"/>
      <c r="H125" s="151"/>
      <c r="I125" s="151"/>
      <c r="J125" s="151"/>
      <c r="K125" s="151">
        <v>6200</v>
      </c>
      <c r="L125" s="151">
        <f t="shared" si="69"/>
        <v>6200</v>
      </c>
      <c r="M125" s="155" t="s">
        <v>179</v>
      </c>
    </row>
    <row r="126" spans="1:13" ht="13.5" hidden="1" customHeight="1" x14ac:dyDescent="0.2">
      <c r="A126" s="149" t="s">
        <v>262</v>
      </c>
      <c r="B126" s="150" t="s">
        <v>23</v>
      </c>
      <c r="C126" s="151">
        <v>65548</v>
      </c>
      <c r="D126" s="156" t="s">
        <v>24</v>
      </c>
      <c r="E126" s="157" t="s">
        <v>30</v>
      </c>
      <c r="F126" s="151"/>
      <c r="G126" s="154"/>
      <c r="H126" s="151"/>
      <c r="I126" s="151"/>
      <c r="J126" s="151"/>
      <c r="K126" s="151">
        <v>6600</v>
      </c>
      <c r="L126" s="151">
        <f t="shared" si="69"/>
        <v>6600</v>
      </c>
      <c r="M126" s="155" t="s">
        <v>180</v>
      </c>
    </row>
    <row r="127" spans="1:13" ht="13.5" customHeight="1" x14ac:dyDescent="0.2">
      <c r="A127" s="149" t="s">
        <v>262</v>
      </c>
      <c r="B127" s="152" t="s">
        <v>14</v>
      </c>
      <c r="C127" s="151" t="s">
        <v>192</v>
      </c>
      <c r="D127" s="152" t="s">
        <v>84</v>
      </c>
      <c r="E127" s="152" t="s">
        <v>21</v>
      </c>
      <c r="F127" s="151">
        <v>55</v>
      </c>
      <c r="G127" s="151">
        <v>0.42</v>
      </c>
      <c r="H127" s="151">
        <v>27.3</v>
      </c>
      <c r="I127" s="151">
        <v>66</v>
      </c>
      <c r="J127" s="151">
        <v>1</v>
      </c>
      <c r="K127" s="151">
        <f t="shared" ref="K127" si="70">F127*I127</f>
        <v>3630</v>
      </c>
      <c r="L127" s="151">
        <f>K127*J127</f>
        <v>3630</v>
      </c>
      <c r="M127" s="155" t="s">
        <v>22</v>
      </c>
    </row>
    <row r="128" spans="1:13" ht="13.5" hidden="1" customHeight="1" x14ac:dyDescent="0.2">
      <c r="A128" s="149" t="s">
        <v>262</v>
      </c>
      <c r="B128" s="152" t="s">
        <v>14</v>
      </c>
      <c r="C128" s="151">
        <v>7479</v>
      </c>
      <c r="D128" s="152" t="s">
        <v>20</v>
      </c>
      <c r="E128" s="152" t="s">
        <v>25</v>
      </c>
      <c r="F128" s="151"/>
      <c r="G128" s="151"/>
      <c r="H128" s="151"/>
      <c r="I128" s="151"/>
      <c r="J128" s="151">
        <v>1</v>
      </c>
      <c r="K128" s="151">
        <v>4200</v>
      </c>
      <c r="L128" s="151">
        <f t="shared" ref="L128:L129" si="71">K128</f>
        <v>4200</v>
      </c>
      <c r="M128" s="155" t="s">
        <v>37</v>
      </c>
    </row>
    <row r="129" spans="1:13" ht="13.5" hidden="1" customHeight="1" x14ac:dyDescent="0.2">
      <c r="A129" s="149" t="s">
        <v>264</v>
      </c>
      <c r="B129" s="167" t="s">
        <v>27</v>
      </c>
      <c r="C129" s="166" t="s">
        <v>28</v>
      </c>
      <c r="D129" s="152" t="s">
        <v>29</v>
      </c>
      <c r="E129" s="152" t="s">
        <v>30</v>
      </c>
      <c r="F129" s="151"/>
      <c r="G129" s="151"/>
      <c r="H129" s="151"/>
      <c r="I129" s="151"/>
      <c r="J129" s="151"/>
      <c r="K129" s="151">
        <v>700</v>
      </c>
      <c r="L129" s="151">
        <f t="shared" si="71"/>
        <v>700</v>
      </c>
      <c r="M129" s="155" t="s">
        <v>31</v>
      </c>
    </row>
    <row r="130" spans="1:13" ht="13.5" hidden="1" customHeight="1" x14ac:dyDescent="0.2">
      <c r="A130" s="149" t="s">
        <v>264</v>
      </c>
      <c r="B130" s="152" t="s">
        <v>14</v>
      </c>
      <c r="C130" s="151">
        <v>7479</v>
      </c>
      <c r="D130" s="152" t="s">
        <v>20</v>
      </c>
      <c r="E130" s="152" t="s">
        <v>25</v>
      </c>
      <c r="F130" s="151"/>
      <c r="G130" s="151"/>
      <c r="H130" s="151"/>
      <c r="I130" s="151"/>
      <c r="J130" s="151">
        <v>1</v>
      </c>
      <c r="K130" s="151">
        <v>7000</v>
      </c>
      <c r="L130" s="151">
        <f t="shared" ref="L130" si="72">K130</f>
        <v>7000</v>
      </c>
      <c r="M130" s="155" t="s">
        <v>37</v>
      </c>
    </row>
    <row r="131" spans="1:13" ht="13.5" customHeight="1" x14ac:dyDescent="0.2">
      <c r="A131" s="149" t="s">
        <v>264</v>
      </c>
      <c r="B131" s="152" t="s">
        <v>14</v>
      </c>
      <c r="C131" s="151" t="s">
        <v>192</v>
      </c>
      <c r="D131" s="152" t="s">
        <v>84</v>
      </c>
      <c r="E131" s="152" t="s">
        <v>21</v>
      </c>
      <c r="F131" s="151">
        <v>11</v>
      </c>
      <c r="G131" s="151">
        <v>0.42</v>
      </c>
      <c r="H131" s="151">
        <v>27.3</v>
      </c>
      <c r="I131" s="151">
        <v>66</v>
      </c>
      <c r="J131" s="151">
        <v>1</v>
      </c>
      <c r="K131" s="151">
        <f t="shared" ref="K131" si="73">F131*I131</f>
        <v>726</v>
      </c>
      <c r="L131" s="151">
        <f>K131*J131</f>
        <v>726</v>
      </c>
      <c r="M131" s="155" t="s">
        <v>22</v>
      </c>
    </row>
    <row r="132" spans="1:13" ht="13.5" hidden="1" customHeight="1" x14ac:dyDescent="0.2">
      <c r="A132" s="149" t="s">
        <v>264</v>
      </c>
      <c r="B132" s="150" t="s">
        <v>23</v>
      </c>
      <c r="C132" s="151">
        <v>65548</v>
      </c>
      <c r="D132" s="156" t="s">
        <v>24</v>
      </c>
      <c r="E132" s="157" t="s">
        <v>25</v>
      </c>
      <c r="F132" s="151"/>
      <c r="G132" s="154"/>
      <c r="H132" s="151"/>
      <c r="I132" s="151"/>
      <c r="J132" s="151"/>
      <c r="K132" s="151">
        <v>2500</v>
      </c>
      <c r="L132" s="151">
        <f t="shared" ref="L132:L135" si="74">K132</f>
        <v>2500</v>
      </c>
      <c r="M132" s="155" t="s">
        <v>179</v>
      </c>
    </row>
    <row r="133" spans="1:13" ht="13.5" hidden="1" customHeight="1" x14ac:dyDescent="0.2">
      <c r="A133" s="149" t="s">
        <v>264</v>
      </c>
      <c r="B133" s="150" t="s">
        <v>23</v>
      </c>
      <c r="C133" s="151">
        <v>65548</v>
      </c>
      <c r="D133" s="156" t="s">
        <v>24</v>
      </c>
      <c r="E133" s="157" t="s">
        <v>30</v>
      </c>
      <c r="F133" s="151"/>
      <c r="G133" s="154"/>
      <c r="H133" s="151"/>
      <c r="I133" s="151"/>
      <c r="J133" s="151"/>
      <c r="K133" s="151">
        <v>5400</v>
      </c>
      <c r="L133" s="151">
        <f t="shared" si="74"/>
        <v>5400</v>
      </c>
      <c r="M133" s="155" t="s">
        <v>180</v>
      </c>
    </row>
    <row r="134" spans="1:13" ht="13.5" hidden="1" customHeight="1" x14ac:dyDescent="0.2">
      <c r="A134" s="149" t="s">
        <v>264</v>
      </c>
      <c r="B134" s="152" t="s">
        <v>14</v>
      </c>
      <c r="C134" s="151">
        <v>2576</v>
      </c>
      <c r="D134" s="152" t="s">
        <v>90</v>
      </c>
      <c r="E134" s="152" t="s">
        <v>25</v>
      </c>
      <c r="F134" s="151"/>
      <c r="G134" s="151"/>
      <c r="H134" s="151"/>
      <c r="I134" s="151"/>
      <c r="J134" s="151"/>
      <c r="K134" s="151">
        <v>2000</v>
      </c>
      <c r="L134" s="151">
        <f t="shared" si="74"/>
        <v>2000</v>
      </c>
      <c r="M134" s="155" t="s">
        <v>31</v>
      </c>
    </row>
    <row r="135" spans="1:13" ht="13.5" hidden="1" customHeight="1" x14ac:dyDescent="0.2">
      <c r="A135" s="149" t="s">
        <v>264</v>
      </c>
      <c r="B135" s="150" t="s">
        <v>23</v>
      </c>
      <c r="C135" s="151">
        <v>66772</v>
      </c>
      <c r="D135" s="152" t="s">
        <v>34</v>
      </c>
      <c r="E135" s="161" t="s">
        <v>39</v>
      </c>
      <c r="F135" s="151"/>
      <c r="G135" s="154" t="s">
        <v>36</v>
      </c>
      <c r="H135" s="151"/>
      <c r="I135" s="151"/>
      <c r="J135" s="151"/>
      <c r="K135" s="151">
        <v>3000</v>
      </c>
      <c r="L135" s="151">
        <f t="shared" si="74"/>
        <v>3000</v>
      </c>
      <c r="M135" s="155" t="s">
        <v>26</v>
      </c>
    </row>
    <row r="136" spans="1:13" ht="13.5" hidden="1" customHeight="1" x14ac:dyDescent="0.2">
      <c r="A136" s="149" t="s">
        <v>264</v>
      </c>
      <c r="B136" s="150" t="s">
        <v>23</v>
      </c>
      <c r="C136" s="151">
        <v>66772</v>
      </c>
      <c r="D136" s="152" t="s">
        <v>34</v>
      </c>
      <c r="E136" s="153" t="s">
        <v>30</v>
      </c>
      <c r="F136" s="151"/>
      <c r="G136" s="154" t="s">
        <v>78</v>
      </c>
      <c r="H136" s="151"/>
      <c r="I136" s="151"/>
      <c r="J136" s="151"/>
      <c r="K136" s="151">
        <v>700</v>
      </c>
      <c r="L136" s="151">
        <f>K136</f>
        <v>700</v>
      </c>
      <c r="M136" s="155" t="s">
        <v>180</v>
      </c>
    </row>
    <row r="137" spans="1:13" ht="13.5" hidden="1" customHeight="1" x14ac:dyDescent="0.2">
      <c r="A137" s="149" t="s">
        <v>265</v>
      </c>
      <c r="B137" s="150" t="s">
        <v>23</v>
      </c>
      <c r="C137" s="151">
        <v>66772</v>
      </c>
      <c r="D137" s="152" t="s">
        <v>34</v>
      </c>
      <c r="E137" s="161" t="s">
        <v>39</v>
      </c>
      <c r="F137" s="151"/>
      <c r="G137" s="154" t="s">
        <v>36</v>
      </c>
      <c r="H137" s="151"/>
      <c r="I137" s="151"/>
      <c r="J137" s="151"/>
      <c r="K137" s="151">
        <v>6200</v>
      </c>
      <c r="L137" s="151">
        <f t="shared" ref="L137" si="75">K137</f>
        <v>6200</v>
      </c>
      <c r="M137" s="155" t="s">
        <v>26</v>
      </c>
    </row>
    <row r="138" spans="1:13" ht="13.5" hidden="1" customHeight="1" x14ac:dyDescent="0.2">
      <c r="A138" s="149" t="s">
        <v>265</v>
      </c>
      <c r="B138" s="150" t="s">
        <v>23</v>
      </c>
      <c r="C138" s="151">
        <v>66772</v>
      </c>
      <c r="D138" s="152" t="s">
        <v>34</v>
      </c>
      <c r="E138" s="153" t="s">
        <v>30</v>
      </c>
      <c r="F138" s="151"/>
      <c r="G138" s="154" t="s">
        <v>78</v>
      </c>
      <c r="H138" s="151"/>
      <c r="I138" s="151"/>
      <c r="J138" s="151"/>
      <c r="K138" s="151">
        <v>4250</v>
      </c>
      <c r="L138" s="151">
        <f>K138</f>
        <v>4250</v>
      </c>
      <c r="M138" s="155" t="s">
        <v>180</v>
      </c>
    </row>
    <row r="139" spans="1:13" ht="13.5" hidden="1" customHeight="1" x14ac:dyDescent="0.2">
      <c r="A139" s="149" t="s">
        <v>265</v>
      </c>
      <c r="B139" s="152" t="s">
        <v>14</v>
      </c>
      <c r="C139" s="151">
        <v>8283</v>
      </c>
      <c r="D139" s="152" t="s">
        <v>84</v>
      </c>
      <c r="E139" s="152" t="s">
        <v>25</v>
      </c>
      <c r="F139" s="151"/>
      <c r="G139" s="151"/>
      <c r="H139" s="151"/>
      <c r="I139" s="151"/>
      <c r="J139" s="151"/>
      <c r="K139" s="151">
        <v>3500</v>
      </c>
      <c r="L139" s="151">
        <f t="shared" ref="L139" si="76">K139</f>
        <v>3500</v>
      </c>
      <c r="M139" s="155" t="s">
        <v>277</v>
      </c>
    </row>
    <row r="140" spans="1:13" ht="13.5" hidden="1" customHeight="1" x14ac:dyDescent="0.2">
      <c r="A140" s="149" t="s">
        <v>265</v>
      </c>
      <c r="B140" s="152" t="s">
        <v>14</v>
      </c>
      <c r="C140" s="151">
        <v>7479</v>
      </c>
      <c r="D140" s="152" t="s">
        <v>20</v>
      </c>
      <c r="E140" s="152" t="s">
        <v>21</v>
      </c>
      <c r="F140" s="151">
        <v>100</v>
      </c>
      <c r="G140" s="151">
        <v>0.15</v>
      </c>
      <c r="H140" s="151">
        <f>G140*F140</f>
        <v>15</v>
      </c>
      <c r="I140" s="151">
        <v>80</v>
      </c>
      <c r="J140" s="151">
        <v>1</v>
      </c>
      <c r="K140" s="151">
        <f>F140*I140</f>
        <v>8000</v>
      </c>
      <c r="L140" s="151">
        <f>K140*J140</f>
        <v>8000</v>
      </c>
      <c r="M140" s="155" t="s">
        <v>22</v>
      </c>
    </row>
    <row r="141" spans="1:13" ht="13.5" hidden="1" customHeight="1" x14ac:dyDescent="0.2">
      <c r="A141" s="149" t="s">
        <v>265</v>
      </c>
      <c r="B141" s="152" t="s">
        <v>14</v>
      </c>
      <c r="C141" s="151">
        <v>7479</v>
      </c>
      <c r="D141" s="152" t="s">
        <v>20</v>
      </c>
      <c r="E141" s="152" t="s">
        <v>25</v>
      </c>
      <c r="F141" s="151"/>
      <c r="G141" s="151"/>
      <c r="H141" s="151"/>
      <c r="I141" s="151"/>
      <c r="J141" s="151">
        <v>1</v>
      </c>
      <c r="K141" s="151">
        <v>3000</v>
      </c>
      <c r="L141" s="151">
        <f t="shared" ref="L141:L142" si="77">K141</f>
        <v>3000</v>
      </c>
      <c r="M141" s="155" t="s">
        <v>37</v>
      </c>
    </row>
    <row r="142" spans="1:13" ht="13.5" hidden="1" customHeight="1" x14ac:dyDescent="0.2">
      <c r="A142" s="149" t="s">
        <v>265</v>
      </c>
      <c r="B142" s="152" t="s">
        <v>14</v>
      </c>
      <c r="C142" s="151">
        <v>2576</v>
      </c>
      <c r="D142" s="152" t="s">
        <v>90</v>
      </c>
      <c r="E142" s="152" t="s">
        <v>25</v>
      </c>
      <c r="F142" s="151"/>
      <c r="G142" s="151"/>
      <c r="H142" s="151"/>
      <c r="I142" s="151"/>
      <c r="J142" s="151"/>
      <c r="K142" s="151">
        <v>3000</v>
      </c>
      <c r="L142" s="151">
        <f t="shared" si="77"/>
        <v>3000</v>
      </c>
      <c r="M142" s="155" t="s">
        <v>31</v>
      </c>
    </row>
    <row r="143" spans="1:13" ht="13.5" hidden="1" customHeight="1" x14ac:dyDescent="0.2">
      <c r="A143" s="149" t="s">
        <v>266</v>
      </c>
      <c r="B143" s="152" t="s">
        <v>14</v>
      </c>
      <c r="C143" s="151">
        <v>7479</v>
      </c>
      <c r="D143" s="152" t="s">
        <v>20</v>
      </c>
      <c r="E143" s="152" t="s">
        <v>21</v>
      </c>
      <c r="F143" s="151">
        <v>12</v>
      </c>
      <c r="G143" s="151">
        <v>0.15</v>
      </c>
      <c r="H143" s="151">
        <f>G143*F143</f>
        <v>1.7999999999999998</v>
      </c>
      <c r="I143" s="151">
        <v>80</v>
      </c>
      <c r="J143" s="151">
        <v>1</v>
      </c>
      <c r="K143" s="151">
        <f>F143*I143</f>
        <v>960</v>
      </c>
      <c r="L143" s="151">
        <f>K143*J143</f>
        <v>960</v>
      </c>
      <c r="M143" s="155" t="s">
        <v>22</v>
      </c>
    </row>
    <row r="144" spans="1:13" ht="13.5" hidden="1" customHeight="1" x14ac:dyDescent="0.2">
      <c r="A144" s="149" t="s">
        <v>266</v>
      </c>
      <c r="B144" s="152" t="s">
        <v>14</v>
      </c>
      <c r="C144" s="151">
        <v>7479</v>
      </c>
      <c r="D144" s="152" t="s">
        <v>20</v>
      </c>
      <c r="E144" s="152" t="s">
        <v>25</v>
      </c>
      <c r="F144" s="151"/>
      <c r="G144" s="151"/>
      <c r="H144" s="151"/>
      <c r="I144" s="151"/>
      <c r="J144" s="151">
        <v>1</v>
      </c>
      <c r="K144" s="151">
        <v>7500</v>
      </c>
      <c r="L144" s="151">
        <f t="shared" ref="L144:L147" si="78">K144</f>
        <v>7500</v>
      </c>
      <c r="M144" s="155" t="s">
        <v>37</v>
      </c>
    </row>
    <row r="145" spans="1:13" ht="13.5" customHeight="1" x14ac:dyDescent="0.2">
      <c r="A145" s="149" t="s">
        <v>266</v>
      </c>
      <c r="B145" s="152" t="s">
        <v>14</v>
      </c>
      <c r="C145" s="151" t="s">
        <v>192</v>
      </c>
      <c r="D145" s="152" t="s">
        <v>84</v>
      </c>
      <c r="E145" s="152" t="s">
        <v>25</v>
      </c>
      <c r="F145" s="151"/>
      <c r="G145" s="151"/>
      <c r="H145" s="151"/>
      <c r="I145" s="151"/>
      <c r="J145" s="151"/>
      <c r="K145" s="151">
        <v>4250</v>
      </c>
      <c r="L145" s="151">
        <f t="shared" si="78"/>
        <v>4250</v>
      </c>
      <c r="M145" s="155" t="s">
        <v>37</v>
      </c>
    </row>
    <row r="146" spans="1:13" ht="13.5" hidden="1" customHeight="1" x14ac:dyDescent="0.2">
      <c r="A146" s="149" t="s">
        <v>266</v>
      </c>
      <c r="B146" s="152" t="s">
        <v>14</v>
      </c>
      <c r="C146" s="151">
        <v>8283</v>
      </c>
      <c r="D146" s="152" t="s">
        <v>84</v>
      </c>
      <c r="E146" s="152" t="s">
        <v>25</v>
      </c>
      <c r="F146" s="151"/>
      <c r="G146" s="151"/>
      <c r="H146" s="151"/>
      <c r="I146" s="151"/>
      <c r="J146" s="151"/>
      <c r="K146" s="151">
        <v>580</v>
      </c>
      <c r="L146" s="151">
        <f t="shared" si="78"/>
        <v>580</v>
      </c>
      <c r="M146" s="155" t="s">
        <v>277</v>
      </c>
    </row>
    <row r="147" spans="1:13" ht="13.5" hidden="1" customHeight="1" x14ac:dyDescent="0.2">
      <c r="A147" s="149" t="s">
        <v>266</v>
      </c>
      <c r="B147" s="150" t="s">
        <v>23</v>
      </c>
      <c r="C147" s="151">
        <v>66772</v>
      </c>
      <c r="D147" s="152" t="s">
        <v>34</v>
      </c>
      <c r="E147" s="161" t="s">
        <v>39</v>
      </c>
      <c r="F147" s="151"/>
      <c r="G147" s="154" t="s">
        <v>36</v>
      </c>
      <c r="H147" s="151"/>
      <c r="I147" s="151"/>
      <c r="J147" s="151"/>
      <c r="K147" s="151">
        <v>2465</v>
      </c>
      <c r="L147" s="151">
        <f t="shared" si="78"/>
        <v>2465</v>
      </c>
      <c r="M147" s="155" t="s">
        <v>26</v>
      </c>
    </row>
    <row r="148" spans="1:13" ht="13.5" hidden="1" customHeight="1" x14ac:dyDescent="0.2">
      <c r="A148" s="149" t="s">
        <v>266</v>
      </c>
      <c r="B148" s="150" t="s">
        <v>23</v>
      </c>
      <c r="C148" s="151">
        <v>66772</v>
      </c>
      <c r="D148" s="152" t="s">
        <v>34</v>
      </c>
      <c r="E148" s="153" t="s">
        <v>30</v>
      </c>
      <c r="F148" s="151"/>
      <c r="G148" s="154" t="s">
        <v>78</v>
      </c>
      <c r="H148" s="151"/>
      <c r="I148" s="151"/>
      <c r="J148" s="151"/>
      <c r="K148" s="151">
        <v>2159</v>
      </c>
      <c r="L148" s="151">
        <f>K148</f>
        <v>2159</v>
      </c>
      <c r="M148" s="155" t="s">
        <v>180</v>
      </c>
    </row>
    <row r="149" spans="1:13" ht="13.5" hidden="1" customHeight="1" x14ac:dyDescent="0.2">
      <c r="A149" s="149" t="s">
        <v>266</v>
      </c>
      <c r="B149" s="152" t="s">
        <v>14</v>
      </c>
      <c r="C149" s="151" t="s">
        <v>71</v>
      </c>
      <c r="D149" s="152" t="s">
        <v>72</v>
      </c>
      <c r="E149" s="152" t="s">
        <v>21</v>
      </c>
      <c r="F149" s="151">
        <v>79</v>
      </c>
      <c r="G149" s="151">
        <v>1.095</v>
      </c>
      <c r="H149" s="151">
        <f>F149*G149</f>
        <v>86.504999999999995</v>
      </c>
      <c r="I149" s="151">
        <v>58</v>
      </c>
      <c r="J149" s="151">
        <v>1</v>
      </c>
      <c r="K149" s="151">
        <f t="shared" ref="K149" si="79">F149*I149</f>
        <v>4582</v>
      </c>
      <c r="L149" s="151">
        <f t="shared" ref="L149" si="80">K149*J149</f>
        <v>4582</v>
      </c>
      <c r="M149" s="155" t="s">
        <v>18</v>
      </c>
    </row>
    <row r="150" spans="1:13" ht="13.5" hidden="1" customHeight="1" x14ac:dyDescent="0.2">
      <c r="A150" s="149" t="s">
        <v>266</v>
      </c>
      <c r="B150" s="167" t="s">
        <v>27</v>
      </c>
      <c r="C150" s="166" t="s">
        <v>28</v>
      </c>
      <c r="D150" s="152" t="s">
        <v>29</v>
      </c>
      <c r="E150" s="152" t="s">
        <v>30</v>
      </c>
      <c r="F150" s="151"/>
      <c r="G150" s="151"/>
      <c r="H150" s="151"/>
      <c r="I150" s="151"/>
      <c r="J150" s="151"/>
      <c r="K150" s="151">
        <v>700</v>
      </c>
      <c r="L150" s="151">
        <f t="shared" ref="L150:L152" si="81">K150</f>
        <v>700</v>
      </c>
      <c r="M150" s="155" t="s">
        <v>31</v>
      </c>
    </row>
    <row r="151" spans="1:13" ht="13.5" hidden="1" customHeight="1" x14ac:dyDescent="0.2">
      <c r="A151" s="149" t="s">
        <v>266</v>
      </c>
      <c r="B151" s="152" t="s">
        <v>14</v>
      </c>
      <c r="C151" s="151" t="s">
        <v>86</v>
      </c>
      <c r="D151" s="152" t="s">
        <v>84</v>
      </c>
      <c r="E151" s="152" t="s">
        <v>25</v>
      </c>
      <c r="F151" s="151"/>
      <c r="G151" s="151"/>
      <c r="H151" s="151"/>
      <c r="I151" s="151"/>
      <c r="J151" s="151"/>
      <c r="K151" s="151">
        <v>600</v>
      </c>
      <c r="L151" s="152">
        <f t="shared" si="81"/>
        <v>600</v>
      </c>
      <c r="M151" s="155" t="s">
        <v>37</v>
      </c>
    </row>
    <row r="152" spans="1:13" ht="13.5" hidden="1" customHeight="1" x14ac:dyDescent="0.2">
      <c r="A152" s="149" t="s">
        <v>266</v>
      </c>
      <c r="B152" s="152" t="s">
        <v>14</v>
      </c>
      <c r="C152" s="151" t="s">
        <v>83</v>
      </c>
      <c r="D152" s="152" t="s">
        <v>84</v>
      </c>
      <c r="E152" s="152" t="s">
        <v>25</v>
      </c>
      <c r="F152" s="151"/>
      <c r="G152" s="151"/>
      <c r="H152" s="151"/>
      <c r="I152" s="151"/>
      <c r="J152" s="151"/>
      <c r="K152" s="151">
        <v>1500</v>
      </c>
      <c r="L152" s="152">
        <f t="shared" si="81"/>
        <v>1500</v>
      </c>
      <c r="M152" s="155" t="s">
        <v>22</v>
      </c>
    </row>
    <row r="153" spans="1:13" ht="13.5" hidden="1" customHeight="1" x14ac:dyDescent="0.2">
      <c r="A153" s="149" t="s">
        <v>291</v>
      </c>
      <c r="B153" s="152" t="s">
        <v>14</v>
      </c>
      <c r="C153" s="151" t="s">
        <v>86</v>
      </c>
      <c r="D153" s="152" t="s">
        <v>84</v>
      </c>
      <c r="E153" s="152" t="s">
        <v>25</v>
      </c>
      <c r="F153" s="151"/>
      <c r="G153" s="151"/>
      <c r="H153" s="151"/>
      <c r="I153" s="151"/>
      <c r="J153" s="151"/>
      <c r="K153" s="151">
        <v>4400</v>
      </c>
      <c r="L153" s="152">
        <f t="shared" ref="L153:L156" si="82">K153</f>
        <v>4400</v>
      </c>
      <c r="M153" s="155" t="s">
        <v>37</v>
      </c>
    </row>
    <row r="154" spans="1:13" ht="13.5" hidden="1" customHeight="1" x14ac:dyDescent="0.2">
      <c r="A154" s="149" t="s">
        <v>291</v>
      </c>
      <c r="B154" s="152" t="s">
        <v>14</v>
      </c>
      <c r="C154" s="151" t="s">
        <v>83</v>
      </c>
      <c r="D154" s="152" t="s">
        <v>84</v>
      </c>
      <c r="E154" s="152" t="s">
        <v>25</v>
      </c>
      <c r="F154" s="151"/>
      <c r="G154" s="151"/>
      <c r="H154" s="151"/>
      <c r="I154" s="151"/>
      <c r="J154" s="151"/>
      <c r="K154" s="151">
        <v>4550</v>
      </c>
      <c r="L154" s="152">
        <f t="shared" si="82"/>
        <v>4550</v>
      </c>
      <c r="M154" s="155" t="s">
        <v>22</v>
      </c>
    </row>
    <row r="155" spans="1:13" ht="13.5" hidden="1" customHeight="1" x14ac:dyDescent="0.2">
      <c r="A155" s="149" t="s">
        <v>291</v>
      </c>
      <c r="B155" s="152" t="s">
        <v>14</v>
      </c>
      <c r="C155" s="151">
        <v>7479</v>
      </c>
      <c r="D155" s="152" t="s">
        <v>20</v>
      </c>
      <c r="E155" s="152" t="s">
        <v>21</v>
      </c>
      <c r="F155" s="151">
        <v>25</v>
      </c>
      <c r="G155" s="151">
        <v>0.15</v>
      </c>
      <c r="H155" s="151">
        <f>G155*F155</f>
        <v>3.75</v>
      </c>
      <c r="I155" s="151">
        <v>80</v>
      </c>
      <c r="J155" s="151">
        <v>1</v>
      </c>
      <c r="K155" s="151">
        <f>F155*I155</f>
        <v>2000</v>
      </c>
      <c r="L155" s="151">
        <f>K155*J155</f>
        <v>2000</v>
      </c>
      <c r="M155" s="155" t="s">
        <v>22</v>
      </c>
    </row>
    <row r="156" spans="1:13" ht="13.5" hidden="1" customHeight="1" x14ac:dyDescent="0.2">
      <c r="A156" s="149" t="s">
        <v>291</v>
      </c>
      <c r="B156" s="152" t="s">
        <v>14</v>
      </c>
      <c r="C156" s="151">
        <v>7479</v>
      </c>
      <c r="D156" s="152" t="s">
        <v>20</v>
      </c>
      <c r="E156" s="152" t="s">
        <v>25</v>
      </c>
      <c r="F156" s="151"/>
      <c r="G156" s="151"/>
      <c r="H156" s="151"/>
      <c r="I156" s="151"/>
      <c r="J156" s="151">
        <v>1</v>
      </c>
      <c r="K156" s="151">
        <v>9000</v>
      </c>
      <c r="L156" s="151">
        <f t="shared" si="82"/>
        <v>9000</v>
      </c>
      <c r="M156" s="155" t="s">
        <v>37</v>
      </c>
    </row>
    <row r="157" spans="1:13" ht="13.5" hidden="1" customHeight="1" x14ac:dyDescent="0.2">
      <c r="A157" s="149" t="s">
        <v>291</v>
      </c>
      <c r="B157" s="152" t="s">
        <v>14</v>
      </c>
      <c r="C157" s="151" t="s">
        <v>71</v>
      </c>
      <c r="D157" s="152" t="s">
        <v>72</v>
      </c>
      <c r="E157" s="152" t="s">
        <v>21</v>
      </c>
      <c r="F157" s="151">
        <v>252</v>
      </c>
      <c r="G157" s="151">
        <v>1.095</v>
      </c>
      <c r="H157" s="151">
        <f>F157*G157</f>
        <v>275.94</v>
      </c>
      <c r="I157" s="151">
        <v>58</v>
      </c>
      <c r="J157" s="151">
        <v>1</v>
      </c>
      <c r="K157" s="151">
        <f t="shared" ref="K157:K158" si="83">F157*I157</f>
        <v>14616</v>
      </c>
      <c r="L157" s="151">
        <f t="shared" ref="L157" si="84">K157*J157</f>
        <v>14616</v>
      </c>
      <c r="M157" s="155" t="s">
        <v>18</v>
      </c>
    </row>
    <row r="158" spans="1:13" ht="13.5" hidden="1" customHeight="1" x14ac:dyDescent="0.2">
      <c r="A158" s="149" t="s">
        <v>291</v>
      </c>
      <c r="B158" s="152" t="s">
        <v>14</v>
      </c>
      <c r="C158" s="151">
        <v>12028</v>
      </c>
      <c r="D158" s="152" t="s">
        <v>16</v>
      </c>
      <c r="E158" s="152" t="s">
        <v>17</v>
      </c>
      <c r="F158" s="151">
        <v>68</v>
      </c>
      <c r="G158" s="151">
        <v>0.67500000000000004</v>
      </c>
      <c r="H158" s="151">
        <f>G158*F158</f>
        <v>45.900000000000006</v>
      </c>
      <c r="I158" s="151">
        <v>42</v>
      </c>
      <c r="J158" s="151">
        <v>4</v>
      </c>
      <c r="K158" s="151">
        <f t="shared" si="83"/>
        <v>2856</v>
      </c>
      <c r="L158" s="151">
        <f>K158*J158</f>
        <v>11424</v>
      </c>
      <c r="M158" s="155" t="s">
        <v>18</v>
      </c>
    </row>
    <row r="159" spans="1:13" ht="13.5" hidden="1" customHeight="1" x14ac:dyDescent="0.2">
      <c r="A159" s="149" t="s">
        <v>291</v>
      </c>
      <c r="B159" s="167" t="s">
        <v>27</v>
      </c>
      <c r="C159" s="166" t="s">
        <v>28</v>
      </c>
      <c r="D159" s="152" t="s">
        <v>29</v>
      </c>
      <c r="E159" s="152" t="s">
        <v>30</v>
      </c>
      <c r="F159" s="151"/>
      <c r="G159" s="151"/>
      <c r="H159" s="151"/>
      <c r="I159" s="151"/>
      <c r="J159" s="151"/>
      <c r="K159" s="151">
        <v>850</v>
      </c>
      <c r="L159" s="151">
        <f t="shared" ref="L159" si="85">K159</f>
        <v>850</v>
      </c>
      <c r="M159" s="155" t="s">
        <v>31</v>
      </c>
    </row>
    <row r="160" spans="1:13" ht="13.5" hidden="1" customHeight="1" x14ac:dyDescent="0.2">
      <c r="A160" s="149" t="s">
        <v>291</v>
      </c>
      <c r="B160" s="152" t="s">
        <v>14</v>
      </c>
      <c r="C160" s="151">
        <v>5036</v>
      </c>
      <c r="D160" s="152" t="s">
        <v>16</v>
      </c>
      <c r="E160" s="152" t="s">
        <v>17</v>
      </c>
      <c r="F160" s="151">
        <v>32</v>
      </c>
      <c r="G160" s="151">
        <v>0.32500000000000001</v>
      </c>
      <c r="H160" s="151">
        <f t="shared" ref="H160" si="86">F160*G160</f>
        <v>10.4</v>
      </c>
      <c r="I160" s="151">
        <v>62</v>
      </c>
      <c r="J160" s="151">
        <v>4</v>
      </c>
      <c r="K160" s="151">
        <f t="shared" ref="K160" si="87">F160*I160</f>
        <v>1984</v>
      </c>
      <c r="L160" s="151">
        <f>K160*J160</f>
        <v>7936</v>
      </c>
      <c r="M160" s="155" t="s">
        <v>22</v>
      </c>
    </row>
    <row r="161" spans="1:13" ht="13.5" hidden="1" customHeight="1" x14ac:dyDescent="0.2">
      <c r="A161" s="149" t="s">
        <v>292</v>
      </c>
      <c r="B161" s="150" t="s">
        <v>23</v>
      </c>
      <c r="C161" s="151">
        <v>66772</v>
      </c>
      <c r="D161" s="152" t="s">
        <v>34</v>
      </c>
      <c r="E161" s="157" t="s">
        <v>35</v>
      </c>
      <c r="F161" s="151"/>
      <c r="G161" s="154" t="s">
        <v>77</v>
      </c>
      <c r="H161" s="151"/>
      <c r="I161" s="151"/>
      <c r="J161" s="151"/>
      <c r="K161" s="151">
        <v>7320</v>
      </c>
      <c r="L161" s="151">
        <f t="shared" ref="L161:L162" si="88">K161</f>
        <v>7320</v>
      </c>
      <c r="M161" s="155" t="s">
        <v>179</v>
      </c>
    </row>
    <row r="162" spans="1:13" ht="13.5" hidden="1" customHeight="1" x14ac:dyDescent="0.2">
      <c r="A162" s="149" t="s">
        <v>292</v>
      </c>
      <c r="B162" s="150" t="s">
        <v>23</v>
      </c>
      <c r="C162" s="151">
        <v>66772</v>
      </c>
      <c r="D162" s="152" t="s">
        <v>34</v>
      </c>
      <c r="E162" s="161" t="s">
        <v>39</v>
      </c>
      <c r="F162" s="151"/>
      <c r="G162" s="154" t="s">
        <v>36</v>
      </c>
      <c r="H162" s="151"/>
      <c r="I162" s="151"/>
      <c r="J162" s="151"/>
      <c r="K162" s="151">
        <v>7260</v>
      </c>
      <c r="L162" s="151">
        <f t="shared" si="88"/>
        <v>7260</v>
      </c>
      <c r="M162" s="155" t="s">
        <v>26</v>
      </c>
    </row>
    <row r="163" spans="1:13" ht="13.5" hidden="1" customHeight="1" x14ac:dyDescent="0.2">
      <c r="A163" s="149" t="s">
        <v>292</v>
      </c>
      <c r="B163" s="150" t="s">
        <v>23</v>
      </c>
      <c r="C163" s="151">
        <v>66772</v>
      </c>
      <c r="D163" s="152" t="s">
        <v>34</v>
      </c>
      <c r="E163" s="153" t="s">
        <v>30</v>
      </c>
      <c r="F163" s="151"/>
      <c r="G163" s="154" t="s">
        <v>78</v>
      </c>
      <c r="H163" s="151"/>
      <c r="I163" s="151"/>
      <c r="J163" s="151"/>
      <c r="K163" s="151">
        <v>7260</v>
      </c>
      <c r="L163" s="151">
        <f>K163</f>
        <v>7260</v>
      </c>
      <c r="M163" s="155" t="s">
        <v>180</v>
      </c>
    </row>
    <row r="164" spans="1:13" ht="13.5" hidden="1" customHeight="1" x14ac:dyDescent="0.2">
      <c r="A164" s="149" t="s">
        <v>292</v>
      </c>
      <c r="B164" s="152" t="s">
        <v>14</v>
      </c>
      <c r="C164" s="151">
        <v>5036</v>
      </c>
      <c r="D164" s="152" t="s">
        <v>16</v>
      </c>
      <c r="E164" s="152" t="s">
        <v>17</v>
      </c>
      <c r="F164" s="151">
        <v>125</v>
      </c>
      <c r="G164" s="151">
        <v>0.32500000000000001</v>
      </c>
      <c r="H164" s="151">
        <f t="shared" ref="H164" si="89">F164*G164</f>
        <v>40.625</v>
      </c>
      <c r="I164" s="151">
        <v>62</v>
      </c>
      <c r="J164" s="151">
        <v>4</v>
      </c>
      <c r="K164" s="151">
        <f t="shared" ref="K164" si="90">F164*I164</f>
        <v>7750</v>
      </c>
      <c r="L164" s="151">
        <f>K164*J164</f>
        <v>31000</v>
      </c>
      <c r="M164" s="155" t="s">
        <v>22</v>
      </c>
    </row>
    <row r="165" spans="1:13" ht="13.5" hidden="1" customHeight="1" x14ac:dyDescent="0.2">
      <c r="A165" s="149" t="s">
        <v>292</v>
      </c>
      <c r="B165" s="152" t="s">
        <v>14</v>
      </c>
      <c r="C165" s="151">
        <v>7479</v>
      </c>
      <c r="D165" s="152" t="s">
        <v>20</v>
      </c>
      <c r="E165" s="152" t="s">
        <v>21</v>
      </c>
      <c r="F165" s="151">
        <v>9</v>
      </c>
      <c r="G165" s="151">
        <v>0.15</v>
      </c>
      <c r="H165" s="151">
        <f>G165*F165</f>
        <v>1.3499999999999999</v>
      </c>
      <c r="I165" s="151">
        <v>80</v>
      </c>
      <c r="J165" s="151">
        <v>1</v>
      </c>
      <c r="K165" s="151">
        <f>F165*I165</f>
        <v>720</v>
      </c>
      <c r="L165" s="151">
        <f>K165*J165</f>
        <v>720</v>
      </c>
      <c r="M165" s="155" t="s">
        <v>22</v>
      </c>
    </row>
    <row r="166" spans="1:13" ht="13.5" hidden="1" customHeight="1" x14ac:dyDescent="0.2">
      <c r="A166" s="149" t="s">
        <v>292</v>
      </c>
      <c r="B166" s="152" t="s">
        <v>14</v>
      </c>
      <c r="C166" s="151">
        <v>7479</v>
      </c>
      <c r="D166" s="152" t="s">
        <v>20</v>
      </c>
      <c r="E166" s="152" t="s">
        <v>25</v>
      </c>
      <c r="F166" s="151"/>
      <c r="G166" s="151"/>
      <c r="H166" s="151"/>
      <c r="I166" s="151"/>
      <c r="J166" s="151">
        <v>1</v>
      </c>
      <c r="K166" s="151">
        <v>4000</v>
      </c>
      <c r="L166" s="151">
        <f t="shared" ref="L166:L167" si="91">K166</f>
        <v>4000</v>
      </c>
      <c r="M166" s="155" t="s">
        <v>37</v>
      </c>
    </row>
    <row r="167" spans="1:13" ht="13.5" hidden="1" customHeight="1" x14ac:dyDescent="0.2">
      <c r="A167" s="149" t="s">
        <v>292</v>
      </c>
      <c r="B167" s="167" t="s">
        <v>27</v>
      </c>
      <c r="C167" s="166" t="s">
        <v>28</v>
      </c>
      <c r="D167" s="152" t="s">
        <v>29</v>
      </c>
      <c r="E167" s="152" t="s">
        <v>30</v>
      </c>
      <c r="F167" s="151"/>
      <c r="G167" s="151"/>
      <c r="H167" s="151"/>
      <c r="I167" s="151"/>
      <c r="J167" s="151"/>
      <c r="K167" s="151">
        <v>400</v>
      </c>
      <c r="L167" s="151">
        <f t="shared" si="91"/>
        <v>400</v>
      </c>
      <c r="M167" s="155" t="s">
        <v>31</v>
      </c>
    </row>
    <row r="168" spans="1:13" ht="13.5" hidden="1" customHeight="1" x14ac:dyDescent="0.2">
      <c r="A168" s="149" t="s">
        <v>292</v>
      </c>
      <c r="B168" s="152" t="s">
        <v>14</v>
      </c>
      <c r="C168" s="151">
        <v>6871</v>
      </c>
      <c r="D168" s="152" t="s">
        <v>16</v>
      </c>
      <c r="E168" s="152" t="s">
        <v>17</v>
      </c>
      <c r="F168" s="151">
        <v>47</v>
      </c>
      <c r="G168" s="151">
        <v>0.64</v>
      </c>
      <c r="H168" s="151">
        <f>G168*F168</f>
        <v>30.080000000000002</v>
      </c>
      <c r="I168" s="151">
        <v>70</v>
      </c>
      <c r="J168" s="151">
        <v>2</v>
      </c>
      <c r="K168" s="151">
        <f t="shared" ref="K168:K170" si="92">F168*I168</f>
        <v>3290</v>
      </c>
      <c r="L168" s="151">
        <f t="shared" ref="L168:L170" si="93">K168*J168</f>
        <v>6580</v>
      </c>
      <c r="M168" s="155" t="s">
        <v>22</v>
      </c>
    </row>
    <row r="169" spans="1:13" ht="13.5" hidden="1" customHeight="1" x14ac:dyDescent="0.2">
      <c r="A169" s="149" t="s">
        <v>292</v>
      </c>
      <c r="B169" s="152" t="s">
        <v>14</v>
      </c>
      <c r="C169" s="151">
        <v>6380</v>
      </c>
      <c r="D169" s="152" t="s">
        <v>16</v>
      </c>
      <c r="E169" s="152" t="s">
        <v>17</v>
      </c>
      <c r="F169" s="151">
        <v>27</v>
      </c>
      <c r="G169" s="151">
        <v>0.42499999999999999</v>
      </c>
      <c r="H169" s="151">
        <f t="shared" ref="H169" si="94">F169*G169</f>
        <v>11.475</v>
      </c>
      <c r="I169" s="151">
        <v>56</v>
      </c>
      <c r="J169" s="151">
        <v>4</v>
      </c>
      <c r="K169" s="151">
        <f t="shared" si="92"/>
        <v>1512</v>
      </c>
      <c r="L169" s="151">
        <f t="shared" si="93"/>
        <v>6048</v>
      </c>
      <c r="M169" s="155" t="s">
        <v>18</v>
      </c>
    </row>
    <row r="170" spans="1:13" ht="13.5" hidden="1" customHeight="1" x14ac:dyDescent="0.2">
      <c r="A170" s="149" t="s">
        <v>292</v>
      </c>
      <c r="B170" s="152" t="s">
        <v>14</v>
      </c>
      <c r="C170" s="151" t="s">
        <v>89</v>
      </c>
      <c r="D170" s="152" t="s">
        <v>90</v>
      </c>
      <c r="E170" s="152" t="s">
        <v>21</v>
      </c>
      <c r="F170" s="151">
        <v>13</v>
      </c>
      <c r="G170" s="151">
        <v>0.13500000000000001</v>
      </c>
      <c r="H170" s="151">
        <v>9.18</v>
      </c>
      <c r="I170" s="151">
        <v>77</v>
      </c>
      <c r="J170" s="151">
        <v>1</v>
      </c>
      <c r="K170" s="151">
        <f t="shared" si="92"/>
        <v>1001</v>
      </c>
      <c r="L170" s="151">
        <f t="shared" si="93"/>
        <v>1001</v>
      </c>
      <c r="M170" s="155" t="s">
        <v>37</v>
      </c>
    </row>
    <row r="171" spans="1:13" ht="13.5" hidden="1" customHeight="1" x14ac:dyDescent="0.2">
      <c r="A171" s="149" t="s">
        <v>292</v>
      </c>
      <c r="B171" s="152" t="s">
        <v>14</v>
      </c>
      <c r="C171" s="151" t="s">
        <v>89</v>
      </c>
      <c r="D171" s="152" t="s">
        <v>90</v>
      </c>
      <c r="E171" s="152" t="s">
        <v>25</v>
      </c>
      <c r="F171" s="151"/>
      <c r="G171" s="151"/>
      <c r="H171" s="151"/>
      <c r="I171" s="151"/>
      <c r="J171" s="151"/>
      <c r="K171" s="151">
        <v>100</v>
      </c>
      <c r="L171" s="151">
        <f t="shared" ref="L171" si="95">K171</f>
        <v>100</v>
      </c>
      <c r="M171" s="155" t="s">
        <v>31</v>
      </c>
    </row>
    <row r="172" spans="1:13" ht="13.5" hidden="1" customHeight="1" x14ac:dyDescent="0.2">
      <c r="A172" s="149"/>
      <c r="B172" s="152"/>
      <c r="C172" s="151"/>
      <c r="D172" s="152"/>
      <c r="E172" s="152"/>
      <c r="F172" s="151"/>
      <c r="G172" s="151"/>
      <c r="H172" s="151"/>
      <c r="I172" s="151"/>
      <c r="J172" s="151"/>
      <c r="K172" s="151"/>
      <c r="L172" s="151"/>
      <c r="M172" s="155"/>
    </row>
    <row r="173" spans="1:13" ht="29.25" hidden="1" customHeight="1" x14ac:dyDescent="0.2">
      <c r="A173" s="141"/>
      <c r="B173" s="142"/>
      <c r="C173" s="142"/>
      <c r="D173" s="142"/>
      <c r="E173" s="142"/>
      <c r="F173" s="142">
        <f t="shared" ref="F173:L173" si="96">SUM(F3:F172)</f>
        <v>3669</v>
      </c>
      <c r="G173" s="163">
        <f t="shared" si="96"/>
        <v>14.785000000000007</v>
      </c>
      <c r="H173" s="143">
        <f t="shared" si="96"/>
        <v>1307.4599999999998</v>
      </c>
      <c r="I173" s="142">
        <f t="shared" si="96"/>
        <v>2525</v>
      </c>
      <c r="J173" s="142">
        <f t="shared" si="96"/>
        <v>110</v>
      </c>
      <c r="K173" s="144">
        <f t="shared" si="96"/>
        <v>688297</v>
      </c>
      <c r="L173" s="145">
        <f t="shared" si="96"/>
        <v>866865</v>
      </c>
      <c r="M173" s="146"/>
    </row>
    <row r="175" spans="1:13" x14ac:dyDescent="0.2">
      <c r="H175" s="147">
        <f>SUM(H49:H172)</f>
        <v>1073.1599999999999</v>
      </c>
    </row>
  </sheetData>
  <autoFilter ref="A2:M173">
    <filterColumn colId="2">
      <filters>
        <filter val="138K"/>
      </filters>
    </filterColumn>
  </autoFilter>
  <mergeCells count="1">
    <mergeCell ref="A1:M1"/>
  </mergeCells>
  <pageMargins left="0.7" right="0.7" top="0.75" bottom="0.75" header="0.3" footer="0.3"/>
  <pageSetup orientation="portrait" r:id="rId1"/>
  <ignoredErrors>
    <ignoredError sqref="L14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6"/>
  <sheetViews>
    <sheetView workbookViewId="0">
      <selection activeCell="G80" sqref="G80"/>
    </sheetView>
  </sheetViews>
  <sheetFormatPr defaultRowHeight="14.25" x14ac:dyDescent="0.2"/>
  <cols>
    <col min="1" max="1" width="7.7109375" style="140" customWidth="1"/>
    <col min="2" max="2" width="9.7109375" style="140" customWidth="1"/>
    <col min="3" max="3" width="9.140625" style="140"/>
    <col min="4" max="4" width="12.7109375" style="140" customWidth="1"/>
    <col min="5" max="5" width="11.42578125" style="140" customWidth="1"/>
    <col min="6" max="12" width="7.5703125" style="140" customWidth="1"/>
    <col min="13" max="19" width="9.140625" style="140"/>
    <col min="20" max="20" width="5.7109375" style="140" bestFit="1" customWidth="1"/>
    <col min="21" max="16384" width="9.140625" style="140"/>
  </cols>
  <sheetData>
    <row r="1" spans="1:13" ht="29.25" customHeight="1" x14ac:dyDescent="0.2">
      <c r="A1" s="297" t="s">
        <v>293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</row>
    <row r="2" spans="1:13" ht="28.5" customHeight="1" x14ac:dyDescent="0.2">
      <c r="A2" s="168" t="s">
        <v>0</v>
      </c>
      <c r="B2" s="168" t="s">
        <v>1</v>
      </c>
      <c r="C2" s="168" t="s">
        <v>2</v>
      </c>
      <c r="D2" s="168" t="s">
        <v>3</v>
      </c>
      <c r="E2" s="168" t="s">
        <v>4</v>
      </c>
      <c r="F2" s="168" t="s">
        <v>5</v>
      </c>
      <c r="G2" s="168" t="s">
        <v>6</v>
      </c>
      <c r="H2" s="168" t="s">
        <v>7</v>
      </c>
      <c r="I2" s="168" t="s">
        <v>8</v>
      </c>
      <c r="J2" s="168" t="s">
        <v>9</v>
      </c>
      <c r="K2" s="168" t="s">
        <v>10</v>
      </c>
      <c r="L2" s="168" t="s">
        <v>11</v>
      </c>
      <c r="M2" s="168" t="s">
        <v>12</v>
      </c>
    </row>
    <row r="3" spans="1:13" ht="13.5" hidden="1" customHeight="1" x14ac:dyDescent="0.2">
      <c r="A3" s="149" t="s">
        <v>294</v>
      </c>
      <c r="B3" s="150" t="s">
        <v>23</v>
      </c>
      <c r="C3" s="151">
        <v>66772</v>
      </c>
      <c r="D3" s="152" t="s">
        <v>34</v>
      </c>
      <c r="E3" s="157" t="s">
        <v>35</v>
      </c>
      <c r="F3" s="151"/>
      <c r="G3" s="154" t="s">
        <v>77</v>
      </c>
      <c r="H3" s="151"/>
      <c r="I3" s="151"/>
      <c r="J3" s="151"/>
      <c r="K3" s="151">
        <v>6750</v>
      </c>
      <c r="L3" s="151">
        <f t="shared" ref="L3:L4" si="0">K3</f>
        <v>6750</v>
      </c>
      <c r="M3" s="155" t="s">
        <v>179</v>
      </c>
    </row>
    <row r="4" spans="1:13" ht="13.5" hidden="1" customHeight="1" x14ac:dyDescent="0.2">
      <c r="A4" s="149" t="s">
        <v>294</v>
      </c>
      <c r="B4" s="150" t="s">
        <v>23</v>
      </c>
      <c r="C4" s="151">
        <v>66772</v>
      </c>
      <c r="D4" s="152" t="s">
        <v>34</v>
      </c>
      <c r="E4" s="161" t="s">
        <v>39</v>
      </c>
      <c r="F4" s="151"/>
      <c r="G4" s="154" t="s">
        <v>36</v>
      </c>
      <c r="H4" s="151"/>
      <c r="I4" s="151"/>
      <c r="J4" s="151"/>
      <c r="K4" s="151">
        <v>5750</v>
      </c>
      <c r="L4" s="151">
        <f t="shared" si="0"/>
        <v>5750</v>
      </c>
      <c r="M4" s="155" t="s">
        <v>26</v>
      </c>
    </row>
    <row r="5" spans="1:13" ht="13.5" hidden="1" customHeight="1" x14ac:dyDescent="0.2">
      <c r="A5" s="149" t="s">
        <v>294</v>
      </c>
      <c r="B5" s="152" t="s">
        <v>14</v>
      </c>
      <c r="C5" s="151">
        <v>5036</v>
      </c>
      <c r="D5" s="152" t="s">
        <v>16</v>
      </c>
      <c r="E5" s="152" t="s">
        <v>17</v>
      </c>
      <c r="F5" s="151">
        <v>91</v>
      </c>
      <c r="G5" s="151">
        <v>0.32500000000000001</v>
      </c>
      <c r="H5" s="151">
        <f t="shared" ref="H5" si="1">F5*G5</f>
        <v>29.574999999999999</v>
      </c>
      <c r="I5" s="151">
        <v>62</v>
      </c>
      <c r="J5" s="151">
        <v>4</v>
      </c>
      <c r="K5" s="151">
        <f t="shared" ref="K5" si="2">F5*I5</f>
        <v>5642</v>
      </c>
      <c r="L5" s="151">
        <f>K5*J5</f>
        <v>22568</v>
      </c>
      <c r="M5" s="155" t="s">
        <v>22</v>
      </c>
    </row>
    <row r="6" spans="1:13" ht="13.5" hidden="1" customHeight="1" x14ac:dyDescent="0.2">
      <c r="A6" s="149" t="s">
        <v>295</v>
      </c>
      <c r="B6" s="150" t="s">
        <v>23</v>
      </c>
      <c r="C6" s="151">
        <v>66772</v>
      </c>
      <c r="D6" s="152" t="s">
        <v>34</v>
      </c>
      <c r="E6" s="157" t="s">
        <v>35</v>
      </c>
      <c r="F6" s="151"/>
      <c r="G6" s="154" t="s">
        <v>77</v>
      </c>
      <c r="H6" s="151"/>
      <c r="I6" s="151"/>
      <c r="J6" s="151"/>
      <c r="K6" s="151">
        <v>900</v>
      </c>
      <c r="L6" s="151">
        <f t="shared" ref="L6:L7" si="3">K6</f>
        <v>900</v>
      </c>
      <c r="M6" s="155" t="s">
        <v>179</v>
      </c>
    </row>
    <row r="7" spans="1:13" ht="13.5" hidden="1" customHeight="1" x14ac:dyDescent="0.2">
      <c r="A7" s="149" t="s">
        <v>295</v>
      </c>
      <c r="B7" s="150" t="s">
        <v>23</v>
      </c>
      <c r="C7" s="151">
        <v>66772</v>
      </c>
      <c r="D7" s="152" t="s">
        <v>34</v>
      </c>
      <c r="E7" s="161" t="s">
        <v>39</v>
      </c>
      <c r="F7" s="151"/>
      <c r="G7" s="154" t="s">
        <v>36</v>
      </c>
      <c r="H7" s="151"/>
      <c r="I7" s="151"/>
      <c r="J7" s="151"/>
      <c r="K7" s="151">
        <v>1400</v>
      </c>
      <c r="L7" s="151">
        <f t="shared" si="3"/>
        <v>1400</v>
      </c>
      <c r="M7" s="155" t="s">
        <v>26</v>
      </c>
    </row>
    <row r="8" spans="1:13" ht="13.5" hidden="1" customHeight="1" x14ac:dyDescent="0.2">
      <c r="A8" s="149" t="s">
        <v>295</v>
      </c>
      <c r="B8" s="150" t="s">
        <v>23</v>
      </c>
      <c r="C8" s="151">
        <v>66772</v>
      </c>
      <c r="D8" s="152" t="s">
        <v>34</v>
      </c>
      <c r="E8" s="153" t="s">
        <v>30</v>
      </c>
      <c r="F8" s="151"/>
      <c r="G8" s="154" t="s">
        <v>78</v>
      </c>
      <c r="H8" s="151"/>
      <c r="I8" s="151"/>
      <c r="J8" s="151"/>
      <c r="K8" s="151">
        <v>1400</v>
      </c>
      <c r="L8" s="151">
        <f>K8</f>
        <v>1400</v>
      </c>
      <c r="M8" s="155" t="s">
        <v>180</v>
      </c>
    </row>
    <row r="9" spans="1:13" ht="13.5" hidden="1" customHeight="1" x14ac:dyDescent="0.2">
      <c r="A9" s="149" t="s">
        <v>295</v>
      </c>
      <c r="B9" s="152" t="s">
        <v>14</v>
      </c>
      <c r="C9" s="151">
        <v>5036</v>
      </c>
      <c r="D9" s="152" t="s">
        <v>16</v>
      </c>
      <c r="E9" s="152" t="s">
        <v>17</v>
      </c>
      <c r="F9" s="151">
        <v>85</v>
      </c>
      <c r="G9" s="151">
        <v>0.32500000000000001</v>
      </c>
      <c r="H9" s="151">
        <f t="shared" ref="H9" si="4">F9*G9</f>
        <v>27.625</v>
      </c>
      <c r="I9" s="151">
        <v>62</v>
      </c>
      <c r="J9" s="151">
        <v>4</v>
      </c>
      <c r="K9" s="151">
        <f t="shared" ref="K9" si="5">F9*I9</f>
        <v>5270</v>
      </c>
      <c r="L9" s="151">
        <f>K9*J9</f>
        <v>21080</v>
      </c>
      <c r="M9" s="155" t="s">
        <v>22</v>
      </c>
    </row>
    <row r="10" spans="1:13" ht="13.5" hidden="1" customHeight="1" x14ac:dyDescent="0.2">
      <c r="A10" s="149" t="s">
        <v>295</v>
      </c>
      <c r="B10" s="165" t="s">
        <v>41</v>
      </c>
      <c r="C10" s="151" t="s">
        <v>42</v>
      </c>
      <c r="D10" s="152" t="s">
        <v>93</v>
      </c>
      <c r="E10" s="152" t="s">
        <v>21</v>
      </c>
      <c r="F10" s="151">
        <v>75</v>
      </c>
      <c r="G10" s="151">
        <v>0</v>
      </c>
      <c r="H10" s="151">
        <f>G10*F10</f>
        <v>0</v>
      </c>
      <c r="I10" s="151">
        <v>42</v>
      </c>
      <c r="J10" s="151">
        <v>4</v>
      </c>
      <c r="K10" s="151">
        <f>F10*I10</f>
        <v>3150</v>
      </c>
      <c r="L10" s="151">
        <f>K10*J10</f>
        <v>12600</v>
      </c>
      <c r="M10" s="155" t="s">
        <v>91</v>
      </c>
    </row>
    <row r="11" spans="1:13" ht="13.5" hidden="1" customHeight="1" x14ac:dyDescent="0.2">
      <c r="A11" s="149" t="s">
        <v>295</v>
      </c>
      <c r="B11" s="152" t="s">
        <v>14</v>
      </c>
      <c r="C11" s="151" t="s">
        <v>89</v>
      </c>
      <c r="D11" s="152" t="s">
        <v>90</v>
      </c>
      <c r="E11" s="152" t="s">
        <v>21</v>
      </c>
      <c r="F11" s="151">
        <v>69</v>
      </c>
      <c r="G11" s="151">
        <v>0.13500000000000001</v>
      </c>
      <c r="H11" s="151">
        <v>9.18</v>
      </c>
      <c r="I11" s="151">
        <v>77</v>
      </c>
      <c r="J11" s="151">
        <v>1</v>
      </c>
      <c r="K11" s="151">
        <f t="shared" ref="K11" si="6">F11*I11</f>
        <v>5313</v>
      </c>
      <c r="L11" s="151">
        <f t="shared" ref="L11" si="7">K11*J11</f>
        <v>5313</v>
      </c>
      <c r="M11" s="155" t="s">
        <v>37</v>
      </c>
    </row>
    <row r="12" spans="1:13" ht="13.5" hidden="1" customHeight="1" x14ac:dyDescent="0.2">
      <c r="A12" s="149" t="s">
        <v>295</v>
      </c>
      <c r="B12" s="152" t="s">
        <v>14</v>
      </c>
      <c r="C12" s="151" t="s">
        <v>89</v>
      </c>
      <c r="D12" s="152" t="s">
        <v>90</v>
      </c>
      <c r="E12" s="152" t="s">
        <v>25</v>
      </c>
      <c r="F12" s="151"/>
      <c r="G12" s="151"/>
      <c r="H12" s="151"/>
      <c r="I12" s="151"/>
      <c r="J12" s="151"/>
      <c r="K12" s="151">
        <v>1800</v>
      </c>
      <c r="L12" s="151">
        <f t="shared" ref="L12" si="8">K12</f>
        <v>1800</v>
      </c>
      <c r="M12" s="155" t="s">
        <v>31</v>
      </c>
    </row>
    <row r="13" spans="1:13" ht="13.5" hidden="1" customHeight="1" x14ac:dyDescent="0.2">
      <c r="A13" s="149" t="s">
        <v>295</v>
      </c>
      <c r="B13" s="152" t="s">
        <v>14</v>
      </c>
      <c r="C13" s="151">
        <v>7479</v>
      </c>
      <c r="D13" s="152" t="s">
        <v>20</v>
      </c>
      <c r="E13" s="152" t="s">
        <v>21</v>
      </c>
      <c r="F13" s="151">
        <v>58</v>
      </c>
      <c r="G13" s="151">
        <v>0.15</v>
      </c>
      <c r="H13" s="151">
        <f>G13*F13</f>
        <v>8.6999999999999993</v>
      </c>
      <c r="I13" s="151">
        <v>80</v>
      </c>
      <c r="J13" s="151">
        <v>1</v>
      </c>
      <c r="K13" s="151">
        <f>F13*I13</f>
        <v>4640</v>
      </c>
      <c r="L13" s="151">
        <f>K13*J13</f>
        <v>4640</v>
      </c>
      <c r="M13" s="155" t="s">
        <v>181</v>
      </c>
    </row>
    <row r="14" spans="1:13" ht="13.5" hidden="1" customHeight="1" x14ac:dyDescent="0.2">
      <c r="A14" s="149" t="s">
        <v>296</v>
      </c>
      <c r="B14" s="152" t="s">
        <v>14</v>
      </c>
      <c r="C14" s="151">
        <v>7479</v>
      </c>
      <c r="D14" s="152" t="s">
        <v>20</v>
      </c>
      <c r="E14" s="152" t="s">
        <v>21</v>
      </c>
      <c r="F14" s="151">
        <v>194</v>
      </c>
      <c r="G14" s="151">
        <v>0.15</v>
      </c>
      <c r="H14" s="151">
        <f>G14*F14</f>
        <v>29.099999999999998</v>
      </c>
      <c r="I14" s="151">
        <v>80</v>
      </c>
      <c r="J14" s="151">
        <v>1</v>
      </c>
      <c r="K14" s="151">
        <f>F14*I14</f>
        <v>15520</v>
      </c>
      <c r="L14" s="151">
        <f>K14*J14</f>
        <v>15520</v>
      </c>
      <c r="M14" s="155" t="s">
        <v>181</v>
      </c>
    </row>
    <row r="15" spans="1:13" ht="13.5" hidden="1" customHeight="1" x14ac:dyDescent="0.2">
      <c r="A15" s="149" t="s">
        <v>296</v>
      </c>
      <c r="B15" s="152" t="s">
        <v>14</v>
      </c>
      <c r="C15" s="151">
        <v>7479</v>
      </c>
      <c r="D15" s="152" t="s">
        <v>20</v>
      </c>
      <c r="E15" s="152" t="s">
        <v>21</v>
      </c>
      <c r="F15" s="151">
        <v>171</v>
      </c>
      <c r="G15" s="151">
        <v>0.15</v>
      </c>
      <c r="H15" s="151">
        <f>G15*F15</f>
        <v>25.65</v>
      </c>
      <c r="I15" s="151">
        <v>80</v>
      </c>
      <c r="J15" s="151">
        <v>1</v>
      </c>
      <c r="K15" s="151">
        <f>F15*I15</f>
        <v>13680</v>
      </c>
      <c r="L15" s="151">
        <f>K15*J15</f>
        <v>13680</v>
      </c>
      <c r="M15" s="155" t="s">
        <v>181</v>
      </c>
    </row>
    <row r="16" spans="1:13" ht="13.5" hidden="1" customHeight="1" x14ac:dyDescent="0.2">
      <c r="A16" s="149" t="s">
        <v>296</v>
      </c>
      <c r="B16" s="152" t="s">
        <v>14</v>
      </c>
      <c r="C16" s="151" t="s">
        <v>89</v>
      </c>
      <c r="D16" s="152" t="s">
        <v>90</v>
      </c>
      <c r="E16" s="152" t="s">
        <v>21</v>
      </c>
      <c r="F16" s="151">
        <v>91</v>
      </c>
      <c r="G16" s="151">
        <v>0.13500000000000001</v>
      </c>
      <c r="H16" s="151">
        <v>9.18</v>
      </c>
      <c r="I16" s="151">
        <v>77</v>
      </c>
      <c r="J16" s="151">
        <v>1</v>
      </c>
      <c r="K16" s="151">
        <f t="shared" ref="K16" si="9">F16*I16</f>
        <v>7007</v>
      </c>
      <c r="L16" s="151">
        <f t="shared" ref="L16" si="10">K16*J16</f>
        <v>7007</v>
      </c>
      <c r="M16" s="155" t="s">
        <v>37</v>
      </c>
    </row>
    <row r="17" spans="1:13" ht="13.5" hidden="1" customHeight="1" x14ac:dyDescent="0.2">
      <c r="A17" s="149" t="s">
        <v>296</v>
      </c>
      <c r="B17" s="152" t="s">
        <v>14</v>
      </c>
      <c r="C17" s="151" t="s">
        <v>89</v>
      </c>
      <c r="D17" s="152" t="s">
        <v>90</v>
      </c>
      <c r="E17" s="152" t="s">
        <v>25</v>
      </c>
      <c r="F17" s="151"/>
      <c r="G17" s="151"/>
      <c r="H17" s="151"/>
      <c r="I17" s="151"/>
      <c r="J17" s="151"/>
      <c r="K17" s="151">
        <v>5250</v>
      </c>
      <c r="L17" s="151">
        <f t="shared" ref="L17" si="11">K17</f>
        <v>5250</v>
      </c>
      <c r="M17" s="155" t="s">
        <v>31</v>
      </c>
    </row>
    <row r="18" spans="1:13" ht="13.5" hidden="1" customHeight="1" x14ac:dyDescent="0.2">
      <c r="A18" s="149" t="s">
        <v>296</v>
      </c>
      <c r="B18" s="152" t="s">
        <v>14</v>
      </c>
      <c r="C18" s="151" t="s">
        <v>51</v>
      </c>
      <c r="D18" s="152" t="s">
        <v>52</v>
      </c>
      <c r="E18" s="152" t="s">
        <v>17</v>
      </c>
      <c r="F18" s="151">
        <v>207</v>
      </c>
      <c r="G18" s="151">
        <v>0.20499999999999999</v>
      </c>
      <c r="H18" s="151">
        <f t="shared" ref="H18" si="12">F18*G18</f>
        <v>42.434999999999995</v>
      </c>
      <c r="I18" s="151">
        <v>26</v>
      </c>
      <c r="J18" s="151">
        <v>4</v>
      </c>
      <c r="K18" s="151">
        <f>F18*I18</f>
        <v>5382</v>
      </c>
      <c r="L18" s="151">
        <f t="shared" ref="L18" si="13">K18*J18</f>
        <v>21528</v>
      </c>
      <c r="M18" s="155" t="s">
        <v>18</v>
      </c>
    </row>
    <row r="19" spans="1:13" ht="13.5" hidden="1" customHeight="1" x14ac:dyDescent="0.2">
      <c r="A19" s="149" t="s">
        <v>297</v>
      </c>
      <c r="B19" s="152" t="s">
        <v>14</v>
      </c>
      <c r="C19" s="151" t="s">
        <v>51</v>
      </c>
      <c r="D19" s="152" t="s">
        <v>52</v>
      </c>
      <c r="E19" s="152" t="s">
        <v>17</v>
      </c>
      <c r="F19" s="151">
        <v>141</v>
      </c>
      <c r="G19" s="151">
        <v>0.20499999999999999</v>
      </c>
      <c r="H19" s="151">
        <f t="shared" ref="H19" si="14">F19*G19</f>
        <v>28.904999999999998</v>
      </c>
      <c r="I19" s="151">
        <v>26</v>
      </c>
      <c r="J19" s="151">
        <v>4</v>
      </c>
      <c r="K19" s="151">
        <f>F19*I19</f>
        <v>3666</v>
      </c>
      <c r="L19" s="151">
        <f t="shared" ref="L19" si="15">K19*J19</f>
        <v>14664</v>
      </c>
      <c r="M19" s="155" t="s">
        <v>18</v>
      </c>
    </row>
    <row r="20" spans="1:13" ht="13.5" hidden="1" customHeight="1" x14ac:dyDescent="0.2">
      <c r="A20" s="149" t="s">
        <v>297</v>
      </c>
      <c r="B20" s="152" t="s">
        <v>14</v>
      </c>
      <c r="C20" s="151" t="s">
        <v>89</v>
      </c>
      <c r="D20" s="152" t="s">
        <v>90</v>
      </c>
      <c r="E20" s="152" t="s">
        <v>25</v>
      </c>
      <c r="F20" s="151"/>
      <c r="G20" s="151"/>
      <c r="H20" s="151"/>
      <c r="I20" s="151"/>
      <c r="J20" s="151"/>
      <c r="K20" s="151">
        <v>6000</v>
      </c>
      <c r="L20" s="151">
        <f t="shared" ref="L20" si="16">K20</f>
        <v>6000</v>
      </c>
      <c r="M20" s="155" t="s">
        <v>31</v>
      </c>
    </row>
    <row r="21" spans="1:13" ht="13.5" hidden="1" customHeight="1" x14ac:dyDescent="0.2">
      <c r="A21" s="149" t="s">
        <v>297</v>
      </c>
      <c r="B21" s="152" t="s">
        <v>14</v>
      </c>
      <c r="C21" s="151">
        <v>7479</v>
      </c>
      <c r="D21" s="152" t="s">
        <v>20</v>
      </c>
      <c r="E21" s="152" t="s">
        <v>21</v>
      </c>
      <c r="F21" s="151">
        <v>238</v>
      </c>
      <c r="G21" s="151">
        <v>0.15</v>
      </c>
      <c r="H21" s="151">
        <f>G21*F21</f>
        <v>35.699999999999996</v>
      </c>
      <c r="I21" s="151">
        <v>80</v>
      </c>
      <c r="J21" s="151">
        <v>1</v>
      </c>
      <c r="K21" s="151">
        <f>F21*I21</f>
        <v>19040</v>
      </c>
      <c r="L21" s="151">
        <f>K21*J21</f>
        <v>19040</v>
      </c>
      <c r="M21" s="155" t="s">
        <v>181</v>
      </c>
    </row>
    <row r="22" spans="1:13" ht="13.5" hidden="1" customHeight="1" x14ac:dyDescent="0.2">
      <c r="A22" s="149" t="s">
        <v>297</v>
      </c>
      <c r="B22" s="152" t="s">
        <v>14</v>
      </c>
      <c r="C22" s="151">
        <v>2576</v>
      </c>
      <c r="D22" s="152" t="s">
        <v>84</v>
      </c>
      <c r="E22" s="152" t="s">
        <v>17</v>
      </c>
      <c r="F22" s="151">
        <v>357</v>
      </c>
      <c r="G22" s="151">
        <v>0.1</v>
      </c>
      <c r="H22" s="151">
        <v>18.100000000000001</v>
      </c>
      <c r="I22" s="151">
        <v>17</v>
      </c>
      <c r="J22" s="151">
        <v>1</v>
      </c>
      <c r="K22" s="151">
        <f>F22*I22</f>
        <v>6069</v>
      </c>
      <c r="L22" s="151">
        <f>K22*J22</f>
        <v>6069</v>
      </c>
      <c r="M22" s="155" t="s">
        <v>22</v>
      </c>
    </row>
    <row r="23" spans="1:13" ht="13.5" hidden="1" customHeight="1" x14ac:dyDescent="0.2">
      <c r="A23" s="149" t="s">
        <v>297</v>
      </c>
      <c r="B23" s="152" t="s">
        <v>14</v>
      </c>
      <c r="C23" s="151">
        <v>2576</v>
      </c>
      <c r="D23" s="152" t="s">
        <v>90</v>
      </c>
      <c r="E23" s="152" t="s">
        <v>25</v>
      </c>
      <c r="F23" s="151"/>
      <c r="G23" s="151"/>
      <c r="H23" s="151"/>
      <c r="I23" s="151"/>
      <c r="J23" s="151"/>
      <c r="K23" s="151">
        <v>4250</v>
      </c>
      <c r="L23" s="151">
        <f t="shared" ref="L23:L28" si="17">K23</f>
        <v>4250</v>
      </c>
      <c r="M23" s="155" t="s">
        <v>31</v>
      </c>
    </row>
    <row r="24" spans="1:13" ht="13.5" hidden="1" customHeight="1" x14ac:dyDescent="0.2">
      <c r="A24" s="149" t="s">
        <v>297</v>
      </c>
      <c r="B24" s="150" t="s">
        <v>23</v>
      </c>
      <c r="C24" s="151">
        <v>66772</v>
      </c>
      <c r="D24" s="152" t="s">
        <v>34</v>
      </c>
      <c r="E24" s="157" t="s">
        <v>35</v>
      </c>
      <c r="F24" s="151"/>
      <c r="G24" s="154" t="s">
        <v>77</v>
      </c>
      <c r="H24" s="151"/>
      <c r="I24" s="151"/>
      <c r="J24" s="151"/>
      <c r="K24" s="151">
        <v>1650</v>
      </c>
      <c r="L24" s="151">
        <f t="shared" si="17"/>
        <v>1650</v>
      </c>
      <c r="M24" s="155" t="s">
        <v>179</v>
      </c>
    </row>
    <row r="25" spans="1:13" ht="13.5" hidden="1" customHeight="1" x14ac:dyDescent="0.2">
      <c r="A25" s="149" t="s">
        <v>297</v>
      </c>
      <c r="B25" s="150" t="s">
        <v>23</v>
      </c>
      <c r="C25" s="151">
        <v>66772</v>
      </c>
      <c r="D25" s="152" t="s">
        <v>34</v>
      </c>
      <c r="E25" s="161" t="s">
        <v>39</v>
      </c>
      <c r="F25" s="151"/>
      <c r="G25" s="154" t="s">
        <v>36</v>
      </c>
      <c r="H25" s="151"/>
      <c r="I25" s="151"/>
      <c r="J25" s="151"/>
      <c r="K25" s="151">
        <v>800</v>
      </c>
      <c r="L25" s="151">
        <f t="shared" si="17"/>
        <v>800</v>
      </c>
      <c r="M25" s="155" t="s">
        <v>26</v>
      </c>
    </row>
    <row r="26" spans="1:13" ht="13.5" hidden="1" customHeight="1" x14ac:dyDescent="0.2">
      <c r="A26" s="149" t="s">
        <v>297</v>
      </c>
      <c r="B26" s="152" t="s">
        <v>14</v>
      </c>
      <c r="C26" s="151">
        <v>7479</v>
      </c>
      <c r="D26" s="152" t="s">
        <v>20</v>
      </c>
      <c r="E26" s="152" t="s">
        <v>25</v>
      </c>
      <c r="F26" s="151"/>
      <c r="G26" s="151"/>
      <c r="H26" s="151"/>
      <c r="I26" s="151"/>
      <c r="J26" s="151">
        <v>1</v>
      </c>
      <c r="K26" s="151">
        <v>500</v>
      </c>
      <c r="L26" s="151">
        <f t="shared" si="17"/>
        <v>500</v>
      </c>
      <c r="M26" s="155" t="s">
        <v>37</v>
      </c>
    </row>
    <row r="27" spans="1:13" ht="13.5" hidden="1" customHeight="1" x14ac:dyDescent="0.2">
      <c r="A27" s="149" t="s">
        <v>298</v>
      </c>
      <c r="B27" s="150" t="s">
        <v>23</v>
      </c>
      <c r="C27" s="151">
        <v>66772</v>
      </c>
      <c r="D27" s="152" t="s">
        <v>34</v>
      </c>
      <c r="E27" s="157" t="s">
        <v>35</v>
      </c>
      <c r="F27" s="151"/>
      <c r="G27" s="154" t="s">
        <v>77</v>
      </c>
      <c r="H27" s="151"/>
      <c r="I27" s="151"/>
      <c r="J27" s="151"/>
      <c r="K27" s="151">
        <v>8500</v>
      </c>
      <c r="L27" s="151">
        <f t="shared" si="17"/>
        <v>8500</v>
      </c>
      <c r="M27" s="155" t="s">
        <v>179</v>
      </c>
    </row>
    <row r="28" spans="1:13" ht="13.5" hidden="1" customHeight="1" x14ac:dyDescent="0.2">
      <c r="A28" s="149" t="s">
        <v>298</v>
      </c>
      <c r="B28" s="150" t="s">
        <v>23</v>
      </c>
      <c r="C28" s="151">
        <v>66772</v>
      </c>
      <c r="D28" s="152" t="s">
        <v>34</v>
      </c>
      <c r="E28" s="161" t="s">
        <v>39</v>
      </c>
      <c r="F28" s="151"/>
      <c r="G28" s="154" t="s">
        <v>36</v>
      </c>
      <c r="H28" s="151"/>
      <c r="I28" s="151"/>
      <c r="J28" s="151"/>
      <c r="K28" s="151">
        <v>9200</v>
      </c>
      <c r="L28" s="151">
        <f t="shared" si="17"/>
        <v>9200</v>
      </c>
      <c r="M28" s="155" t="s">
        <v>26</v>
      </c>
    </row>
    <row r="29" spans="1:13" ht="13.5" hidden="1" customHeight="1" x14ac:dyDescent="0.2">
      <c r="A29" s="149" t="s">
        <v>298</v>
      </c>
      <c r="B29" s="150" t="s">
        <v>23</v>
      </c>
      <c r="C29" s="151">
        <v>66772</v>
      </c>
      <c r="D29" s="152" t="s">
        <v>34</v>
      </c>
      <c r="E29" s="153" t="s">
        <v>30</v>
      </c>
      <c r="F29" s="151"/>
      <c r="G29" s="154" t="s">
        <v>78</v>
      </c>
      <c r="H29" s="151"/>
      <c r="I29" s="151"/>
      <c r="J29" s="151"/>
      <c r="K29" s="151">
        <v>6000</v>
      </c>
      <c r="L29" s="151">
        <f>K29</f>
        <v>6000</v>
      </c>
      <c r="M29" s="155" t="s">
        <v>180</v>
      </c>
    </row>
    <row r="30" spans="1:13" ht="13.5" hidden="1" customHeight="1" x14ac:dyDescent="0.2">
      <c r="A30" s="149" t="s">
        <v>299</v>
      </c>
      <c r="B30" s="150" t="s">
        <v>23</v>
      </c>
      <c r="C30" s="151">
        <v>66772</v>
      </c>
      <c r="D30" s="152" t="s">
        <v>34</v>
      </c>
      <c r="E30" s="157" t="s">
        <v>35</v>
      </c>
      <c r="F30" s="151"/>
      <c r="G30" s="154" t="s">
        <v>77</v>
      </c>
      <c r="H30" s="151"/>
      <c r="I30" s="151"/>
      <c r="J30" s="151"/>
      <c r="K30" s="151">
        <v>4800</v>
      </c>
      <c r="L30" s="151">
        <f t="shared" ref="L30:L31" si="18">K30</f>
        <v>4800</v>
      </c>
      <c r="M30" s="155" t="s">
        <v>179</v>
      </c>
    </row>
    <row r="31" spans="1:13" ht="13.5" hidden="1" customHeight="1" x14ac:dyDescent="0.2">
      <c r="A31" s="149" t="s">
        <v>299</v>
      </c>
      <c r="B31" s="150" t="s">
        <v>23</v>
      </c>
      <c r="C31" s="151">
        <v>66772</v>
      </c>
      <c r="D31" s="152" t="s">
        <v>34</v>
      </c>
      <c r="E31" s="161" t="s">
        <v>39</v>
      </c>
      <c r="F31" s="151"/>
      <c r="G31" s="154" t="s">
        <v>36</v>
      </c>
      <c r="H31" s="151"/>
      <c r="I31" s="151"/>
      <c r="J31" s="151"/>
      <c r="K31" s="151">
        <v>4500</v>
      </c>
      <c r="L31" s="151">
        <f t="shared" si="18"/>
        <v>4500</v>
      </c>
      <c r="M31" s="155" t="s">
        <v>26</v>
      </c>
    </row>
    <row r="32" spans="1:13" ht="13.5" hidden="1" customHeight="1" x14ac:dyDescent="0.2">
      <c r="A32" s="149" t="s">
        <v>299</v>
      </c>
      <c r="B32" s="150" t="s">
        <v>23</v>
      </c>
      <c r="C32" s="151">
        <v>66772</v>
      </c>
      <c r="D32" s="152" t="s">
        <v>34</v>
      </c>
      <c r="E32" s="153" t="s">
        <v>30</v>
      </c>
      <c r="F32" s="151"/>
      <c r="G32" s="154" t="s">
        <v>78</v>
      </c>
      <c r="H32" s="151"/>
      <c r="I32" s="151"/>
      <c r="J32" s="151"/>
      <c r="K32" s="151">
        <v>7000</v>
      </c>
      <c r="L32" s="151">
        <f>K32</f>
        <v>7000</v>
      </c>
      <c r="M32" s="155" t="s">
        <v>180</v>
      </c>
    </row>
    <row r="33" spans="1:13" ht="13.5" hidden="1" customHeight="1" x14ac:dyDescent="0.2">
      <c r="A33" s="149" t="s">
        <v>299</v>
      </c>
      <c r="B33" s="152" t="s">
        <v>14</v>
      </c>
      <c r="C33" s="151">
        <v>2576</v>
      </c>
      <c r="D33" s="152" t="s">
        <v>84</v>
      </c>
      <c r="E33" s="152" t="s">
        <v>17</v>
      </c>
      <c r="F33" s="151">
        <v>140</v>
      </c>
      <c r="G33" s="151">
        <v>0.1</v>
      </c>
      <c r="H33" s="151">
        <v>18.100000000000001</v>
      </c>
      <c r="I33" s="151">
        <v>17</v>
      </c>
      <c r="J33" s="151">
        <v>1</v>
      </c>
      <c r="K33" s="151">
        <f>F33*I33</f>
        <v>2380</v>
      </c>
      <c r="L33" s="151">
        <f>K33*J33</f>
        <v>2380</v>
      </c>
      <c r="M33" s="155" t="s">
        <v>22</v>
      </c>
    </row>
    <row r="34" spans="1:13" ht="13.5" hidden="1" customHeight="1" x14ac:dyDescent="0.2">
      <c r="A34" s="149" t="s">
        <v>299</v>
      </c>
      <c r="B34" s="152" t="s">
        <v>14</v>
      </c>
      <c r="C34" s="151">
        <v>7479</v>
      </c>
      <c r="D34" s="152" t="s">
        <v>20</v>
      </c>
      <c r="E34" s="152" t="s">
        <v>25</v>
      </c>
      <c r="F34" s="151"/>
      <c r="G34" s="151"/>
      <c r="H34" s="151"/>
      <c r="I34" s="151"/>
      <c r="J34" s="151">
        <v>1</v>
      </c>
      <c r="K34" s="151">
        <v>5000</v>
      </c>
      <c r="L34" s="151">
        <f t="shared" ref="L34" si="19">K34</f>
        <v>5000</v>
      </c>
      <c r="M34" s="155" t="s">
        <v>37</v>
      </c>
    </row>
    <row r="35" spans="1:13" ht="13.5" customHeight="1" x14ac:dyDescent="0.2">
      <c r="A35" s="149" t="s">
        <v>299</v>
      </c>
      <c r="B35" s="152" t="s">
        <v>14</v>
      </c>
      <c r="C35" s="151">
        <v>6380</v>
      </c>
      <c r="D35" s="152" t="s">
        <v>16</v>
      </c>
      <c r="E35" s="152" t="s">
        <v>17</v>
      </c>
      <c r="F35" s="151">
        <v>57</v>
      </c>
      <c r="G35" s="151">
        <v>0.42499999999999999</v>
      </c>
      <c r="H35" s="151">
        <f t="shared" ref="H35:H36" si="20">F35*G35</f>
        <v>24.224999999999998</v>
      </c>
      <c r="I35" s="151">
        <v>56</v>
      </c>
      <c r="J35" s="151">
        <v>4</v>
      </c>
      <c r="K35" s="151">
        <f t="shared" ref="K35" si="21">F35*I35</f>
        <v>3192</v>
      </c>
      <c r="L35" s="151">
        <f t="shared" ref="L35:L36" si="22">K35*J35</f>
        <v>12768</v>
      </c>
      <c r="M35" s="155" t="s">
        <v>18</v>
      </c>
    </row>
    <row r="36" spans="1:13" ht="13.5" hidden="1" customHeight="1" x14ac:dyDescent="0.2">
      <c r="A36" s="149" t="s">
        <v>299</v>
      </c>
      <c r="B36" s="152" t="s">
        <v>14</v>
      </c>
      <c r="C36" s="151" t="s">
        <v>51</v>
      </c>
      <c r="D36" s="152" t="s">
        <v>52</v>
      </c>
      <c r="E36" s="152" t="s">
        <v>17</v>
      </c>
      <c r="F36" s="151">
        <v>56</v>
      </c>
      <c r="G36" s="151">
        <v>0.20499999999999999</v>
      </c>
      <c r="H36" s="151">
        <f t="shared" si="20"/>
        <v>11.479999999999999</v>
      </c>
      <c r="I36" s="151">
        <v>26</v>
      </c>
      <c r="J36" s="151">
        <v>4</v>
      </c>
      <c r="K36" s="151">
        <f>F36*I36</f>
        <v>1456</v>
      </c>
      <c r="L36" s="151">
        <f t="shared" si="22"/>
        <v>5824</v>
      </c>
      <c r="M36" s="155" t="s">
        <v>18</v>
      </c>
    </row>
    <row r="37" spans="1:13" ht="13.5" hidden="1" customHeight="1" x14ac:dyDescent="0.2">
      <c r="A37" s="149" t="s">
        <v>300</v>
      </c>
      <c r="B37" s="150" t="s">
        <v>23</v>
      </c>
      <c r="C37" s="151">
        <v>66772</v>
      </c>
      <c r="D37" s="152" t="s">
        <v>34</v>
      </c>
      <c r="E37" s="153" t="s">
        <v>30</v>
      </c>
      <c r="F37" s="151"/>
      <c r="G37" s="154" t="s">
        <v>78</v>
      </c>
      <c r="H37" s="151"/>
      <c r="I37" s="151"/>
      <c r="J37" s="151"/>
      <c r="K37" s="151">
        <v>800</v>
      </c>
      <c r="L37" s="151">
        <f>K37</f>
        <v>800</v>
      </c>
      <c r="M37" s="155" t="s">
        <v>180</v>
      </c>
    </row>
    <row r="38" spans="1:13" ht="13.5" customHeight="1" x14ac:dyDescent="0.2">
      <c r="A38" s="149" t="s">
        <v>300</v>
      </c>
      <c r="B38" s="152" t="s">
        <v>14</v>
      </c>
      <c r="C38" s="151">
        <v>6380</v>
      </c>
      <c r="D38" s="152" t="s">
        <v>16</v>
      </c>
      <c r="E38" s="152" t="s">
        <v>17</v>
      </c>
      <c r="F38" s="151">
        <v>71</v>
      </c>
      <c r="G38" s="151">
        <v>0.42499999999999999</v>
      </c>
      <c r="H38" s="151">
        <f t="shared" ref="H38" si="23">F38*G38</f>
        <v>30.175000000000001</v>
      </c>
      <c r="I38" s="151">
        <v>56</v>
      </c>
      <c r="J38" s="151">
        <v>4</v>
      </c>
      <c r="K38" s="151">
        <f t="shared" ref="K38" si="24">F38*I38</f>
        <v>3976</v>
      </c>
      <c r="L38" s="151">
        <f t="shared" ref="L38" si="25">K38*J38</f>
        <v>15904</v>
      </c>
      <c r="M38" s="155" t="s">
        <v>18</v>
      </c>
    </row>
    <row r="39" spans="1:13" ht="13.5" hidden="1" customHeight="1" x14ac:dyDescent="0.2">
      <c r="A39" s="149" t="s">
        <v>300</v>
      </c>
      <c r="B39" s="152" t="s">
        <v>14</v>
      </c>
      <c r="C39" s="151">
        <v>7479</v>
      </c>
      <c r="D39" s="152" t="s">
        <v>20</v>
      </c>
      <c r="E39" s="152" t="s">
        <v>25</v>
      </c>
      <c r="F39" s="151"/>
      <c r="G39" s="151"/>
      <c r="H39" s="151"/>
      <c r="I39" s="151"/>
      <c r="J39" s="151">
        <v>1</v>
      </c>
      <c r="K39" s="151">
        <v>5200</v>
      </c>
      <c r="L39" s="151">
        <f t="shared" ref="L39:L42" si="26">K39</f>
        <v>5200</v>
      </c>
      <c r="M39" s="155" t="s">
        <v>37</v>
      </c>
    </row>
    <row r="40" spans="1:13" ht="13.5" hidden="1" customHeight="1" x14ac:dyDescent="0.2">
      <c r="A40" s="149" t="s">
        <v>300</v>
      </c>
      <c r="B40" s="150" t="s">
        <v>23</v>
      </c>
      <c r="C40" s="151">
        <v>65548</v>
      </c>
      <c r="D40" s="156" t="s">
        <v>24</v>
      </c>
      <c r="E40" s="157" t="s">
        <v>25</v>
      </c>
      <c r="F40" s="151"/>
      <c r="G40" s="154"/>
      <c r="H40" s="151"/>
      <c r="I40" s="151"/>
      <c r="J40" s="151"/>
      <c r="K40" s="151">
        <v>2200</v>
      </c>
      <c r="L40" s="151">
        <f t="shared" si="26"/>
        <v>2200</v>
      </c>
      <c r="M40" s="155" t="s">
        <v>179</v>
      </c>
    </row>
    <row r="41" spans="1:13" ht="13.5" hidden="1" customHeight="1" x14ac:dyDescent="0.2">
      <c r="A41" s="149" t="s">
        <v>300</v>
      </c>
      <c r="B41" s="150" t="s">
        <v>23</v>
      </c>
      <c r="C41" s="151">
        <v>65548</v>
      </c>
      <c r="D41" s="156" t="s">
        <v>24</v>
      </c>
      <c r="E41" s="157" t="s">
        <v>30</v>
      </c>
      <c r="F41" s="151"/>
      <c r="G41" s="154"/>
      <c r="H41" s="151"/>
      <c r="I41" s="151"/>
      <c r="J41" s="151"/>
      <c r="K41" s="151">
        <v>2200</v>
      </c>
      <c r="L41" s="151">
        <f t="shared" si="26"/>
        <v>2200</v>
      </c>
      <c r="M41" s="155" t="s">
        <v>180</v>
      </c>
    </row>
    <row r="42" spans="1:13" ht="13.5" hidden="1" customHeight="1" x14ac:dyDescent="0.2">
      <c r="A42" s="149" t="s">
        <v>300</v>
      </c>
      <c r="B42" s="152" t="s">
        <v>14</v>
      </c>
      <c r="C42" s="151">
        <v>2576</v>
      </c>
      <c r="D42" s="152" t="s">
        <v>90</v>
      </c>
      <c r="E42" s="152" t="s">
        <v>25</v>
      </c>
      <c r="F42" s="151"/>
      <c r="G42" s="151"/>
      <c r="H42" s="151"/>
      <c r="I42" s="151"/>
      <c r="J42" s="151"/>
      <c r="K42" s="151">
        <v>3000</v>
      </c>
      <c r="L42" s="151">
        <f t="shared" si="26"/>
        <v>3000</v>
      </c>
      <c r="M42" s="155" t="s">
        <v>31</v>
      </c>
    </row>
    <row r="43" spans="1:13" ht="13.5" hidden="1" customHeight="1" x14ac:dyDescent="0.2">
      <c r="A43" s="149" t="s">
        <v>300</v>
      </c>
      <c r="B43" s="152" t="s">
        <v>14</v>
      </c>
      <c r="C43" s="151">
        <v>7479</v>
      </c>
      <c r="D43" s="152" t="s">
        <v>20</v>
      </c>
      <c r="E43" s="152" t="s">
        <v>21</v>
      </c>
      <c r="F43" s="151">
        <v>154</v>
      </c>
      <c r="G43" s="151">
        <v>0.15</v>
      </c>
      <c r="H43" s="151">
        <f>G43*F43</f>
        <v>23.099999999999998</v>
      </c>
      <c r="I43" s="151">
        <v>80</v>
      </c>
      <c r="J43" s="151">
        <v>1</v>
      </c>
      <c r="K43" s="151">
        <f>F43*I43</f>
        <v>12320</v>
      </c>
      <c r="L43" s="151">
        <f>K43*J43</f>
        <v>12320</v>
      </c>
      <c r="M43" s="155" t="s">
        <v>181</v>
      </c>
    </row>
    <row r="44" spans="1:13" ht="13.5" hidden="1" customHeight="1" x14ac:dyDescent="0.2">
      <c r="A44" s="149" t="s">
        <v>301</v>
      </c>
      <c r="B44" s="150" t="s">
        <v>23</v>
      </c>
      <c r="C44" s="151">
        <v>65548</v>
      </c>
      <c r="D44" s="156" t="s">
        <v>24</v>
      </c>
      <c r="E44" s="157" t="s">
        <v>25</v>
      </c>
      <c r="F44" s="151"/>
      <c r="G44" s="154"/>
      <c r="H44" s="151"/>
      <c r="I44" s="151"/>
      <c r="J44" s="151"/>
      <c r="K44" s="151">
        <v>7800</v>
      </c>
      <c r="L44" s="151">
        <f t="shared" ref="L44:L48" si="27">K44</f>
        <v>7800</v>
      </c>
      <c r="M44" s="155" t="s">
        <v>179</v>
      </c>
    </row>
    <row r="45" spans="1:13" ht="13.5" hidden="1" customHeight="1" x14ac:dyDescent="0.2">
      <c r="A45" s="149" t="s">
        <v>301</v>
      </c>
      <c r="B45" s="150" t="s">
        <v>23</v>
      </c>
      <c r="C45" s="151">
        <v>65548</v>
      </c>
      <c r="D45" s="156" t="s">
        <v>24</v>
      </c>
      <c r="E45" s="157" t="s">
        <v>30</v>
      </c>
      <c r="F45" s="151"/>
      <c r="G45" s="154"/>
      <c r="H45" s="151"/>
      <c r="I45" s="151"/>
      <c r="J45" s="151"/>
      <c r="K45" s="151">
        <v>5000</v>
      </c>
      <c r="L45" s="151">
        <f t="shared" si="27"/>
        <v>5000</v>
      </c>
      <c r="M45" s="155" t="s">
        <v>180</v>
      </c>
    </row>
    <row r="46" spans="1:13" ht="13.5" hidden="1" customHeight="1" x14ac:dyDescent="0.2">
      <c r="A46" s="149" t="s">
        <v>301</v>
      </c>
      <c r="B46" s="150" t="s">
        <v>23</v>
      </c>
      <c r="C46" s="151">
        <v>66772</v>
      </c>
      <c r="D46" s="152" t="s">
        <v>34</v>
      </c>
      <c r="E46" s="157" t="s">
        <v>35</v>
      </c>
      <c r="F46" s="151"/>
      <c r="G46" s="154" t="s">
        <v>77</v>
      </c>
      <c r="H46" s="151"/>
      <c r="I46" s="151"/>
      <c r="J46" s="151"/>
      <c r="K46" s="151">
        <v>5000</v>
      </c>
      <c r="L46" s="151">
        <f t="shared" si="27"/>
        <v>5000</v>
      </c>
      <c r="M46" s="155" t="s">
        <v>179</v>
      </c>
    </row>
    <row r="47" spans="1:13" ht="13.5" hidden="1" customHeight="1" x14ac:dyDescent="0.2">
      <c r="A47" s="149" t="s">
        <v>301</v>
      </c>
      <c r="B47" s="150" t="s">
        <v>23</v>
      </c>
      <c r="C47" s="151">
        <v>66772</v>
      </c>
      <c r="D47" s="152" t="s">
        <v>34</v>
      </c>
      <c r="E47" s="161" t="s">
        <v>39</v>
      </c>
      <c r="F47" s="151"/>
      <c r="G47" s="154" t="s">
        <v>36</v>
      </c>
      <c r="H47" s="151"/>
      <c r="I47" s="151"/>
      <c r="J47" s="151"/>
      <c r="K47" s="151">
        <v>4760</v>
      </c>
      <c r="L47" s="151">
        <f t="shared" si="27"/>
        <v>4760</v>
      </c>
      <c r="M47" s="155" t="s">
        <v>26</v>
      </c>
    </row>
    <row r="48" spans="1:13" ht="13.5" hidden="1" customHeight="1" x14ac:dyDescent="0.2">
      <c r="A48" s="149" t="s">
        <v>301</v>
      </c>
      <c r="B48" s="152" t="s">
        <v>14</v>
      </c>
      <c r="C48" s="151">
        <v>2576</v>
      </c>
      <c r="D48" s="152" t="s">
        <v>90</v>
      </c>
      <c r="E48" s="152" t="s">
        <v>25</v>
      </c>
      <c r="F48" s="151"/>
      <c r="G48" s="151"/>
      <c r="H48" s="151"/>
      <c r="I48" s="151"/>
      <c r="J48" s="151"/>
      <c r="K48" s="151">
        <v>500</v>
      </c>
      <c r="L48" s="151">
        <f t="shared" si="27"/>
        <v>500</v>
      </c>
      <c r="M48" s="155" t="s">
        <v>31</v>
      </c>
    </row>
    <row r="49" spans="1:13" ht="13.5" hidden="1" customHeight="1" x14ac:dyDescent="0.2">
      <c r="A49" s="149" t="s">
        <v>301</v>
      </c>
      <c r="B49" s="152" t="s">
        <v>14</v>
      </c>
      <c r="C49" s="151">
        <v>7479</v>
      </c>
      <c r="D49" s="152" t="s">
        <v>20</v>
      </c>
      <c r="E49" s="152" t="s">
        <v>21</v>
      </c>
      <c r="F49" s="151">
        <v>215</v>
      </c>
      <c r="G49" s="151">
        <v>0.15</v>
      </c>
      <c r="H49" s="151">
        <f>G49*F49</f>
        <v>32.25</v>
      </c>
      <c r="I49" s="151">
        <v>80</v>
      </c>
      <c r="J49" s="151">
        <v>1</v>
      </c>
      <c r="K49" s="151">
        <f>F49*I49</f>
        <v>17200</v>
      </c>
      <c r="L49" s="151">
        <f>K49*J49</f>
        <v>17200</v>
      </c>
      <c r="M49" s="155" t="s">
        <v>181</v>
      </c>
    </row>
    <row r="50" spans="1:13" ht="13.5" hidden="1" customHeight="1" x14ac:dyDescent="0.2">
      <c r="A50" s="149" t="s">
        <v>301</v>
      </c>
      <c r="B50" s="152" t="s">
        <v>14</v>
      </c>
      <c r="C50" s="151">
        <v>7479</v>
      </c>
      <c r="D50" s="152" t="s">
        <v>20</v>
      </c>
      <c r="E50" s="152" t="s">
        <v>25</v>
      </c>
      <c r="F50" s="151"/>
      <c r="G50" s="151"/>
      <c r="H50" s="151"/>
      <c r="I50" s="151"/>
      <c r="J50" s="151">
        <v>1</v>
      </c>
      <c r="K50" s="151">
        <v>4500</v>
      </c>
      <c r="L50" s="151">
        <f t="shared" ref="L50:L55" si="28">K50</f>
        <v>4500</v>
      </c>
      <c r="M50" s="155" t="s">
        <v>37</v>
      </c>
    </row>
    <row r="51" spans="1:13" ht="13.5" hidden="1" customHeight="1" x14ac:dyDescent="0.2">
      <c r="A51" s="149" t="s">
        <v>302</v>
      </c>
      <c r="B51" s="150" t="s">
        <v>23</v>
      </c>
      <c r="C51" s="151">
        <v>65548</v>
      </c>
      <c r="D51" s="156" t="s">
        <v>24</v>
      </c>
      <c r="E51" s="157" t="s">
        <v>25</v>
      </c>
      <c r="F51" s="151"/>
      <c r="G51" s="154"/>
      <c r="H51" s="151"/>
      <c r="I51" s="151"/>
      <c r="J51" s="151"/>
      <c r="K51" s="151">
        <v>5000</v>
      </c>
      <c r="L51" s="151">
        <f t="shared" si="28"/>
        <v>5000</v>
      </c>
      <c r="M51" s="155" t="s">
        <v>179</v>
      </c>
    </row>
    <row r="52" spans="1:13" ht="13.5" hidden="1" customHeight="1" x14ac:dyDescent="0.2">
      <c r="A52" s="149" t="s">
        <v>302</v>
      </c>
      <c r="B52" s="150" t="s">
        <v>23</v>
      </c>
      <c r="C52" s="151">
        <v>65548</v>
      </c>
      <c r="D52" s="156" t="s">
        <v>24</v>
      </c>
      <c r="E52" s="157" t="s">
        <v>30</v>
      </c>
      <c r="F52" s="151"/>
      <c r="G52" s="154"/>
      <c r="H52" s="151"/>
      <c r="I52" s="151"/>
      <c r="J52" s="151"/>
      <c r="K52" s="151">
        <v>3200</v>
      </c>
      <c r="L52" s="151">
        <f t="shared" si="28"/>
        <v>3200</v>
      </c>
      <c r="M52" s="155" t="s">
        <v>180</v>
      </c>
    </row>
    <row r="53" spans="1:13" ht="13.5" hidden="1" customHeight="1" x14ac:dyDescent="0.2">
      <c r="A53" s="149" t="s">
        <v>302</v>
      </c>
      <c r="B53" s="150" t="s">
        <v>23</v>
      </c>
      <c r="C53" s="151">
        <v>66772</v>
      </c>
      <c r="D53" s="152" t="s">
        <v>34</v>
      </c>
      <c r="E53" s="157" t="s">
        <v>35</v>
      </c>
      <c r="F53" s="151"/>
      <c r="G53" s="154" t="s">
        <v>77</v>
      </c>
      <c r="H53" s="151"/>
      <c r="I53" s="151"/>
      <c r="J53" s="151"/>
      <c r="K53" s="151">
        <v>3500</v>
      </c>
      <c r="L53" s="151">
        <f t="shared" si="28"/>
        <v>3500</v>
      </c>
      <c r="M53" s="155" t="s">
        <v>179</v>
      </c>
    </row>
    <row r="54" spans="1:13" ht="13.5" hidden="1" customHeight="1" x14ac:dyDescent="0.2">
      <c r="A54" s="149" t="s">
        <v>302</v>
      </c>
      <c r="B54" s="150" t="s">
        <v>23</v>
      </c>
      <c r="C54" s="151">
        <v>66772</v>
      </c>
      <c r="D54" s="152" t="s">
        <v>34</v>
      </c>
      <c r="E54" s="161" t="s">
        <v>39</v>
      </c>
      <c r="F54" s="151"/>
      <c r="G54" s="154" t="s">
        <v>36</v>
      </c>
      <c r="H54" s="151"/>
      <c r="I54" s="151"/>
      <c r="J54" s="151"/>
      <c r="K54" s="151">
        <v>4200</v>
      </c>
      <c r="L54" s="151">
        <f t="shared" si="28"/>
        <v>4200</v>
      </c>
      <c r="M54" s="155" t="s">
        <v>26</v>
      </c>
    </row>
    <row r="55" spans="1:13" ht="13.5" hidden="1" customHeight="1" x14ac:dyDescent="0.2">
      <c r="A55" s="149" t="s">
        <v>302</v>
      </c>
      <c r="B55" s="152" t="s">
        <v>14</v>
      </c>
      <c r="C55" s="151">
        <v>2576</v>
      </c>
      <c r="D55" s="152" t="s">
        <v>90</v>
      </c>
      <c r="E55" s="152" t="s">
        <v>25</v>
      </c>
      <c r="F55" s="151"/>
      <c r="G55" s="151"/>
      <c r="H55" s="151"/>
      <c r="I55" s="151"/>
      <c r="J55" s="151"/>
      <c r="K55" s="151">
        <v>1000</v>
      </c>
      <c r="L55" s="151">
        <f t="shared" si="28"/>
        <v>1000</v>
      </c>
      <c r="M55" s="155" t="s">
        <v>31</v>
      </c>
    </row>
    <row r="56" spans="1:13" ht="13.5" hidden="1" customHeight="1" x14ac:dyDescent="0.2">
      <c r="A56" s="149" t="s">
        <v>302</v>
      </c>
      <c r="B56" s="152" t="s">
        <v>14</v>
      </c>
      <c r="C56" s="151">
        <v>7479</v>
      </c>
      <c r="D56" s="152" t="s">
        <v>20</v>
      </c>
      <c r="E56" s="152" t="s">
        <v>25</v>
      </c>
      <c r="F56" s="151"/>
      <c r="G56" s="151"/>
      <c r="H56" s="151"/>
      <c r="I56" s="151"/>
      <c r="J56" s="151">
        <v>1</v>
      </c>
      <c r="K56" s="151">
        <v>3000</v>
      </c>
      <c r="L56" s="151">
        <f t="shared" ref="L56" si="29">K56</f>
        <v>3000</v>
      </c>
      <c r="M56" s="155" t="s">
        <v>37</v>
      </c>
    </row>
    <row r="57" spans="1:13" ht="13.5" hidden="1" customHeight="1" x14ac:dyDescent="0.2">
      <c r="A57" s="149" t="s">
        <v>302</v>
      </c>
      <c r="B57" s="152" t="s">
        <v>14</v>
      </c>
      <c r="C57" s="151">
        <v>7479</v>
      </c>
      <c r="D57" s="152" t="s">
        <v>20</v>
      </c>
      <c r="E57" s="152" t="s">
        <v>21</v>
      </c>
      <c r="F57" s="151">
        <v>82</v>
      </c>
      <c r="G57" s="151">
        <v>0.15</v>
      </c>
      <c r="H57" s="151">
        <f>G57*F57</f>
        <v>12.299999999999999</v>
      </c>
      <c r="I57" s="151">
        <v>80</v>
      </c>
      <c r="J57" s="151">
        <v>1</v>
      </c>
      <c r="K57" s="151">
        <f>F57*I57</f>
        <v>6560</v>
      </c>
      <c r="L57" s="151">
        <f>K57*J57</f>
        <v>6560</v>
      </c>
      <c r="M57" s="155" t="s">
        <v>181</v>
      </c>
    </row>
    <row r="58" spans="1:13" ht="13.5" hidden="1" customHeight="1" x14ac:dyDescent="0.2">
      <c r="A58" s="149" t="s">
        <v>303</v>
      </c>
      <c r="B58" s="152" t="s">
        <v>14</v>
      </c>
      <c r="C58" s="151">
        <v>7479</v>
      </c>
      <c r="D58" s="152" t="s">
        <v>20</v>
      </c>
      <c r="E58" s="152" t="s">
        <v>21</v>
      </c>
      <c r="F58" s="151">
        <v>111</v>
      </c>
      <c r="G58" s="151">
        <v>0.15</v>
      </c>
      <c r="H58" s="151">
        <f>G58*F58</f>
        <v>16.649999999999999</v>
      </c>
      <c r="I58" s="151">
        <v>80</v>
      </c>
      <c r="J58" s="151">
        <v>1</v>
      </c>
      <c r="K58" s="151">
        <f>F58*I58</f>
        <v>8880</v>
      </c>
      <c r="L58" s="151">
        <f>K58*J58</f>
        <v>8880</v>
      </c>
      <c r="M58" s="155" t="s">
        <v>181</v>
      </c>
    </row>
    <row r="59" spans="1:13" ht="13.5" hidden="1" customHeight="1" x14ac:dyDescent="0.2">
      <c r="A59" s="149" t="s">
        <v>303</v>
      </c>
      <c r="B59" s="152" t="s">
        <v>14</v>
      </c>
      <c r="C59" s="151">
        <v>7479</v>
      </c>
      <c r="D59" s="152" t="s">
        <v>20</v>
      </c>
      <c r="E59" s="152" t="s">
        <v>25</v>
      </c>
      <c r="F59" s="151"/>
      <c r="G59" s="151"/>
      <c r="H59" s="151"/>
      <c r="I59" s="151"/>
      <c r="J59" s="151">
        <v>1</v>
      </c>
      <c r="K59" s="151">
        <v>5100</v>
      </c>
      <c r="L59" s="151">
        <f t="shared" ref="L59:L62" si="30">K59</f>
        <v>5100</v>
      </c>
      <c r="M59" s="155" t="s">
        <v>37</v>
      </c>
    </row>
    <row r="60" spans="1:13" ht="13.5" hidden="1" customHeight="1" x14ac:dyDescent="0.2">
      <c r="A60" s="149" t="s">
        <v>303</v>
      </c>
      <c r="B60" s="150" t="s">
        <v>23</v>
      </c>
      <c r="C60" s="151">
        <v>65548</v>
      </c>
      <c r="D60" s="156" t="s">
        <v>24</v>
      </c>
      <c r="E60" s="157" t="s">
        <v>30</v>
      </c>
      <c r="F60" s="151"/>
      <c r="G60" s="154"/>
      <c r="H60" s="151"/>
      <c r="I60" s="151"/>
      <c r="J60" s="151"/>
      <c r="K60" s="151">
        <v>2200</v>
      </c>
      <c r="L60" s="151">
        <f t="shared" si="30"/>
        <v>2200</v>
      </c>
      <c r="M60" s="155" t="s">
        <v>180</v>
      </c>
    </row>
    <row r="61" spans="1:13" ht="13.5" hidden="1" customHeight="1" x14ac:dyDescent="0.2">
      <c r="A61" s="149" t="s">
        <v>303</v>
      </c>
      <c r="B61" s="150" t="s">
        <v>23</v>
      </c>
      <c r="C61" s="151">
        <v>66772</v>
      </c>
      <c r="D61" s="152" t="s">
        <v>34</v>
      </c>
      <c r="E61" s="157" t="s">
        <v>35</v>
      </c>
      <c r="F61" s="151"/>
      <c r="G61" s="154" t="s">
        <v>77</v>
      </c>
      <c r="H61" s="151"/>
      <c r="I61" s="151"/>
      <c r="J61" s="151"/>
      <c r="K61" s="151">
        <v>7500</v>
      </c>
      <c r="L61" s="151">
        <f t="shared" si="30"/>
        <v>7500</v>
      </c>
      <c r="M61" s="155" t="s">
        <v>179</v>
      </c>
    </row>
    <row r="62" spans="1:13" ht="13.5" hidden="1" customHeight="1" x14ac:dyDescent="0.2">
      <c r="A62" s="149" t="s">
        <v>303</v>
      </c>
      <c r="B62" s="150" t="s">
        <v>23</v>
      </c>
      <c r="C62" s="151">
        <v>66772</v>
      </c>
      <c r="D62" s="152" t="s">
        <v>34</v>
      </c>
      <c r="E62" s="161" t="s">
        <v>39</v>
      </c>
      <c r="F62" s="151"/>
      <c r="G62" s="154" t="s">
        <v>36</v>
      </c>
      <c r="H62" s="151"/>
      <c r="I62" s="151"/>
      <c r="J62" s="151"/>
      <c r="K62" s="151">
        <v>4000</v>
      </c>
      <c r="L62" s="151">
        <f t="shared" si="30"/>
        <v>4000</v>
      </c>
      <c r="M62" s="155" t="s">
        <v>26</v>
      </c>
    </row>
    <row r="63" spans="1:13" ht="13.5" hidden="1" customHeight="1" x14ac:dyDescent="0.2">
      <c r="A63" s="149" t="s">
        <v>303</v>
      </c>
      <c r="B63" s="150" t="s">
        <v>23</v>
      </c>
      <c r="C63" s="151">
        <v>66772</v>
      </c>
      <c r="D63" s="152" t="s">
        <v>34</v>
      </c>
      <c r="E63" s="153" t="s">
        <v>30</v>
      </c>
      <c r="F63" s="151"/>
      <c r="G63" s="154" t="s">
        <v>78</v>
      </c>
      <c r="H63" s="151"/>
      <c r="I63" s="151"/>
      <c r="J63" s="151"/>
      <c r="K63" s="151">
        <v>5500</v>
      </c>
      <c r="L63" s="151">
        <f>K63</f>
        <v>5500</v>
      </c>
      <c r="M63" s="155" t="s">
        <v>180</v>
      </c>
    </row>
    <row r="64" spans="1:13" ht="13.5" hidden="1" customHeight="1" x14ac:dyDescent="0.2">
      <c r="A64" s="149" t="s">
        <v>304</v>
      </c>
      <c r="B64" s="152" t="s">
        <v>14</v>
      </c>
      <c r="C64" s="151">
        <v>7479</v>
      </c>
      <c r="D64" s="152" t="s">
        <v>20</v>
      </c>
      <c r="E64" s="152" t="s">
        <v>25</v>
      </c>
      <c r="F64" s="151"/>
      <c r="G64" s="151"/>
      <c r="H64" s="151"/>
      <c r="I64" s="151"/>
      <c r="J64" s="151">
        <v>1</v>
      </c>
      <c r="K64" s="151">
        <v>4000</v>
      </c>
      <c r="L64" s="151">
        <f t="shared" ref="L64:L66" si="31">K64</f>
        <v>4000</v>
      </c>
      <c r="M64" s="155" t="s">
        <v>37</v>
      </c>
    </row>
    <row r="65" spans="1:13" ht="13.5" hidden="1" customHeight="1" x14ac:dyDescent="0.2">
      <c r="A65" s="149" t="s">
        <v>304</v>
      </c>
      <c r="B65" s="150" t="s">
        <v>23</v>
      </c>
      <c r="C65" s="151">
        <v>65548</v>
      </c>
      <c r="D65" s="156" t="s">
        <v>24</v>
      </c>
      <c r="E65" s="157" t="s">
        <v>30</v>
      </c>
      <c r="F65" s="151"/>
      <c r="G65" s="154"/>
      <c r="H65" s="151"/>
      <c r="I65" s="151"/>
      <c r="J65" s="151"/>
      <c r="K65" s="151">
        <v>6000</v>
      </c>
      <c r="L65" s="151">
        <f t="shared" si="31"/>
        <v>6000</v>
      </c>
      <c r="M65" s="155" t="s">
        <v>180</v>
      </c>
    </row>
    <row r="66" spans="1:13" ht="13.5" hidden="1" customHeight="1" x14ac:dyDescent="0.2">
      <c r="A66" s="149" t="s">
        <v>304</v>
      </c>
      <c r="B66" s="150" t="s">
        <v>23</v>
      </c>
      <c r="C66" s="151">
        <v>66772</v>
      </c>
      <c r="D66" s="152" t="s">
        <v>34</v>
      </c>
      <c r="E66" s="161" t="s">
        <v>39</v>
      </c>
      <c r="F66" s="151"/>
      <c r="G66" s="154" t="s">
        <v>36</v>
      </c>
      <c r="H66" s="151"/>
      <c r="I66" s="151"/>
      <c r="J66" s="151"/>
      <c r="K66" s="151">
        <v>3900</v>
      </c>
      <c r="L66" s="151">
        <f t="shared" si="31"/>
        <v>3900</v>
      </c>
      <c r="M66" s="155" t="s">
        <v>26</v>
      </c>
    </row>
    <row r="67" spans="1:13" ht="13.5" hidden="1" customHeight="1" x14ac:dyDescent="0.2">
      <c r="A67" s="149" t="s">
        <v>304</v>
      </c>
      <c r="B67" s="150" t="s">
        <v>23</v>
      </c>
      <c r="C67" s="151">
        <v>66772</v>
      </c>
      <c r="D67" s="152" t="s">
        <v>34</v>
      </c>
      <c r="E67" s="153" t="s">
        <v>30</v>
      </c>
      <c r="F67" s="151"/>
      <c r="G67" s="154" t="s">
        <v>78</v>
      </c>
      <c r="H67" s="151"/>
      <c r="I67" s="151"/>
      <c r="J67" s="151"/>
      <c r="K67" s="151">
        <v>8100</v>
      </c>
      <c r="L67" s="151">
        <f>K67</f>
        <v>8100</v>
      </c>
      <c r="M67" s="155" t="s">
        <v>180</v>
      </c>
    </row>
    <row r="68" spans="1:13" ht="13.5" hidden="1" customHeight="1" x14ac:dyDescent="0.2">
      <c r="A68" s="149" t="s">
        <v>305</v>
      </c>
      <c r="B68" s="152" t="s">
        <v>14</v>
      </c>
      <c r="C68" s="151">
        <v>7479</v>
      </c>
      <c r="D68" s="152" t="s">
        <v>20</v>
      </c>
      <c r="E68" s="152" t="s">
        <v>21</v>
      </c>
      <c r="F68" s="151">
        <v>100</v>
      </c>
      <c r="G68" s="151">
        <v>0.15</v>
      </c>
      <c r="H68" s="151">
        <f>G68*F68</f>
        <v>15</v>
      </c>
      <c r="I68" s="151">
        <v>80</v>
      </c>
      <c r="J68" s="151">
        <v>1</v>
      </c>
      <c r="K68" s="151">
        <f>F68*I68</f>
        <v>8000</v>
      </c>
      <c r="L68" s="151">
        <f>K68*J68</f>
        <v>8000</v>
      </c>
      <c r="M68" s="155" t="s">
        <v>181</v>
      </c>
    </row>
    <row r="69" spans="1:13" ht="13.5" hidden="1" customHeight="1" x14ac:dyDescent="0.2">
      <c r="A69" s="149" t="s">
        <v>305</v>
      </c>
      <c r="B69" s="152" t="s">
        <v>14</v>
      </c>
      <c r="C69" s="151">
        <v>7479</v>
      </c>
      <c r="D69" s="152" t="s">
        <v>20</v>
      </c>
      <c r="E69" s="152" t="s">
        <v>25</v>
      </c>
      <c r="F69" s="151"/>
      <c r="G69" s="151"/>
      <c r="H69" s="151"/>
      <c r="I69" s="151"/>
      <c r="J69" s="151">
        <v>1</v>
      </c>
      <c r="K69" s="151">
        <v>3750</v>
      </c>
      <c r="L69" s="151">
        <f t="shared" ref="L69:L71" si="32">K69</f>
        <v>3750</v>
      </c>
      <c r="M69" s="155" t="s">
        <v>37</v>
      </c>
    </row>
    <row r="70" spans="1:13" ht="13.5" hidden="1" customHeight="1" x14ac:dyDescent="0.2">
      <c r="A70" s="149" t="s">
        <v>305</v>
      </c>
      <c r="B70" s="150" t="s">
        <v>23</v>
      </c>
      <c r="C70" s="151">
        <v>65548</v>
      </c>
      <c r="D70" s="156" t="s">
        <v>24</v>
      </c>
      <c r="E70" s="157" t="s">
        <v>30</v>
      </c>
      <c r="F70" s="151"/>
      <c r="G70" s="154"/>
      <c r="H70" s="151"/>
      <c r="I70" s="151"/>
      <c r="J70" s="151"/>
      <c r="K70" s="151">
        <v>3500</v>
      </c>
      <c r="L70" s="151">
        <f t="shared" si="32"/>
        <v>3500</v>
      </c>
      <c r="M70" s="155" t="s">
        <v>180</v>
      </c>
    </row>
    <row r="71" spans="1:13" ht="13.5" hidden="1" customHeight="1" x14ac:dyDescent="0.2">
      <c r="A71" s="149" t="s">
        <v>305</v>
      </c>
      <c r="B71" s="150" t="s">
        <v>23</v>
      </c>
      <c r="C71" s="151">
        <v>66772</v>
      </c>
      <c r="D71" s="152" t="s">
        <v>34</v>
      </c>
      <c r="E71" s="161" t="s">
        <v>39</v>
      </c>
      <c r="F71" s="151"/>
      <c r="G71" s="154" t="s">
        <v>36</v>
      </c>
      <c r="H71" s="151"/>
      <c r="I71" s="151"/>
      <c r="J71" s="151"/>
      <c r="K71" s="151">
        <v>4500</v>
      </c>
      <c r="L71" s="151">
        <f t="shared" si="32"/>
        <v>4500</v>
      </c>
      <c r="M71" s="155" t="s">
        <v>26</v>
      </c>
    </row>
    <row r="72" spans="1:13" ht="13.5" hidden="1" customHeight="1" x14ac:dyDescent="0.2">
      <c r="A72" s="149" t="s">
        <v>305</v>
      </c>
      <c r="B72" s="150" t="s">
        <v>23</v>
      </c>
      <c r="C72" s="151">
        <v>66772</v>
      </c>
      <c r="D72" s="152" t="s">
        <v>34</v>
      </c>
      <c r="E72" s="153" t="s">
        <v>30</v>
      </c>
      <c r="F72" s="151"/>
      <c r="G72" s="154" t="s">
        <v>78</v>
      </c>
      <c r="H72" s="151"/>
      <c r="I72" s="151"/>
      <c r="J72" s="151"/>
      <c r="K72" s="151">
        <v>4500</v>
      </c>
      <c r="L72" s="151">
        <f>K72</f>
        <v>4500</v>
      </c>
      <c r="M72" s="155" t="s">
        <v>180</v>
      </c>
    </row>
    <row r="73" spans="1:13" ht="13.5" hidden="1" customHeight="1" x14ac:dyDescent="0.2">
      <c r="A73" s="149" t="s">
        <v>305</v>
      </c>
      <c r="B73" s="152" t="s">
        <v>14</v>
      </c>
      <c r="C73" s="151">
        <v>8283</v>
      </c>
      <c r="D73" s="152" t="s">
        <v>84</v>
      </c>
      <c r="E73" s="152" t="s">
        <v>25</v>
      </c>
      <c r="F73" s="151"/>
      <c r="G73" s="151"/>
      <c r="H73" s="151"/>
      <c r="I73" s="151"/>
      <c r="J73" s="151"/>
      <c r="K73" s="151">
        <v>1880</v>
      </c>
      <c r="L73" s="151">
        <f t="shared" ref="L73:L74" si="33">K73</f>
        <v>1880</v>
      </c>
      <c r="M73" s="155" t="s">
        <v>277</v>
      </c>
    </row>
    <row r="74" spans="1:13" ht="13.5" hidden="1" customHeight="1" x14ac:dyDescent="0.2">
      <c r="A74" s="149" t="s">
        <v>305</v>
      </c>
      <c r="B74" s="167" t="s">
        <v>27</v>
      </c>
      <c r="C74" s="166" t="s">
        <v>28</v>
      </c>
      <c r="D74" s="152" t="s">
        <v>29</v>
      </c>
      <c r="E74" s="152" t="s">
        <v>30</v>
      </c>
      <c r="F74" s="151"/>
      <c r="G74" s="151"/>
      <c r="H74" s="151"/>
      <c r="I74" s="151"/>
      <c r="J74" s="151"/>
      <c r="K74" s="151">
        <v>420</v>
      </c>
      <c r="L74" s="151">
        <f t="shared" si="33"/>
        <v>420</v>
      </c>
      <c r="M74" s="155" t="s">
        <v>31</v>
      </c>
    </row>
    <row r="75" spans="1:13" ht="13.5" hidden="1" customHeight="1" x14ac:dyDescent="0.2">
      <c r="A75" s="149" t="s">
        <v>305</v>
      </c>
      <c r="B75" s="152" t="s">
        <v>14</v>
      </c>
      <c r="C75" s="151">
        <v>6871</v>
      </c>
      <c r="D75" s="152" t="s">
        <v>16</v>
      </c>
      <c r="E75" s="152" t="s">
        <v>17</v>
      </c>
      <c r="F75" s="151">
        <v>14</v>
      </c>
      <c r="G75" s="151">
        <v>0.64</v>
      </c>
      <c r="H75" s="151">
        <f>G75*F75</f>
        <v>8.9600000000000009</v>
      </c>
      <c r="I75" s="151">
        <v>70</v>
      </c>
      <c r="J75" s="151">
        <v>2</v>
      </c>
      <c r="K75" s="151">
        <f t="shared" ref="K75" si="34">F75*I75</f>
        <v>980</v>
      </c>
      <c r="L75" s="151">
        <f t="shared" ref="L75" si="35">K75*J75</f>
        <v>1960</v>
      </c>
      <c r="M75" s="155" t="s">
        <v>22</v>
      </c>
    </row>
    <row r="76" spans="1:13" ht="13.5" hidden="1" customHeight="1" x14ac:dyDescent="0.2">
      <c r="A76" s="149" t="s">
        <v>306</v>
      </c>
      <c r="B76" s="152" t="s">
        <v>14</v>
      </c>
      <c r="C76" s="151">
        <v>7479</v>
      </c>
      <c r="D76" s="152" t="s">
        <v>20</v>
      </c>
      <c r="E76" s="152" t="s">
        <v>25</v>
      </c>
      <c r="F76" s="151"/>
      <c r="G76" s="151"/>
      <c r="H76" s="151"/>
      <c r="I76" s="151"/>
      <c r="J76" s="151">
        <v>1</v>
      </c>
      <c r="K76" s="151">
        <v>2750</v>
      </c>
      <c r="L76" s="151">
        <f t="shared" ref="L76:L77" si="36">K76</f>
        <v>2750</v>
      </c>
      <c r="M76" s="155" t="s">
        <v>37</v>
      </c>
    </row>
    <row r="77" spans="1:13" ht="13.5" hidden="1" customHeight="1" x14ac:dyDescent="0.2">
      <c r="A77" s="149" t="s">
        <v>306</v>
      </c>
      <c r="B77" s="167" t="s">
        <v>27</v>
      </c>
      <c r="C77" s="166" t="s">
        <v>28</v>
      </c>
      <c r="D77" s="152" t="s">
        <v>29</v>
      </c>
      <c r="E77" s="152" t="s">
        <v>30</v>
      </c>
      <c r="F77" s="151"/>
      <c r="G77" s="151"/>
      <c r="H77" s="151"/>
      <c r="I77" s="151"/>
      <c r="J77" s="151"/>
      <c r="K77" s="151">
        <v>1600</v>
      </c>
      <c r="L77" s="151">
        <f t="shared" si="36"/>
        <v>1600</v>
      </c>
      <c r="M77" s="155" t="s">
        <v>31</v>
      </c>
    </row>
    <row r="78" spans="1:13" ht="13.5" hidden="1" customHeight="1" x14ac:dyDescent="0.2">
      <c r="A78" s="149" t="s">
        <v>306</v>
      </c>
      <c r="B78" s="152" t="s">
        <v>14</v>
      </c>
      <c r="C78" s="151">
        <v>6871</v>
      </c>
      <c r="D78" s="152" t="s">
        <v>16</v>
      </c>
      <c r="E78" s="152" t="s">
        <v>17</v>
      </c>
      <c r="F78" s="151">
        <v>9</v>
      </c>
      <c r="G78" s="151">
        <v>0.64</v>
      </c>
      <c r="H78" s="151">
        <f>G78*F78</f>
        <v>5.76</v>
      </c>
      <c r="I78" s="151">
        <v>70</v>
      </c>
      <c r="J78" s="151">
        <v>2</v>
      </c>
      <c r="K78" s="151">
        <f t="shared" ref="K78:K79" si="37">F78*I78</f>
        <v>630</v>
      </c>
      <c r="L78" s="151">
        <f t="shared" ref="L78:L79" si="38">K78*J78</f>
        <v>1260</v>
      </c>
      <c r="M78" s="155" t="s">
        <v>22</v>
      </c>
    </row>
    <row r="79" spans="1:13" ht="13.5" customHeight="1" x14ac:dyDescent="0.2">
      <c r="A79" s="149" t="s">
        <v>306</v>
      </c>
      <c r="B79" s="152" t="s">
        <v>14</v>
      </c>
      <c r="C79" s="151">
        <v>6380</v>
      </c>
      <c r="D79" s="152" t="s">
        <v>16</v>
      </c>
      <c r="E79" s="152" t="s">
        <v>17</v>
      </c>
      <c r="F79" s="151">
        <v>28</v>
      </c>
      <c r="G79" s="151">
        <v>0.42499999999999999</v>
      </c>
      <c r="H79" s="151">
        <f t="shared" ref="H79" si="39">F79*G79</f>
        <v>11.9</v>
      </c>
      <c r="I79" s="151">
        <v>56</v>
      </c>
      <c r="J79" s="151">
        <v>4</v>
      </c>
      <c r="K79" s="151">
        <f t="shared" si="37"/>
        <v>1568</v>
      </c>
      <c r="L79" s="151">
        <f t="shared" si="38"/>
        <v>6272</v>
      </c>
      <c r="M79" s="155" t="s">
        <v>18</v>
      </c>
    </row>
    <row r="80" spans="1:13" ht="13.5" customHeight="1" x14ac:dyDescent="0.2">
      <c r="A80" s="149" t="s">
        <v>307</v>
      </c>
      <c r="B80" s="152" t="s">
        <v>14</v>
      </c>
      <c r="C80" s="151">
        <v>6380</v>
      </c>
      <c r="D80" s="152" t="s">
        <v>16</v>
      </c>
      <c r="E80" s="152" t="s">
        <v>17</v>
      </c>
      <c r="F80" s="151">
        <v>18</v>
      </c>
      <c r="G80" s="151">
        <v>0.42499999999999999</v>
      </c>
      <c r="H80" s="151">
        <f t="shared" ref="H80" si="40">F80*G80</f>
        <v>7.6499999999999995</v>
      </c>
      <c r="I80" s="151">
        <v>56</v>
      </c>
      <c r="J80" s="151">
        <v>4</v>
      </c>
      <c r="K80" s="151">
        <f t="shared" ref="K80" si="41">F80*I80</f>
        <v>1008</v>
      </c>
      <c r="L80" s="151">
        <f t="shared" ref="L80" si="42">K80*J80</f>
        <v>4032</v>
      </c>
      <c r="M80" s="155" t="s">
        <v>18</v>
      </c>
    </row>
    <row r="81" spans="1:13" ht="13.5" hidden="1" customHeight="1" x14ac:dyDescent="0.2">
      <c r="A81" s="149" t="s">
        <v>307</v>
      </c>
      <c r="B81" s="152" t="s">
        <v>14</v>
      </c>
      <c r="C81" s="151">
        <v>7479</v>
      </c>
      <c r="D81" s="152" t="s">
        <v>20</v>
      </c>
      <c r="E81" s="152" t="s">
        <v>25</v>
      </c>
      <c r="F81" s="151"/>
      <c r="G81" s="151"/>
      <c r="H81" s="151"/>
      <c r="I81" s="151"/>
      <c r="J81" s="151">
        <v>1</v>
      </c>
      <c r="K81" s="151">
        <v>4000</v>
      </c>
      <c r="L81" s="151">
        <f t="shared" ref="L81:L83" si="43">K81</f>
        <v>4000</v>
      </c>
      <c r="M81" s="155" t="s">
        <v>37</v>
      </c>
    </row>
    <row r="82" spans="1:13" ht="13.5" hidden="1" customHeight="1" x14ac:dyDescent="0.2">
      <c r="A82" s="149" t="s">
        <v>307</v>
      </c>
      <c r="B82" s="150" t="s">
        <v>23</v>
      </c>
      <c r="C82" s="151">
        <v>66772</v>
      </c>
      <c r="D82" s="152" t="s">
        <v>34</v>
      </c>
      <c r="E82" s="157" t="s">
        <v>35</v>
      </c>
      <c r="F82" s="151"/>
      <c r="G82" s="154" t="s">
        <v>77</v>
      </c>
      <c r="H82" s="151"/>
      <c r="I82" s="151"/>
      <c r="J82" s="151"/>
      <c r="K82" s="151">
        <v>6800</v>
      </c>
      <c r="L82" s="151">
        <f t="shared" si="43"/>
        <v>6800</v>
      </c>
      <c r="M82" s="155" t="s">
        <v>179</v>
      </c>
    </row>
    <row r="83" spans="1:13" ht="13.5" hidden="1" customHeight="1" x14ac:dyDescent="0.2">
      <c r="A83" s="149" t="s">
        <v>307</v>
      </c>
      <c r="B83" s="150" t="s">
        <v>23</v>
      </c>
      <c r="C83" s="151">
        <v>66772</v>
      </c>
      <c r="D83" s="152" t="s">
        <v>34</v>
      </c>
      <c r="E83" s="161" t="s">
        <v>39</v>
      </c>
      <c r="F83" s="151"/>
      <c r="G83" s="154" t="s">
        <v>36</v>
      </c>
      <c r="H83" s="151"/>
      <c r="I83" s="151"/>
      <c r="J83" s="151"/>
      <c r="K83" s="151">
        <v>5900</v>
      </c>
      <c r="L83" s="151">
        <f t="shared" si="43"/>
        <v>5900</v>
      </c>
      <c r="M83" s="155" t="s">
        <v>26</v>
      </c>
    </row>
    <row r="84" spans="1:13" ht="13.5" hidden="1" customHeight="1" x14ac:dyDescent="0.2">
      <c r="A84" s="149" t="s">
        <v>307</v>
      </c>
      <c r="B84" s="150" t="s">
        <v>23</v>
      </c>
      <c r="C84" s="151">
        <v>66772</v>
      </c>
      <c r="D84" s="152" t="s">
        <v>34</v>
      </c>
      <c r="E84" s="153" t="s">
        <v>30</v>
      </c>
      <c r="F84" s="151"/>
      <c r="G84" s="154" t="s">
        <v>78</v>
      </c>
      <c r="H84" s="151"/>
      <c r="I84" s="151"/>
      <c r="J84" s="151"/>
      <c r="K84" s="151">
        <v>5900</v>
      </c>
      <c r="L84" s="151">
        <f>K84</f>
        <v>5900</v>
      </c>
      <c r="M84" s="155" t="s">
        <v>180</v>
      </c>
    </row>
    <row r="85" spans="1:13" ht="13.5" hidden="1" customHeight="1" x14ac:dyDescent="0.2">
      <c r="A85" s="149" t="s">
        <v>307</v>
      </c>
      <c r="B85" s="152" t="s">
        <v>14</v>
      </c>
      <c r="C85" s="151">
        <v>8283</v>
      </c>
      <c r="D85" s="152" t="s">
        <v>84</v>
      </c>
      <c r="E85" s="152" t="s">
        <v>25</v>
      </c>
      <c r="F85" s="151"/>
      <c r="G85" s="151"/>
      <c r="H85" s="151"/>
      <c r="I85" s="151"/>
      <c r="J85" s="151"/>
      <c r="K85" s="151">
        <v>4100</v>
      </c>
      <c r="L85" s="151">
        <f t="shared" ref="L85:L88" si="44">K85</f>
        <v>4100</v>
      </c>
      <c r="M85" s="155" t="s">
        <v>277</v>
      </c>
    </row>
    <row r="86" spans="1:13" ht="13.5" hidden="1" customHeight="1" x14ac:dyDescent="0.2">
      <c r="A86" s="149" t="s">
        <v>308</v>
      </c>
      <c r="B86" s="152" t="s">
        <v>14</v>
      </c>
      <c r="C86" s="151">
        <v>7479</v>
      </c>
      <c r="D86" s="152" t="s">
        <v>20</v>
      </c>
      <c r="E86" s="152" t="s">
        <v>25</v>
      </c>
      <c r="F86" s="151"/>
      <c r="G86" s="151"/>
      <c r="H86" s="151"/>
      <c r="I86" s="151"/>
      <c r="J86" s="151">
        <v>1</v>
      </c>
      <c r="K86" s="151">
        <v>5350</v>
      </c>
      <c r="L86" s="151">
        <f t="shared" si="44"/>
        <v>5350</v>
      </c>
      <c r="M86" s="155" t="s">
        <v>37</v>
      </c>
    </row>
    <row r="87" spans="1:13" ht="13.5" hidden="1" customHeight="1" x14ac:dyDescent="0.2">
      <c r="A87" s="149" t="s">
        <v>308</v>
      </c>
      <c r="B87" s="150" t="s">
        <v>23</v>
      </c>
      <c r="C87" s="151">
        <v>66772</v>
      </c>
      <c r="D87" s="152" t="s">
        <v>34</v>
      </c>
      <c r="E87" s="157" t="s">
        <v>35</v>
      </c>
      <c r="F87" s="151"/>
      <c r="G87" s="154" t="s">
        <v>77</v>
      </c>
      <c r="H87" s="151"/>
      <c r="I87" s="151"/>
      <c r="J87" s="151"/>
      <c r="K87" s="151">
        <v>5900</v>
      </c>
      <c r="L87" s="151">
        <f t="shared" si="44"/>
        <v>5900</v>
      </c>
      <c r="M87" s="155" t="s">
        <v>179</v>
      </c>
    </row>
    <row r="88" spans="1:13" ht="13.5" hidden="1" customHeight="1" x14ac:dyDescent="0.2">
      <c r="A88" s="149" t="s">
        <v>308</v>
      </c>
      <c r="B88" s="150" t="s">
        <v>23</v>
      </c>
      <c r="C88" s="151">
        <v>66772</v>
      </c>
      <c r="D88" s="152" t="s">
        <v>34</v>
      </c>
      <c r="E88" s="161" t="s">
        <v>39</v>
      </c>
      <c r="F88" s="151"/>
      <c r="G88" s="154" t="s">
        <v>36</v>
      </c>
      <c r="H88" s="151"/>
      <c r="I88" s="151"/>
      <c r="J88" s="151"/>
      <c r="K88" s="151">
        <v>5700</v>
      </c>
      <c r="L88" s="151">
        <f t="shared" si="44"/>
        <v>5700</v>
      </c>
      <c r="M88" s="155" t="s">
        <v>26</v>
      </c>
    </row>
    <row r="89" spans="1:13" ht="13.5" hidden="1" customHeight="1" x14ac:dyDescent="0.2">
      <c r="A89" s="149" t="s">
        <v>308</v>
      </c>
      <c r="B89" s="150" t="s">
        <v>23</v>
      </c>
      <c r="C89" s="151">
        <v>66772</v>
      </c>
      <c r="D89" s="152" t="s">
        <v>34</v>
      </c>
      <c r="E89" s="153" t="s">
        <v>30</v>
      </c>
      <c r="F89" s="151"/>
      <c r="G89" s="154" t="s">
        <v>78</v>
      </c>
      <c r="H89" s="151"/>
      <c r="I89" s="151"/>
      <c r="J89" s="151"/>
      <c r="K89" s="151">
        <v>5700</v>
      </c>
      <c r="L89" s="151">
        <f>K89</f>
        <v>5700</v>
      </c>
      <c r="M89" s="155" t="s">
        <v>180</v>
      </c>
    </row>
    <row r="90" spans="1:13" ht="13.5" hidden="1" customHeight="1" x14ac:dyDescent="0.2">
      <c r="A90" s="149" t="s">
        <v>308</v>
      </c>
      <c r="B90" s="152" t="s">
        <v>14</v>
      </c>
      <c r="C90" s="151">
        <v>8283</v>
      </c>
      <c r="D90" s="152" t="s">
        <v>84</v>
      </c>
      <c r="E90" s="152" t="s">
        <v>25</v>
      </c>
      <c r="F90" s="151"/>
      <c r="G90" s="151"/>
      <c r="H90" s="151"/>
      <c r="I90" s="151"/>
      <c r="J90" s="151"/>
      <c r="K90" s="151">
        <v>4370</v>
      </c>
      <c r="L90" s="151">
        <f t="shared" ref="L90:L93" si="45">K90</f>
        <v>4370</v>
      </c>
      <c r="M90" s="155" t="s">
        <v>277</v>
      </c>
    </row>
    <row r="91" spans="1:13" ht="13.5" hidden="1" customHeight="1" x14ac:dyDescent="0.2">
      <c r="A91" s="149" t="s">
        <v>310</v>
      </c>
      <c r="B91" s="152" t="s">
        <v>14</v>
      </c>
      <c r="C91" s="151">
        <v>7479</v>
      </c>
      <c r="D91" s="152" t="s">
        <v>20</v>
      </c>
      <c r="E91" s="152" t="s">
        <v>25</v>
      </c>
      <c r="F91" s="151"/>
      <c r="G91" s="151"/>
      <c r="H91" s="151"/>
      <c r="I91" s="151"/>
      <c r="J91" s="151">
        <v>1</v>
      </c>
      <c r="K91" s="151">
        <v>4500</v>
      </c>
      <c r="L91" s="151">
        <f t="shared" si="45"/>
        <v>4500</v>
      </c>
      <c r="M91" s="155" t="s">
        <v>37</v>
      </c>
    </row>
    <row r="92" spans="1:13" ht="13.5" hidden="1" customHeight="1" x14ac:dyDescent="0.2">
      <c r="A92" s="149" t="s">
        <v>310</v>
      </c>
      <c r="B92" s="150" t="s">
        <v>23</v>
      </c>
      <c r="C92" s="151">
        <v>66772</v>
      </c>
      <c r="D92" s="152" t="s">
        <v>34</v>
      </c>
      <c r="E92" s="157" t="s">
        <v>35</v>
      </c>
      <c r="F92" s="151"/>
      <c r="G92" s="154" t="s">
        <v>77</v>
      </c>
      <c r="H92" s="151"/>
      <c r="I92" s="151"/>
      <c r="J92" s="151"/>
      <c r="K92" s="151">
        <v>2400</v>
      </c>
      <c r="L92" s="151">
        <f t="shared" si="45"/>
        <v>2400</v>
      </c>
      <c r="M92" s="155" t="s">
        <v>179</v>
      </c>
    </row>
    <row r="93" spans="1:13" ht="13.5" hidden="1" customHeight="1" x14ac:dyDescent="0.2">
      <c r="A93" s="149" t="s">
        <v>310</v>
      </c>
      <c r="B93" s="150" t="s">
        <v>23</v>
      </c>
      <c r="C93" s="151">
        <v>66772</v>
      </c>
      <c r="D93" s="152" t="s">
        <v>34</v>
      </c>
      <c r="E93" s="161" t="s">
        <v>39</v>
      </c>
      <c r="F93" s="151"/>
      <c r="G93" s="154" t="s">
        <v>36</v>
      </c>
      <c r="H93" s="151"/>
      <c r="I93" s="151"/>
      <c r="J93" s="151"/>
      <c r="K93" s="151">
        <v>2400</v>
      </c>
      <c r="L93" s="151">
        <f t="shared" si="45"/>
        <v>2400</v>
      </c>
      <c r="M93" s="155" t="s">
        <v>26</v>
      </c>
    </row>
    <row r="94" spans="1:13" ht="13.5" hidden="1" customHeight="1" x14ac:dyDescent="0.2">
      <c r="A94" s="149" t="s">
        <v>310</v>
      </c>
      <c r="B94" s="150" t="s">
        <v>23</v>
      </c>
      <c r="C94" s="151">
        <v>66772</v>
      </c>
      <c r="D94" s="152" t="s">
        <v>34</v>
      </c>
      <c r="E94" s="153" t="s">
        <v>30</v>
      </c>
      <c r="F94" s="151"/>
      <c r="G94" s="154" t="s">
        <v>78</v>
      </c>
      <c r="H94" s="151"/>
      <c r="I94" s="151"/>
      <c r="J94" s="151"/>
      <c r="K94" s="151">
        <v>2500</v>
      </c>
      <c r="L94" s="151">
        <f>K94</f>
        <v>2500</v>
      </c>
      <c r="M94" s="155" t="s">
        <v>180</v>
      </c>
    </row>
    <row r="95" spans="1:13" ht="13.5" hidden="1" customHeight="1" x14ac:dyDescent="0.2">
      <c r="A95" s="149" t="s">
        <v>310</v>
      </c>
      <c r="B95" s="152" t="s">
        <v>14</v>
      </c>
      <c r="C95" s="151">
        <v>8283</v>
      </c>
      <c r="D95" s="152" t="s">
        <v>84</v>
      </c>
      <c r="E95" s="152" t="s">
        <v>25</v>
      </c>
      <c r="F95" s="151"/>
      <c r="G95" s="151"/>
      <c r="H95" s="151"/>
      <c r="I95" s="151"/>
      <c r="J95" s="151"/>
      <c r="K95" s="151">
        <v>4400</v>
      </c>
      <c r="L95" s="151">
        <f t="shared" ref="L95:L98" si="46">K95</f>
        <v>4400</v>
      </c>
      <c r="M95" s="155" t="s">
        <v>277</v>
      </c>
    </row>
    <row r="96" spans="1:13" ht="13.5" hidden="1" customHeight="1" x14ac:dyDescent="0.2">
      <c r="A96" s="149" t="s">
        <v>310</v>
      </c>
      <c r="B96" s="150" t="s">
        <v>23</v>
      </c>
      <c r="C96" s="151">
        <v>65548</v>
      </c>
      <c r="D96" s="156" t="s">
        <v>24</v>
      </c>
      <c r="E96" s="157" t="s">
        <v>25</v>
      </c>
      <c r="F96" s="151"/>
      <c r="G96" s="154"/>
      <c r="H96" s="151"/>
      <c r="I96" s="151"/>
      <c r="J96" s="151"/>
      <c r="K96" s="151">
        <v>5250</v>
      </c>
      <c r="L96" s="151">
        <f t="shared" si="46"/>
        <v>5250</v>
      </c>
      <c r="M96" s="155" t="s">
        <v>179</v>
      </c>
    </row>
    <row r="97" spans="1:13" ht="13.5" hidden="1" customHeight="1" x14ac:dyDescent="0.2">
      <c r="A97" s="149" t="s">
        <v>310</v>
      </c>
      <c r="B97" s="150" t="s">
        <v>23</v>
      </c>
      <c r="C97" s="151">
        <v>65548</v>
      </c>
      <c r="D97" s="156" t="s">
        <v>24</v>
      </c>
      <c r="E97" s="157" t="s">
        <v>30</v>
      </c>
      <c r="F97" s="151"/>
      <c r="G97" s="154"/>
      <c r="H97" s="151"/>
      <c r="I97" s="151"/>
      <c r="J97" s="151"/>
      <c r="K97" s="151">
        <v>1000</v>
      </c>
      <c r="L97" s="151">
        <f t="shared" si="46"/>
        <v>1000</v>
      </c>
      <c r="M97" s="155" t="s">
        <v>180</v>
      </c>
    </row>
    <row r="98" spans="1:13" ht="13.5" hidden="1" customHeight="1" x14ac:dyDescent="0.2">
      <c r="A98" s="149" t="s">
        <v>311</v>
      </c>
      <c r="B98" s="152" t="s">
        <v>14</v>
      </c>
      <c r="C98" s="151">
        <v>7479</v>
      </c>
      <c r="D98" s="152" t="s">
        <v>20</v>
      </c>
      <c r="E98" s="152" t="s">
        <v>25</v>
      </c>
      <c r="F98" s="151"/>
      <c r="G98" s="151"/>
      <c r="H98" s="151"/>
      <c r="I98" s="151"/>
      <c r="J98" s="151">
        <v>1</v>
      </c>
      <c r="K98" s="151">
        <v>5100</v>
      </c>
      <c r="L98" s="151">
        <f t="shared" si="46"/>
        <v>5100</v>
      </c>
      <c r="M98" s="155" t="s">
        <v>37</v>
      </c>
    </row>
    <row r="99" spans="1:13" ht="13.5" hidden="1" customHeight="1" x14ac:dyDescent="0.2">
      <c r="A99" s="149" t="s">
        <v>311</v>
      </c>
      <c r="B99" s="150" t="s">
        <v>23</v>
      </c>
      <c r="C99" s="151">
        <v>65548</v>
      </c>
      <c r="D99" s="156" t="s">
        <v>24</v>
      </c>
      <c r="E99" s="157" t="s">
        <v>25</v>
      </c>
      <c r="F99" s="151"/>
      <c r="G99" s="154"/>
      <c r="H99" s="151"/>
      <c r="I99" s="151"/>
      <c r="J99" s="151"/>
      <c r="K99" s="151">
        <v>5100</v>
      </c>
      <c r="L99" s="151">
        <f t="shared" ref="L99:L102" si="47">K99</f>
        <v>5100</v>
      </c>
      <c r="M99" s="155" t="s">
        <v>179</v>
      </c>
    </row>
    <row r="100" spans="1:13" ht="13.5" hidden="1" customHeight="1" x14ac:dyDescent="0.2">
      <c r="A100" s="149" t="s">
        <v>311</v>
      </c>
      <c r="B100" s="150" t="s">
        <v>23</v>
      </c>
      <c r="C100" s="151">
        <v>65548</v>
      </c>
      <c r="D100" s="156" t="s">
        <v>24</v>
      </c>
      <c r="E100" s="157" t="s">
        <v>30</v>
      </c>
      <c r="F100" s="151"/>
      <c r="G100" s="154"/>
      <c r="H100" s="151"/>
      <c r="I100" s="151"/>
      <c r="J100" s="151"/>
      <c r="K100" s="151">
        <v>7300</v>
      </c>
      <c r="L100" s="151">
        <f t="shared" si="47"/>
        <v>7300</v>
      </c>
      <c r="M100" s="155" t="s">
        <v>180</v>
      </c>
    </row>
    <row r="101" spans="1:13" ht="13.5" hidden="1" customHeight="1" x14ac:dyDescent="0.2">
      <c r="A101" s="149" t="s">
        <v>309</v>
      </c>
      <c r="B101" s="150" t="s">
        <v>23</v>
      </c>
      <c r="C101" s="151">
        <v>66772</v>
      </c>
      <c r="D101" s="152" t="s">
        <v>34</v>
      </c>
      <c r="E101" s="157" t="s">
        <v>35</v>
      </c>
      <c r="F101" s="151"/>
      <c r="G101" s="154" t="s">
        <v>77</v>
      </c>
      <c r="H101" s="151"/>
      <c r="I101" s="151"/>
      <c r="J101" s="151"/>
      <c r="K101" s="151">
        <v>5100</v>
      </c>
      <c r="L101" s="151">
        <f t="shared" si="47"/>
        <v>5100</v>
      </c>
      <c r="M101" s="155" t="s">
        <v>179</v>
      </c>
    </row>
    <row r="102" spans="1:13" ht="13.5" hidden="1" customHeight="1" x14ac:dyDescent="0.2">
      <c r="A102" s="149" t="s">
        <v>309</v>
      </c>
      <c r="B102" s="150" t="s">
        <v>23</v>
      </c>
      <c r="C102" s="151">
        <v>66772</v>
      </c>
      <c r="D102" s="152" t="s">
        <v>34</v>
      </c>
      <c r="E102" s="161" t="s">
        <v>39</v>
      </c>
      <c r="F102" s="151"/>
      <c r="G102" s="154" t="s">
        <v>36</v>
      </c>
      <c r="H102" s="151"/>
      <c r="I102" s="151"/>
      <c r="J102" s="151"/>
      <c r="K102" s="151">
        <v>5000</v>
      </c>
      <c r="L102" s="151">
        <f t="shared" si="47"/>
        <v>5000</v>
      </c>
      <c r="M102" s="155" t="s">
        <v>26</v>
      </c>
    </row>
    <row r="103" spans="1:13" ht="13.5" hidden="1" customHeight="1" x14ac:dyDescent="0.2">
      <c r="A103" s="149" t="s">
        <v>309</v>
      </c>
      <c r="B103" s="150" t="s">
        <v>23</v>
      </c>
      <c r="C103" s="151">
        <v>66772</v>
      </c>
      <c r="D103" s="152" t="s">
        <v>34</v>
      </c>
      <c r="E103" s="153" t="s">
        <v>30</v>
      </c>
      <c r="F103" s="151"/>
      <c r="G103" s="154" t="s">
        <v>78</v>
      </c>
      <c r="H103" s="151"/>
      <c r="I103" s="151"/>
      <c r="J103" s="151"/>
      <c r="K103" s="151">
        <v>4850</v>
      </c>
      <c r="L103" s="151">
        <f>K103</f>
        <v>4850</v>
      </c>
      <c r="M103" s="155" t="s">
        <v>180</v>
      </c>
    </row>
    <row r="104" spans="1:13" ht="13.5" hidden="1" customHeight="1" x14ac:dyDescent="0.2">
      <c r="A104" s="149" t="s">
        <v>309</v>
      </c>
      <c r="B104" s="152" t="s">
        <v>14</v>
      </c>
      <c r="C104" s="151">
        <v>8283</v>
      </c>
      <c r="D104" s="152" t="s">
        <v>84</v>
      </c>
      <c r="E104" s="152" t="s">
        <v>25</v>
      </c>
      <c r="F104" s="151"/>
      <c r="G104" s="151"/>
      <c r="H104" s="151"/>
      <c r="I104" s="151"/>
      <c r="J104" s="151"/>
      <c r="K104" s="151">
        <v>1000</v>
      </c>
      <c r="L104" s="151">
        <f t="shared" ref="L104:L105" si="48">K104</f>
        <v>1000</v>
      </c>
      <c r="M104" s="155" t="s">
        <v>277</v>
      </c>
    </row>
    <row r="105" spans="1:13" ht="13.5" hidden="1" customHeight="1" x14ac:dyDescent="0.2">
      <c r="A105" s="149" t="s">
        <v>309</v>
      </c>
      <c r="B105" s="152" t="s">
        <v>14</v>
      </c>
      <c r="C105" s="151">
        <v>7479</v>
      </c>
      <c r="D105" s="152" t="s">
        <v>20</v>
      </c>
      <c r="E105" s="152" t="s">
        <v>25</v>
      </c>
      <c r="F105" s="151"/>
      <c r="G105" s="151"/>
      <c r="H105" s="151"/>
      <c r="I105" s="151"/>
      <c r="J105" s="151">
        <v>1</v>
      </c>
      <c r="K105" s="151">
        <v>4800</v>
      </c>
      <c r="L105" s="151">
        <f t="shared" si="48"/>
        <v>4800</v>
      </c>
      <c r="M105" s="155" t="s">
        <v>37</v>
      </c>
    </row>
    <row r="106" spans="1:13" ht="13.5" customHeight="1" x14ac:dyDescent="0.2">
      <c r="A106" s="149" t="s">
        <v>309</v>
      </c>
      <c r="B106" s="152" t="s">
        <v>14</v>
      </c>
      <c r="C106" s="151">
        <v>6380</v>
      </c>
      <c r="D106" s="152" t="s">
        <v>16</v>
      </c>
      <c r="E106" s="152" t="s">
        <v>17</v>
      </c>
      <c r="F106" s="151">
        <v>32</v>
      </c>
      <c r="G106" s="151">
        <v>0.42499999999999999</v>
      </c>
      <c r="H106" s="151">
        <f t="shared" ref="H106" si="49">F106*G106</f>
        <v>13.6</v>
      </c>
      <c r="I106" s="151">
        <v>56</v>
      </c>
      <c r="J106" s="151">
        <v>4</v>
      </c>
      <c r="K106" s="151">
        <f t="shared" ref="K106" si="50">F106*I106</f>
        <v>1792</v>
      </c>
      <c r="L106" s="151">
        <f t="shared" ref="L106" si="51">K106*J106</f>
        <v>7168</v>
      </c>
      <c r="M106" s="155" t="s">
        <v>18</v>
      </c>
    </row>
    <row r="107" spans="1:13" ht="13.5" hidden="1" customHeight="1" x14ac:dyDescent="0.2">
      <c r="A107" s="149" t="s">
        <v>312</v>
      </c>
      <c r="B107" s="150" t="s">
        <v>23</v>
      </c>
      <c r="C107" s="151">
        <v>66772</v>
      </c>
      <c r="D107" s="152" t="s">
        <v>34</v>
      </c>
      <c r="E107" s="157" t="s">
        <v>35</v>
      </c>
      <c r="F107" s="151"/>
      <c r="G107" s="154" t="s">
        <v>77</v>
      </c>
      <c r="H107" s="151"/>
      <c r="I107" s="151"/>
      <c r="J107" s="151"/>
      <c r="K107" s="151">
        <v>7500</v>
      </c>
      <c r="L107" s="151">
        <f t="shared" ref="L107:L108" si="52">K107</f>
        <v>7500</v>
      </c>
      <c r="M107" s="155" t="s">
        <v>179</v>
      </c>
    </row>
    <row r="108" spans="1:13" ht="13.5" hidden="1" customHeight="1" x14ac:dyDescent="0.2">
      <c r="A108" s="149" t="s">
        <v>312</v>
      </c>
      <c r="B108" s="150" t="s">
        <v>23</v>
      </c>
      <c r="C108" s="151">
        <v>66772</v>
      </c>
      <c r="D108" s="152" t="s">
        <v>34</v>
      </c>
      <c r="E108" s="161" t="s">
        <v>39</v>
      </c>
      <c r="F108" s="151"/>
      <c r="G108" s="154" t="s">
        <v>36</v>
      </c>
      <c r="H108" s="151"/>
      <c r="I108" s="151"/>
      <c r="J108" s="151"/>
      <c r="K108" s="151">
        <v>7000</v>
      </c>
      <c r="L108" s="151">
        <f t="shared" si="52"/>
        <v>7000</v>
      </c>
      <c r="M108" s="155" t="s">
        <v>26</v>
      </c>
    </row>
    <row r="109" spans="1:13" ht="13.5" hidden="1" customHeight="1" x14ac:dyDescent="0.2">
      <c r="A109" s="149" t="s">
        <v>312</v>
      </c>
      <c r="B109" s="150" t="s">
        <v>23</v>
      </c>
      <c r="C109" s="151">
        <v>66772</v>
      </c>
      <c r="D109" s="152" t="s">
        <v>34</v>
      </c>
      <c r="E109" s="153" t="s">
        <v>30</v>
      </c>
      <c r="F109" s="151"/>
      <c r="G109" s="154" t="s">
        <v>78</v>
      </c>
      <c r="H109" s="151"/>
      <c r="I109" s="151"/>
      <c r="J109" s="151"/>
      <c r="K109" s="151">
        <v>7000</v>
      </c>
      <c r="L109" s="151">
        <f>K109</f>
        <v>7000</v>
      </c>
      <c r="M109" s="155" t="s">
        <v>180</v>
      </c>
    </row>
    <row r="110" spans="1:13" ht="13.5" hidden="1" customHeight="1" x14ac:dyDescent="0.2">
      <c r="A110" s="149" t="s">
        <v>312</v>
      </c>
      <c r="B110" s="152" t="s">
        <v>14</v>
      </c>
      <c r="C110" s="151">
        <v>7479</v>
      </c>
      <c r="D110" s="152" t="s">
        <v>20</v>
      </c>
      <c r="E110" s="152" t="s">
        <v>25</v>
      </c>
      <c r="F110" s="151"/>
      <c r="G110" s="151"/>
      <c r="H110" s="151"/>
      <c r="I110" s="151"/>
      <c r="J110" s="151">
        <v>1</v>
      </c>
      <c r="K110" s="151">
        <v>5000</v>
      </c>
      <c r="L110" s="151">
        <f t="shared" ref="L110:L112" si="53">K110</f>
        <v>5000</v>
      </c>
      <c r="M110" s="155" t="s">
        <v>37</v>
      </c>
    </row>
    <row r="111" spans="1:13" ht="13.5" hidden="1" customHeight="1" x14ac:dyDescent="0.2">
      <c r="A111" s="149" t="s">
        <v>313</v>
      </c>
      <c r="B111" s="150" t="s">
        <v>23</v>
      </c>
      <c r="C111" s="151">
        <v>66772</v>
      </c>
      <c r="D111" s="152" t="s">
        <v>34</v>
      </c>
      <c r="E111" s="157" t="s">
        <v>35</v>
      </c>
      <c r="F111" s="151"/>
      <c r="G111" s="154" t="s">
        <v>77</v>
      </c>
      <c r="H111" s="151"/>
      <c r="I111" s="151"/>
      <c r="J111" s="151"/>
      <c r="K111" s="151">
        <v>2500</v>
      </c>
      <c r="L111" s="151">
        <f t="shared" si="53"/>
        <v>2500</v>
      </c>
      <c r="M111" s="155" t="s">
        <v>179</v>
      </c>
    </row>
    <row r="112" spans="1:13" ht="13.5" hidden="1" customHeight="1" x14ac:dyDescent="0.2">
      <c r="A112" s="149" t="s">
        <v>313</v>
      </c>
      <c r="B112" s="150" t="s">
        <v>23</v>
      </c>
      <c r="C112" s="151">
        <v>66772</v>
      </c>
      <c r="D112" s="152" t="s">
        <v>34</v>
      </c>
      <c r="E112" s="161" t="s">
        <v>39</v>
      </c>
      <c r="F112" s="151"/>
      <c r="G112" s="154" t="s">
        <v>36</v>
      </c>
      <c r="H112" s="151"/>
      <c r="I112" s="151"/>
      <c r="J112" s="151"/>
      <c r="K112" s="151">
        <v>2600</v>
      </c>
      <c r="L112" s="151">
        <f t="shared" si="53"/>
        <v>2600</v>
      </c>
      <c r="M112" s="155" t="s">
        <v>26</v>
      </c>
    </row>
    <row r="113" spans="1:13" ht="13.5" hidden="1" customHeight="1" x14ac:dyDescent="0.2">
      <c r="A113" s="149" t="s">
        <v>313</v>
      </c>
      <c r="B113" s="150" t="s">
        <v>23</v>
      </c>
      <c r="C113" s="151">
        <v>66772</v>
      </c>
      <c r="D113" s="152" t="s">
        <v>34</v>
      </c>
      <c r="E113" s="153" t="s">
        <v>30</v>
      </c>
      <c r="F113" s="151"/>
      <c r="G113" s="154" t="s">
        <v>78</v>
      </c>
      <c r="H113" s="151"/>
      <c r="I113" s="151"/>
      <c r="J113" s="151"/>
      <c r="K113" s="151">
        <v>3000</v>
      </c>
      <c r="L113" s="151">
        <f>K113</f>
        <v>3000</v>
      </c>
      <c r="M113" s="155" t="s">
        <v>180</v>
      </c>
    </row>
    <row r="114" spans="1:13" ht="13.5" hidden="1" customHeight="1" x14ac:dyDescent="0.2">
      <c r="A114" s="149" t="s">
        <v>313</v>
      </c>
      <c r="B114" s="150" t="s">
        <v>23</v>
      </c>
      <c r="C114" s="151">
        <v>65548</v>
      </c>
      <c r="D114" s="156" t="s">
        <v>24</v>
      </c>
      <c r="E114" s="157" t="s">
        <v>25</v>
      </c>
      <c r="F114" s="151"/>
      <c r="G114" s="154"/>
      <c r="H114" s="151"/>
      <c r="I114" s="151"/>
      <c r="J114" s="151"/>
      <c r="K114" s="151">
        <v>2400</v>
      </c>
      <c r="L114" s="151">
        <f t="shared" ref="L114" si="54">K114</f>
        <v>2400</v>
      </c>
      <c r="M114" s="155" t="s">
        <v>179</v>
      </c>
    </row>
    <row r="115" spans="1:13" ht="13.5" hidden="1" customHeight="1" x14ac:dyDescent="0.2">
      <c r="A115" s="149" t="s">
        <v>313</v>
      </c>
      <c r="B115" s="152" t="s">
        <v>14</v>
      </c>
      <c r="C115" s="151">
        <v>7479</v>
      </c>
      <c r="D115" s="152" t="s">
        <v>20</v>
      </c>
      <c r="E115" s="152" t="s">
        <v>25</v>
      </c>
      <c r="F115" s="151"/>
      <c r="G115" s="151"/>
      <c r="H115" s="151"/>
      <c r="I115" s="151"/>
      <c r="J115" s="151">
        <v>1</v>
      </c>
      <c r="K115" s="151">
        <v>5100</v>
      </c>
      <c r="L115" s="151">
        <f>K115</f>
        <v>5100</v>
      </c>
      <c r="M115" s="155" t="s">
        <v>37</v>
      </c>
    </row>
    <row r="116" spans="1:13" ht="13.5" hidden="1" customHeight="1" x14ac:dyDescent="0.2">
      <c r="A116" s="149" t="s">
        <v>313</v>
      </c>
      <c r="B116" s="152" t="s">
        <v>14</v>
      </c>
      <c r="C116" s="151">
        <v>8283</v>
      </c>
      <c r="D116" s="152" t="s">
        <v>84</v>
      </c>
      <c r="E116" s="152" t="s">
        <v>25</v>
      </c>
      <c r="F116" s="151"/>
      <c r="G116" s="151"/>
      <c r="H116" s="151"/>
      <c r="I116" s="151"/>
      <c r="J116" s="151"/>
      <c r="K116" s="151">
        <v>3340</v>
      </c>
      <c r="L116" s="151">
        <f t="shared" ref="L116:L117" si="55">K116</f>
        <v>3340</v>
      </c>
      <c r="M116" s="155" t="s">
        <v>277</v>
      </c>
    </row>
    <row r="117" spans="1:13" ht="13.5" hidden="1" customHeight="1" x14ac:dyDescent="0.2">
      <c r="A117" s="149" t="s">
        <v>314</v>
      </c>
      <c r="B117" s="150" t="s">
        <v>23</v>
      </c>
      <c r="C117" s="151">
        <v>65548</v>
      </c>
      <c r="D117" s="156" t="s">
        <v>24</v>
      </c>
      <c r="E117" s="157" t="s">
        <v>25</v>
      </c>
      <c r="F117" s="151"/>
      <c r="G117" s="154"/>
      <c r="H117" s="151"/>
      <c r="I117" s="151"/>
      <c r="J117" s="151"/>
      <c r="K117" s="151">
        <v>7525</v>
      </c>
      <c r="L117" s="151">
        <f t="shared" si="55"/>
        <v>7525</v>
      </c>
      <c r="M117" s="155" t="s">
        <v>179</v>
      </c>
    </row>
    <row r="118" spans="1:13" ht="13.5" hidden="1" customHeight="1" x14ac:dyDescent="0.2">
      <c r="A118" s="149" t="s">
        <v>314</v>
      </c>
      <c r="B118" s="152" t="s">
        <v>14</v>
      </c>
      <c r="C118" s="151">
        <v>7479</v>
      </c>
      <c r="D118" s="152" t="s">
        <v>20</v>
      </c>
      <c r="E118" s="152" t="s">
        <v>25</v>
      </c>
      <c r="F118" s="151"/>
      <c r="G118" s="151"/>
      <c r="H118" s="151"/>
      <c r="I118" s="151"/>
      <c r="J118" s="151">
        <v>1</v>
      </c>
      <c r="K118" s="151">
        <v>3340</v>
      </c>
      <c r="L118" s="151">
        <f>K118</f>
        <v>3340</v>
      </c>
      <c r="M118" s="155" t="s">
        <v>37</v>
      </c>
    </row>
    <row r="119" spans="1:13" ht="13.5" hidden="1" customHeight="1" x14ac:dyDescent="0.2">
      <c r="A119" s="149" t="s">
        <v>314</v>
      </c>
      <c r="B119" s="152" t="s">
        <v>14</v>
      </c>
      <c r="C119" s="151">
        <v>8283</v>
      </c>
      <c r="D119" s="152" t="s">
        <v>84</v>
      </c>
      <c r="E119" s="152" t="s">
        <v>25</v>
      </c>
      <c r="F119" s="151"/>
      <c r="G119" s="151"/>
      <c r="H119" s="151"/>
      <c r="I119" s="151"/>
      <c r="J119" s="151"/>
      <c r="K119" s="151">
        <v>5000</v>
      </c>
      <c r="L119" s="151">
        <f t="shared" ref="L119:L121" si="56">K119</f>
        <v>5000</v>
      </c>
      <c r="M119" s="155" t="s">
        <v>277</v>
      </c>
    </row>
    <row r="120" spans="1:13" ht="13.5" hidden="1" customHeight="1" x14ac:dyDescent="0.2">
      <c r="A120" s="149" t="s">
        <v>314</v>
      </c>
      <c r="B120" s="160" t="s">
        <v>44</v>
      </c>
      <c r="C120" s="152" t="s">
        <v>45</v>
      </c>
      <c r="D120" s="152" t="s">
        <v>46</v>
      </c>
      <c r="E120" s="152" t="s">
        <v>30</v>
      </c>
      <c r="F120" s="152"/>
      <c r="G120" s="152"/>
      <c r="H120" s="152"/>
      <c r="I120" s="152"/>
      <c r="J120" s="152"/>
      <c r="K120" s="152">
        <v>1600</v>
      </c>
      <c r="L120" s="152">
        <f t="shared" si="56"/>
        <v>1600</v>
      </c>
      <c r="M120" s="159" t="s">
        <v>48</v>
      </c>
    </row>
    <row r="121" spans="1:13" ht="13.5" hidden="1" customHeight="1" x14ac:dyDescent="0.2">
      <c r="A121" s="149" t="s">
        <v>315</v>
      </c>
      <c r="B121" s="150" t="s">
        <v>23</v>
      </c>
      <c r="C121" s="151">
        <v>65548</v>
      </c>
      <c r="D121" s="156" t="s">
        <v>24</v>
      </c>
      <c r="E121" s="157" t="s">
        <v>30</v>
      </c>
      <c r="F121" s="151"/>
      <c r="G121" s="154"/>
      <c r="H121" s="151"/>
      <c r="I121" s="151"/>
      <c r="J121" s="151"/>
      <c r="K121" s="151">
        <v>6370</v>
      </c>
      <c r="L121" s="151">
        <f t="shared" si="56"/>
        <v>6370</v>
      </c>
      <c r="M121" s="155" t="s">
        <v>179</v>
      </c>
    </row>
    <row r="122" spans="1:13" ht="13.5" hidden="1" customHeight="1" x14ac:dyDescent="0.2">
      <c r="A122" s="149" t="s">
        <v>315</v>
      </c>
      <c r="B122" s="152" t="s">
        <v>14</v>
      </c>
      <c r="C122" s="151">
        <v>7479</v>
      </c>
      <c r="D122" s="152" t="s">
        <v>20</v>
      </c>
      <c r="E122" s="152" t="s">
        <v>25</v>
      </c>
      <c r="F122" s="151"/>
      <c r="G122" s="151"/>
      <c r="H122" s="151"/>
      <c r="I122" s="151"/>
      <c r="J122" s="151">
        <v>1</v>
      </c>
      <c r="K122" s="151">
        <v>3550</v>
      </c>
      <c r="L122" s="151">
        <f>K122</f>
        <v>3550</v>
      </c>
      <c r="M122" s="155" t="s">
        <v>37</v>
      </c>
    </row>
    <row r="123" spans="1:13" ht="13.5" hidden="1" customHeight="1" x14ac:dyDescent="0.2">
      <c r="A123" s="149" t="s">
        <v>315</v>
      </c>
      <c r="B123" s="152" t="s">
        <v>14</v>
      </c>
      <c r="C123" s="151">
        <v>8283</v>
      </c>
      <c r="D123" s="152" t="s">
        <v>84</v>
      </c>
      <c r="E123" s="152" t="s">
        <v>25</v>
      </c>
      <c r="F123" s="151"/>
      <c r="G123" s="151"/>
      <c r="H123" s="151"/>
      <c r="I123" s="151"/>
      <c r="J123" s="151"/>
      <c r="K123" s="151">
        <v>1300</v>
      </c>
      <c r="L123" s="151">
        <f t="shared" ref="L123:L124" si="57">K123</f>
        <v>1300</v>
      </c>
      <c r="M123" s="155" t="s">
        <v>277</v>
      </c>
    </row>
    <row r="124" spans="1:13" ht="13.5" hidden="1" customHeight="1" x14ac:dyDescent="0.2">
      <c r="A124" s="149" t="s">
        <v>315</v>
      </c>
      <c r="B124" s="160" t="s">
        <v>44</v>
      </c>
      <c r="C124" s="152" t="s">
        <v>45</v>
      </c>
      <c r="D124" s="152" t="s">
        <v>46</v>
      </c>
      <c r="E124" s="152" t="s">
        <v>30</v>
      </c>
      <c r="F124" s="152"/>
      <c r="G124" s="152"/>
      <c r="H124" s="152"/>
      <c r="I124" s="152"/>
      <c r="J124" s="152"/>
      <c r="K124" s="152">
        <v>1400</v>
      </c>
      <c r="L124" s="152">
        <f t="shared" si="57"/>
        <v>1400</v>
      </c>
      <c r="M124" s="159" t="s">
        <v>48</v>
      </c>
    </row>
    <row r="125" spans="1:13" ht="13.5" customHeight="1" x14ac:dyDescent="0.2">
      <c r="A125" s="149" t="s">
        <v>315</v>
      </c>
      <c r="B125" s="152" t="s">
        <v>14</v>
      </c>
      <c r="C125" s="151">
        <v>6380</v>
      </c>
      <c r="D125" s="152" t="s">
        <v>16</v>
      </c>
      <c r="E125" s="152" t="s">
        <v>17</v>
      </c>
      <c r="F125" s="151">
        <v>102</v>
      </c>
      <c r="G125" s="151">
        <v>0.42499999999999999</v>
      </c>
      <c r="H125" s="151">
        <f t="shared" ref="H125" si="58">F125*G125</f>
        <v>43.35</v>
      </c>
      <c r="I125" s="151">
        <v>56</v>
      </c>
      <c r="J125" s="151">
        <v>4</v>
      </c>
      <c r="K125" s="151">
        <f t="shared" ref="K125" si="59">F125*I125</f>
        <v>5712</v>
      </c>
      <c r="L125" s="151">
        <f t="shared" ref="L125" si="60">K125*J125</f>
        <v>22848</v>
      </c>
      <c r="M125" s="155" t="s">
        <v>18</v>
      </c>
    </row>
    <row r="126" spans="1:13" ht="13.5" hidden="1" customHeight="1" x14ac:dyDescent="0.2">
      <c r="A126" s="149" t="s">
        <v>316</v>
      </c>
      <c r="B126" s="152" t="s">
        <v>14</v>
      </c>
      <c r="C126" s="151">
        <v>7479</v>
      </c>
      <c r="D126" s="152" t="s">
        <v>20</v>
      </c>
      <c r="E126" s="152" t="s">
        <v>25</v>
      </c>
      <c r="F126" s="151"/>
      <c r="G126" s="151"/>
      <c r="H126" s="151"/>
      <c r="I126" s="151"/>
      <c r="J126" s="151">
        <v>1</v>
      </c>
      <c r="K126" s="151">
        <v>4000</v>
      </c>
      <c r="L126" s="151">
        <f>K126</f>
        <v>4000</v>
      </c>
      <c r="M126" s="155" t="s">
        <v>37</v>
      </c>
    </row>
    <row r="127" spans="1:13" ht="13.5" hidden="1" customHeight="1" x14ac:dyDescent="0.2">
      <c r="A127" s="149" t="s">
        <v>316</v>
      </c>
      <c r="B127" s="150" t="s">
        <v>23</v>
      </c>
      <c r="C127" s="151">
        <v>65548</v>
      </c>
      <c r="D127" s="156" t="s">
        <v>24</v>
      </c>
      <c r="E127" s="157" t="s">
        <v>25</v>
      </c>
      <c r="F127" s="151"/>
      <c r="G127" s="154"/>
      <c r="H127" s="151"/>
      <c r="I127" s="151"/>
      <c r="J127" s="151"/>
      <c r="K127" s="151">
        <v>4000</v>
      </c>
      <c r="L127" s="151">
        <f t="shared" ref="L127:L128" si="61">K127</f>
        <v>4000</v>
      </c>
      <c r="M127" s="155" t="s">
        <v>179</v>
      </c>
    </row>
    <row r="128" spans="1:13" ht="13.5" hidden="1" customHeight="1" x14ac:dyDescent="0.2">
      <c r="A128" s="149" t="s">
        <v>316</v>
      </c>
      <c r="B128" s="150" t="s">
        <v>23</v>
      </c>
      <c r="C128" s="151">
        <v>65548</v>
      </c>
      <c r="D128" s="156" t="s">
        <v>24</v>
      </c>
      <c r="E128" s="157" t="s">
        <v>30</v>
      </c>
      <c r="F128" s="151"/>
      <c r="G128" s="154"/>
      <c r="H128" s="151"/>
      <c r="I128" s="151"/>
      <c r="J128" s="151"/>
      <c r="K128" s="151">
        <v>5000</v>
      </c>
      <c r="L128" s="151">
        <f t="shared" si="61"/>
        <v>5000</v>
      </c>
      <c r="M128" s="155" t="s">
        <v>179</v>
      </c>
    </row>
    <row r="129" spans="1:13" ht="13.5" customHeight="1" x14ac:dyDescent="0.2">
      <c r="A129" s="149" t="s">
        <v>316</v>
      </c>
      <c r="B129" s="152" t="s">
        <v>14</v>
      </c>
      <c r="C129" s="151">
        <v>6380</v>
      </c>
      <c r="D129" s="152" t="s">
        <v>16</v>
      </c>
      <c r="E129" s="152" t="s">
        <v>17</v>
      </c>
      <c r="F129" s="151">
        <v>6</v>
      </c>
      <c r="G129" s="151">
        <v>0.42499999999999999</v>
      </c>
      <c r="H129" s="151">
        <f t="shared" ref="H129" si="62">F129*G129</f>
        <v>2.5499999999999998</v>
      </c>
      <c r="I129" s="151">
        <v>56</v>
      </c>
      <c r="J129" s="151">
        <v>4</v>
      </c>
      <c r="K129" s="151">
        <f t="shared" ref="K129" si="63">F129*I129</f>
        <v>336</v>
      </c>
      <c r="L129" s="151">
        <f t="shared" ref="L129" si="64">K129*J129</f>
        <v>1344</v>
      </c>
      <c r="M129" s="155" t="s">
        <v>18</v>
      </c>
    </row>
    <row r="130" spans="1:13" ht="13.5" hidden="1" customHeight="1" x14ac:dyDescent="0.2">
      <c r="A130" s="149" t="s">
        <v>316</v>
      </c>
      <c r="B130" s="150" t="s">
        <v>23</v>
      </c>
      <c r="C130" s="151">
        <v>66772</v>
      </c>
      <c r="D130" s="152" t="s">
        <v>34</v>
      </c>
      <c r="E130" s="157" t="s">
        <v>35</v>
      </c>
      <c r="F130" s="151"/>
      <c r="G130" s="154" t="s">
        <v>77</v>
      </c>
      <c r="H130" s="151"/>
      <c r="I130" s="151"/>
      <c r="J130" s="151"/>
      <c r="K130" s="151">
        <v>4160</v>
      </c>
      <c r="L130" s="151">
        <f t="shared" ref="L130:L133" si="65">K130</f>
        <v>4160</v>
      </c>
      <c r="M130" s="155" t="s">
        <v>179</v>
      </c>
    </row>
    <row r="131" spans="1:13" ht="13.5" hidden="1" customHeight="1" x14ac:dyDescent="0.2">
      <c r="A131" s="149" t="s">
        <v>316</v>
      </c>
      <c r="B131" s="150" t="s">
        <v>23</v>
      </c>
      <c r="C131" s="151">
        <v>66772</v>
      </c>
      <c r="D131" s="152" t="s">
        <v>34</v>
      </c>
      <c r="E131" s="161" t="s">
        <v>39</v>
      </c>
      <c r="F131" s="151"/>
      <c r="G131" s="154" t="s">
        <v>36</v>
      </c>
      <c r="H131" s="151"/>
      <c r="I131" s="151"/>
      <c r="J131" s="151"/>
      <c r="K131" s="151">
        <v>2000</v>
      </c>
      <c r="L131" s="151">
        <f t="shared" si="65"/>
        <v>2000</v>
      </c>
      <c r="M131" s="155" t="s">
        <v>26</v>
      </c>
    </row>
    <row r="132" spans="1:13" ht="13.5" hidden="1" customHeight="1" x14ac:dyDescent="0.2">
      <c r="A132" s="149" t="s">
        <v>317</v>
      </c>
      <c r="B132" s="150" t="s">
        <v>23</v>
      </c>
      <c r="C132" s="151">
        <v>65548</v>
      </c>
      <c r="D132" s="156" t="s">
        <v>24</v>
      </c>
      <c r="E132" s="157" t="s">
        <v>25</v>
      </c>
      <c r="F132" s="151"/>
      <c r="G132" s="154"/>
      <c r="H132" s="151"/>
      <c r="I132" s="151"/>
      <c r="J132" s="151"/>
      <c r="K132" s="151">
        <v>5962</v>
      </c>
      <c r="L132" s="151">
        <f t="shared" si="65"/>
        <v>5962</v>
      </c>
      <c r="M132" s="155" t="s">
        <v>179</v>
      </c>
    </row>
    <row r="133" spans="1:13" ht="13.5" hidden="1" customHeight="1" x14ac:dyDescent="0.2">
      <c r="A133" s="149" t="s">
        <v>317</v>
      </c>
      <c r="B133" s="150" t="s">
        <v>23</v>
      </c>
      <c r="C133" s="151">
        <v>65548</v>
      </c>
      <c r="D133" s="156" t="s">
        <v>24</v>
      </c>
      <c r="E133" s="157" t="s">
        <v>30</v>
      </c>
      <c r="F133" s="151"/>
      <c r="G133" s="154"/>
      <c r="H133" s="151"/>
      <c r="I133" s="151"/>
      <c r="J133" s="151"/>
      <c r="K133" s="151">
        <v>6280</v>
      </c>
      <c r="L133" s="151">
        <f t="shared" si="65"/>
        <v>6280</v>
      </c>
      <c r="M133" s="155" t="s">
        <v>179</v>
      </c>
    </row>
    <row r="134" spans="1:13" ht="13.5" hidden="1" customHeight="1" x14ac:dyDescent="0.2">
      <c r="A134" s="149" t="s">
        <v>317</v>
      </c>
      <c r="B134" s="150" t="s">
        <v>23</v>
      </c>
      <c r="C134" s="151">
        <v>66772</v>
      </c>
      <c r="D134" s="152" t="s">
        <v>34</v>
      </c>
      <c r="E134" s="157" t="s">
        <v>35</v>
      </c>
      <c r="F134" s="151"/>
      <c r="G134" s="154" t="s">
        <v>77</v>
      </c>
      <c r="H134" s="151"/>
      <c r="I134" s="151"/>
      <c r="J134" s="151"/>
      <c r="K134" s="151">
        <v>5340</v>
      </c>
      <c r="L134" s="151">
        <f t="shared" ref="L134:L135" si="66">K134</f>
        <v>5340</v>
      </c>
      <c r="M134" s="155" t="s">
        <v>179</v>
      </c>
    </row>
    <row r="135" spans="1:13" ht="13.5" hidden="1" customHeight="1" x14ac:dyDescent="0.2">
      <c r="A135" s="149" t="s">
        <v>317</v>
      </c>
      <c r="B135" s="150" t="s">
        <v>23</v>
      </c>
      <c r="C135" s="151">
        <v>66772</v>
      </c>
      <c r="D135" s="152" t="s">
        <v>34</v>
      </c>
      <c r="E135" s="161" t="s">
        <v>39</v>
      </c>
      <c r="F135" s="151"/>
      <c r="G135" s="154" t="s">
        <v>36</v>
      </c>
      <c r="H135" s="151"/>
      <c r="I135" s="151"/>
      <c r="J135" s="151"/>
      <c r="K135" s="151">
        <v>3500</v>
      </c>
      <c r="L135" s="151">
        <f t="shared" si="66"/>
        <v>3500</v>
      </c>
      <c r="M135" s="155" t="s">
        <v>26</v>
      </c>
    </row>
    <row r="136" spans="1:13" ht="13.5" hidden="1" customHeight="1" x14ac:dyDescent="0.2">
      <c r="A136" s="149" t="s">
        <v>317</v>
      </c>
      <c r="B136" s="152" t="s">
        <v>14</v>
      </c>
      <c r="C136" s="151">
        <v>7479</v>
      </c>
      <c r="D136" s="152" t="s">
        <v>20</v>
      </c>
      <c r="E136" s="152" t="s">
        <v>25</v>
      </c>
      <c r="F136" s="151"/>
      <c r="G136" s="151"/>
      <c r="H136" s="151"/>
      <c r="I136" s="151"/>
      <c r="J136" s="151">
        <v>1</v>
      </c>
      <c r="K136" s="151">
        <v>4200</v>
      </c>
      <c r="L136" s="151">
        <f>K136</f>
        <v>4200</v>
      </c>
      <c r="M136" s="155" t="s">
        <v>37</v>
      </c>
    </row>
    <row r="137" spans="1:13" ht="13.5" hidden="1" customHeight="1" x14ac:dyDescent="0.2">
      <c r="A137" s="149" t="s">
        <v>318</v>
      </c>
      <c r="B137" s="152" t="s">
        <v>14</v>
      </c>
      <c r="C137" s="151">
        <v>7479</v>
      </c>
      <c r="D137" s="152" t="s">
        <v>20</v>
      </c>
      <c r="E137" s="152" t="s">
        <v>25</v>
      </c>
      <c r="F137" s="151"/>
      <c r="G137" s="151"/>
      <c r="H137" s="151"/>
      <c r="I137" s="151"/>
      <c r="J137" s="151">
        <v>1</v>
      </c>
      <c r="K137" s="151">
        <v>4800</v>
      </c>
      <c r="L137" s="151">
        <f>K137</f>
        <v>4800</v>
      </c>
      <c r="M137" s="155" t="s">
        <v>37</v>
      </c>
    </row>
    <row r="138" spans="1:13" ht="13.5" hidden="1" customHeight="1" x14ac:dyDescent="0.2">
      <c r="A138" s="149" t="s">
        <v>318</v>
      </c>
      <c r="B138" s="150" t="s">
        <v>23</v>
      </c>
      <c r="C138" s="151">
        <v>66772</v>
      </c>
      <c r="D138" s="152" t="s">
        <v>34</v>
      </c>
      <c r="E138" s="157" t="s">
        <v>35</v>
      </c>
      <c r="F138" s="151"/>
      <c r="G138" s="154" t="s">
        <v>77</v>
      </c>
      <c r="H138" s="151"/>
      <c r="I138" s="151"/>
      <c r="J138" s="151"/>
      <c r="K138" s="151">
        <v>5463</v>
      </c>
      <c r="L138" s="151">
        <f t="shared" ref="L138:L139" si="67">K138</f>
        <v>5463</v>
      </c>
      <c r="M138" s="155" t="s">
        <v>179</v>
      </c>
    </row>
    <row r="139" spans="1:13" ht="13.5" hidden="1" customHeight="1" x14ac:dyDescent="0.2">
      <c r="A139" s="149" t="s">
        <v>318</v>
      </c>
      <c r="B139" s="150" t="s">
        <v>23</v>
      </c>
      <c r="C139" s="151">
        <v>66772</v>
      </c>
      <c r="D139" s="152" t="s">
        <v>34</v>
      </c>
      <c r="E139" s="161" t="s">
        <v>39</v>
      </c>
      <c r="F139" s="151"/>
      <c r="G139" s="154" t="s">
        <v>36</v>
      </c>
      <c r="H139" s="151"/>
      <c r="I139" s="151"/>
      <c r="J139" s="151"/>
      <c r="K139" s="151">
        <v>3500</v>
      </c>
      <c r="L139" s="151">
        <f t="shared" si="67"/>
        <v>3500</v>
      </c>
      <c r="M139" s="155" t="s">
        <v>26</v>
      </c>
    </row>
    <row r="140" spans="1:13" ht="13.5" hidden="1" customHeight="1" x14ac:dyDescent="0.2">
      <c r="A140" s="149" t="s">
        <v>318</v>
      </c>
      <c r="B140" s="150" t="s">
        <v>23</v>
      </c>
      <c r="C140" s="151">
        <v>66772</v>
      </c>
      <c r="D140" s="152" t="s">
        <v>34</v>
      </c>
      <c r="E140" s="153" t="s">
        <v>30</v>
      </c>
      <c r="F140" s="151"/>
      <c r="G140" s="154" t="s">
        <v>78</v>
      </c>
      <c r="H140" s="151"/>
      <c r="I140" s="151"/>
      <c r="J140" s="151"/>
      <c r="K140" s="151">
        <v>8500</v>
      </c>
      <c r="L140" s="151">
        <f>K140</f>
        <v>8500</v>
      </c>
      <c r="M140" s="155" t="s">
        <v>180</v>
      </c>
    </row>
    <row r="141" spans="1:13" ht="13.5" hidden="1" customHeight="1" x14ac:dyDescent="0.2">
      <c r="A141" s="149"/>
      <c r="B141" s="152"/>
      <c r="C141" s="151"/>
      <c r="D141" s="152"/>
      <c r="E141" s="152"/>
      <c r="F141" s="151"/>
      <c r="G141" s="151"/>
      <c r="H141" s="151"/>
      <c r="I141" s="151"/>
      <c r="J141" s="151"/>
      <c r="K141" s="151"/>
      <c r="L141" s="151"/>
      <c r="M141" s="155"/>
    </row>
    <row r="142" spans="1:13" ht="13.5" hidden="1" customHeight="1" x14ac:dyDescent="0.2">
      <c r="A142" s="149"/>
      <c r="B142" s="152"/>
      <c r="C142" s="151"/>
      <c r="D142" s="152"/>
      <c r="E142" s="152"/>
      <c r="F142" s="151"/>
      <c r="G142" s="151"/>
      <c r="H142" s="151"/>
      <c r="I142" s="151"/>
      <c r="J142" s="151"/>
      <c r="K142" s="151"/>
      <c r="L142" s="151"/>
      <c r="M142" s="155"/>
    </row>
    <row r="143" spans="1:13" ht="13.5" hidden="1" customHeight="1" x14ac:dyDescent="0.2">
      <c r="A143" s="149"/>
      <c r="B143" s="152"/>
      <c r="C143" s="151"/>
      <c r="D143" s="152"/>
      <c r="E143" s="152"/>
      <c r="F143" s="151"/>
      <c r="G143" s="151"/>
      <c r="H143" s="151"/>
      <c r="I143" s="151"/>
      <c r="J143" s="151"/>
      <c r="K143" s="151"/>
      <c r="L143" s="151"/>
      <c r="M143" s="155"/>
    </row>
    <row r="144" spans="1:13" ht="29.25" hidden="1" customHeight="1" x14ac:dyDescent="0.2">
      <c r="A144" s="141"/>
      <c r="B144" s="142"/>
      <c r="C144" s="142"/>
      <c r="D144" s="142"/>
      <c r="E144" s="142"/>
      <c r="F144" s="142">
        <f t="shared" ref="F144:L144" si="68">SUM(F3:F143)</f>
        <v>2972</v>
      </c>
      <c r="G144" s="163">
        <f t="shared" si="68"/>
        <v>7.3399999999999981</v>
      </c>
      <c r="H144" s="143">
        <f t="shared" si="68"/>
        <v>541.19999999999993</v>
      </c>
      <c r="I144" s="142">
        <f t="shared" si="68"/>
        <v>1684</v>
      </c>
      <c r="J144" s="142">
        <f t="shared" si="68"/>
        <v>90</v>
      </c>
      <c r="K144" s="144">
        <f>SUM(K3:K143)</f>
        <v>638529</v>
      </c>
      <c r="L144" s="145">
        <f t="shared" si="68"/>
        <v>766589</v>
      </c>
      <c r="M144" s="146"/>
    </row>
    <row r="146" spans="8:8" x14ac:dyDescent="0.2">
      <c r="H146" s="147">
        <f>SUM(H57:H143)</f>
        <v>137.72</v>
      </c>
    </row>
  </sheetData>
  <autoFilter ref="A2:M144">
    <filterColumn colId="2">
      <filters>
        <filter val="6380"/>
      </filters>
    </filterColumn>
  </autoFilter>
  <mergeCells count="1">
    <mergeCell ref="A1:M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A8" sqref="A8:M10"/>
    </sheetView>
  </sheetViews>
  <sheetFormatPr defaultColWidth="7" defaultRowHeight="15" x14ac:dyDescent="0.25"/>
  <cols>
    <col min="4" max="4" width="11.140625" customWidth="1"/>
    <col min="5" max="5" width="9.7109375" customWidth="1"/>
    <col min="11" max="11" width="8.5703125" customWidth="1"/>
    <col min="12" max="13" width="9.42578125" customWidth="1"/>
  </cols>
  <sheetData>
    <row r="1" spans="1:13" ht="22.5" customHeight="1" x14ac:dyDescent="0.25">
      <c r="A1" s="297" t="s">
        <v>319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</row>
    <row r="2" spans="1:13" ht="30" customHeight="1" x14ac:dyDescent="0.25">
      <c r="A2" s="169" t="s">
        <v>0</v>
      </c>
      <c r="B2" s="169" t="s">
        <v>1</v>
      </c>
      <c r="C2" s="169" t="s">
        <v>2</v>
      </c>
      <c r="D2" s="169" t="s">
        <v>3</v>
      </c>
      <c r="E2" s="169" t="s">
        <v>4</v>
      </c>
      <c r="F2" s="169" t="s">
        <v>5</v>
      </c>
      <c r="G2" s="169" t="s">
        <v>6</v>
      </c>
      <c r="H2" s="169" t="s">
        <v>7</v>
      </c>
      <c r="I2" s="169" t="s">
        <v>8</v>
      </c>
      <c r="J2" s="169" t="s">
        <v>9</v>
      </c>
      <c r="K2" s="169" t="s">
        <v>10</v>
      </c>
      <c r="L2" s="169" t="s">
        <v>11</v>
      </c>
      <c r="M2" s="169" t="s">
        <v>12</v>
      </c>
    </row>
    <row r="3" spans="1:13" ht="12.75" customHeight="1" x14ac:dyDescent="0.25">
      <c r="A3" s="149"/>
      <c r="B3" s="150" t="s">
        <v>23</v>
      </c>
      <c r="C3" s="151">
        <v>66772</v>
      </c>
      <c r="D3" s="152" t="s">
        <v>34</v>
      </c>
      <c r="E3" s="157" t="s">
        <v>35</v>
      </c>
      <c r="F3" s="151"/>
      <c r="G3" s="154" t="s">
        <v>77</v>
      </c>
      <c r="H3" s="151"/>
      <c r="I3" s="151"/>
      <c r="J3" s="151"/>
      <c r="K3" s="151">
        <v>65132</v>
      </c>
      <c r="L3" s="151">
        <f t="shared" ref="L3:L4" si="0">K3</f>
        <v>65132</v>
      </c>
      <c r="M3" s="155" t="s">
        <v>179</v>
      </c>
    </row>
    <row r="4" spans="1:13" ht="12.75" customHeight="1" x14ac:dyDescent="0.25">
      <c r="A4" s="149"/>
      <c r="B4" s="150" t="s">
        <v>23</v>
      </c>
      <c r="C4" s="151">
        <v>66772</v>
      </c>
      <c r="D4" s="152" t="s">
        <v>34</v>
      </c>
      <c r="E4" s="161" t="s">
        <v>39</v>
      </c>
      <c r="F4" s="151"/>
      <c r="G4" s="154" t="s">
        <v>36</v>
      </c>
      <c r="H4" s="151"/>
      <c r="I4" s="151"/>
      <c r="J4" s="151"/>
      <c r="K4" s="151">
        <v>65132</v>
      </c>
      <c r="L4" s="151">
        <f t="shared" si="0"/>
        <v>65132</v>
      </c>
      <c r="M4" s="155" t="s">
        <v>26</v>
      </c>
    </row>
    <row r="5" spans="1:13" ht="12.75" customHeight="1" x14ac:dyDescent="0.25">
      <c r="A5" s="149"/>
      <c r="B5" s="150" t="s">
        <v>23</v>
      </c>
      <c r="C5" s="151">
        <v>66772</v>
      </c>
      <c r="D5" s="152" t="s">
        <v>34</v>
      </c>
      <c r="E5" s="153" t="s">
        <v>30</v>
      </c>
      <c r="F5" s="151"/>
      <c r="G5" s="154" t="s">
        <v>78</v>
      </c>
      <c r="H5" s="151"/>
      <c r="I5" s="151"/>
      <c r="J5" s="151"/>
      <c r="K5" s="151">
        <v>65132</v>
      </c>
      <c r="L5" s="151">
        <f>K5</f>
        <v>65132</v>
      </c>
      <c r="M5" s="155" t="s">
        <v>180</v>
      </c>
    </row>
    <row r="6" spans="1:13" ht="12.75" customHeight="1" x14ac:dyDescent="0.25">
      <c r="A6" s="149"/>
      <c r="B6" s="150" t="s">
        <v>23</v>
      </c>
      <c r="C6" s="151">
        <v>65548</v>
      </c>
      <c r="D6" s="156" t="s">
        <v>24</v>
      </c>
      <c r="E6" s="157" t="s">
        <v>25</v>
      </c>
      <c r="F6" s="151"/>
      <c r="G6" s="154"/>
      <c r="H6" s="151"/>
      <c r="I6" s="151"/>
      <c r="J6" s="151"/>
      <c r="K6" s="151">
        <v>41412</v>
      </c>
      <c r="L6" s="151">
        <f t="shared" ref="L6:L8" si="1">K6</f>
        <v>41412</v>
      </c>
      <c r="M6" s="155" t="s">
        <v>179</v>
      </c>
    </row>
    <row r="7" spans="1:13" ht="12.75" customHeight="1" x14ac:dyDescent="0.25">
      <c r="A7" s="149"/>
      <c r="B7" s="150" t="s">
        <v>23</v>
      </c>
      <c r="C7" s="151">
        <v>65548</v>
      </c>
      <c r="D7" s="156" t="s">
        <v>24</v>
      </c>
      <c r="E7" s="157" t="s">
        <v>30</v>
      </c>
      <c r="F7" s="151"/>
      <c r="G7" s="154"/>
      <c r="H7" s="151"/>
      <c r="I7" s="151"/>
      <c r="J7" s="151"/>
      <c r="K7" s="151">
        <v>41412</v>
      </c>
      <c r="L7" s="151">
        <f t="shared" si="1"/>
        <v>41412</v>
      </c>
      <c r="M7" s="155" t="s">
        <v>180</v>
      </c>
    </row>
    <row r="8" spans="1:13" ht="12.75" customHeight="1" x14ac:dyDescent="0.25">
      <c r="A8" s="149"/>
      <c r="B8" s="172" t="s">
        <v>320</v>
      </c>
      <c r="C8" s="151" t="s">
        <v>321</v>
      </c>
      <c r="D8" s="156" t="s">
        <v>322</v>
      </c>
      <c r="E8" s="157" t="s">
        <v>21</v>
      </c>
      <c r="F8" s="151"/>
      <c r="G8" s="154"/>
      <c r="H8" s="151"/>
      <c r="I8" s="151"/>
      <c r="J8" s="151"/>
      <c r="K8" s="151">
        <v>45000</v>
      </c>
      <c r="L8" s="151">
        <f t="shared" si="1"/>
        <v>45000</v>
      </c>
      <c r="M8" s="155"/>
    </row>
    <row r="9" spans="1:13" ht="12.75" customHeight="1" x14ac:dyDescent="0.25">
      <c r="A9" s="149"/>
      <c r="B9" s="172" t="s">
        <v>320</v>
      </c>
      <c r="C9" s="151" t="s">
        <v>321</v>
      </c>
      <c r="D9" s="156" t="s">
        <v>322</v>
      </c>
      <c r="E9" s="157" t="s">
        <v>35</v>
      </c>
      <c r="F9" s="151"/>
      <c r="G9" s="154"/>
      <c r="H9" s="151"/>
      <c r="I9" s="151"/>
      <c r="J9" s="151"/>
      <c r="K9" s="151">
        <v>45000</v>
      </c>
      <c r="L9" s="151">
        <f t="shared" ref="L9" si="2">K9</f>
        <v>45000</v>
      </c>
      <c r="M9" s="155"/>
    </row>
    <row r="10" spans="1:13" ht="12.75" customHeight="1" x14ac:dyDescent="0.25">
      <c r="A10" s="149"/>
      <c r="B10" s="172" t="s">
        <v>320</v>
      </c>
      <c r="C10" s="151" t="s">
        <v>321</v>
      </c>
      <c r="D10" s="156" t="s">
        <v>322</v>
      </c>
      <c r="E10" s="157" t="s">
        <v>39</v>
      </c>
      <c r="F10" s="151"/>
      <c r="G10" s="154"/>
      <c r="H10" s="151"/>
      <c r="I10" s="151"/>
      <c r="J10" s="151"/>
      <c r="K10" s="151">
        <v>45000</v>
      </c>
      <c r="L10" s="151">
        <f t="shared" ref="L10:L12" si="3">K10</f>
        <v>45000</v>
      </c>
      <c r="M10" s="155"/>
    </row>
    <row r="11" spans="1:13" ht="12.75" customHeight="1" x14ac:dyDescent="0.25">
      <c r="A11" s="149"/>
      <c r="B11" s="172" t="s">
        <v>320</v>
      </c>
      <c r="C11" s="151" t="s">
        <v>323</v>
      </c>
      <c r="D11" s="156" t="s">
        <v>322</v>
      </c>
      <c r="E11" s="157" t="s">
        <v>21</v>
      </c>
      <c r="F11" s="151"/>
      <c r="G11" s="154"/>
      <c r="H11" s="151"/>
      <c r="I11" s="151"/>
      <c r="J11" s="151"/>
      <c r="K11" s="151">
        <v>14600</v>
      </c>
      <c r="L11" s="151">
        <f t="shared" si="3"/>
        <v>14600</v>
      </c>
      <c r="M11" s="155"/>
    </row>
    <row r="12" spans="1:13" ht="12.75" customHeight="1" x14ac:dyDescent="0.25">
      <c r="A12" s="149"/>
      <c r="B12" s="172" t="s">
        <v>320</v>
      </c>
      <c r="C12" s="151" t="s">
        <v>323</v>
      </c>
      <c r="D12" s="156" t="s">
        <v>322</v>
      </c>
      <c r="E12" s="157" t="s">
        <v>35</v>
      </c>
      <c r="F12" s="151"/>
      <c r="G12" s="154"/>
      <c r="H12" s="151"/>
      <c r="I12" s="151"/>
      <c r="J12" s="151"/>
      <c r="K12" s="151">
        <v>14600</v>
      </c>
      <c r="L12" s="151">
        <f t="shared" si="3"/>
        <v>14600</v>
      </c>
      <c r="M12" s="155"/>
    </row>
    <row r="13" spans="1:13" ht="12.75" customHeight="1" x14ac:dyDescent="0.25">
      <c r="A13" s="149"/>
      <c r="B13" s="172" t="s">
        <v>320</v>
      </c>
      <c r="C13" s="151" t="s">
        <v>323</v>
      </c>
      <c r="D13" s="156" t="s">
        <v>322</v>
      </c>
      <c r="E13" s="157" t="s">
        <v>39</v>
      </c>
      <c r="F13" s="151"/>
      <c r="G13" s="154"/>
      <c r="H13" s="151"/>
      <c r="I13" s="151"/>
      <c r="J13" s="151"/>
      <c r="K13" s="151">
        <v>14600</v>
      </c>
      <c r="L13" s="151">
        <f t="shared" ref="L13" si="4">K13</f>
        <v>14600</v>
      </c>
      <c r="M13" s="155"/>
    </row>
    <row r="14" spans="1:13" ht="12.75" customHeight="1" x14ac:dyDescent="0.25">
      <c r="A14" s="149"/>
      <c r="B14" s="172" t="s">
        <v>320</v>
      </c>
      <c r="C14" s="151" t="s">
        <v>323</v>
      </c>
      <c r="D14" s="156" t="s">
        <v>322</v>
      </c>
      <c r="E14" s="157" t="s">
        <v>324</v>
      </c>
      <c r="F14" s="151"/>
      <c r="G14" s="154"/>
      <c r="H14" s="151"/>
      <c r="I14" s="151"/>
      <c r="J14" s="151"/>
      <c r="K14" s="151">
        <v>14600</v>
      </c>
      <c r="L14" s="151">
        <f t="shared" ref="L14:L17" si="5">K14</f>
        <v>14600</v>
      </c>
      <c r="M14" s="155"/>
    </row>
    <row r="15" spans="1:13" ht="12.75" customHeight="1" x14ac:dyDescent="0.25">
      <c r="A15" s="149"/>
      <c r="B15" s="172" t="s">
        <v>320</v>
      </c>
      <c r="C15" s="151" t="s">
        <v>325</v>
      </c>
      <c r="D15" s="156" t="s">
        <v>322</v>
      </c>
      <c r="E15" s="157" t="s">
        <v>21</v>
      </c>
      <c r="F15" s="151"/>
      <c r="G15" s="154"/>
      <c r="H15" s="151"/>
      <c r="I15" s="151"/>
      <c r="J15" s="151"/>
      <c r="K15" s="151">
        <v>18400</v>
      </c>
      <c r="L15" s="151">
        <f t="shared" si="5"/>
        <v>18400</v>
      </c>
      <c r="M15" s="155"/>
    </row>
    <row r="16" spans="1:13" ht="12.75" customHeight="1" x14ac:dyDescent="0.25">
      <c r="A16" s="149"/>
      <c r="B16" s="172" t="s">
        <v>320</v>
      </c>
      <c r="C16" s="151" t="s">
        <v>325</v>
      </c>
      <c r="D16" s="156" t="s">
        <v>322</v>
      </c>
      <c r="E16" s="157" t="s">
        <v>35</v>
      </c>
      <c r="F16" s="151"/>
      <c r="G16" s="154"/>
      <c r="H16" s="151"/>
      <c r="I16" s="151"/>
      <c r="J16" s="151"/>
      <c r="K16" s="151">
        <v>18400</v>
      </c>
      <c r="L16" s="151">
        <f t="shared" si="5"/>
        <v>18400</v>
      </c>
      <c r="M16" s="155"/>
    </row>
    <row r="17" spans="1:13" ht="12.75" customHeight="1" x14ac:dyDescent="0.25">
      <c r="A17" s="149"/>
      <c r="B17" s="172" t="s">
        <v>320</v>
      </c>
      <c r="C17" s="151" t="s">
        <v>325</v>
      </c>
      <c r="D17" s="156" t="s">
        <v>322</v>
      </c>
      <c r="E17" s="157" t="s">
        <v>39</v>
      </c>
      <c r="F17" s="151"/>
      <c r="G17" s="154"/>
      <c r="H17" s="151"/>
      <c r="I17" s="151"/>
      <c r="J17" s="151"/>
      <c r="K17" s="151">
        <v>18400</v>
      </c>
      <c r="L17" s="151">
        <f t="shared" si="5"/>
        <v>18400</v>
      </c>
      <c r="M17" s="155"/>
    </row>
    <row r="18" spans="1:13" ht="12.75" customHeight="1" x14ac:dyDescent="0.25">
      <c r="A18" s="149"/>
      <c r="B18" s="172" t="s">
        <v>320</v>
      </c>
      <c r="C18" s="151" t="s">
        <v>325</v>
      </c>
      <c r="D18" s="156" t="s">
        <v>322</v>
      </c>
      <c r="E18" s="157" t="s">
        <v>324</v>
      </c>
      <c r="F18" s="151"/>
      <c r="G18" s="154"/>
      <c r="H18" s="151"/>
      <c r="I18" s="151"/>
      <c r="J18" s="151"/>
      <c r="K18" s="151">
        <v>18400</v>
      </c>
      <c r="L18" s="151">
        <f t="shared" ref="L18:L20" si="6">K18</f>
        <v>18400</v>
      </c>
      <c r="M18" s="155"/>
    </row>
    <row r="19" spans="1:13" ht="12.75" customHeight="1" x14ac:dyDescent="0.25">
      <c r="A19" s="149"/>
      <c r="B19" s="172" t="s">
        <v>320</v>
      </c>
      <c r="C19" s="151" t="s">
        <v>325</v>
      </c>
      <c r="D19" s="156" t="s">
        <v>322</v>
      </c>
      <c r="E19" s="157" t="s">
        <v>35</v>
      </c>
      <c r="F19" s="151"/>
      <c r="G19" s="154"/>
      <c r="H19" s="151"/>
      <c r="I19" s="151"/>
      <c r="J19" s="151"/>
      <c r="K19" s="151">
        <v>20000</v>
      </c>
      <c r="L19" s="151">
        <f t="shared" si="6"/>
        <v>20000</v>
      </c>
      <c r="M19" s="155" t="s">
        <v>326</v>
      </c>
    </row>
    <row r="20" spans="1:13" ht="12.75" customHeight="1" x14ac:dyDescent="0.25">
      <c r="A20" s="149"/>
      <c r="B20" s="172" t="s">
        <v>320</v>
      </c>
      <c r="C20" s="151" t="s">
        <v>325</v>
      </c>
      <c r="D20" s="156" t="s">
        <v>322</v>
      </c>
      <c r="E20" s="157" t="s">
        <v>39</v>
      </c>
      <c r="F20" s="151"/>
      <c r="G20" s="154"/>
      <c r="H20" s="151"/>
      <c r="I20" s="151"/>
      <c r="J20" s="151"/>
      <c r="K20" s="151">
        <v>20000</v>
      </c>
      <c r="L20" s="151">
        <f t="shared" si="6"/>
        <v>20000</v>
      </c>
      <c r="M20" s="155" t="s">
        <v>326</v>
      </c>
    </row>
    <row r="21" spans="1:13" ht="12.75" customHeight="1" x14ac:dyDescent="0.25">
      <c r="A21" s="149"/>
      <c r="B21" s="172" t="s">
        <v>320</v>
      </c>
      <c r="C21" s="151" t="s">
        <v>325</v>
      </c>
      <c r="D21" s="156" t="s">
        <v>322</v>
      </c>
      <c r="E21" s="157" t="s">
        <v>324</v>
      </c>
      <c r="F21" s="151"/>
      <c r="G21" s="154"/>
      <c r="H21" s="151"/>
      <c r="I21" s="151"/>
      <c r="J21" s="151"/>
      <c r="K21" s="151">
        <v>20000</v>
      </c>
      <c r="L21" s="151">
        <f t="shared" ref="L21" si="7">K21</f>
        <v>20000</v>
      </c>
      <c r="M21" s="155" t="s">
        <v>326</v>
      </c>
    </row>
    <row r="22" spans="1:13" ht="12.75" customHeight="1" x14ac:dyDescent="0.25">
      <c r="A22" s="149" t="s">
        <v>327</v>
      </c>
      <c r="B22" s="165" t="s">
        <v>41</v>
      </c>
      <c r="C22" s="151" t="s">
        <v>42</v>
      </c>
      <c r="D22" s="152" t="s">
        <v>93</v>
      </c>
      <c r="E22" s="152" t="s">
        <v>21</v>
      </c>
      <c r="F22" s="151">
        <v>67</v>
      </c>
      <c r="G22" s="151">
        <v>0</v>
      </c>
      <c r="H22" s="151">
        <f>G22*F22</f>
        <v>0</v>
      </c>
      <c r="I22" s="151">
        <v>42</v>
      </c>
      <c r="J22" s="151">
        <v>4</v>
      </c>
      <c r="K22" s="151">
        <f>F22*I22</f>
        <v>2814</v>
      </c>
      <c r="L22" s="151">
        <f>K22*J22</f>
        <v>11256</v>
      </c>
      <c r="M22" s="155" t="s">
        <v>91</v>
      </c>
    </row>
    <row r="23" spans="1:13" ht="12.75" customHeight="1" x14ac:dyDescent="0.25">
      <c r="A23" s="149" t="s">
        <v>328</v>
      </c>
      <c r="B23" s="165" t="s">
        <v>41</v>
      </c>
      <c r="C23" s="151" t="s">
        <v>42</v>
      </c>
      <c r="D23" s="152" t="s">
        <v>93</v>
      </c>
      <c r="E23" s="152" t="s">
        <v>21</v>
      </c>
      <c r="F23" s="151">
        <v>36</v>
      </c>
      <c r="G23" s="151">
        <v>0</v>
      </c>
      <c r="H23" s="151">
        <f>G23*F23</f>
        <v>0</v>
      </c>
      <c r="I23" s="151">
        <v>42</v>
      </c>
      <c r="J23" s="151">
        <v>4</v>
      </c>
      <c r="K23" s="151">
        <f>F23*I23</f>
        <v>1512</v>
      </c>
      <c r="L23" s="151">
        <f>K23*J23</f>
        <v>6048</v>
      </c>
      <c r="M23" s="155" t="s">
        <v>91</v>
      </c>
    </row>
    <row r="24" spans="1:13" ht="12.75" customHeight="1" x14ac:dyDescent="0.25">
      <c r="A24" s="149"/>
      <c r="B24" s="160" t="s">
        <v>44</v>
      </c>
      <c r="C24" s="152" t="s">
        <v>45</v>
      </c>
      <c r="D24" s="152" t="s">
        <v>46</v>
      </c>
      <c r="E24" s="152" t="s">
        <v>329</v>
      </c>
      <c r="F24" s="152"/>
      <c r="G24" s="152"/>
      <c r="H24" s="152"/>
      <c r="I24" s="152"/>
      <c r="J24" s="152"/>
      <c r="K24" s="152">
        <v>10000</v>
      </c>
      <c r="L24" s="152">
        <f t="shared" ref="L24" si="8">K24</f>
        <v>10000</v>
      </c>
      <c r="M24" s="159" t="s">
        <v>48</v>
      </c>
    </row>
    <row r="25" spans="1:13" ht="12.75" customHeight="1" x14ac:dyDescent="0.25">
      <c r="A25" s="149"/>
      <c r="B25" s="152" t="s">
        <v>14</v>
      </c>
      <c r="C25" s="151">
        <v>7479</v>
      </c>
      <c r="D25" s="152" t="s">
        <v>20</v>
      </c>
      <c r="E25" s="152" t="s">
        <v>21</v>
      </c>
      <c r="F25" s="151">
        <v>975</v>
      </c>
      <c r="G25" s="151">
        <v>0.15</v>
      </c>
      <c r="H25" s="151">
        <f>G25*F25</f>
        <v>146.25</v>
      </c>
      <c r="I25" s="151">
        <v>80</v>
      </c>
      <c r="J25" s="151">
        <v>1</v>
      </c>
      <c r="K25" s="151">
        <f>F25*I25</f>
        <v>78000</v>
      </c>
      <c r="L25" s="151">
        <f>K25*J25</f>
        <v>78000</v>
      </c>
      <c r="M25" s="155" t="s">
        <v>181</v>
      </c>
    </row>
    <row r="26" spans="1:13" ht="12.75" customHeight="1" x14ac:dyDescent="0.25">
      <c r="A26" s="149"/>
      <c r="B26" s="152" t="s">
        <v>14</v>
      </c>
      <c r="C26" s="151">
        <v>7479</v>
      </c>
      <c r="D26" s="152" t="s">
        <v>20</v>
      </c>
      <c r="E26" s="152" t="s">
        <v>25</v>
      </c>
      <c r="F26" s="151"/>
      <c r="G26" s="151"/>
      <c r="H26" s="151"/>
      <c r="I26" s="151"/>
      <c r="J26" s="151">
        <v>1</v>
      </c>
      <c r="K26" s="151">
        <v>65100</v>
      </c>
      <c r="L26" s="151">
        <f t="shared" ref="L26" si="9">K26</f>
        <v>65100</v>
      </c>
      <c r="M26" s="155" t="s">
        <v>37</v>
      </c>
    </row>
    <row r="27" spans="1:13" ht="12.75" customHeight="1" x14ac:dyDescent="0.25">
      <c r="A27" s="171"/>
      <c r="B27" s="174"/>
      <c r="C27" s="171"/>
      <c r="D27" s="170"/>
      <c r="E27" s="170"/>
      <c r="F27" s="171"/>
      <c r="G27" s="171"/>
      <c r="H27" s="171"/>
      <c r="I27" s="171"/>
      <c r="J27" s="171"/>
      <c r="K27" s="171"/>
      <c r="L27" s="171"/>
      <c r="M27" s="171"/>
    </row>
    <row r="28" spans="1:13" ht="12.75" customHeight="1" x14ac:dyDescent="0.25">
      <c r="A28" s="171"/>
      <c r="B28" s="174"/>
      <c r="C28" s="171"/>
      <c r="D28" s="170"/>
      <c r="E28" s="170"/>
      <c r="F28" s="171"/>
      <c r="G28" s="171"/>
      <c r="H28" s="171"/>
      <c r="I28" s="171"/>
      <c r="J28" s="171"/>
      <c r="K28" s="171"/>
      <c r="L28" s="171"/>
      <c r="M28" s="171"/>
    </row>
    <row r="29" spans="1:13" ht="12.75" customHeight="1" x14ac:dyDescent="0.25">
      <c r="A29" s="171"/>
      <c r="B29" s="174"/>
      <c r="C29" s="171"/>
      <c r="D29" s="170"/>
      <c r="E29" s="170"/>
      <c r="F29" s="171"/>
      <c r="G29" s="171"/>
      <c r="H29" s="171"/>
      <c r="I29" s="171"/>
      <c r="J29" s="171"/>
      <c r="K29" s="171"/>
      <c r="L29" s="171"/>
      <c r="M29" s="171"/>
    </row>
    <row r="30" spans="1:13" ht="12.75" customHeight="1" x14ac:dyDescent="0.25">
      <c r="A30" s="171"/>
      <c r="B30" s="174"/>
      <c r="C30" s="171"/>
      <c r="D30" s="170"/>
      <c r="E30" s="170"/>
      <c r="F30" s="171"/>
      <c r="G30" s="171"/>
      <c r="H30" s="171"/>
      <c r="I30" s="171"/>
      <c r="J30" s="171"/>
      <c r="K30" s="171"/>
      <c r="L30" s="171"/>
      <c r="M30" s="171"/>
    </row>
    <row r="32" spans="1:13" ht="15.75" x14ac:dyDescent="0.25">
      <c r="K32" s="173">
        <f t="shared" ref="K32:L32" si="10">SUM(K3:K31)</f>
        <v>762646</v>
      </c>
      <c r="L32" s="173">
        <f t="shared" si="10"/>
        <v>775624</v>
      </c>
    </row>
  </sheetData>
  <mergeCells count="1">
    <mergeCell ref="A1:M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6"/>
  <sheetViews>
    <sheetView workbookViewId="0">
      <selection activeCell="A55" sqref="A55:M125"/>
    </sheetView>
  </sheetViews>
  <sheetFormatPr defaultRowHeight="16.5" x14ac:dyDescent="0.3"/>
  <cols>
    <col min="1" max="1" width="9.140625" style="175"/>
    <col min="2" max="2" width="9.7109375" style="175" customWidth="1"/>
    <col min="3" max="3" width="9.140625" style="175"/>
    <col min="4" max="4" width="12.7109375" style="175" customWidth="1"/>
    <col min="5" max="5" width="11.42578125" style="175" customWidth="1"/>
    <col min="6" max="10" width="7.5703125" style="175" customWidth="1"/>
    <col min="11" max="11" width="8.85546875" style="175" customWidth="1"/>
    <col min="12" max="12" width="10.5703125" style="175" bestFit="1" customWidth="1"/>
    <col min="13" max="19" width="9.140625" style="175"/>
    <col min="20" max="20" width="5.7109375" style="175" bestFit="1" customWidth="1"/>
    <col min="21" max="16384" width="9.140625" style="175"/>
  </cols>
  <sheetData>
    <row r="1" spans="1:13" ht="33.75" customHeight="1" x14ac:dyDescent="0.3">
      <c r="A1" s="298" t="s">
        <v>347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pans="1:13" ht="28.5" customHeight="1" x14ac:dyDescent="0.3">
      <c r="A2" s="207" t="s">
        <v>0</v>
      </c>
      <c r="B2" s="207" t="s">
        <v>1</v>
      </c>
      <c r="C2" s="207" t="s">
        <v>2</v>
      </c>
      <c r="D2" s="207" t="s">
        <v>3</v>
      </c>
      <c r="E2" s="207" t="s">
        <v>4</v>
      </c>
      <c r="F2" s="207" t="s">
        <v>5</v>
      </c>
      <c r="G2" s="207" t="s">
        <v>6</v>
      </c>
      <c r="H2" s="207" t="s">
        <v>7</v>
      </c>
      <c r="I2" s="207" t="s">
        <v>8</v>
      </c>
      <c r="J2" s="207" t="s">
        <v>9</v>
      </c>
      <c r="K2" s="207" t="s">
        <v>10</v>
      </c>
      <c r="L2" s="207" t="s">
        <v>11</v>
      </c>
      <c r="M2" s="207" t="s">
        <v>12</v>
      </c>
    </row>
    <row r="3" spans="1:13" ht="13.5" customHeight="1" x14ac:dyDescent="0.3">
      <c r="A3" s="176" t="s">
        <v>334</v>
      </c>
      <c r="B3" s="197" t="s">
        <v>320</v>
      </c>
      <c r="C3" s="204" t="s">
        <v>321</v>
      </c>
      <c r="D3" s="182" t="s">
        <v>322</v>
      </c>
      <c r="E3" s="198" t="s">
        <v>21</v>
      </c>
      <c r="F3" s="178"/>
      <c r="G3" s="181"/>
      <c r="H3" s="178"/>
      <c r="I3" s="178"/>
      <c r="J3" s="178"/>
      <c r="K3" s="178">
        <v>3085</v>
      </c>
      <c r="L3" s="178">
        <f t="shared" ref="L3:L5" si="0">K3</f>
        <v>3085</v>
      </c>
      <c r="M3" s="179" t="s">
        <v>332</v>
      </c>
    </row>
    <row r="4" spans="1:13" ht="13.5" customHeight="1" x14ac:dyDescent="0.3">
      <c r="A4" s="176" t="s">
        <v>334</v>
      </c>
      <c r="B4" s="197" t="s">
        <v>320</v>
      </c>
      <c r="C4" s="204" t="s">
        <v>321</v>
      </c>
      <c r="D4" s="182" t="s">
        <v>322</v>
      </c>
      <c r="E4" s="200" t="s">
        <v>35</v>
      </c>
      <c r="F4" s="178"/>
      <c r="G4" s="181"/>
      <c r="H4" s="178"/>
      <c r="I4" s="178"/>
      <c r="J4" s="178"/>
      <c r="K4" s="178">
        <v>3500</v>
      </c>
      <c r="L4" s="178">
        <f t="shared" si="0"/>
        <v>3500</v>
      </c>
      <c r="M4" s="179" t="s">
        <v>26</v>
      </c>
    </row>
    <row r="5" spans="1:13" ht="13.5" customHeight="1" x14ac:dyDescent="0.3">
      <c r="A5" s="176" t="s">
        <v>334</v>
      </c>
      <c r="B5" s="197" t="s">
        <v>320</v>
      </c>
      <c r="C5" s="205" t="s">
        <v>325</v>
      </c>
      <c r="D5" s="182" t="s">
        <v>322</v>
      </c>
      <c r="E5" s="198" t="s">
        <v>21</v>
      </c>
      <c r="F5" s="178"/>
      <c r="G5" s="181"/>
      <c r="H5" s="178"/>
      <c r="I5" s="178"/>
      <c r="J5" s="178"/>
      <c r="K5" s="178">
        <v>5000</v>
      </c>
      <c r="L5" s="178">
        <f t="shared" si="0"/>
        <v>5000</v>
      </c>
      <c r="M5" s="179" t="s">
        <v>37</v>
      </c>
    </row>
    <row r="6" spans="1:13" ht="13.5" customHeight="1" x14ac:dyDescent="0.3">
      <c r="A6" s="176" t="s">
        <v>334</v>
      </c>
      <c r="B6" s="191" t="s">
        <v>41</v>
      </c>
      <c r="C6" s="192" t="s">
        <v>42</v>
      </c>
      <c r="D6" s="193" t="s">
        <v>93</v>
      </c>
      <c r="E6" s="199" t="s">
        <v>21</v>
      </c>
      <c r="F6" s="192">
        <v>50</v>
      </c>
      <c r="G6" s="192">
        <v>0</v>
      </c>
      <c r="H6" s="192">
        <f>G6*F6</f>
        <v>0</v>
      </c>
      <c r="I6" s="192">
        <v>42</v>
      </c>
      <c r="J6" s="192">
        <v>4</v>
      </c>
      <c r="K6" s="192">
        <f>F6*I6</f>
        <v>2100</v>
      </c>
      <c r="L6" s="192">
        <f>K6*J6</f>
        <v>8400</v>
      </c>
      <c r="M6" s="194" t="s">
        <v>91</v>
      </c>
    </row>
    <row r="7" spans="1:13" ht="13.5" customHeight="1" x14ac:dyDescent="0.3">
      <c r="A7" s="176" t="s">
        <v>334</v>
      </c>
      <c r="B7" s="177" t="s">
        <v>14</v>
      </c>
      <c r="C7" s="178">
        <v>6871</v>
      </c>
      <c r="D7" s="177" t="s">
        <v>16</v>
      </c>
      <c r="E7" s="177" t="s">
        <v>17</v>
      </c>
      <c r="F7" s="178">
        <v>63</v>
      </c>
      <c r="G7" s="178">
        <v>0.64</v>
      </c>
      <c r="H7" s="178">
        <f>G7*F7</f>
        <v>40.32</v>
      </c>
      <c r="I7" s="178">
        <v>70</v>
      </c>
      <c r="J7" s="178">
        <v>2</v>
      </c>
      <c r="K7" s="178">
        <f t="shared" ref="K7" si="1">F7*I7</f>
        <v>4410</v>
      </c>
      <c r="L7" s="178">
        <f t="shared" ref="L7" si="2">K7*J7</f>
        <v>8820</v>
      </c>
      <c r="M7" s="179" t="s">
        <v>22</v>
      </c>
    </row>
    <row r="8" spans="1:13" ht="13.5" customHeight="1" x14ac:dyDescent="0.3">
      <c r="A8" s="176" t="s">
        <v>334</v>
      </c>
      <c r="B8" s="196" t="s">
        <v>23</v>
      </c>
      <c r="C8" s="178">
        <v>66772</v>
      </c>
      <c r="D8" s="177" t="s">
        <v>34</v>
      </c>
      <c r="E8" s="201" t="s">
        <v>35</v>
      </c>
      <c r="F8" s="178"/>
      <c r="G8" s="181" t="s">
        <v>77</v>
      </c>
      <c r="H8" s="178"/>
      <c r="I8" s="178"/>
      <c r="J8" s="178"/>
      <c r="K8" s="178">
        <v>2500</v>
      </c>
      <c r="L8" s="178">
        <f t="shared" ref="L8:L9" si="3">K8</f>
        <v>2500</v>
      </c>
      <c r="M8" s="179" t="s">
        <v>179</v>
      </c>
    </row>
    <row r="9" spans="1:13" ht="13.5" customHeight="1" x14ac:dyDescent="0.3">
      <c r="A9" s="176" t="s">
        <v>334</v>
      </c>
      <c r="B9" s="196" t="s">
        <v>23</v>
      </c>
      <c r="C9" s="178">
        <v>66772</v>
      </c>
      <c r="D9" s="177" t="s">
        <v>34</v>
      </c>
      <c r="E9" s="203" t="s">
        <v>39</v>
      </c>
      <c r="F9" s="178"/>
      <c r="G9" s="181" t="s">
        <v>36</v>
      </c>
      <c r="H9" s="178"/>
      <c r="I9" s="178"/>
      <c r="J9" s="178"/>
      <c r="K9" s="178">
        <v>2500</v>
      </c>
      <c r="L9" s="178">
        <f t="shared" si="3"/>
        <v>2500</v>
      </c>
      <c r="M9" s="179" t="s">
        <v>277</v>
      </c>
    </row>
    <row r="10" spans="1:13" ht="13.5" customHeight="1" x14ac:dyDescent="0.3">
      <c r="A10" s="176" t="s">
        <v>334</v>
      </c>
      <c r="B10" s="196" t="s">
        <v>23</v>
      </c>
      <c r="C10" s="178">
        <v>66772</v>
      </c>
      <c r="D10" s="177" t="s">
        <v>34</v>
      </c>
      <c r="E10" s="204" t="s">
        <v>30</v>
      </c>
      <c r="F10" s="178"/>
      <c r="G10" s="181" t="s">
        <v>78</v>
      </c>
      <c r="H10" s="178"/>
      <c r="I10" s="178"/>
      <c r="J10" s="178"/>
      <c r="K10" s="178">
        <v>4000</v>
      </c>
      <c r="L10" s="178">
        <f>K10</f>
        <v>4000</v>
      </c>
      <c r="M10" s="179" t="s">
        <v>180</v>
      </c>
    </row>
    <row r="11" spans="1:13" ht="13.5" customHeight="1" x14ac:dyDescent="0.3">
      <c r="A11" s="176" t="s">
        <v>335</v>
      </c>
      <c r="B11" s="196" t="s">
        <v>23</v>
      </c>
      <c r="C11" s="178">
        <v>66772</v>
      </c>
      <c r="D11" s="177" t="s">
        <v>34</v>
      </c>
      <c r="E11" s="201" t="s">
        <v>35</v>
      </c>
      <c r="F11" s="178"/>
      <c r="G11" s="181" t="s">
        <v>77</v>
      </c>
      <c r="H11" s="178"/>
      <c r="I11" s="178"/>
      <c r="J11" s="178"/>
      <c r="K11" s="178">
        <v>2750</v>
      </c>
      <c r="L11" s="178">
        <f t="shared" ref="L11:L12" si="4">K11</f>
        <v>2750</v>
      </c>
      <c r="M11" s="179" t="s">
        <v>179</v>
      </c>
    </row>
    <row r="12" spans="1:13" ht="13.5" customHeight="1" x14ac:dyDescent="0.3">
      <c r="A12" s="176" t="s">
        <v>335</v>
      </c>
      <c r="B12" s="196" t="s">
        <v>23</v>
      </c>
      <c r="C12" s="178">
        <v>66772</v>
      </c>
      <c r="D12" s="177" t="s">
        <v>34</v>
      </c>
      <c r="E12" s="203" t="s">
        <v>39</v>
      </c>
      <c r="F12" s="178"/>
      <c r="G12" s="181" t="s">
        <v>36</v>
      </c>
      <c r="H12" s="178"/>
      <c r="I12" s="178"/>
      <c r="J12" s="178"/>
      <c r="K12" s="178">
        <v>2500</v>
      </c>
      <c r="L12" s="178">
        <f t="shared" si="4"/>
        <v>2500</v>
      </c>
      <c r="M12" s="179" t="s">
        <v>277</v>
      </c>
    </row>
    <row r="13" spans="1:13" ht="13.5" customHeight="1" x14ac:dyDescent="0.3">
      <c r="A13" s="176" t="s">
        <v>335</v>
      </c>
      <c r="B13" s="196" t="s">
        <v>23</v>
      </c>
      <c r="C13" s="178">
        <v>66772</v>
      </c>
      <c r="D13" s="177" t="s">
        <v>34</v>
      </c>
      <c r="E13" s="204" t="s">
        <v>30</v>
      </c>
      <c r="F13" s="178"/>
      <c r="G13" s="181" t="s">
        <v>78</v>
      </c>
      <c r="H13" s="178"/>
      <c r="I13" s="178"/>
      <c r="J13" s="178"/>
      <c r="K13" s="178">
        <v>1850</v>
      </c>
      <c r="L13" s="178">
        <f>K13</f>
        <v>1850</v>
      </c>
      <c r="M13" s="179" t="s">
        <v>180</v>
      </c>
    </row>
    <row r="14" spans="1:13" ht="13.5" customHeight="1" x14ac:dyDescent="0.3">
      <c r="A14" s="176" t="s">
        <v>335</v>
      </c>
      <c r="B14" s="197" t="s">
        <v>320</v>
      </c>
      <c r="C14" s="204" t="s">
        <v>321</v>
      </c>
      <c r="D14" s="182" t="s">
        <v>322</v>
      </c>
      <c r="E14" s="198" t="s">
        <v>21</v>
      </c>
      <c r="F14" s="178"/>
      <c r="G14" s="181"/>
      <c r="H14" s="178"/>
      <c r="I14" s="178"/>
      <c r="J14" s="178"/>
      <c r="K14" s="178">
        <v>2600</v>
      </c>
      <c r="L14" s="178">
        <f t="shared" ref="L14:L15" si="5">K14</f>
        <v>2600</v>
      </c>
      <c r="M14" s="179" t="s">
        <v>332</v>
      </c>
    </row>
    <row r="15" spans="1:13" ht="13.5" customHeight="1" x14ac:dyDescent="0.3">
      <c r="A15" s="176" t="s">
        <v>335</v>
      </c>
      <c r="B15" s="197" t="s">
        <v>320</v>
      </c>
      <c r="C15" s="204" t="s">
        <v>321</v>
      </c>
      <c r="D15" s="182" t="s">
        <v>322</v>
      </c>
      <c r="E15" s="200" t="s">
        <v>35</v>
      </c>
      <c r="F15" s="178"/>
      <c r="G15" s="181"/>
      <c r="H15" s="178"/>
      <c r="I15" s="178"/>
      <c r="J15" s="178"/>
      <c r="K15" s="178">
        <v>1850</v>
      </c>
      <c r="L15" s="178">
        <f t="shared" si="5"/>
        <v>1850</v>
      </c>
      <c r="M15" s="179" t="s">
        <v>26</v>
      </c>
    </row>
    <row r="16" spans="1:13" ht="13.5" customHeight="1" x14ac:dyDescent="0.3">
      <c r="A16" s="176" t="s">
        <v>335</v>
      </c>
      <c r="B16" s="197" t="s">
        <v>320</v>
      </c>
      <c r="C16" s="204" t="s">
        <v>321</v>
      </c>
      <c r="D16" s="182" t="s">
        <v>322</v>
      </c>
      <c r="E16" s="201" t="s">
        <v>39</v>
      </c>
      <c r="F16" s="178"/>
      <c r="G16" s="181"/>
      <c r="H16" s="178"/>
      <c r="I16" s="178"/>
      <c r="J16" s="178"/>
      <c r="K16" s="178">
        <v>1000</v>
      </c>
      <c r="L16" s="178">
        <f t="shared" ref="L16:L19" si="6">K16</f>
        <v>1000</v>
      </c>
      <c r="M16" s="179" t="s">
        <v>333</v>
      </c>
    </row>
    <row r="17" spans="1:13" ht="13.5" customHeight="1" x14ac:dyDescent="0.3">
      <c r="A17" s="176" t="s">
        <v>335</v>
      </c>
      <c r="B17" s="197" t="s">
        <v>320</v>
      </c>
      <c r="C17" s="205" t="s">
        <v>325</v>
      </c>
      <c r="D17" s="182" t="s">
        <v>322</v>
      </c>
      <c r="E17" s="198" t="s">
        <v>21</v>
      </c>
      <c r="F17" s="178"/>
      <c r="G17" s="181"/>
      <c r="H17" s="178"/>
      <c r="I17" s="178"/>
      <c r="J17" s="178"/>
      <c r="K17" s="178">
        <v>3800</v>
      </c>
      <c r="L17" s="178">
        <f t="shared" si="6"/>
        <v>3800</v>
      </c>
      <c r="M17" s="179" t="s">
        <v>37</v>
      </c>
    </row>
    <row r="18" spans="1:13" ht="13.5" customHeight="1" x14ac:dyDescent="0.3">
      <c r="A18" s="176" t="s">
        <v>336</v>
      </c>
      <c r="B18" s="197" t="s">
        <v>320</v>
      </c>
      <c r="C18" s="204" t="s">
        <v>321</v>
      </c>
      <c r="D18" s="182" t="s">
        <v>322</v>
      </c>
      <c r="E18" s="198" t="s">
        <v>21</v>
      </c>
      <c r="F18" s="178"/>
      <c r="G18" s="181"/>
      <c r="H18" s="178"/>
      <c r="I18" s="178"/>
      <c r="J18" s="178"/>
      <c r="K18" s="178">
        <v>1200</v>
      </c>
      <c r="L18" s="178">
        <f t="shared" si="6"/>
        <v>1200</v>
      </c>
      <c r="M18" s="179" t="s">
        <v>332</v>
      </c>
    </row>
    <row r="19" spans="1:13" ht="13.5" customHeight="1" x14ac:dyDescent="0.3">
      <c r="A19" s="176" t="s">
        <v>336</v>
      </c>
      <c r="B19" s="197" t="s">
        <v>320</v>
      </c>
      <c r="C19" s="204" t="s">
        <v>321</v>
      </c>
      <c r="D19" s="182" t="s">
        <v>322</v>
      </c>
      <c r="E19" s="200" t="s">
        <v>35</v>
      </c>
      <c r="F19" s="178"/>
      <c r="G19" s="181"/>
      <c r="H19" s="178"/>
      <c r="I19" s="178"/>
      <c r="J19" s="178"/>
      <c r="K19" s="178">
        <v>3000</v>
      </c>
      <c r="L19" s="178">
        <f t="shared" si="6"/>
        <v>3000</v>
      </c>
      <c r="M19" s="179" t="s">
        <v>26</v>
      </c>
    </row>
    <row r="20" spans="1:13" ht="13.5" customHeight="1" x14ac:dyDescent="0.3">
      <c r="A20" s="176" t="s">
        <v>336</v>
      </c>
      <c r="B20" s="197" t="s">
        <v>320</v>
      </c>
      <c r="C20" s="204" t="s">
        <v>321</v>
      </c>
      <c r="D20" s="182" t="s">
        <v>322</v>
      </c>
      <c r="E20" s="201" t="s">
        <v>39</v>
      </c>
      <c r="F20" s="178"/>
      <c r="G20" s="181"/>
      <c r="H20" s="178"/>
      <c r="I20" s="178"/>
      <c r="J20" s="178"/>
      <c r="K20" s="178">
        <v>2610</v>
      </c>
      <c r="L20" s="178">
        <f t="shared" ref="L20:L21" si="7">K20</f>
        <v>2610</v>
      </c>
      <c r="M20" s="179" t="s">
        <v>333</v>
      </c>
    </row>
    <row r="21" spans="1:13" ht="13.5" customHeight="1" x14ac:dyDescent="0.3">
      <c r="A21" s="176" t="s">
        <v>336</v>
      </c>
      <c r="B21" s="197" t="s">
        <v>320</v>
      </c>
      <c r="C21" s="206" t="s">
        <v>325</v>
      </c>
      <c r="D21" s="182" t="s">
        <v>322</v>
      </c>
      <c r="E21" s="200" t="s">
        <v>35</v>
      </c>
      <c r="F21" s="178"/>
      <c r="G21" s="181"/>
      <c r="H21" s="178"/>
      <c r="I21" s="178"/>
      <c r="J21" s="178"/>
      <c r="K21" s="178">
        <v>3500</v>
      </c>
      <c r="L21" s="178">
        <f t="shared" si="7"/>
        <v>3500</v>
      </c>
      <c r="M21" s="179" t="s">
        <v>22</v>
      </c>
    </row>
    <row r="22" spans="1:13" ht="13.5" customHeight="1" x14ac:dyDescent="0.3">
      <c r="A22" s="176" t="s">
        <v>336</v>
      </c>
      <c r="B22" s="197" t="s">
        <v>320</v>
      </c>
      <c r="C22" s="206" t="s">
        <v>325</v>
      </c>
      <c r="D22" s="182" t="s">
        <v>322</v>
      </c>
      <c r="E22" s="201" t="s">
        <v>39</v>
      </c>
      <c r="F22" s="178"/>
      <c r="G22" s="181"/>
      <c r="H22" s="178"/>
      <c r="I22" s="178"/>
      <c r="J22" s="178"/>
      <c r="K22" s="178">
        <v>3500</v>
      </c>
      <c r="L22" s="178">
        <f t="shared" ref="L22:L25" si="8">K22</f>
        <v>3500</v>
      </c>
      <c r="M22" s="179" t="s">
        <v>91</v>
      </c>
    </row>
    <row r="23" spans="1:13" ht="13.5" customHeight="1" x14ac:dyDescent="0.3">
      <c r="A23" s="176" t="s">
        <v>336</v>
      </c>
      <c r="B23" s="197" t="s">
        <v>320</v>
      </c>
      <c r="C23" s="206" t="s">
        <v>325</v>
      </c>
      <c r="D23" s="182" t="s">
        <v>322</v>
      </c>
      <c r="E23" s="202" t="s">
        <v>324</v>
      </c>
      <c r="F23" s="178"/>
      <c r="G23" s="178"/>
      <c r="H23" s="178"/>
      <c r="I23" s="178"/>
      <c r="J23" s="178"/>
      <c r="K23" s="178">
        <v>3500</v>
      </c>
      <c r="L23" s="178">
        <f t="shared" si="8"/>
        <v>3500</v>
      </c>
      <c r="M23" s="179" t="s">
        <v>181</v>
      </c>
    </row>
    <row r="24" spans="1:13" ht="13.5" customHeight="1" x14ac:dyDescent="0.3">
      <c r="A24" s="176" t="s">
        <v>336</v>
      </c>
      <c r="B24" s="196" t="s">
        <v>23</v>
      </c>
      <c r="C24" s="178">
        <v>66772</v>
      </c>
      <c r="D24" s="177" t="s">
        <v>34</v>
      </c>
      <c r="E24" s="201" t="s">
        <v>35</v>
      </c>
      <c r="F24" s="178"/>
      <c r="G24" s="181" t="s">
        <v>77</v>
      </c>
      <c r="H24" s="178"/>
      <c r="I24" s="178"/>
      <c r="J24" s="178"/>
      <c r="K24" s="178">
        <v>2260</v>
      </c>
      <c r="L24" s="178">
        <f t="shared" si="8"/>
        <v>2260</v>
      </c>
      <c r="M24" s="179" t="s">
        <v>179</v>
      </c>
    </row>
    <row r="25" spans="1:13" ht="13.5" customHeight="1" x14ac:dyDescent="0.3">
      <c r="A25" s="176" t="s">
        <v>336</v>
      </c>
      <c r="B25" s="196" t="s">
        <v>23</v>
      </c>
      <c r="C25" s="178">
        <v>66772</v>
      </c>
      <c r="D25" s="177" t="s">
        <v>34</v>
      </c>
      <c r="E25" s="203" t="s">
        <v>39</v>
      </c>
      <c r="F25" s="178"/>
      <c r="G25" s="181" t="s">
        <v>36</v>
      </c>
      <c r="H25" s="178"/>
      <c r="I25" s="178"/>
      <c r="J25" s="178"/>
      <c r="K25" s="178">
        <v>800</v>
      </c>
      <c r="L25" s="178">
        <f t="shared" si="8"/>
        <v>800</v>
      </c>
      <c r="M25" s="179" t="s">
        <v>277</v>
      </c>
    </row>
    <row r="26" spans="1:13" ht="13.5" customHeight="1" x14ac:dyDescent="0.3">
      <c r="A26" s="176" t="s">
        <v>336</v>
      </c>
      <c r="B26" s="196" t="s">
        <v>23</v>
      </c>
      <c r="C26" s="178">
        <v>66772</v>
      </c>
      <c r="D26" s="177" t="s">
        <v>34</v>
      </c>
      <c r="E26" s="204" t="s">
        <v>30</v>
      </c>
      <c r="F26" s="178"/>
      <c r="G26" s="181" t="s">
        <v>78</v>
      </c>
      <c r="H26" s="178"/>
      <c r="I26" s="178"/>
      <c r="J26" s="178"/>
      <c r="K26" s="178">
        <v>2420</v>
      </c>
      <c r="L26" s="178">
        <f>K26</f>
        <v>2420</v>
      </c>
      <c r="M26" s="179" t="s">
        <v>180</v>
      </c>
    </row>
    <row r="27" spans="1:13" ht="13.5" customHeight="1" x14ac:dyDescent="0.3">
      <c r="A27" s="176" t="s">
        <v>336</v>
      </c>
      <c r="B27" s="204" t="s">
        <v>44</v>
      </c>
      <c r="C27" s="177" t="s">
        <v>45</v>
      </c>
      <c r="D27" s="177" t="s">
        <v>46</v>
      </c>
      <c r="E27" s="177" t="s">
        <v>47</v>
      </c>
      <c r="F27" s="177"/>
      <c r="G27" s="177"/>
      <c r="H27" s="177"/>
      <c r="I27" s="177"/>
      <c r="J27" s="177"/>
      <c r="K27" s="177">
        <v>2800</v>
      </c>
      <c r="L27" s="177">
        <f t="shared" ref="L27:L29" si="9">K27</f>
        <v>2800</v>
      </c>
      <c r="M27" s="195" t="s">
        <v>22</v>
      </c>
    </row>
    <row r="28" spans="1:13" ht="13.5" customHeight="1" x14ac:dyDescent="0.3">
      <c r="A28" s="176" t="s">
        <v>337</v>
      </c>
      <c r="B28" s="196" t="s">
        <v>23</v>
      </c>
      <c r="C28" s="178">
        <v>66772</v>
      </c>
      <c r="D28" s="177" t="s">
        <v>34</v>
      </c>
      <c r="E28" s="201" t="s">
        <v>35</v>
      </c>
      <c r="F28" s="178"/>
      <c r="G28" s="181" t="s">
        <v>77</v>
      </c>
      <c r="H28" s="178"/>
      <c r="I28" s="178"/>
      <c r="J28" s="178"/>
      <c r="K28" s="178">
        <v>6700</v>
      </c>
      <c r="L28" s="178">
        <f t="shared" si="9"/>
        <v>6700</v>
      </c>
      <c r="M28" s="179" t="s">
        <v>179</v>
      </c>
    </row>
    <row r="29" spans="1:13" ht="13.5" customHeight="1" x14ac:dyDescent="0.3">
      <c r="A29" s="176" t="s">
        <v>337</v>
      </c>
      <c r="B29" s="196" t="s">
        <v>23</v>
      </c>
      <c r="C29" s="178">
        <v>66772</v>
      </c>
      <c r="D29" s="177" t="s">
        <v>34</v>
      </c>
      <c r="E29" s="203" t="s">
        <v>39</v>
      </c>
      <c r="F29" s="178"/>
      <c r="G29" s="181" t="s">
        <v>36</v>
      </c>
      <c r="H29" s="178"/>
      <c r="I29" s="178"/>
      <c r="J29" s="178"/>
      <c r="K29" s="178">
        <v>7500</v>
      </c>
      <c r="L29" s="178">
        <f t="shared" si="9"/>
        <v>7500</v>
      </c>
      <c r="M29" s="179" t="s">
        <v>277</v>
      </c>
    </row>
    <row r="30" spans="1:13" ht="13.5" customHeight="1" x14ac:dyDescent="0.3">
      <c r="A30" s="176" t="s">
        <v>337</v>
      </c>
      <c r="B30" s="196" t="s">
        <v>23</v>
      </c>
      <c r="C30" s="178">
        <v>66772</v>
      </c>
      <c r="D30" s="177" t="s">
        <v>34</v>
      </c>
      <c r="E30" s="204" t="s">
        <v>30</v>
      </c>
      <c r="F30" s="178"/>
      <c r="G30" s="181" t="s">
        <v>78</v>
      </c>
      <c r="H30" s="178"/>
      <c r="I30" s="178"/>
      <c r="J30" s="178"/>
      <c r="K30" s="178">
        <v>8400</v>
      </c>
      <c r="L30" s="178">
        <f>K30</f>
        <v>8400</v>
      </c>
      <c r="M30" s="179" t="s">
        <v>180</v>
      </c>
    </row>
    <row r="31" spans="1:13" ht="13.5" customHeight="1" x14ac:dyDescent="0.3">
      <c r="A31" s="176" t="s">
        <v>337</v>
      </c>
      <c r="B31" s="204" t="s">
        <v>44</v>
      </c>
      <c r="C31" s="177" t="s">
        <v>45</v>
      </c>
      <c r="D31" s="177" t="s">
        <v>46</v>
      </c>
      <c r="E31" s="177" t="s">
        <v>47</v>
      </c>
      <c r="F31" s="177"/>
      <c r="G31" s="177"/>
      <c r="H31" s="177"/>
      <c r="I31" s="177"/>
      <c r="J31" s="177"/>
      <c r="K31" s="177">
        <v>3500</v>
      </c>
      <c r="L31" s="177">
        <f t="shared" ref="L31:L32" si="10">K31</f>
        <v>3500</v>
      </c>
      <c r="M31" s="195" t="s">
        <v>22</v>
      </c>
    </row>
    <row r="32" spans="1:13" ht="13.5" customHeight="1" x14ac:dyDescent="0.3">
      <c r="A32" s="176" t="s">
        <v>337</v>
      </c>
      <c r="B32" s="197" t="s">
        <v>320</v>
      </c>
      <c r="C32" s="205" t="s">
        <v>325</v>
      </c>
      <c r="D32" s="182" t="s">
        <v>322</v>
      </c>
      <c r="E32" s="200" t="s">
        <v>35</v>
      </c>
      <c r="F32" s="178"/>
      <c r="G32" s="181"/>
      <c r="H32" s="178"/>
      <c r="I32" s="178"/>
      <c r="J32" s="178"/>
      <c r="K32" s="178">
        <v>1000</v>
      </c>
      <c r="L32" s="178">
        <f t="shared" si="10"/>
        <v>1000</v>
      </c>
      <c r="M32" s="179" t="s">
        <v>22</v>
      </c>
    </row>
    <row r="33" spans="1:13" ht="13.5" customHeight="1" x14ac:dyDescent="0.3">
      <c r="A33" s="176" t="s">
        <v>337</v>
      </c>
      <c r="B33" s="197" t="s">
        <v>320</v>
      </c>
      <c r="C33" s="205" t="s">
        <v>325</v>
      </c>
      <c r="D33" s="182" t="s">
        <v>322</v>
      </c>
      <c r="E33" s="201" t="s">
        <v>39</v>
      </c>
      <c r="F33" s="178"/>
      <c r="G33" s="181"/>
      <c r="H33" s="178"/>
      <c r="I33" s="178"/>
      <c r="J33" s="178"/>
      <c r="K33" s="178">
        <v>2200</v>
      </c>
      <c r="L33" s="178">
        <f t="shared" ref="L33" si="11">K33</f>
        <v>2200</v>
      </c>
      <c r="M33" s="179" t="s">
        <v>37</v>
      </c>
    </row>
    <row r="34" spans="1:13" ht="13.5" customHeight="1" x14ac:dyDescent="0.3">
      <c r="A34" s="176" t="s">
        <v>337</v>
      </c>
      <c r="B34" s="197" t="s">
        <v>320</v>
      </c>
      <c r="C34" s="205" t="s">
        <v>325</v>
      </c>
      <c r="D34" s="182" t="s">
        <v>322</v>
      </c>
      <c r="E34" s="202" t="s">
        <v>324</v>
      </c>
      <c r="F34" s="178"/>
      <c r="G34" s="181"/>
      <c r="H34" s="178"/>
      <c r="I34" s="178"/>
      <c r="J34" s="178"/>
      <c r="K34" s="178">
        <v>3000</v>
      </c>
      <c r="L34" s="178">
        <f t="shared" ref="L34:L36" si="12">K34</f>
        <v>3000</v>
      </c>
      <c r="M34" s="179" t="s">
        <v>181</v>
      </c>
    </row>
    <row r="35" spans="1:13" ht="13.5" customHeight="1" x14ac:dyDescent="0.3">
      <c r="A35" s="176" t="s">
        <v>338</v>
      </c>
      <c r="B35" s="196" t="s">
        <v>23</v>
      </c>
      <c r="C35" s="178">
        <v>66772</v>
      </c>
      <c r="D35" s="177" t="s">
        <v>34</v>
      </c>
      <c r="E35" s="201" t="s">
        <v>35</v>
      </c>
      <c r="F35" s="178"/>
      <c r="G35" s="181" t="s">
        <v>77</v>
      </c>
      <c r="H35" s="178"/>
      <c r="I35" s="178"/>
      <c r="J35" s="178"/>
      <c r="K35" s="178">
        <v>4450</v>
      </c>
      <c r="L35" s="178">
        <f t="shared" si="12"/>
        <v>4450</v>
      </c>
      <c r="M35" s="179" t="s">
        <v>179</v>
      </c>
    </row>
    <row r="36" spans="1:13" ht="13.5" customHeight="1" x14ac:dyDescent="0.3">
      <c r="A36" s="176" t="s">
        <v>338</v>
      </c>
      <c r="B36" s="196" t="s">
        <v>23</v>
      </c>
      <c r="C36" s="178">
        <v>66772</v>
      </c>
      <c r="D36" s="177" t="s">
        <v>34</v>
      </c>
      <c r="E36" s="203" t="s">
        <v>39</v>
      </c>
      <c r="F36" s="178"/>
      <c r="G36" s="181" t="s">
        <v>36</v>
      </c>
      <c r="H36" s="178"/>
      <c r="I36" s="178"/>
      <c r="J36" s="178"/>
      <c r="K36" s="178">
        <v>5000</v>
      </c>
      <c r="L36" s="178">
        <f t="shared" si="12"/>
        <v>5000</v>
      </c>
      <c r="M36" s="179" t="s">
        <v>277</v>
      </c>
    </row>
    <row r="37" spans="1:13" ht="13.5" customHeight="1" x14ac:dyDescent="0.3">
      <c r="A37" s="176" t="s">
        <v>338</v>
      </c>
      <c r="B37" s="196" t="s">
        <v>23</v>
      </c>
      <c r="C37" s="178">
        <v>66772</v>
      </c>
      <c r="D37" s="177" t="s">
        <v>34</v>
      </c>
      <c r="E37" s="204" t="s">
        <v>30</v>
      </c>
      <c r="F37" s="178"/>
      <c r="G37" s="181" t="s">
        <v>78</v>
      </c>
      <c r="H37" s="178"/>
      <c r="I37" s="178"/>
      <c r="J37" s="178"/>
      <c r="K37" s="178">
        <v>9960</v>
      </c>
      <c r="L37" s="178">
        <f>K37</f>
        <v>9960</v>
      </c>
      <c r="M37" s="179" t="s">
        <v>180</v>
      </c>
    </row>
    <row r="38" spans="1:13" ht="13.5" customHeight="1" x14ac:dyDescent="0.3">
      <c r="A38" s="176" t="s">
        <v>338</v>
      </c>
      <c r="B38" s="197" t="s">
        <v>320</v>
      </c>
      <c r="C38" s="205" t="s">
        <v>325</v>
      </c>
      <c r="D38" s="182" t="s">
        <v>322</v>
      </c>
      <c r="E38" s="200" t="s">
        <v>35</v>
      </c>
      <c r="F38" s="178"/>
      <c r="G38" s="181"/>
      <c r="H38" s="178"/>
      <c r="I38" s="178"/>
      <c r="J38" s="178"/>
      <c r="K38" s="178">
        <v>3500</v>
      </c>
      <c r="L38" s="178">
        <f t="shared" ref="L38:L40" si="13">K38</f>
        <v>3500</v>
      </c>
      <c r="M38" s="179" t="s">
        <v>22</v>
      </c>
    </row>
    <row r="39" spans="1:13" ht="13.5" customHeight="1" x14ac:dyDescent="0.3">
      <c r="A39" s="176" t="s">
        <v>338</v>
      </c>
      <c r="B39" s="197" t="s">
        <v>320</v>
      </c>
      <c r="C39" s="205" t="s">
        <v>325</v>
      </c>
      <c r="D39" s="182" t="s">
        <v>322</v>
      </c>
      <c r="E39" s="201" t="s">
        <v>39</v>
      </c>
      <c r="F39" s="178"/>
      <c r="G39" s="181"/>
      <c r="H39" s="178"/>
      <c r="I39" s="178"/>
      <c r="J39" s="178"/>
      <c r="K39" s="178">
        <v>3500</v>
      </c>
      <c r="L39" s="178">
        <f t="shared" si="13"/>
        <v>3500</v>
      </c>
      <c r="M39" s="179" t="s">
        <v>37</v>
      </c>
    </row>
    <row r="40" spans="1:13" ht="13.5" customHeight="1" x14ac:dyDescent="0.3">
      <c r="A40" s="176" t="s">
        <v>338</v>
      </c>
      <c r="B40" s="197" t="s">
        <v>320</v>
      </c>
      <c r="C40" s="205" t="s">
        <v>325</v>
      </c>
      <c r="D40" s="182" t="s">
        <v>322</v>
      </c>
      <c r="E40" s="202" t="s">
        <v>324</v>
      </c>
      <c r="F40" s="178"/>
      <c r="G40" s="181"/>
      <c r="H40" s="178"/>
      <c r="I40" s="178"/>
      <c r="J40" s="178"/>
      <c r="K40" s="178">
        <v>4400</v>
      </c>
      <c r="L40" s="178">
        <f t="shared" si="13"/>
        <v>4400</v>
      </c>
      <c r="M40" s="179" t="s">
        <v>181</v>
      </c>
    </row>
    <row r="41" spans="1:13" ht="13.5" customHeight="1" x14ac:dyDescent="0.3">
      <c r="A41" s="176" t="s">
        <v>338</v>
      </c>
      <c r="B41" s="177" t="s">
        <v>14</v>
      </c>
      <c r="C41" s="178">
        <v>2576</v>
      </c>
      <c r="D41" s="177" t="s">
        <v>84</v>
      </c>
      <c r="E41" s="177" t="s">
        <v>17</v>
      </c>
      <c r="F41" s="178">
        <v>194</v>
      </c>
      <c r="G41" s="178">
        <v>0.1</v>
      </c>
      <c r="H41" s="178">
        <v>18.100000000000001</v>
      </c>
      <c r="I41" s="178">
        <v>17</v>
      </c>
      <c r="J41" s="178">
        <v>1</v>
      </c>
      <c r="K41" s="178">
        <f>F41*I41</f>
        <v>3298</v>
      </c>
      <c r="L41" s="178">
        <f>K41*J41</f>
        <v>3298</v>
      </c>
      <c r="M41" s="179" t="s">
        <v>22</v>
      </c>
    </row>
    <row r="42" spans="1:13" ht="13.5" customHeight="1" x14ac:dyDescent="0.3">
      <c r="A42" s="176" t="s">
        <v>338</v>
      </c>
      <c r="B42" s="197" t="s">
        <v>320</v>
      </c>
      <c r="C42" s="205" t="s">
        <v>325</v>
      </c>
      <c r="D42" s="182" t="s">
        <v>322</v>
      </c>
      <c r="E42" s="198" t="s">
        <v>21</v>
      </c>
      <c r="F42" s="178"/>
      <c r="G42" s="181"/>
      <c r="H42" s="178"/>
      <c r="I42" s="178"/>
      <c r="J42" s="178"/>
      <c r="K42" s="178">
        <v>1600</v>
      </c>
      <c r="L42" s="178">
        <f t="shared" ref="L42:L44" si="14">K42</f>
        <v>1600</v>
      </c>
      <c r="M42" s="179" t="s">
        <v>37</v>
      </c>
    </row>
    <row r="43" spans="1:13" ht="13.5" customHeight="1" x14ac:dyDescent="0.3">
      <c r="A43" s="176" t="s">
        <v>338</v>
      </c>
      <c r="B43" s="196" t="s">
        <v>23</v>
      </c>
      <c r="C43" s="178">
        <v>65548</v>
      </c>
      <c r="D43" s="182" t="s">
        <v>24</v>
      </c>
      <c r="E43" s="180" t="s">
        <v>25</v>
      </c>
      <c r="F43" s="178"/>
      <c r="G43" s="181"/>
      <c r="H43" s="178"/>
      <c r="I43" s="178"/>
      <c r="J43" s="178"/>
      <c r="K43" s="178">
        <v>2000</v>
      </c>
      <c r="L43" s="178">
        <f t="shared" si="14"/>
        <v>2000</v>
      </c>
      <c r="M43" s="179" t="s">
        <v>179</v>
      </c>
    </row>
    <row r="44" spans="1:13" ht="13.5" customHeight="1" x14ac:dyDescent="0.3">
      <c r="A44" s="176" t="s">
        <v>338</v>
      </c>
      <c r="B44" s="196" t="s">
        <v>23</v>
      </c>
      <c r="C44" s="178">
        <v>65548</v>
      </c>
      <c r="D44" s="182" t="s">
        <v>24</v>
      </c>
      <c r="E44" s="204" t="s">
        <v>30</v>
      </c>
      <c r="F44" s="178"/>
      <c r="G44" s="181"/>
      <c r="H44" s="178"/>
      <c r="I44" s="178"/>
      <c r="J44" s="178"/>
      <c r="K44" s="178">
        <v>1500</v>
      </c>
      <c r="L44" s="178">
        <f t="shared" si="14"/>
        <v>1500</v>
      </c>
      <c r="M44" s="179" t="s">
        <v>180</v>
      </c>
    </row>
    <row r="45" spans="1:13" ht="13.5" customHeight="1" x14ac:dyDescent="0.3">
      <c r="A45" s="176" t="s">
        <v>338</v>
      </c>
      <c r="B45" s="177" t="s">
        <v>14</v>
      </c>
      <c r="C45" s="178" t="s">
        <v>51</v>
      </c>
      <c r="D45" s="177" t="s">
        <v>52</v>
      </c>
      <c r="E45" s="177" t="s">
        <v>17</v>
      </c>
      <c r="F45" s="178">
        <v>54</v>
      </c>
      <c r="G45" s="178">
        <v>0.20499999999999999</v>
      </c>
      <c r="H45" s="178">
        <f t="shared" ref="H45" si="15">F45*G45</f>
        <v>11.069999999999999</v>
      </c>
      <c r="I45" s="178">
        <v>26</v>
      </c>
      <c r="J45" s="178">
        <v>4</v>
      </c>
      <c r="K45" s="178">
        <f>F45*I45</f>
        <v>1404</v>
      </c>
      <c r="L45" s="178">
        <f t="shared" ref="L45" si="16">K45*J45</f>
        <v>5616</v>
      </c>
      <c r="M45" s="179" t="s">
        <v>18</v>
      </c>
    </row>
    <row r="46" spans="1:13" ht="13.5" customHeight="1" x14ac:dyDescent="0.3">
      <c r="A46" s="176" t="s">
        <v>339</v>
      </c>
      <c r="B46" s="196" t="s">
        <v>23</v>
      </c>
      <c r="C46" s="178">
        <v>65548</v>
      </c>
      <c r="D46" s="182" t="s">
        <v>24</v>
      </c>
      <c r="E46" s="180" t="s">
        <v>25</v>
      </c>
      <c r="F46" s="178"/>
      <c r="G46" s="181"/>
      <c r="H46" s="178"/>
      <c r="I46" s="178"/>
      <c r="J46" s="178"/>
      <c r="K46" s="178">
        <v>6000</v>
      </c>
      <c r="L46" s="178">
        <f t="shared" ref="L46:L47" si="17">K46</f>
        <v>6000</v>
      </c>
      <c r="M46" s="179" t="s">
        <v>179</v>
      </c>
    </row>
    <row r="47" spans="1:13" ht="13.5" customHeight="1" x14ac:dyDescent="0.3">
      <c r="A47" s="176" t="s">
        <v>339</v>
      </c>
      <c r="B47" s="196" t="s">
        <v>23</v>
      </c>
      <c r="C47" s="178">
        <v>65548</v>
      </c>
      <c r="D47" s="182" t="s">
        <v>24</v>
      </c>
      <c r="E47" s="204" t="s">
        <v>30</v>
      </c>
      <c r="F47" s="178"/>
      <c r="G47" s="181"/>
      <c r="H47" s="178"/>
      <c r="I47" s="178"/>
      <c r="J47" s="178"/>
      <c r="K47" s="178">
        <v>5500</v>
      </c>
      <c r="L47" s="178">
        <f t="shared" si="17"/>
        <v>5500</v>
      </c>
      <c r="M47" s="179" t="s">
        <v>180</v>
      </c>
    </row>
    <row r="48" spans="1:13" ht="13.5" customHeight="1" x14ac:dyDescent="0.3">
      <c r="A48" s="176" t="s">
        <v>339</v>
      </c>
      <c r="B48" s="177" t="s">
        <v>14</v>
      </c>
      <c r="C48" s="178" t="s">
        <v>51</v>
      </c>
      <c r="D48" s="177" t="s">
        <v>52</v>
      </c>
      <c r="E48" s="177" t="s">
        <v>17</v>
      </c>
      <c r="F48" s="178">
        <v>199</v>
      </c>
      <c r="G48" s="178">
        <v>0.20499999999999999</v>
      </c>
      <c r="H48" s="178">
        <f t="shared" ref="H48" si="18">F48*G48</f>
        <v>40.794999999999995</v>
      </c>
      <c r="I48" s="178">
        <v>26</v>
      </c>
      <c r="J48" s="178">
        <v>4</v>
      </c>
      <c r="K48" s="178">
        <f>F48*I48</f>
        <v>5174</v>
      </c>
      <c r="L48" s="178">
        <f t="shared" ref="L48" si="19">K48*J48</f>
        <v>20696</v>
      </c>
      <c r="M48" s="179" t="s">
        <v>18</v>
      </c>
    </row>
    <row r="49" spans="1:13" ht="13.5" customHeight="1" x14ac:dyDescent="0.3">
      <c r="A49" s="176" t="s">
        <v>339</v>
      </c>
      <c r="B49" s="177" t="s">
        <v>14</v>
      </c>
      <c r="C49" s="178">
        <v>2576</v>
      </c>
      <c r="D49" s="177" t="s">
        <v>84</v>
      </c>
      <c r="E49" s="177" t="s">
        <v>17</v>
      </c>
      <c r="F49" s="178">
        <v>517</v>
      </c>
      <c r="G49" s="178">
        <v>0.1</v>
      </c>
      <c r="H49" s="178">
        <v>18.100000000000001</v>
      </c>
      <c r="I49" s="178">
        <v>17</v>
      </c>
      <c r="J49" s="178">
        <v>1</v>
      </c>
      <c r="K49" s="178">
        <f>F49*I49</f>
        <v>8789</v>
      </c>
      <c r="L49" s="178">
        <f>K49*J49</f>
        <v>8789</v>
      </c>
      <c r="M49" s="179" t="s">
        <v>22</v>
      </c>
    </row>
    <row r="50" spans="1:13" ht="13.5" customHeight="1" x14ac:dyDescent="0.3">
      <c r="A50" s="176" t="s">
        <v>339</v>
      </c>
      <c r="B50" s="177" t="s">
        <v>14</v>
      </c>
      <c r="C50" s="178">
        <v>7479</v>
      </c>
      <c r="D50" s="177" t="s">
        <v>20</v>
      </c>
      <c r="E50" s="177" t="s">
        <v>25</v>
      </c>
      <c r="F50" s="178"/>
      <c r="G50" s="178"/>
      <c r="H50" s="178"/>
      <c r="I50" s="178"/>
      <c r="J50" s="178">
        <v>1</v>
      </c>
      <c r="K50" s="178">
        <v>4000</v>
      </c>
      <c r="L50" s="178">
        <f t="shared" ref="L50:L53" si="20">K50</f>
        <v>4000</v>
      </c>
      <c r="M50" s="179" t="s">
        <v>181</v>
      </c>
    </row>
    <row r="51" spans="1:13" ht="13.5" customHeight="1" x14ac:dyDescent="0.3">
      <c r="A51" s="176" t="s">
        <v>339</v>
      </c>
      <c r="B51" s="197" t="s">
        <v>320</v>
      </c>
      <c r="C51" s="205" t="s">
        <v>325</v>
      </c>
      <c r="D51" s="182" t="s">
        <v>322</v>
      </c>
      <c r="E51" s="198" t="s">
        <v>21</v>
      </c>
      <c r="F51" s="178"/>
      <c r="G51" s="181"/>
      <c r="H51" s="178"/>
      <c r="I51" s="178"/>
      <c r="J51" s="178"/>
      <c r="K51" s="178">
        <v>8000</v>
      </c>
      <c r="L51" s="178">
        <f t="shared" si="20"/>
        <v>8000</v>
      </c>
      <c r="M51" s="179" t="s">
        <v>37</v>
      </c>
    </row>
    <row r="52" spans="1:13" ht="13.5" customHeight="1" x14ac:dyDescent="0.3">
      <c r="A52" s="176" t="s">
        <v>340</v>
      </c>
      <c r="B52" s="196" t="s">
        <v>23</v>
      </c>
      <c r="C52" s="178">
        <v>65548</v>
      </c>
      <c r="D52" s="182" t="s">
        <v>24</v>
      </c>
      <c r="E52" s="180" t="s">
        <v>25</v>
      </c>
      <c r="F52" s="178"/>
      <c r="G52" s="181"/>
      <c r="H52" s="178"/>
      <c r="I52" s="178"/>
      <c r="J52" s="178"/>
      <c r="K52" s="178">
        <v>6455</v>
      </c>
      <c r="L52" s="178">
        <f t="shared" si="20"/>
        <v>6455</v>
      </c>
      <c r="M52" s="179" t="s">
        <v>179</v>
      </c>
    </row>
    <row r="53" spans="1:13" ht="13.5" customHeight="1" x14ac:dyDescent="0.3">
      <c r="A53" s="176" t="s">
        <v>340</v>
      </c>
      <c r="B53" s="196" t="s">
        <v>23</v>
      </c>
      <c r="C53" s="178">
        <v>65548</v>
      </c>
      <c r="D53" s="182" t="s">
        <v>24</v>
      </c>
      <c r="E53" s="204" t="s">
        <v>30</v>
      </c>
      <c r="F53" s="178"/>
      <c r="G53" s="181"/>
      <c r="H53" s="178"/>
      <c r="I53" s="178"/>
      <c r="J53" s="178"/>
      <c r="K53" s="178">
        <v>5860</v>
      </c>
      <c r="L53" s="178">
        <f t="shared" si="20"/>
        <v>5860</v>
      </c>
      <c r="M53" s="179" t="s">
        <v>180</v>
      </c>
    </row>
    <row r="54" spans="1:13" ht="13.5" customHeight="1" x14ac:dyDescent="0.3">
      <c r="A54" s="176" t="s">
        <v>340</v>
      </c>
      <c r="B54" s="177" t="s">
        <v>14</v>
      </c>
      <c r="C54" s="178">
        <v>6380</v>
      </c>
      <c r="D54" s="177" t="s">
        <v>16</v>
      </c>
      <c r="E54" s="177" t="s">
        <v>17</v>
      </c>
      <c r="F54" s="178">
        <v>125</v>
      </c>
      <c r="G54" s="178">
        <v>0.42499999999999999</v>
      </c>
      <c r="H54" s="178">
        <f t="shared" ref="H54" si="21">F54*G54</f>
        <v>53.125</v>
      </c>
      <c r="I54" s="178">
        <v>56</v>
      </c>
      <c r="J54" s="178">
        <v>4</v>
      </c>
      <c r="K54" s="178">
        <f t="shared" ref="K54:K56" si="22">F54*I54</f>
        <v>7000</v>
      </c>
      <c r="L54" s="178">
        <f t="shared" ref="L54:L56" si="23">K54*J54</f>
        <v>28000</v>
      </c>
      <c r="M54" s="179" t="s">
        <v>18</v>
      </c>
    </row>
    <row r="55" spans="1:13" ht="13.5" customHeight="1" x14ac:dyDescent="0.3">
      <c r="A55" s="176" t="s">
        <v>340</v>
      </c>
      <c r="B55" s="152" t="s">
        <v>14</v>
      </c>
      <c r="C55" s="151" t="s">
        <v>86</v>
      </c>
      <c r="D55" s="152" t="s">
        <v>84</v>
      </c>
      <c r="E55" s="152" t="s">
        <v>17</v>
      </c>
      <c r="F55" s="151">
        <v>165</v>
      </c>
      <c r="G55" s="151">
        <v>0.46</v>
      </c>
      <c r="H55" s="151">
        <v>36.340000000000003</v>
      </c>
      <c r="I55" s="151">
        <v>38</v>
      </c>
      <c r="J55" s="151">
        <v>1</v>
      </c>
      <c r="K55" s="151">
        <f t="shared" si="22"/>
        <v>6270</v>
      </c>
      <c r="L55" s="151">
        <f t="shared" si="23"/>
        <v>6270</v>
      </c>
      <c r="M55" s="155" t="s">
        <v>22</v>
      </c>
    </row>
    <row r="56" spans="1:13" ht="13.5" customHeight="1" x14ac:dyDescent="0.3">
      <c r="A56" s="176" t="s">
        <v>340</v>
      </c>
      <c r="B56" s="177" t="s">
        <v>14</v>
      </c>
      <c r="C56" s="178" t="s">
        <v>83</v>
      </c>
      <c r="D56" s="177" t="s">
        <v>84</v>
      </c>
      <c r="E56" s="177" t="s">
        <v>17</v>
      </c>
      <c r="F56" s="178">
        <v>18</v>
      </c>
      <c r="G56" s="178">
        <v>0.44</v>
      </c>
      <c r="H56" s="178">
        <v>22</v>
      </c>
      <c r="I56" s="178">
        <v>50</v>
      </c>
      <c r="J56" s="178">
        <v>1</v>
      </c>
      <c r="K56" s="178">
        <f t="shared" si="22"/>
        <v>900</v>
      </c>
      <c r="L56" s="178">
        <f t="shared" si="23"/>
        <v>900</v>
      </c>
      <c r="M56" s="179" t="s">
        <v>22</v>
      </c>
    </row>
    <row r="57" spans="1:13" ht="13.5" customHeight="1" x14ac:dyDescent="0.3">
      <c r="A57" s="176" t="s">
        <v>340</v>
      </c>
      <c r="B57" s="177" t="s">
        <v>14</v>
      </c>
      <c r="C57" s="178">
        <v>7479</v>
      </c>
      <c r="D57" s="177" t="s">
        <v>20</v>
      </c>
      <c r="E57" s="177" t="s">
        <v>25</v>
      </c>
      <c r="F57" s="178"/>
      <c r="G57" s="178"/>
      <c r="H57" s="178"/>
      <c r="I57" s="178"/>
      <c r="J57" s="178">
        <v>1</v>
      </c>
      <c r="K57" s="178">
        <v>5000</v>
      </c>
      <c r="L57" s="178">
        <f t="shared" ref="L57:L59" si="24">K57</f>
        <v>5000</v>
      </c>
      <c r="M57" s="179" t="s">
        <v>181</v>
      </c>
    </row>
    <row r="58" spans="1:13" ht="13.5" customHeight="1" x14ac:dyDescent="0.3">
      <c r="A58" s="176" t="s">
        <v>340</v>
      </c>
      <c r="B58" s="197" t="s">
        <v>320</v>
      </c>
      <c r="C58" s="205" t="s">
        <v>325</v>
      </c>
      <c r="D58" s="182" t="s">
        <v>322</v>
      </c>
      <c r="E58" s="198" t="s">
        <v>21</v>
      </c>
      <c r="F58" s="178"/>
      <c r="G58" s="181"/>
      <c r="H58" s="178"/>
      <c r="I58" s="178"/>
      <c r="J58" s="178"/>
      <c r="K58" s="178">
        <v>2700</v>
      </c>
      <c r="L58" s="178">
        <f t="shared" si="24"/>
        <v>2700</v>
      </c>
      <c r="M58" s="179" t="s">
        <v>37</v>
      </c>
    </row>
    <row r="59" spans="1:13" ht="13.5" customHeight="1" x14ac:dyDescent="0.3">
      <c r="A59" s="176" t="s">
        <v>340</v>
      </c>
      <c r="B59" s="197" t="s">
        <v>320</v>
      </c>
      <c r="C59" s="204" t="s">
        <v>321</v>
      </c>
      <c r="D59" s="182" t="s">
        <v>322</v>
      </c>
      <c r="E59" s="201" t="s">
        <v>39</v>
      </c>
      <c r="F59" s="178"/>
      <c r="G59" s="181"/>
      <c r="H59" s="178"/>
      <c r="I59" s="178"/>
      <c r="J59" s="178"/>
      <c r="K59" s="178">
        <v>1400</v>
      </c>
      <c r="L59" s="178">
        <f t="shared" si="24"/>
        <v>1400</v>
      </c>
      <c r="M59" s="179" t="s">
        <v>333</v>
      </c>
    </row>
    <row r="60" spans="1:13" ht="13.5" customHeight="1" x14ac:dyDescent="0.3">
      <c r="A60" s="176" t="s">
        <v>341</v>
      </c>
      <c r="B60" s="152" t="s">
        <v>14</v>
      </c>
      <c r="C60" s="151">
        <v>12028</v>
      </c>
      <c r="D60" s="152" t="s">
        <v>16</v>
      </c>
      <c r="E60" s="152" t="s">
        <v>17</v>
      </c>
      <c r="F60" s="151">
        <v>130</v>
      </c>
      <c r="G60" s="151">
        <v>0.67500000000000004</v>
      </c>
      <c r="H60" s="151">
        <f>G60*F60</f>
        <v>87.75</v>
      </c>
      <c r="I60" s="151">
        <v>42</v>
      </c>
      <c r="J60" s="151">
        <v>4</v>
      </c>
      <c r="K60" s="151">
        <f t="shared" ref="K60" si="25">F60*I60</f>
        <v>5460</v>
      </c>
      <c r="L60" s="151">
        <f>K60*J60</f>
        <v>21840</v>
      </c>
      <c r="M60" s="155" t="s">
        <v>18</v>
      </c>
    </row>
    <row r="61" spans="1:13" ht="13.5" customHeight="1" x14ac:dyDescent="0.3">
      <c r="A61" s="176" t="s">
        <v>341</v>
      </c>
      <c r="B61" s="197" t="s">
        <v>320</v>
      </c>
      <c r="C61" s="204" t="s">
        <v>321</v>
      </c>
      <c r="D61" s="182" t="s">
        <v>322</v>
      </c>
      <c r="E61" s="198" t="s">
        <v>21</v>
      </c>
      <c r="F61" s="178"/>
      <c r="G61" s="181"/>
      <c r="H61" s="178"/>
      <c r="I61" s="178"/>
      <c r="J61" s="178"/>
      <c r="K61" s="178">
        <v>3822</v>
      </c>
      <c r="L61" s="178">
        <f t="shared" ref="L61:L65" si="26">K61</f>
        <v>3822</v>
      </c>
      <c r="M61" s="179" t="s">
        <v>332</v>
      </c>
    </row>
    <row r="62" spans="1:13" ht="13.5" customHeight="1" x14ac:dyDescent="0.3">
      <c r="A62" s="176" t="s">
        <v>341</v>
      </c>
      <c r="B62" s="197" t="s">
        <v>320</v>
      </c>
      <c r="C62" s="204" t="s">
        <v>321</v>
      </c>
      <c r="D62" s="182" t="s">
        <v>322</v>
      </c>
      <c r="E62" s="200" t="s">
        <v>35</v>
      </c>
      <c r="F62" s="178"/>
      <c r="G62" s="181"/>
      <c r="H62" s="178"/>
      <c r="I62" s="178"/>
      <c r="J62" s="178"/>
      <c r="K62" s="178">
        <v>1420</v>
      </c>
      <c r="L62" s="178">
        <f t="shared" si="26"/>
        <v>1420</v>
      </c>
      <c r="M62" s="179" t="s">
        <v>26</v>
      </c>
    </row>
    <row r="63" spans="1:13" ht="13.5" customHeight="1" x14ac:dyDescent="0.3">
      <c r="A63" s="176" t="s">
        <v>341</v>
      </c>
      <c r="B63" s="197" t="s">
        <v>320</v>
      </c>
      <c r="C63" s="204" t="s">
        <v>321</v>
      </c>
      <c r="D63" s="182" t="s">
        <v>322</v>
      </c>
      <c r="E63" s="201" t="s">
        <v>39</v>
      </c>
      <c r="F63" s="178"/>
      <c r="G63" s="181"/>
      <c r="H63" s="178"/>
      <c r="I63" s="178"/>
      <c r="J63" s="178"/>
      <c r="K63" s="178">
        <v>3577</v>
      </c>
      <c r="L63" s="178">
        <f t="shared" si="26"/>
        <v>3577</v>
      </c>
      <c r="M63" s="179" t="s">
        <v>333</v>
      </c>
    </row>
    <row r="64" spans="1:13" ht="13.5" customHeight="1" x14ac:dyDescent="0.3">
      <c r="A64" s="176" t="s">
        <v>341</v>
      </c>
      <c r="B64" s="196" t="s">
        <v>23</v>
      </c>
      <c r="C64" s="178">
        <v>65548</v>
      </c>
      <c r="D64" s="182" t="s">
        <v>24</v>
      </c>
      <c r="E64" s="180" t="s">
        <v>25</v>
      </c>
      <c r="F64" s="178"/>
      <c r="G64" s="181"/>
      <c r="H64" s="178"/>
      <c r="I64" s="178"/>
      <c r="J64" s="178"/>
      <c r="K64" s="178">
        <v>7700</v>
      </c>
      <c r="L64" s="178">
        <f t="shared" si="26"/>
        <v>7700</v>
      </c>
      <c r="M64" s="179" t="s">
        <v>179</v>
      </c>
    </row>
    <row r="65" spans="1:13" ht="13.5" customHeight="1" x14ac:dyDescent="0.3">
      <c r="A65" s="176" t="s">
        <v>341</v>
      </c>
      <c r="B65" s="196" t="s">
        <v>23</v>
      </c>
      <c r="C65" s="178">
        <v>65548</v>
      </c>
      <c r="D65" s="182" t="s">
        <v>24</v>
      </c>
      <c r="E65" s="204" t="s">
        <v>30</v>
      </c>
      <c r="F65" s="178"/>
      <c r="G65" s="181"/>
      <c r="H65" s="178"/>
      <c r="I65" s="178"/>
      <c r="J65" s="178"/>
      <c r="K65" s="178">
        <v>6350</v>
      </c>
      <c r="L65" s="178">
        <f t="shared" si="26"/>
        <v>6350</v>
      </c>
      <c r="M65" s="179" t="s">
        <v>180</v>
      </c>
    </row>
    <row r="66" spans="1:13" ht="13.5" customHeight="1" x14ac:dyDescent="0.3">
      <c r="A66" s="176" t="s">
        <v>341</v>
      </c>
      <c r="B66" s="177" t="s">
        <v>14</v>
      </c>
      <c r="C66" s="178">
        <v>6380</v>
      </c>
      <c r="D66" s="177" t="s">
        <v>16</v>
      </c>
      <c r="E66" s="177" t="s">
        <v>17</v>
      </c>
      <c r="F66" s="178">
        <v>15</v>
      </c>
      <c r="G66" s="178">
        <v>0.42499999999999999</v>
      </c>
      <c r="H66" s="178">
        <f t="shared" ref="H66" si="27">F66*G66</f>
        <v>6.375</v>
      </c>
      <c r="I66" s="178">
        <v>56</v>
      </c>
      <c r="J66" s="178">
        <v>4</v>
      </c>
      <c r="K66" s="178">
        <f t="shared" ref="K66:K67" si="28">F66*I66</f>
        <v>840</v>
      </c>
      <c r="L66" s="178">
        <f t="shared" ref="L66:L67" si="29">K66*J66</f>
        <v>3360</v>
      </c>
      <c r="M66" s="179" t="s">
        <v>18</v>
      </c>
    </row>
    <row r="67" spans="1:13" ht="13.5" customHeight="1" x14ac:dyDescent="0.3">
      <c r="A67" s="176" t="s">
        <v>341</v>
      </c>
      <c r="B67" s="177" t="s">
        <v>14</v>
      </c>
      <c r="C67" s="178" t="s">
        <v>83</v>
      </c>
      <c r="D67" s="177" t="s">
        <v>84</v>
      </c>
      <c r="E67" s="177" t="s">
        <v>17</v>
      </c>
      <c r="F67" s="178">
        <v>12</v>
      </c>
      <c r="G67" s="178">
        <v>0.44</v>
      </c>
      <c r="H67" s="178">
        <v>22</v>
      </c>
      <c r="I67" s="178">
        <v>50</v>
      </c>
      <c r="J67" s="178">
        <v>1</v>
      </c>
      <c r="K67" s="178">
        <f t="shared" si="28"/>
        <v>600</v>
      </c>
      <c r="L67" s="178">
        <f t="shared" si="29"/>
        <v>600</v>
      </c>
      <c r="M67" s="179" t="s">
        <v>22</v>
      </c>
    </row>
    <row r="68" spans="1:13" ht="13.5" customHeight="1" x14ac:dyDescent="0.3">
      <c r="A68" s="176" t="s">
        <v>331</v>
      </c>
      <c r="B68" s="196" t="s">
        <v>23</v>
      </c>
      <c r="C68" s="178">
        <v>66772</v>
      </c>
      <c r="D68" s="177" t="s">
        <v>34</v>
      </c>
      <c r="E68" s="201" t="s">
        <v>35</v>
      </c>
      <c r="F68" s="178"/>
      <c r="G68" s="181" t="s">
        <v>77</v>
      </c>
      <c r="H68" s="178"/>
      <c r="I68" s="178"/>
      <c r="J68" s="178"/>
      <c r="K68" s="178">
        <v>2200</v>
      </c>
      <c r="L68" s="178">
        <f t="shared" ref="L68:L69" si="30">K68</f>
        <v>2200</v>
      </c>
      <c r="M68" s="179" t="s">
        <v>179</v>
      </c>
    </row>
    <row r="69" spans="1:13" ht="13.5" customHeight="1" x14ac:dyDescent="0.3">
      <c r="A69" s="176" t="s">
        <v>331</v>
      </c>
      <c r="B69" s="196" t="s">
        <v>23</v>
      </c>
      <c r="C69" s="178">
        <v>66772</v>
      </c>
      <c r="D69" s="177" t="s">
        <v>34</v>
      </c>
      <c r="E69" s="177" t="s">
        <v>39</v>
      </c>
      <c r="F69" s="178"/>
      <c r="G69" s="181" t="s">
        <v>36</v>
      </c>
      <c r="H69" s="178"/>
      <c r="I69" s="178"/>
      <c r="J69" s="178"/>
      <c r="K69" s="178">
        <v>2000</v>
      </c>
      <c r="L69" s="178">
        <f t="shared" si="30"/>
        <v>2000</v>
      </c>
      <c r="M69" s="179" t="s">
        <v>277</v>
      </c>
    </row>
    <row r="70" spans="1:13" ht="13.5" customHeight="1" x14ac:dyDescent="0.3">
      <c r="A70" s="176" t="s">
        <v>331</v>
      </c>
      <c r="B70" s="196" t="s">
        <v>23</v>
      </c>
      <c r="C70" s="178">
        <v>66772</v>
      </c>
      <c r="D70" s="177" t="s">
        <v>34</v>
      </c>
      <c r="E70" s="204" t="s">
        <v>30</v>
      </c>
      <c r="F70" s="178"/>
      <c r="G70" s="181" t="s">
        <v>78</v>
      </c>
      <c r="H70" s="178"/>
      <c r="I70" s="178"/>
      <c r="J70" s="178"/>
      <c r="K70" s="178">
        <v>2000</v>
      </c>
      <c r="L70" s="178">
        <f>K70</f>
        <v>2000</v>
      </c>
      <c r="M70" s="179" t="s">
        <v>180</v>
      </c>
    </row>
    <row r="71" spans="1:13" ht="13.5" customHeight="1" x14ac:dyDescent="0.3">
      <c r="A71" s="176" t="s">
        <v>331</v>
      </c>
      <c r="B71" s="177" t="s">
        <v>14</v>
      </c>
      <c r="C71" s="178" t="s">
        <v>83</v>
      </c>
      <c r="D71" s="177" t="s">
        <v>84</v>
      </c>
      <c r="E71" s="177" t="s">
        <v>17</v>
      </c>
      <c r="F71" s="178">
        <v>134</v>
      </c>
      <c r="G71" s="178">
        <v>0.44</v>
      </c>
      <c r="H71" s="178">
        <v>22</v>
      </c>
      <c r="I71" s="178">
        <v>50</v>
      </c>
      <c r="J71" s="178">
        <v>1</v>
      </c>
      <c r="K71" s="178">
        <f t="shared" ref="K71" si="31">F71*I71</f>
        <v>6700</v>
      </c>
      <c r="L71" s="178">
        <f t="shared" ref="L71" si="32">K71*J71</f>
        <v>6700</v>
      </c>
      <c r="M71" s="179" t="s">
        <v>22</v>
      </c>
    </row>
    <row r="72" spans="1:13" ht="13.5" customHeight="1" x14ac:dyDescent="0.3">
      <c r="A72" s="176" t="s">
        <v>331</v>
      </c>
      <c r="B72" s="177" t="s">
        <v>14</v>
      </c>
      <c r="C72" s="178">
        <v>7479</v>
      </c>
      <c r="D72" s="177" t="s">
        <v>20</v>
      </c>
      <c r="E72" s="177" t="s">
        <v>25</v>
      </c>
      <c r="F72" s="178"/>
      <c r="G72" s="178"/>
      <c r="H72" s="178"/>
      <c r="I72" s="178"/>
      <c r="J72" s="178">
        <v>1</v>
      </c>
      <c r="K72" s="178">
        <v>5000</v>
      </c>
      <c r="L72" s="178">
        <f t="shared" ref="L72:L77" si="33">K72</f>
        <v>5000</v>
      </c>
      <c r="M72" s="179" t="s">
        <v>181</v>
      </c>
    </row>
    <row r="73" spans="1:13" ht="13.5" customHeight="1" x14ac:dyDescent="0.3">
      <c r="A73" s="176" t="s">
        <v>331</v>
      </c>
      <c r="B73" s="196" t="s">
        <v>23</v>
      </c>
      <c r="C73" s="178">
        <v>65548</v>
      </c>
      <c r="D73" s="182" t="s">
        <v>24</v>
      </c>
      <c r="E73" s="180" t="s">
        <v>25</v>
      </c>
      <c r="F73" s="178"/>
      <c r="G73" s="181"/>
      <c r="H73" s="178"/>
      <c r="I73" s="178"/>
      <c r="J73" s="178"/>
      <c r="K73" s="178">
        <v>1100</v>
      </c>
      <c r="L73" s="178">
        <f t="shared" si="33"/>
        <v>1100</v>
      </c>
      <c r="M73" s="179" t="s">
        <v>179</v>
      </c>
    </row>
    <row r="74" spans="1:13" ht="13.5" customHeight="1" x14ac:dyDescent="0.3">
      <c r="A74" s="176" t="s">
        <v>331</v>
      </c>
      <c r="B74" s="196" t="s">
        <v>23</v>
      </c>
      <c r="C74" s="178">
        <v>65548</v>
      </c>
      <c r="D74" s="182" t="s">
        <v>24</v>
      </c>
      <c r="E74" s="204" t="s">
        <v>30</v>
      </c>
      <c r="F74" s="178"/>
      <c r="G74" s="181"/>
      <c r="H74" s="178"/>
      <c r="I74" s="178"/>
      <c r="J74" s="178"/>
      <c r="K74" s="178">
        <v>2300</v>
      </c>
      <c r="L74" s="178">
        <f t="shared" si="33"/>
        <v>2300</v>
      </c>
      <c r="M74" s="179" t="s">
        <v>180</v>
      </c>
    </row>
    <row r="75" spans="1:13" ht="13.5" customHeight="1" x14ac:dyDescent="0.3">
      <c r="A75" s="176" t="s">
        <v>331</v>
      </c>
      <c r="B75" s="197" t="s">
        <v>320</v>
      </c>
      <c r="C75" s="204" t="s">
        <v>321</v>
      </c>
      <c r="D75" s="182" t="s">
        <v>322</v>
      </c>
      <c r="E75" s="198" t="s">
        <v>21</v>
      </c>
      <c r="F75" s="178"/>
      <c r="G75" s="181"/>
      <c r="H75" s="178"/>
      <c r="I75" s="178"/>
      <c r="J75" s="178"/>
      <c r="K75" s="178">
        <v>966</v>
      </c>
      <c r="L75" s="178">
        <f t="shared" si="33"/>
        <v>966</v>
      </c>
      <c r="M75" s="179" t="s">
        <v>332</v>
      </c>
    </row>
    <row r="76" spans="1:13" ht="13.5" customHeight="1" x14ac:dyDescent="0.3">
      <c r="A76" s="176" t="s">
        <v>331</v>
      </c>
      <c r="B76" s="197" t="s">
        <v>320</v>
      </c>
      <c r="C76" s="204" t="s">
        <v>321</v>
      </c>
      <c r="D76" s="182" t="s">
        <v>322</v>
      </c>
      <c r="E76" s="200" t="s">
        <v>35</v>
      </c>
      <c r="F76" s="178"/>
      <c r="G76" s="181"/>
      <c r="H76" s="178"/>
      <c r="I76" s="178"/>
      <c r="J76" s="178"/>
      <c r="K76" s="178">
        <v>3368</v>
      </c>
      <c r="L76" s="178">
        <f t="shared" si="33"/>
        <v>3368</v>
      </c>
      <c r="M76" s="179" t="s">
        <v>26</v>
      </c>
    </row>
    <row r="77" spans="1:13" ht="13.5" customHeight="1" x14ac:dyDescent="0.3">
      <c r="A77" s="176" t="s">
        <v>331</v>
      </c>
      <c r="B77" s="197" t="s">
        <v>320</v>
      </c>
      <c r="C77" s="204" t="s">
        <v>321</v>
      </c>
      <c r="D77" s="182" t="s">
        <v>322</v>
      </c>
      <c r="E77" s="201" t="s">
        <v>39</v>
      </c>
      <c r="F77" s="178"/>
      <c r="G77" s="181"/>
      <c r="H77" s="178"/>
      <c r="I77" s="178"/>
      <c r="J77" s="178"/>
      <c r="K77" s="178">
        <v>3000</v>
      </c>
      <c r="L77" s="178">
        <f t="shared" si="33"/>
        <v>3000</v>
      </c>
      <c r="M77" s="179" t="s">
        <v>333</v>
      </c>
    </row>
    <row r="78" spans="1:13" ht="13.5" customHeight="1" x14ac:dyDescent="0.3">
      <c r="A78" s="176" t="s">
        <v>331</v>
      </c>
      <c r="B78" s="197" t="s">
        <v>320</v>
      </c>
      <c r="C78" s="205" t="s">
        <v>325</v>
      </c>
      <c r="D78" s="182" t="s">
        <v>322</v>
      </c>
      <c r="E78" s="198" t="s">
        <v>21</v>
      </c>
      <c r="F78" s="178"/>
      <c r="G78" s="181"/>
      <c r="H78" s="178"/>
      <c r="I78" s="178"/>
      <c r="J78" s="178"/>
      <c r="K78" s="178">
        <v>4000</v>
      </c>
      <c r="L78" s="178">
        <f t="shared" ref="L78" si="34">K78</f>
        <v>4000</v>
      </c>
      <c r="M78" s="179" t="s">
        <v>37</v>
      </c>
    </row>
    <row r="79" spans="1:13" ht="13.5" customHeight="1" x14ac:dyDescent="0.3">
      <c r="A79" s="176" t="s">
        <v>330</v>
      </c>
      <c r="B79" s="196" t="s">
        <v>23</v>
      </c>
      <c r="C79" s="178">
        <v>66772</v>
      </c>
      <c r="D79" s="177" t="s">
        <v>34</v>
      </c>
      <c r="E79" s="201" t="s">
        <v>35</v>
      </c>
      <c r="F79" s="178"/>
      <c r="G79" s="181" t="s">
        <v>77</v>
      </c>
      <c r="H79" s="178"/>
      <c r="I79" s="178"/>
      <c r="J79" s="178"/>
      <c r="K79" s="178">
        <f>9750-2200</f>
        <v>7550</v>
      </c>
      <c r="L79" s="178">
        <f t="shared" ref="L79:L80" si="35">K79</f>
        <v>7550</v>
      </c>
      <c r="M79" s="179" t="s">
        <v>179</v>
      </c>
    </row>
    <row r="80" spans="1:13" ht="13.5" customHeight="1" x14ac:dyDescent="0.3">
      <c r="A80" s="176" t="s">
        <v>330</v>
      </c>
      <c r="B80" s="196" t="s">
        <v>23</v>
      </c>
      <c r="C80" s="178">
        <v>66772</v>
      </c>
      <c r="D80" s="177" t="s">
        <v>34</v>
      </c>
      <c r="E80" s="203" t="s">
        <v>39</v>
      </c>
      <c r="F80" s="178"/>
      <c r="G80" s="181" t="s">
        <v>36</v>
      </c>
      <c r="H80" s="178"/>
      <c r="I80" s="178"/>
      <c r="J80" s="178"/>
      <c r="K80" s="178">
        <v>7000</v>
      </c>
      <c r="L80" s="178">
        <f t="shared" si="35"/>
        <v>7000</v>
      </c>
      <c r="M80" s="179" t="s">
        <v>277</v>
      </c>
    </row>
    <row r="81" spans="1:13" ht="13.5" customHeight="1" x14ac:dyDescent="0.3">
      <c r="A81" s="176" t="s">
        <v>330</v>
      </c>
      <c r="B81" s="196" t="s">
        <v>23</v>
      </c>
      <c r="C81" s="178">
        <v>66772</v>
      </c>
      <c r="D81" s="177" t="s">
        <v>34</v>
      </c>
      <c r="E81" s="204" t="s">
        <v>30</v>
      </c>
      <c r="F81" s="178"/>
      <c r="G81" s="181" t="s">
        <v>78</v>
      </c>
      <c r="H81" s="178"/>
      <c r="I81" s="178"/>
      <c r="J81" s="178"/>
      <c r="K81" s="178">
        <v>6500</v>
      </c>
      <c r="L81" s="178">
        <f>K81</f>
        <v>6500</v>
      </c>
      <c r="M81" s="179" t="s">
        <v>180</v>
      </c>
    </row>
    <row r="82" spans="1:13" ht="13.5" customHeight="1" x14ac:dyDescent="0.3">
      <c r="A82" s="176" t="s">
        <v>330</v>
      </c>
      <c r="B82" s="177" t="s">
        <v>14</v>
      </c>
      <c r="C82" s="178">
        <v>7479</v>
      </c>
      <c r="D82" s="177" t="s">
        <v>20</v>
      </c>
      <c r="E82" s="177" t="s">
        <v>25</v>
      </c>
      <c r="F82" s="178"/>
      <c r="G82" s="178"/>
      <c r="H82" s="178"/>
      <c r="I82" s="178"/>
      <c r="J82" s="178">
        <v>1</v>
      </c>
      <c r="K82" s="178">
        <v>5075</v>
      </c>
      <c r="L82" s="178">
        <f t="shared" ref="L82:L87" si="36">K82</f>
        <v>5075</v>
      </c>
      <c r="M82" s="179" t="s">
        <v>181</v>
      </c>
    </row>
    <row r="83" spans="1:13" ht="13.5" customHeight="1" x14ac:dyDescent="0.3">
      <c r="A83" s="176" t="s">
        <v>330</v>
      </c>
      <c r="B83" s="197" t="s">
        <v>320</v>
      </c>
      <c r="C83" s="205" t="s">
        <v>325</v>
      </c>
      <c r="D83" s="182" t="s">
        <v>322</v>
      </c>
      <c r="E83" s="198" t="s">
        <v>21</v>
      </c>
      <c r="F83" s="178"/>
      <c r="G83" s="181"/>
      <c r="H83" s="178"/>
      <c r="I83" s="178"/>
      <c r="J83" s="178"/>
      <c r="K83" s="178">
        <v>3000</v>
      </c>
      <c r="L83" s="178">
        <f t="shared" si="36"/>
        <v>3000</v>
      </c>
      <c r="M83" s="179" t="s">
        <v>37</v>
      </c>
    </row>
    <row r="84" spans="1:13" ht="13.5" customHeight="1" x14ac:dyDescent="0.3">
      <c r="A84" s="176" t="s">
        <v>330</v>
      </c>
      <c r="B84" s="197" t="s">
        <v>320</v>
      </c>
      <c r="C84" s="205" t="s">
        <v>325</v>
      </c>
      <c r="D84" s="182" t="s">
        <v>322</v>
      </c>
      <c r="E84" s="200" t="s">
        <v>35</v>
      </c>
      <c r="F84" s="178"/>
      <c r="G84" s="181"/>
      <c r="H84" s="178"/>
      <c r="I84" s="178"/>
      <c r="J84" s="178"/>
      <c r="K84" s="178">
        <v>3000</v>
      </c>
      <c r="L84" s="178">
        <f t="shared" si="36"/>
        <v>3000</v>
      </c>
      <c r="M84" s="179" t="s">
        <v>22</v>
      </c>
    </row>
    <row r="85" spans="1:13" ht="13.5" customHeight="1" x14ac:dyDescent="0.3">
      <c r="A85" s="176" t="s">
        <v>330</v>
      </c>
      <c r="B85" s="204" t="s">
        <v>44</v>
      </c>
      <c r="C85" s="177" t="s">
        <v>45</v>
      </c>
      <c r="D85" s="177" t="s">
        <v>46</v>
      </c>
      <c r="E85" s="177" t="s">
        <v>47</v>
      </c>
      <c r="F85" s="177"/>
      <c r="G85" s="177"/>
      <c r="H85" s="177"/>
      <c r="I85" s="177"/>
      <c r="J85" s="177"/>
      <c r="K85" s="177">
        <v>1820</v>
      </c>
      <c r="L85" s="177">
        <f t="shared" si="36"/>
        <v>1820</v>
      </c>
      <c r="M85" s="195" t="s">
        <v>22</v>
      </c>
    </row>
    <row r="86" spans="1:13" ht="13.5" customHeight="1" x14ac:dyDescent="0.3">
      <c r="A86" s="176" t="s">
        <v>342</v>
      </c>
      <c r="B86" s="196" t="s">
        <v>23</v>
      </c>
      <c r="C86" s="178">
        <v>66772</v>
      </c>
      <c r="D86" s="177" t="s">
        <v>34</v>
      </c>
      <c r="E86" s="201" t="s">
        <v>35</v>
      </c>
      <c r="F86" s="178"/>
      <c r="G86" s="181" t="s">
        <v>77</v>
      </c>
      <c r="H86" s="178"/>
      <c r="I86" s="178"/>
      <c r="J86" s="178"/>
      <c r="K86" s="178">
        <v>8650</v>
      </c>
      <c r="L86" s="178">
        <f t="shared" si="36"/>
        <v>8650</v>
      </c>
      <c r="M86" s="179" t="s">
        <v>179</v>
      </c>
    </row>
    <row r="87" spans="1:13" ht="13.5" customHeight="1" x14ac:dyDescent="0.3">
      <c r="A87" s="176" t="s">
        <v>342</v>
      </c>
      <c r="B87" s="196" t="s">
        <v>23</v>
      </c>
      <c r="C87" s="178">
        <v>66772</v>
      </c>
      <c r="D87" s="177" t="s">
        <v>34</v>
      </c>
      <c r="E87" s="203" t="s">
        <v>39</v>
      </c>
      <c r="F87" s="178"/>
      <c r="G87" s="181" t="s">
        <v>36</v>
      </c>
      <c r="H87" s="178"/>
      <c r="I87" s="178"/>
      <c r="J87" s="178"/>
      <c r="K87" s="178">
        <v>7700</v>
      </c>
      <c r="L87" s="178">
        <f t="shared" si="36"/>
        <v>7700</v>
      </c>
      <c r="M87" s="179" t="s">
        <v>277</v>
      </c>
    </row>
    <row r="88" spans="1:13" ht="13.5" customHeight="1" x14ac:dyDescent="0.3">
      <c r="A88" s="176" t="s">
        <v>342</v>
      </c>
      <c r="B88" s="196" t="s">
        <v>23</v>
      </c>
      <c r="C88" s="178">
        <v>66772</v>
      </c>
      <c r="D88" s="177" t="s">
        <v>34</v>
      </c>
      <c r="E88" s="204" t="s">
        <v>30</v>
      </c>
      <c r="F88" s="178"/>
      <c r="G88" s="181" t="s">
        <v>78</v>
      </c>
      <c r="H88" s="178"/>
      <c r="I88" s="178"/>
      <c r="J88" s="178"/>
      <c r="K88" s="178">
        <v>7700</v>
      </c>
      <c r="L88" s="178">
        <f>K88</f>
        <v>7700</v>
      </c>
      <c r="M88" s="179" t="s">
        <v>180</v>
      </c>
    </row>
    <row r="89" spans="1:13" ht="13.5" customHeight="1" x14ac:dyDescent="0.3">
      <c r="A89" s="176" t="s">
        <v>342</v>
      </c>
      <c r="B89" s="197" t="s">
        <v>320</v>
      </c>
      <c r="C89" s="205" t="s">
        <v>325</v>
      </c>
      <c r="D89" s="182" t="s">
        <v>322</v>
      </c>
      <c r="E89" s="200" t="s">
        <v>35</v>
      </c>
      <c r="F89" s="178"/>
      <c r="G89" s="181"/>
      <c r="H89" s="178"/>
      <c r="I89" s="178"/>
      <c r="J89" s="178"/>
      <c r="K89" s="178">
        <v>6700</v>
      </c>
      <c r="L89" s="178">
        <f t="shared" ref="L89" si="37">K89</f>
        <v>6700</v>
      </c>
      <c r="M89" s="179" t="s">
        <v>22</v>
      </c>
    </row>
    <row r="90" spans="1:13" ht="13.5" customHeight="1" x14ac:dyDescent="0.3">
      <c r="A90" s="176" t="s">
        <v>342</v>
      </c>
      <c r="B90" s="197" t="s">
        <v>320</v>
      </c>
      <c r="C90" s="205" t="s">
        <v>325</v>
      </c>
      <c r="D90" s="182" t="s">
        <v>322</v>
      </c>
      <c r="E90" s="201" t="s">
        <v>39</v>
      </c>
      <c r="F90" s="178"/>
      <c r="G90" s="181"/>
      <c r="H90" s="178"/>
      <c r="I90" s="178"/>
      <c r="J90" s="178"/>
      <c r="K90" s="178">
        <v>6000</v>
      </c>
      <c r="L90" s="178">
        <f t="shared" ref="L90" si="38">K90</f>
        <v>6000</v>
      </c>
      <c r="M90" s="179" t="s">
        <v>91</v>
      </c>
    </row>
    <row r="91" spans="1:13" ht="13.5" customHeight="1" x14ac:dyDescent="0.3">
      <c r="A91" s="176" t="s">
        <v>342</v>
      </c>
      <c r="B91" s="197" t="s">
        <v>320</v>
      </c>
      <c r="C91" s="205" t="s">
        <v>325</v>
      </c>
      <c r="D91" s="182" t="s">
        <v>322</v>
      </c>
      <c r="E91" s="202" t="s">
        <v>324</v>
      </c>
      <c r="F91" s="178"/>
      <c r="G91" s="181"/>
      <c r="H91" s="178"/>
      <c r="I91" s="178"/>
      <c r="J91" s="178"/>
      <c r="K91" s="178">
        <v>5000</v>
      </c>
      <c r="L91" s="178">
        <f t="shared" ref="L91:L93" si="39">K91</f>
        <v>5000</v>
      </c>
      <c r="M91" s="179" t="s">
        <v>181</v>
      </c>
    </row>
    <row r="92" spans="1:13" ht="13.5" customHeight="1" x14ac:dyDescent="0.3">
      <c r="A92" s="176" t="s">
        <v>343</v>
      </c>
      <c r="B92" s="196" t="s">
        <v>23</v>
      </c>
      <c r="C92" s="178">
        <v>66772</v>
      </c>
      <c r="D92" s="177" t="s">
        <v>34</v>
      </c>
      <c r="E92" s="201" t="s">
        <v>35</v>
      </c>
      <c r="F92" s="178"/>
      <c r="G92" s="181" t="s">
        <v>77</v>
      </c>
      <c r="H92" s="178"/>
      <c r="I92" s="178"/>
      <c r="J92" s="178"/>
      <c r="K92" s="178">
        <v>1560</v>
      </c>
      <c r="L92" s="178">
        <f t="shared" si="39"/>
        <v>1560</v>
      </c>
      <c r="M92" s="179" t="s">
        <v>179</v>
      </c>
    </row>
    <row r="93" spans="1:13" ht="13.5" customHeight="1" x14ac:dyDescent="0.3">
      <c r="A93" s="176" t="s">
        <v>343</v>
      </c>
      <c r="B93" s="196" t="s">
        <v>23</v>
      </c>
      <c r="C93" s="178">
        <v>66772</v>
      </c>
      <c r="D93" s="177" t="s">
        <v>34</v>
      </c>
      <c r="E93" s="177" t="s">
        <v>39</v>
      </c>
      <c r="F93" s="178"/>
      <c r="G93" s="181" t="s">
        <v>36</v>
      </c>
      <c r="H93" s="178"/>
      <c r="I93" s="178"/>
      <c r="J93" s="178"/>
      <c r="K93" s="178">
        <v>3600</v>
      </c>
      <c r="L93" s="178">
        <f t="shared" si="39"/>
        <v>3600</v>
      </c>
      <c r="M93" s="179" t="s">
        <v>277</v>
      </c>
    </row>
    <row r="94" spans="1:13" ht="13.5" customHeight="1" x14ac:dyDescent="0.3">
      <c r="A94" s="176" t="s">
        <v>343</v>
      </c>
      <c r="B94" s="196" t="s">
        <v>23</v>
      </c>
      <c r="C94" s="178">
        <v>66772</v>
      </c>
      <c r="D94" s="177" t="s">
        <v>34</v>
      </c>
      <c r="E94" s="204" t="s">
        <v>30</v>
      </c>
      <c r="F94" s="178"/>
      <c r="G94" s="181" t="s">
        <v>78</v>
      </c>
      <c r="H94" s="178"/>
      <c r="I94" s="178"/>
      <c r="J94" s="178"/>
      <c r="K94" s="178">
        <v>3600</v>
      </c>
      <c r="L94" s="178">
        <f>K94</f>
        <v>3600</v>
      </c>
      <c r="M94" s="179" t="s">
        <v>180</v>
      </c>
    </row>
    <row r="95" spans="1:13" ht="13.5" customHeight="1" x14ac:dyDescent="0.3">
      <c r="A95" s="176" t="s">
        <v>343</v>
      </c>
      <c r="B95" s="177" t="s">
        <v>14</v>
      </c>
      <c r="C95" s="178">
        <v>8283</v>
      </c>
      <c r="D95" s="177" t="s">
        <v>344</v>
      </c>
      <c r="E95" s="177" t="s">
        <v>17</v>
      </c>
      <c r="F95" s="178"/>
      <c r="G95" s="178"/>
      <c r="H95" s="178"/>
      <c r="I95" s="178"/>
      <c r="J95" s="178"/>
      <c r="K95" s="178">
        <v>4000</v>
      </c>
      <c r="L95" s="178">
        <f>K95</f>
        <v>4000</v>
      </c>
      <c r="M95" s="179" t="s">
        <v>179</v>
      </c>
    </row>
    <row r="96" spans="1:13" ht="13.5" customHeight="1" x14ac:dyDescent="0.3">
      <c r="A96" s="176" t="s">
        <v>343</v>
      </c>
      <c r="B96" s="197" t="s">
        <v>320</v>
      </c>
      <c r="C96" s="205" t="s">
        <v>325</v>
      </c>
      <c r="D96" s="182" t="s">
        <v>322</v>
      </c>
      <c r="E96" s="200" t="s">
        <v>35</v>
      </c>
      <c r="F96" s="178"/>
      <c r="G96" s="181"/>
      <c r="H96" s="178"/>
      <c r="I96" s="178"/>
      <c r="J96" s="178"/>
      <c r="K96" s="178">
        <v>3000</v>
      </c>
      <c r="L96" s="178">
        <f t="shared" ref="L96:L103" si="40">K96</f>
        <v>3000</v>
      </c>
      <c r="M96" s="179" t="s">
        <v>22</v>
      </c>
    </row>
    <row r="97" spans="1:13" ht="13.5" customHeight="1" x14ac:dyDescent="0.3">
      <c r="A97" s="176" t="s">
        <v>343</v>
      </c>
      <c r="B97" s="197" t="s">
        <v>320</v>
      </c>
      <c r="C97" s="205" t="s">
        <v>325</v>
      </c>
      <c r="D97" s="182" t="s">
        <v>322</v>
      </c>
      <c r="E97" s="201" t="s">
        <v>39</v>
      </c>
      <c r="F97" s="178"/>
      <c r="G97" s="181"/>
      <c r="H97" s="178"/>
      <c r="I97" s="178"/>
      <c r="J97" s="178"/>
      <c r="K97" s="178">
        <v>5500</v>
      </c>
      <c r="L97" s="178">
        <f t="shared" si="40"/>
        <v>5500</v>
      </c>
      <c r="M97" s="179" t="s">
        <v>91</v>
      </c>
    </row>
    <row r="98" spans="1:13" ht="13.5" customHeight="1" x14ac:dyDescent="0.3">
      <c r="A98" s="176" t="s">
        <v>343</v>
      </c>
      <c r="B98" s="197" t="s">
        <v>320</v>
      </c>
      <c r="C98" s="205" t="s">
        <v>325</v>
      </c>
      <c r="D98" s="182" t="s">
        <v>322</v>
      </c>
      <c r="E98" s="202" t="s">
        <v>324</v>
      </c>
      <c r="F98" s="178"/>
      <c r="G98" s="181"/>
      <c r="H98" s="178"/>
      <c r="I98" s="178"/>
      <c r="J98" s="178"/>
      <c r="K98" s="178">
        <v>4865</v>
      </c>
      <c r="L98" s="178">
        <f t="shared" si="40"/>
        <v>4865</v>
      </c>
      <c r="M98" s="179" t="s">
        <v>181</v>
      </c>
    </row>
    <row r="99" spans="1:13" ht="13.5" customHeight="1" x14ac:dyDescent="0.3">
      <c r="A99" s="176" t="s">
        <v>343</v>
      </c>
      <c r="B99" s="197" t="s">
        <v>320</v>
      </c>
      <c r="C99" s="204" t="s">
        <v>321</v>
      </c>
      <c r="D99" s="182" t="s">
        <v>322</v>
      </c>
      <c r="E99" s="198" t="s">
        <v>21</v>
      </c>
      <c r="F99" s="178"/>
      <c r="G99" s="181"/>
      <c r="H99" s="178"/>
      <c r="I99" s="178"/>
      <c r="J99" s="178"/>
      <c r="K99" s="178">
        <v>2142</v>
      </c>
      <c r="L99" s="178">
        <f t="shared" si="40"/>
        <v>2142</v>
      </c>
      <c r="M99" s="179" t="s">
        <v>332</v>
      </c>
    </row>
    <row r="100" spans="1:13" ht="13.5" customHeight="1" x14ac:dyDescent="0.3">
      <c r="A100" s="176" t="s">
        <v>343</v>
      </c>
      <c r="B100" s="197" t="s">
        <v>320</v>
      </c>
      <c r="C100" s="204" t="s">
        <v>321</v>
      </c>
      <c r="D100" s="182" t="s">
        <v>322</v>
      </c>
      <c r="E100" s="200" t="s">
        <v>35</v>
      </c>
      <c r="F100" s="178"/>
      <c r="G100" s="181"/>
      <c r="H100" s="178"/>
      <c r="I100" s="178"/>
      <c r="J100" s="178"/>
      <c r="K100" s="178">
        <v>2000</v>
      </c>
      <c r="L100" s="178">
        <f t="shared" si="40"/>
        <v>2000</v>
      </c>
      <c r="M100" s="179" t="s">
        <v>26</v>
      </c>
    </row>
    <row r="101" spans="1:13" ht="13.5" customHeight="1" x14ac:dyDescent="0.3">
      <c r="A101" s="176" t="s">
        <v>343</v>
      </c>
      <c r="B101" s="197" t="s">
        <v>320</v>
      </c>
      <c r="C101" s="204" t="s">
        <v>321</v>
      </c>
      <c r="D101" s="182" t="s">
        <v>322</v>
      </c>
      <c r="E101" s="201" t="s">
        <v>39</v>
      </c>
      <c r="F101" s="178"/>
      <c r="G101" s="181"/>
      <c r="H101" s="178"/>
      <c r="I101" s="178"/>
      <c r="J101" s="178"/>
      <c r="K101" s="178">
        <v>1650</v>
      </c>
      <c r="L101" s="178">
        <f t="shared" si="40"/>
        <v>1650</v>
      </c>
      <c r="M101" s="179" t="s">
        <v>333</v>
      </c>
    </row>
    <row r="102" spans="1:13" ht="13.5" customHeight="1" x14ac:dyDescent="0.3">
      <c r="A102" s="176" t="s">
        <v>343</v>
      </c>
      <c r="B102" s="196" t="s">
        <v>23</v>
      </c>
      <c r="C102" s="178">
        <v>65548</v>
      </c>
      <c r="D102" s="182" t="s">
        <v>24</v>
      </c>
      <c r="E102" s="180" t="s">
        <v>25</v>
      </c>
      <c r="F102" s="178"/>
      <c r="G102" s="181"/>
      <c r="H102" s="178"/>
      <c r="I102" s="178"/>
      <c r="J102" s="178"/>
      <c r="K102" s="178">
        <v>3250</v>
      </c>
      <c r="L102" s="178">
        <f t="shared" si="40"/>
        <v>3250</v>
      </c>
      <c r="M102" s="179" t="s">
        <v>179</v>
      </c>
    </row>
    <row r="103" spans="1:13" ht="13.5" customHeight="1" x14ac:dyDescent="0.3">
      <c r="A103" s="176" t="s">
        <v>343</v>
      </c>
      <c r="B103" s="196" t="s">
        <v>23</v>
      </c>
      <c r="C103" s="178">
        <v>65548</v>
      </c>
      <c r="D103" s="182" t="s">
        <v>24</v>
      </c>
      <c r="E103" s="204" t="s">
        <v>30</v>
      </c>
      <c r="F103" s="178"/>
      <c r="G103" s="181"/>
      <c r="H103" s="178"/>
      <c r="I103" s="178"/>
      <c r="J103" s="178"/>
      <c r="K103" s="178">
        <v>1725</v>
      </c>
      <c r="L103" s="178">
        <f t="shared" si="40"/>
        <v>1725</v>
      </c>
      <c r="M103" s="179" t="s">
        <v>180</v>
      </c>
    </row>
    <row r="104" spans="1:13" ht="13.5" customHeight="1" x14ac:dyDescent="0.3">
      <c r="A104" s="176" t="s">
        <v>345</v>
      </c>
      <c r="B104" s="196" t="s">
        <v>23</v>
      </c>
      <c r="C104" s="178">
        <v>65548</v>
      </c>
      <c r="D104" s="182" t="s">
        <v>24</v>
      </c>
      <c r="E104" s="180" t="s">
        <v>25</v>
      </c>
      <c r="F104" s="178"/>
      <c r="G104" s="181"/>
      <c r="H104" s="178"/>
      <c r="I104" s="178"/>
      <c r="J104" s="178"/>
      <c r="K104" s="178">
        <v>4500</v>
      </c>
      <c r="L104" s="178">
        <f t="shared" ref="L104:L111" si="41">K104</f>
        <v>4500</v>
      </c>
      <c r="M104" s="179" t="s">
        <v>179</v>
      </c>
    </row>
    <row r="105" spans="1:13" ht="13.5" customHeight="1" x14ac:dyDescent="0.3">
      <c r="A105" s="176" t="s">
        <v>345</v>
      </c>
      <c r="B105" s="196" t="s">
        <v>23</v>
      </c>
      <c r="C105" s="178">
        <v>65548</v>
      </c>
      <c r="D105" s="182" t="s">
        <v>24</v>
      </c>
      <c r="E105" s="204" t="s">
        <v>30</v>
      </c>
      <c r="F105" s="178"/>
      <c r="G105" s="181"/>
      <c r="H105" s="178"/>
      <c r="I105" s="178"/>
      <c r="J105" s="178"/>
      <c r="K105" s="178">
        <v>6000</v>
      </c>
      <c r="L105" s="178">
        <f t="shared" si="41"/>
        <v>6000</v>
      </c>
      <c r="M105" s="179" t="s">
        <v>180</v>
      </c>
    </row>
    <row r="106" spans="1:13" ht="13.5" customHeight="1" x14ac:dyDescent="0.3">
      <c r="A106" s="176" t="s">
        <v>345</v>
      </c>
      <c r="B106" s="197" t="s">
        <v>320</v>
      </c>
      <c r="C106" s="204" t="s">
        <v>321</v>
      </c>
      <c r="D106" s="182" t="s">
        <v>322</v>
      </c>
      <c r="E106" s="198" t="s">
        <v>21</v>
      </c>
      <c r="F106" s="178"/>
      <c r="G106" s="181"/>
      <c r="H106" s="178"/>
      <c r="I106" s="178"/>
      <c r="J106" s="178"/>
      <c r="K106" s="178">
        <v>3954</v>
      </c>
      <c r="L106" s="178">
        <f t="shared" si="41"/>
        <v>3954</v>
      </c>
      <c r="M106" s="179" t="s">
        <v>332</v>
      </c>
    </row>
    <row r="107" spans="1:13" ht="13.5" customHeight="1" x14ac:dyDescent="0.3">
      <c r="A107" s="176" t="s">
        <v>345</v>
      </c>
      <c r="B107" s="197" t="s">
        <v>320</v>
      </c>
      <c r="C107" s="204" t="s">
        <v>321</v>
      </c>
      <c r="D107" s="182" t="s">
        <v>322</v>
      </c>
      <c r="E107" s="200" t="s">
        <v>35</v>
      </c>
      <c r="F107" s="178"/>
      <c r="G107" s="181"/>
      <c r="H107" s="178"/>
      <c r="I107" s="178"/>
      <c r="J107" s="178"/>
      <c r="K107" s="178">
        <v>4092</v>
      </c>
      <c r="L107" s="178">
        <f t="shared" si="41"/>
        <v>4092</v>
      </c>
      <c r="M107" s="179" t="s">
        <v>26</v>
      </c>
    </row>
    <row r="108" spans="1:13" ht="13.5" customHeight="1" x14ac:dyDescent="0.3">
      <c r="A108" s="176" t="s">
        <v>345</v>
      </c>
      <c r="B108" s="197" t="s">
        <v>320</v>
      </c>
      <c r="C108" s="204" t="s">
        <v>321</v>
      </c>
      <c r="D108" s="182" t="s">
        <v>322</v>
      </c>
      <c r="E108" s="201" t="s">
        <v>39</v>
      </c>
      <c r="F108" s="178"/>
      <c r="G108" s="181"/>
      <c r="H108" s="178"/>
      <c r="I108" s="178"/>
      <c r="J108" s="178"/>
      <c r="K108" s="178">
        <v>4200</v>
      </c>
      <c r="L108" s="178">
        <f t="shared" si="41"/>
        <v>4200</v>
      </c>
      <c r="M108" s="179" t="s">
        <v>333</v>
      </c>
    </row>
    <row r="109" spans="1:13" ht="13.5" customHeight="1" x14ac:dyDescent="0.3">
      <c r="A109" s="176" t="s">
        <v>345</v>
      </c>
      <c r="B109" s="197" t="s">
        <v>320</v>
      </c>
      <c r="C109" s="205" t="s">
        <v>325</v>
      </c>
      <c r="D109" s="182" t="s">
        <v>322</v>
      </c>
      <c r="E109" s="200" t="s">
        <v>35</v>
      </c>
      <c r="F109" s="178"/>
      <c r="G109" s="181"/>
      <c r="H109" s="178"/>
      <c r="I109" s="178"/>
      <c r="J109" s="178"/>
      <c r="K109" s="178">
        <v>4500</v>
      </c>
      <c r="L109" s="178">
        <f t="shared" si="41"/>
        <v>4500</v>
      </c>
      <c r="M109" s="179" t="s">
        <v>22</v>
      </c>
    </row>
    <row r="110" spans="1:13" ht="13.5" customHeight="1" x14ac:dyDescent="0.3">
      <c r="A110" s="176" t="s">
        <v>345</v>
      </c>
      <c r="B110" s="197" t="s">
        <v>320</v>
      </c>
      <c r="C110" s="205" t="s">
        <v>325</v>
      </c>
      <c r="D110" s="182" t="s">
        <v>322</v>
      </c>
      <c r="E110" s="201" t="s">
        <v>39</v>
      </c>
      <c r="F110" s="178"/>
      <c r="G110" s="181"/>
      <c r="H110" s="178"/>
      <c r="I110" s="178"/>
      <c r="J110" s="178"/>
      <c r="K110" s="178">
        <v>4500</v>
      </c>
      <c r="L110" s="178">
        <f t="shared" si="41"/>
        <v>4500</v>
      </c>
      <c r="M110" s="179" t="s">
        <v>91</v>
      </c>
    </row>
    <row r="111" spans="1:13" ht="13.5" customHeight="1" x14ac:dyDescent="0.3">
      <c r="A111" s="176" t="s">
        <v>345</v>
      </c>
      <c r="B111" s="197" t="s">
        <v>320</v>
      </c>
      <c r="C111" s="205" t="s">
        <v>325</v>
      </c>
      <c r="D111" s="182" t="s">
        <v>322</v>
      </c>
      <c r="E111" s="202" t="s">
        <v>324</v>
      </c>
      <c r="F111" s="178"/>
      <c r="G111" s="181"/>
      <c r="H111" s="178"/>
      <c r="I111" s="178"/>
      <c r="J111" s="178"/>
      <c r="K111" s="178">
        <v>4500</v>
      </c>
      <c r="L111" s="178">
        <f t="shared" si="41"/>
        <v>4500</v>
      </c>
      <c r="M111" s="179" t="s">
        <v>181</v>
      </c>
    </row>
    <row r="112" spans="1:13" ht="13.5" customHeight="1" x14ac:dyDescent="0.3">
      <c r="A112" s="176" t="s">
        <v>345</v>
      </c>
      <c r="B112" s="177" t="s">
        <v>14</v>
      </c>
      <c r="C112" s="178">
        <v>8283</v>
      </c>
      <c r="D112" s="177" t="s">
        <v>344</v>
      </c>
      <c r="E112" s="177" t="s">
        <v>25</v>
      </c>
      <c r="F112" s="178"/>
      <c r="G112" s="178"/>
      <c r="H112" s="178"/>
      <c r="I112" s="178"/>
      <c r="J112" s="178"/>
      <c r="K112" s="178">
        <v>4800</v>
      </c>
      <c r="L112" s="178">
        <f>K112</f>
        <v>4800</v>
      </c>
      <c r="M112" s="179" t="s">
        <v>179</v>
      </c>
    </row>
    <row r="113" spans="1:13" ht="13.5" customHeight="1" x14ac:dyDescent="0.3">
      <c r="A113" s="176" t="s">
        <v>345</v>
      </c>
      <c r="B113" s="177" t="s">
        <v>14</v>
      </c>
      <c r="C113" s="178">
        <v>2576</v>
      </c>
      <c r="D113" s="177" t="s">
        <v>346</v>
      </c>
      <c r="E113" s="177" t="s">
        <v>25</v>
      </c>
      <c r="F113" s="178"/>
      <c r="G113" s="178"/>
      <c r="H113" s="178"/>
      <c r="I113" s="178"/>
      <c r="J113" s="178"/>
      <c r="K113" s="178">
        <v>1150</v>
      </c>
      <c r="L113" s="178">
        <f>K113</f>
        <v>1150</v>
      </c>
      <c r="M113" s="179" t="s">
        <v>37</v>
      </c>
    </row>
    <row r="114" spans="1:13" ht="13.5" customHeight="1" x14ac:dyDescent="0.3">
      <c r="A114" s="176" t="s">
        <v>348</v>
      </c>
      <c r="B114" s="197" t="s">
        <v>320</v>
      </c>
      <c r="C114" s="204" t="s">
        <v>321</v>
      </c>
      <c r="D114" s="182" t="s">
        <v>322</v>
      </c>
      <c r="E114" s="198" t="s">
        <v>21</v>
      </c>
      <c r="F114" s="178"/>
      <c r="G114" s="181"/>
      <c r="H114" s="178"/>
      <c r="I114" s="178"/>
      <c r="J114" s="178"/>
      <c r="K114" s="178">
        <v>368</v>
      </c>
      <c r="L114" s="178">
        <f t="shared" ref="L114:L123" si="42">K114</f>
        <v>368</v>
      </c>
      <c r="M114" s="179" t="s">
        <v>332</v>
      </c>
    </row>
    <row r="115" spans="1:13" ht="13.5" customHeight="1" x14ac:dyDescent="0.3">
      <c r="A115" s="176" t="s">
        <v>348</v>
      </c>
      <c r="B115" s="197" t="s">
        <v>320</v>
      </c>
      <c r="C115" s="204" t="s">
        <v>321</v>
      </c>
      <c r="D115" s="182" t="s">
        <v>322</v>
      </c>
      <c r="E115" s="200" t="s">
        <v>35</v>
      </c>
      <c r="F115" s="178"/>
      <c r="G115" s="181"/>
      <c r="H115" s="178"/>
      <c r="I115" s="178"/>
      <c r="J115" s="178"/>
      <c r="K115" s="178">
        <v>368</v>
      </c>
      <c r="L115" s="178">
        <f t="shared" si="42"/>
        <v>368</v>
      </c>
      <c r="M115" s="179" t="s">
        <v>26</v>
      </c>
    </row>
    <row r="116" spans="1:13" ht="13.5" customHeight="1" x14ac:dyDescent="0.3">
      <c r="A116" s="176" t="s">
        <v>348</v>
      </c>
      <c r="B116" s="197" t="s">
        <v>320</v>
      </c>
      <c r="C116" s="204" t="s">
        <v>321</v>
      </c>
      <c r="D116" s="182" t="s">
        <v>322</v>
      </c>
      <c r="E116" s="201" t="s">
        <v>39</v>
      </c>
      <c r="F116" s="178"/>
      <c r="G116" s="181"/>
      <c r="H116" s="178"/>
      <c r="I116" s="178"/>
      <c r="J116" s="178"/>
      <c r="K116" s="178">
        <v>468</v>
      </c>
      <c r="L116" s="178">
        <f t="shared" si="42"/>
        <v>468</v>
      </c>
      <c r="M116" s="179" t="s">
        <v>333</v>
      </c>
    </row>
    <row r="117" spans="1:13" ht="13.5" customHeight="1" x14ac:dyDescent="0.3">
      <c r="A117" s="176" t="s">
        <v>348</v>
      </c>
      <c r="B117" s="197" t="s">
        <v>320</v>
      </c>
      <c r="C117" s="205" t="s">
        <v>325</v>
      </c>
      <c r="D117" s="182" t="s">
        <v>322</v>
      </c>
      <c r="E117" s="200" t="s">
        <v>35</v>
      </c>
      <c r="F117" s="178"/>
      <c r="G117" s="181"/>
      <c r="H117" s="178"/>
      <c r="I117" s="178"/>
      <c r="J117" s="178"/>
      <c r="K117" s="178">
        <v>400</v>
      </c>
      <c r="L117" s="178">
        <f t="shared" si="42"/>
        <v>400</v>
      </c>
      <c r="M117" s="179" t="s">
        <v>22</v>
      </c>
    </row>
    <row r="118" spans="1:13" ht="13.5" customHeight="1" x14ac:dyDescent="0.3">
      <c r="A118" s="176" t="s">
        <v>348</v>
      </c>
      <c r="B118" s="197" t="s">
        <v>320</v>
      </c>
      <c r="C118" s="205" t="s">
        <v>325</v>
      </c>
      <c r="D118" s="182" t="s">
        <v>322</v>
      </c>
      <c r="E118" s="201" t="s">
        <v>39</v>
      </c>
      <c r="F118" s="178"/>
      <c r="G118" s="181"/>
      <c r="H118" s="178"/>
      <c r="I118" s="178"/>
      <c r="J118" s="178"/>
      <c r="K118" s="178">
        <v>400</v>
      </c>
      <c r="L118" s="178">
        <f t="shared" si="42"/>
        <v>400</v>
      </c>
      <c r="M118" s="179" t="s">
        <v>91</v>
      </c>
    </row>
    <row r="119" spans="1:13" ht="13.5" customHeight="1" x14ac:dyDescent="0.3">
      <c r="A119" s="176" t="s">
        <v>348</v>
      </c>
      <c r="B119" s="197" t="s">
        <v>320</v>
      </c>
      <c r="C119" s="205" t="s">
        <v>325</v>
      </c>
      <c r="D119" s="182" t="s">
        <v>322</v>
      </c>
      <c r="E119" s="202" t="s">
        <v>324</v>
      </c>
      <c r="F119" s="178"/>
      <c r="G119" s="181"/>
      <c r="H119" s="178"/>
      <c r="I119" s="178"/>
      <c r="J119" s="178"/>
      <c r="K119" s="178">
        <v>400</v>
      </c>
      <c r="L119" s="178">
        <f t="shared" si="42"/>
        <v>400</v>
      </c>
      <c r="M119" s="179" t="s">
        <v>181</v>
      </c>
    </row>
    <row r="120" spans="1:13" ht="13.5" customHeight="1" x14ac:dyDescent="0.3">
      <c r="A120" s="176" t="s">
        <v>348</v>
      </c>
      <c r="B120" s="196" t="s">
        <v>23</v>
      </c>
      <c r="C120" s="178">
        <v>65548</v>
      </c>
      <c r="D120" s="182" t="s">
        <v>24</v>
      </c>
      <c r="E120" s="180" t="s">
        <v>25</v>
      </c>
      <c r="F120" s="178"/>
      <c r="G120" s="181"/>
      <c r="H120" s="178"/>
      <c r="I120" s="178"/>
      <c r="J120" s="178"/>
      <c r="K120" s="178">
        <v>2250</v>
      </c>
      <c r="L120" s="178">
        <f t="shared" si="42"/>
        <v>2250</v>
      </c>
      <c r="M120" s="179" t="s">
        <v>179</v>
      </c>
    </row>
    <row r="121" spans="1:13" ht="13.5" customHeight="1" x14ac:dyDescent="0.3">
      <c r="A121" s="176" t="s">
        <v>348</v>
      </c>
      <c r="B121" s="196" t="s">
        <v>23</v>
      </c>
      <c r="C121" s="178">
        <v>65548</v>
      </c>
      <c r="D121" s="182" t="s">
        <v>24</v>
      </c>
      <c r="E121" s="204" t="s">
        <v>30</v>
      </c>
      <c r="F121" s="178"/>
      <c r="G121" s="181"/>
      <c r="H121" s="178"/>
      <c r="I121" s="178"/>
      <c r="J121" s="178"/>
      <c r="K121" s="178">
        <v>2275</v>
      </c>
      <c r="L121" s="178">
        <f t="shared" si="42"/>
        <v>2275</v>
      </c>
      <c r="M121" s="179" t="s">
        <v>180</v>
      </c>
    </row>
    <row r="122" spans="1:13" ht="13.5" customHeight="1" x14ac:dyDescent="0.3">
      <c r="A122" s="176" t="s">
        <v>348</v>
      </c>
      <c r="B122" s="196" t="s">
        <v>23</v>
      </c>
      <c r="C122" s="178">
        <v>66772</v>
      </c>
      <c r="D122" s="177" t="s">
        <v>34</v>
      </c>
      <c r="E122" s="201" t="s">
        <v>35</v>
      </c>
      <c r="F122" s="178"/>
      <c r="G122" s="181" t="s">
        <v>77</v>
      </c>
      <c r="H122" s="178"/>
      <c r="I122" s="178"/>
      <c r="J122" s="178"/>
      <c r="K122" s="178">
        <v>2800</v>
      </c>
      <c r="L122" s="178">
        <f t="shared" si="42"/>
        <v>2800</v>
      </c>
      <c r="M122" s="179" t="s">
        <v>179</v>
      </c>
    </row>
    <row r="123" spans="1:13" ht="13.5" customHeight="1" x14ac:dyDescent="0.3">
      <c r="A123" s="176" t="s">
        <v>348</v>
      </c>
      <c r="B123" s="196" t="s">
        <v>23</v>
      </c>
      <c r="C123" s="178">
        <v>66772</v>
      </c>
      <c r="D123" s="177" t="s">
        <v>34</v>
      </c>
      <c r="E123" s="177" t="s">
        <v>39</v>
      </c>
      <c r="F123" s="178"/>
      <c r="G123" s="181" t="s">
        <v>36</v>
      </c>
      <c r="H123" s="178"/>
      <c r="I123" s="178"/>
      <c r="J123" s="178"/>
      <c r="K123" s="178">
        <v>3500</v>
      </c>
      <c r="L123" s="178">
        <f t="shared" si="42"/>
        <v>3500</v>
      </c>
      <c r="M123" s="179" t="s">
        <v>277</v>
      </c>
    </row>
    <row r="124" spans="1:13" ht="13.5" customHeight="1" x14ac:dyDescent="0.3">
      <c r="A124" s="176" t="s">
        <v>348</v>
      </c>
      <c r="B124" s="196" t="s">
        <v>23</v>
      </c>
      <c r="C124" s="178">
        <v>66772</v>
      </c>
      <c r="D124" s="177" t="s">
        <v>34</v>
      </c>
      <c r="E124" s="204" t="s">
        <v>30</v>
      </c>
      <c r="F124" s="178"/>
      <c r="G124" s="181" t="s">
        <v>78</v>
      </c>
      <c r="H124" s="178"/>
      <c r="I124" s="178"/>
      <c r="J124" s="178"/>
      <c r="K124" s="178">
        <v>2250</v>
      </c>
      <c r="L124" s="178">
        <f>K124</f>
        <v>2250</v>
      </c>
      <c r="M124" s="179" t="s">
        <v>180</v>
      </c>
    </row>
    <row r="125" spans="1:13" ht="13.5" customHeight="1" x14ac:dyDescent="0.3">
      <c r="A125" s="176" t="s">
        <v>348</v>
      </c>
      <c r="B125" s="177" t="s">
        <v>14</v>
      </c>
      <c r="C125" s="178" t="s">
        <v>86</v>
      </c>
      <c r="D125" s="177" t="s">
        <v>84</v>
      </c>
      <c r="E125" s="177" t="s">
        <v>25</v>
      </c>
      <c r="F125" s="178"/>
      <c r="G125" s="178"/>
      <c r="H125" s="178"/>
      <c r="I125" s="178"/>
      <c r="J125" s="178"/>
      <c r="K125" s="178">
        <v>2500</v>
      </c>
      <c r="L125" s="178">
        <f t="shared" ref="L125:L126" si="43">K125</f>
        <v>2500</v>
      </c>
      <c r="M125" s="179" t="s">
        <v>22</v>
      </c>
    </row>
    <row r="126" spans="1:13" ht="13.5" customHeight="1" x14ac:dyDescent="0.3">
      <c r="A126" s="176" t="s">
        <v>348</v>
      </c>
      <c r="B126" s="177" t="s">
        <v>14</v>
      </c>
      <c r="C126" s="178" t="s">
        <v>83</v>
      </c>
      <c r="D126" s="177" t="s">
        <v>84</v>
      </c>
      <c r="E126" s="177" t="s">
        <v>25</v>
      </c>
      <c r="F126" s="178"/>
      <c r="G126" s="178"/>
      <c r="H126" s="178"/>
      <c r="I126" s="178"/>
      <c r="J126" s="178"/>
      <c r="K126" s="178">
        <v>2500</v>
      </c>
      <c r="L126" s="178">
        <f t="shared" si="43"/>
        <v>2500</v>
      </c>
      <c r="M126" s="179" t="s">
        <v>181</v>
      </c>
    </row>
    <row r="127" spans="1:13" ht="13.5" customHeight="1" x14ac:dyDescent="0.3">
      <c r="A127" s="176" t="s">
        <v>348</v>
      </c>
      <c r="B127" s="177" t="s">
        <v>14</v>
      </c>
      <c r="C127" s="178">
        <v>2576</v>
      </c>
      <c r="D127" s="177" t="s">
        <v>346</v>
      </c>
      <c r="E127" s="177" t="s">
        <v>25</v>
      </c>
      <c r="F127" s="178"/>
      <c r="G127" s="178"/>
      <c r="H127" s="178"/>
      <c r="I127" s="178"/>
      <c r="J127" s="178"/>
      <c r="K127" s="178">
        <v>4000</v>
      </c>
      <c r="L127" s="178">
        <f>K127</f>
        <v>4000</v>
      </c>
      <c r="M127" s="179" t="s">
        <v>37</v>
      </c>
    </row>
    <row r="128" spans="1:13" ht="13.5" customHeight="1" x14ac:dyDescent="0.3">
      <c r="A128" s="176" t="s">
        <v>349</v>
      </c>
      <c r="B128" s="196" t="s">
        <v>23</v>
      </c>
      <c r="C128" s="178">
        <v>66772</v>
      </c>
      <c r="D128" s="177" t="s">
        <v>34</v>
      </c>
      <c r="E128" s="201" t="s">
        <v>35</v>
      </c>
      <c r="F128" s="178"/>
      <c r="G128" s="181" t="s">
        <v>77</v>
      </c>
      <c r="H128" s="178"/>
      <c r="I128" s="178"/>
      <c r="J128" s="178"/>
      <c r="K128" s="178">
        <v>7360</v>
      </c>
      <c r="L128" s="178">
        <f t="shared" ref="L128:L129" si="44">K128</f>
        <v>7360</v>
      </c>
      <c r="M128" s="179" t="s">
        <v>179</v>
      </c>
    </row>
    <row r="129" spans="1:13" ht="13.5" customHeight="1" x14ac:dyDescent="0.3">
      <c r="A129" s="176" t="s">
        <v>349</v>
      </c>
      <c r="B129" s="196" t="s">
        <v>23</v>
      </c>
      <c r="C129" s="178">
        <v>66772</v>
      </c>
      <c r="D129" s="177" t="s">
        <v>34</v>
      </c>
      <c r="E129" s="177" t="s">
        <v>39</v>
      </c>
      <c r="F129" s="178"/>
      <c r="G129" s="181" t="s">
        <v>36</v>
      </c>
      <c r="H129" s="178"/>
      <c r="I129" s="178"/>
      <c r="J129" s="178"/>
      <c r="K129" s="178">
        <v>6000</v>
      </c>
      <c r="L129" s="178">
        <f t="shared" si="44"/>
        <v>6000</v>
      </c>
      <c r="M129" s="179" t="s">
        <v>277</v>
      </c>
    </row>
    <row r="130" spans="1:13" ht="13.5" customHeight="1" x14ac:dyDescent="0.3">
      <c r="A130" s="176" t="s">
        <v>349</v>
      </c>
      <c r="B130" s="196" t="s">
        <v>23</v>
      </c>
      <c r="C130" s="178">
        <v>66772</v>
      </c>
      <c r="D130" s="177" t="s">
        <v>34</v>
      </c>
      <c r="E130" s="204" t="s">
        <v>30</v>
      </c>
      <c r="F130" s="178"/>
      <c r="G130" s="181" t="s">
        <v>78</v>
      </c>
      <c r="H130" s="178"/>
      <c r="I130" s="178"/>
      <c r="J130" s="178"/>
      <c r="K130" s="178">
        <v>5900</v>
      </c>
      <c r="L130" s="178">
        <f>K130</f>
        <v>5900</v>
      </c>
      <c r="M130" s="179" t="s">
        <v>180</v>
      </c>
    </row>
    <row r="131" spans="1:13" ht="13.5" customHeight="1" x14ac:dyDescent="0.3">
      <c r="A131" s="176" t="s">
        <v>349</v>
      </c>
      <c r="B131" s="177" t="s">
        <v>14</v>
      </c>
      <c r="C131" s="178" t="s">
        <v>86</v>
      </c>
      <c r="D131" s="177" t="s">
        <v>84</v>
      </c>
      <c r="E131" s="177" t="s">
        <v>25</v>
      </c>
      <c r="F131" s="178"/>
      <c r="G131" s="178"/>
      <c r="H131" s="178"/>
      <c r="I131" s="178"/>
      <c r="J131" s="178"/>
      <c r="K131" s="178">
        <v>3000</v>
      </c>
      <c r="L131" s="178">
        <f t="shared" ref="L131:L132" si="45">K131</f>
        <v>3000</v>
      </c>
      <c r="M131" s="179" t="s">
        <v>22</v>
      </c>
    </row>
    <row r="132" spans="1:13" ht="13.5" customHeight="1" x14ac:dyDescent="0.3">
      <c r="A132" s="176" t="s">
        <v>349</v>
      </c>
      <c r="B132" s="177" t="s">
        <v>14</v>
      </c>
      <c r="C132" s="178" t="s">
        <v>83</v>
      </c>
      <c r="D132" s="177" t="s">
        <v>84</v>
      </c>
      <c r="E132" s="177" t="s">
        <v>25</v>
      </c>
      <c r="F132" s="178"/>
      <c r="G132" s="178"/>
      <c r="H132" s="178"/>
      <c r="I132" s="178"/>
      <c r="J132" s="178"/>
      <c r="K132" s="178">
        <v>5400</v>
      </c>
      <c r="L132" s="178">
        <f t="shared" si="45"/>
        <v>5400</v>
      </c>
      <c r="M132" s="179" t="s">
        <v>181</v>
      </c>
    </row>
    <row r="133" spans="1:13" ht="13.5" customHeight="1" x14ac:dyDescent="0.3">
      <c r="A133" s="176" t="s">
        <v>349</v>
      </c>
      <c r="B133" s="177" t="s">
        <v>14</v>
      </c>
      <c r="C133" s="178">
        <v>2576</v>
      </c>
      <c r="D133" s="177" t="s">
        <v>346</v>
      </c>
      <c r="E133" s="177" t="s">
        <v>25</v>
      </c>
      <c r="F133" s="178"/>
      <c r="G133" s="178"/>
      <c r="H133" s="178"/>
      <c r="I133" s="178"/>
      <c r="J133" s="178"/>
      <c r="K133" s="178">
        <v>750</v>
      </c>
      <c r="L133" s="178">
        <f>K133</f>
        <v>750</v>
      </c>
      <c r="M133" s="179" t="s">
        <v>37</v>
      </c>
    </row>
    <row r="134" spans="1:13" ht="13.5" customHeight="1" x14ac:dyDescent="0.3">
      <c r="A134" s="176" t="s">
        <v>349</v>
      </c>
      <c r="B134" s="197" t="s">
        <v>320</v>
      </c>
      <c r="C134" s="205" t="s">
        <v>325</v>
      </c>
      <c r="D134" s="182" t="s">
        <v>322</v>
      </c>
      <c r="E134" s="198" t="s">
        <v>21</v>
      </c>
      <c r="F134" s="178"/>
      <c r="G134" s="181"/>
      <c r="H134" s="178"/>
      <c r="I134" s="178"/>
      <c r="J134" s="178"/>
      <c r="K134" s="178">
        <v>5560</v>
      </c>
      <c r="L134" s="178">
        <f t="shared" ref="L134" si="46">K134</f>
        <v>5560</v>
      </c>
      <c r="M134" s="179" t="s">
        <v>37</v>
      </c>
    </row>
    <row r="135" spans="1:13" ht="13.5" customHeight="1" x14ac:dyDescent="0.3">
      <c r="A135" s="176" t="s">
        <v>349</v>
      </c>
      <c r="B135" s="177" t="s">
        <v>14</v>
      </c>
      <c r="C135" s="178">
        <v>6871</v>
      </c>
      <c r="D135" s="177" t="s">
        <v>16</v>
      </c>
      <c r="E135" s="177" t="s">
        <v>17</v>
      </c>
      <c r="F135" s="178">
        <v>44</v>
      </c>
      <c r="G135" s="178">
        <v>0.64</v>
      </c>
      <c r="H135" s="178">
        <f>G135*F135</f>
        <v>28.16</v>
      </c>
      <c r="I135" s="178">
        <v>70</v>
      </c>
      <c r="J135" s="178">
        <v>2</v>
      </c>
      <c r="K135" s="178">
        <f t="shared" ref="K135" si="47">F135*I135</f>
        <v>3080</v>
      </c>
      <c r="L135" s="178">
        <f t="shared" ref="L135" si="48">K135*J135</f>
        <v>6160</v>
      </c>
      <c r="M135" s="179" t="s">
        <v>22</v>
      </c>
    </row>
    <row r="136" spans="1:13" ht="13.5" customHeight="1" x14ac:dyDescent="0.3">
      <c r="A136" s="176" t="s">
        <v>349</v>
      </c>
      <c r="B136" s="197" t="s">
        <v>320</v>
      </c>
      <c r="C136" s="204" t="s">
        <v>321</v>
      </c>
      <c r="D136" s="182" t="s">
        <v>322</v>
      </c>
      <c r="E136" s="198" t="s">
        <v>21</v>
      </c>
      <c r="F136" s="178"/>
      <c r="G136" s="181"/>
      <c r="H136" s="178"/>
      <c r="I136" s="178"/>
      <c r="J136" s="178"/>
      <c r="K136" s="178">
        <v>2136</v>
      </c>
      <c r="L136" s="178">
        <f t="shared" ref="L136" si="49">K136</f>
        <v>2136</v>
      </c>
      <c r="M136" s="179" t="s">
        <v>332</v>
      </c>
    </row>
    <row r="137" spans="1:13" ht="13.5" customHeight="1" x14ac:dyDescent="0.3">
      <c r="A137" s="176" t="s">
        <v>350</v>
      </c>
      <c r="B137" s="196" t="s">
        <v>23</v>
      </c>
      <c r="C137" s="178">
        <v>66772</v>
      </c>
      <c r="D137" s="177" t="s">
        <v>34</v>
      </c>
      <c r="E137" s="201" t="s">
        <v>35</v>
      </c>
      <c r="F137" s="178"/>
      <c r="G137" s="181" t="s">
        <v>77</v>
      </c>
      <c r="H137" s="178"/>
      <c r="I137" s="178"/>
      <c r="J137" s="178"/>
      <c r="K137" s="178">
        <v>5000</v>
      </c>
      <c r="L137" s="178">
        <f t="shared" ref="L137:L138" si="50">K137</f>
        <v>5000</v>
      </c>
      <c r="M137" s="179" t="s">
        <v>179</v>
      </c>
    </row>
    <row r="138" spans="1:13" ht="13.5" customHeight="1" x14ac:dyDescent="0.3">
      <c r="A138" s="176" t="s">
        <v>350</v>
      </c>
      <c r="B138" s="196" t="s">
        <v>23</v>
      </c>
      <c r="C138" s="178">
        <v>66772</v>
      </c>
      <c r="D138" s="177" t="s">
        <v>34</v>
      </c>
      <c r="E138" s="177" t="s">
        <v>39</v>
      </c>
      <c r="F138" s="178"/>
      <c r="G138" s="181" t="s">
        <v>36</v>
      </c>
      <c r="H138" s="178"/>
      <c r="I138" s="178"/>
      <c r="J138" s="178"/>
      <c r="K138" s="178">
        <v>5100</v>
      </c>
      <c r="L138" s="178">
        <f t="shared" si="50"/>
        <v>5100</v>
      </c>
      <c r="M138" s="179" t="s">
        <v>277</v>
      </c>
    </row>
    <row r="139" spans="1:13" ht="13.5" customHeight="1" x14ac:dyDescent="0.3">
      <c r="A139" s="176" t="s">
        <v>350</v>
      </c>
      <c r="B139" s="196" t="s">
        <v>23</v>
      </c>
      <c r="C139" s="178">
        <v>66772</v>
      </c>
      <c r="D139" s="177" t="s">
        <v>34</v>
      </c>
      <c r="E139" s="204" t="s">
        <v>30</v>
      </c>
      <c r="F139" s="178"/>
      <c r="G139" s="181" t="s">
        <v>78</v>
      </c>
      <c r="H139" s="178"/>
      <c r="I139" s="178"/>
      <c r="J139" s="178"/>
      <c r="K139" s="178">
        <v>5200</v>
      </c>
      <c r="L139" s="178">
        <f>K139</f>
        <v>5200</v>
      </c>
      <c r="M139" s="179" t="s">
        <v>180</v>
      </c>
    </row>
    <row r="140" spans="1:13" ht="13.5" customHeight="1" x14ac:dyDescent="0.3">
      <c r="A140" s="176" t="s">
        <v>350</v>
      </c>
      <c r="B140" s="177" t="s">
        <v>14</v>
      </c>
      <c r="C140" s="178" t="s">
        <v>86</v>
      </c>
      <c r="D140" s="177" t="s">
        <v>84</v>
      </c>
      <c r="E140" s="177" t="s">
        <v>25</v>
      </c>
      <c r="F140" s="178"/>
      <c r="G140" s="178"/>
      <c r="H140" s="178"/>
      <c r="I140" s="178"/>
      <c r="J140" s="178"/>
      <c r="K140" s="178">
        <v>1000</v>
      </c>
      <c r="L140" s="178">
        <f t="shared" ref="L140:L141" si="51">K140</f>
        <v>1000</v>
      </c>
      <c r="M140" s="179" t="s">
        <v>22</v>
      </c>
    </row>
    <row r="141" spans="1:13" ht="13.5" customHeight="1" x14ac:dyDescent="0.3">
      <c r="A141" s="176" t="s">
        <v>350</v>
      </c>
      <c r="B141" s="177" t="s">
        <v>14</v>
      </c>
      <c r="C141" s="178" t="s">
        <v>83</v>
      </c>
      <c r="D141" s="177" t="s">
        <v>84</v>
      </c>
      <c r="E141" s="177" t="s">
        <v>25</v>
      </c>
      <c r="F141" s="178"/>
      <c r="G141" s="178"/>
      <c r="H141" s="178"/>
      <c r="I141" s="178"/>
      <c r="J141" s="178"/>
      <c r="K141" s="178">
        <v>600</v>
      </c>
      <c r="L141" s="178">
        <f t="shared" si="51"/>
        <v>600</v>
      </c>
      <c r="M141" s="179" t="s">
        <v>181</v>
      </c>
    </row>
    <row r="142" spans="1:13" ht="13.5" customHeight="1" x14ac:dyDescent="0.3">
      <c r="A142" s="176" t="s">
        <v>350</v>
      </c>
      <c r="B142" s="177" t="s">
        <v>14</v>
      </c>
      <c r="C142" s="178">
        <v>6871</v>
      </c>
      <c r="D142" s="177" t="s">
        <v>16</v>
      </c>
      <c r="E142" s="177" t="s">
        <v>17</v>
      </c>
      <c r="F142" s="178">
        <v>29</v>
      </c>
      <c r="G142" s="178">
        <v>0.64</v>
      </c>
      <c r="H142" s="178">
        <f>G142*F142</f>
        <v>18.559999999999999</v>
      </c>
      <c r="I142" s="178">
        <v>70</v>
      </c>
      <c r="J142" s="178">
        <v>2</v>
      </c>
      <c r="K142" s="178">
        <f t="shared" ref="K142" si="52">F142*I142</f>
        <v>2030</v>
      </c>
      <c r="L142" s="178">
        <f t="shared" ref="L142" si="53">K142*J142</f>
        <v>4060</v>
      </c>
      <c r="M142" s="179" t="s">
        <v>22</v>
      </c>
    </row>
    <row r="143" spans="1:13" ht="13.5" customHeight="1" x14ac:dyDescent="0.3">
      <c r="A143" s="176" t="s">
        <v>350</v>
      </c>
      <c r="B143" s="197" t="s">
        <v>320</v>
      </c>
      <c r="C143" s="204" t="s">
        <v>321</v>
      </c>
      <c r="D143" s="182" t="s">
        <v>322</v>
      </c>
      <c r="E143" s="198" t="s">
        <v>21</v>
      </c>
      <c r="F143" s="178"/>
      <c r="G143" s="181"/>
      <c r="H143" s="178"/>
      <c r="I143" s="178"/>
      <c r="J143" s="178"/>
      <c r="K143" s="178">
        <v>5160</v>
      </c>
      <c r="L143" s="178">
        <f t="shared" ref="L143:L151" si="54">K143</f>
        <v>5160</v>
      </c>
      <c r="M143" s="179" t="s">
        <v>332</v>
      </c>
    </row>
    <row r="144" spans="1:13" ht="13.5" customHeight="1" x14ac:dyDescent="0.3">
      <c r="A144" s="176" t="s">
        <v>350</v>
      </c>
      <c r="B144" s="197" t="s">
        <v>320</v>
      </c>
      <c r="C144" s="204" t="s">
        <v>321</v>
      </c>
      <c r="D144" s="182" t="s">
        <v>322</v>
      </c>
      <c r="E144" s="200" t="s">
        <v>35</v>
      </c>
      <c r="F144" s="178"/>
      <c r="G144" s="181"/>
      <c r="H144" s="178"/>
      <c r="I144" s="178"/>
      <c r="J144" s="178"/>
      <c r="K144" s="178">
        <v>3870</v>
      </c>
      <c r="L144" s="178">
        <f t="shared" si="54"/>
        <v>3870</v>
      </c>
      <c r="M144" s="179" t="s">
        <v>26</v>
      </c>
    </row>
    <row r="145" spans="1:13" ht="13.5" customHeight="1" x14ac:dyDescent="0.3">
      <c r="A145" s="176" t="s">
        <v>350</v>
      </c>
      <c r="B145" s="197" t="s">
        <v>320</v>
      </c>
      <c r="C145" s="204" t="s">
        <v>321</v>
      </c>
      <c r="D145" s="182" t="s">
        <v>322</v>
      </c>
      <c r="E145" s="201" t="s">
        <v>39</v>
      </c>
      <c r="F145" s="178"/>
      <c r="G145" s="181"/>
      <c r="H145" s="178"/>
      <c r="I145" s="178"/>
      <c r="J145" s="178"/>
      <c r="K145" s="178">
        <v>860</v>
      </c>
      <c r="L145" s="178">
        <f t="shared" si="54"/>
        <v>860</v>
      </c>
      <c r="M145" s="179" t="s">
        <v>333</v>
      </c>
    </row>
    <row r="146" spans="1:13" ht="13.5" customHeight="1" x14ac:dyDescent="0.3">
      <c r="A146" s="176" t="s">
        <v>350</v>
      </c>
      <c r="B146" s="197" t="s">
        <v>320</v>
      </c>
      <c r="C146" s="205" t="s">
        <v>325</v>
      </c>
      <c r="D146" s="182" t="s">
        <v>322</v>
      </c>
      <c r="E146" s="198" t="s">
        <v>21</v>
      </c>
      <c r="F146" s="178"/>
      <c r="G146" s="181"/>
      <c r="H146" s="178"/>
      <c r="I146" s="178"/>
      <c r="J146" s="178"/>
      <c r="K146" s="178">
        <v>8000</v>
      </c>
      <c r="L146" s="178">
        <f t="shared" si="54"/>
        <v>8000</v>
      </c>
      <c r="M146" s="179" t="s">
        <v>37</v>
      </c>
    </row>
    <row r="147" spans="1:13" ht="13.5" customHeight="1" x14ac:dyDescent="0.3">
      <c r="A147" s="176" t="s">
        <v>350</v>
      </c>
      <c r="B147" s="197" t="s">
        <v>320</v>
      </c>
      <c r="C147" s="205" t="s">
        <v>325</v>
      </c>
      <c r="D147" s="182" t="s">
        <v>322</v>
      </c>
      <c r="E147" s="200" t="s">
        <v>35</v>
      </c>
      <c r="F147" s="178"/>
      <c r="G147" s="181"/>
      <c r="H147" s="178"/>
      <c r="I147" s="178"/>
      <c r="J147" s="178"/>
      <c r="K147" s="178">
        <v>5700</v>
      </c>
      <c r="L147" s="178">
        <f t="shared" si="54"/>
        <v>5700</v>
      </c>
      <c r="M147" s="179" t="s">
        <v>22</v>
      </c>
    </row>
    <row r="148" spans="1:13" ht="13.5" customHeight="1" x14ac:dyDescent="0.3">
      <c r="A148" s="176" t="s">
        <v>350</v>
      </c>
      <c r="B148" s="197" t="s">
        <v>320</v>
      </c>
      <c r="C148" s="205" t="s">
        <v>325</v>
      </c>
      <c r="D148" s="182" t="s">
        <v>322</v>
      </c>
      <c r="E148" s="201" t="s">
        <v>39</v>
      </c>
      <c r="F148" s="178"/>
      <c r="G148" s="181"/>
      <c r="H148" s="178"/>
      <c r="I148" s="178"/>
      <c r="J148" s="178"/>
      <c r="K148" s="178">
        <v>2000</v>
      </c>
      <c r="L148" s="178">
        <f t="shared" si="54"/>
        <v>2000</v>
      </c>
      <c r="M148" s="179" t="s">
        <v>91</v>
      </c>
    </row>
    <row r="149" spans="1:13" ht="13.5" customHeight="1" x14ac:dyDescent="0.3">
      <c r="A149" s="176" t="s">
        <v>350</v>
      </c>
      <c r="B149" s="177" t="s">
        <v>351</v>
      </c>
      <c r="C149" s="178" t="s">
        <v>352</v>
      </c>
      <c r="D149" s="177" t="s">
        <v>16</v>
      </c>
      <c r="E149" s="177" t="s">
        <v>17</v>
      </c>
      <c r="F149" s="178"/>
      <c r="G149" s="178"/>
      <c r="H149" s="178"/>
      <c r="I149" s="178"/>
      <c r="J149" s="178"/>
      <c r="K149" s="178">
        <v>1650</v>
      </c>
      <c r="L149" s="178">
        <f t="shared" si="54"/>
        <v>1650</v>
      </c>
      <c r="M149" s="179" t="s">
        <v>22</v>
      </c>
    </row>
    <row r="150" spans="1:13" ht="13.5" customHeight="1" x14ac:dyDescent="0.3">
      <c r="A150" s="176" t="s">
        <v>353</v>
      </c>
      <c r="B150" s="196" t="s">
        <v>23</v>
      </c>
      <c r="C150" s="178">
        <v>66772</v>
      </c>
      <c r="D150" s="177" t="s">
        <v>34</v>
      </c>
      <c r="E150" s="201" t="s">
        <v>35</v>
      </c>
      <c r="F150" s="178"/>
      <c r="G150" s="181" t="s">
        <v>77</v>
      </c>
      <c r="H150" s="178"/>
      <c r="I150" s="178"/>
      <c r="J150" s="178"/>
      <c r="K150" s="178">
        <v>4800</v>
      </c>
      <c r="L150" s="178">
        <f t="shared" si="54"/>
        <v>4800</v>
      </c>
      <c r="M150" s="179" t="s">
        <v>179</v>
      </c>
    </row>
    <row r="151" spans="1:13" ht="13.5" customHeight="1" x14ac:dyDescent="0.3">
      <c r="A151" s="176" t="s">
        <v>353</v>
      </c>
      <c r="B151" s="196" t="s">
        <v>23</v>
      </c>
      <c r="C151" s="178">
        <v>66772</v>
      </c>
      <c r="D151" s="177" t="s">
        <v>34</v>
      </c>
      <c r="E151" s="177" t="s">
        <v>39</v>
      </c>
      <c r="F151" s="178"/>
      <c r="G151" s="181" t="s">
        <v>36</v>
      </c>
      <c r="H151" s="178"/>
      <c r="I151" s="178"/>
      <c r="J151" s="178"/>
      <c r="K151" s="178">
        <v>5000</v>
      </c>
      <c r="L151" s="178">
        <f t="shared" si="54"/>
        <v>5000</v>
      </c>
      <c r="M151" s="179" t="s">
        <v>277</v>
      </c>
    </row>
    <row r="152" spans="1:13" ht="13.5" customHeight="1" x14ac:dyDescent="0.3">
      <c r="A152" s="176" t="s">
        <v>353</v>
      </c>
      <c r="B152" s="196" t="s">
        <v>23</v>
      </c>
      <c r="C152" s="178">
        <v>66772</v>
      </c>
      <c r="D152" s="177" t="s">
        <v>34</v>
      </c>
      <c r="E152" s="204" t="s">
        <v>30</v>
      </c>
      <c r="F152" s="178"/>
      <c r="G152" s="181" t="s">
        <v>78</v>
      </c>
      <c r="H152" s="178"/>
      <c r="I152" s="178"/>
      <c r="J152" s="178"/>
      <c r="K152" s="178">
        <v>4200</v>
      </c>
      <c r="L152" s="178">
        <f>K152</f>
        <v>4200</v>
      </c>
      <c r="M152" s="179" t="s">
        <v>180</v>
      </c>
    </row>
    <row r="153" spans="1:13" ht="13.5" customHeight="1" x14ac:dyDescent="0.3">
      <c r="A153" s="176" t="s">
        <v>353</v>
      </c>
      <c r="B153" s="197" t="s">
        <v>320</v>
      </c>
      <c r="C153" s="204" t="s">
        <v>321</v>
      </c>
      <c r="D153" s="182" t="s">
        <v>322</v>
      </c>
      <c r="E153" s="200" t="s">
        <v>35</v>
      </c>
      <c r="F153" s="178"/>
      <c r="G153" s="181"/>
      <c r="H153" s="178"/>
      <c r="I153" s="178"/>
      <c r="J153" s="178"/>
      <c r="K153" s="178">
        <v>2161</v>
      </c>
      <c r="L153" s="178">
        <f t="shared" ref="L153:L158" si="55">K153</f>
        <v>2161</v>
      </c>
      <c r="M153" s="179" t="s">
        <v>26</v>
      </c>
    </row>
    <row r="154" spans="1:13" ht="13.5" customHeight="1" x14ac:dyDescent="0.3">
      <c r="A154" s="176" t="s">
        <v>353</v>
      </c>
      <c r="B154" s="197" t="s">
        <v>320</v>
      </c>
      <c r="C154" s="204" t="s">
        <v>321</v>
      </c>
      <c r="D154" s="182" t="s">
        <v>322</v>
      </c>
      <c r="E154" s="201" t="s">
        <v>39</v>
      </c>
      <c r="F154" s="178"/>
      <c r="G154" s="181"/>
      <c r="H154" s="178"/>
      <c r="I154" s="178"/>
      <c r="J154" s="178"/>
      <c r="K154" s="178">
        <v>3440</v>
      </c>
      <c r="L154" s="178">
        <f t="shared" si="55"/>
        <v>3440</v>
      </c>
      <c r="M154" s="179" t="s">
        <v>333</v>
      </c>
    </row>
    <row r="155" spans="1:13" ht="13.5" customHeight="1" x14ac:dyDescent="0.3">
      <c r="A155" s="176" t="s">
        <v>353</v>
      </c>
      <c r="B155" s="197" t="s">
        <v>320</v>
      </c>
      <c r="C155" s="205" t="s">
        <v>325</v>
      </c>
      <c r="D155" s="182" t="s">
        <v>322</v>
      </c>
      <c r="E155" s="198" t="s">
        <v>21</v>
      </c>
      <c r="F155" s="178"/>
      <c r="G155" s="181"/>
      <c r="H155" s="178"/>
      <c r="I155" s="178"/>
      <c r="J155" s="178"/>
      <c r="K155" s="178">
        <v>8600</v>
      </c>
      <c r="L155" s="178">
        <f t="shared" si="55"/>
        <v>8600</v>
      </c>
      <c r="M155" s="179" t="s">
        <v>37</v>
      </c>
    </row>
    <row r="156" spans="1:13" ht="13.5" customHeight="1" x14ac:dyDescent="0.3">
      <c r="A156" s="176" t="s">
        <v>353</v>
      </c>
      <c r="B156" s="197" t="s">
        <v>320</v>
      </c>
      <c r="C156" s="205" t="s">
        <v>325</v>
      </c>
      <c r="D156" s="182" t="s">
        <v>322</v>
      </c>
      <c r="E156" s="200" t="s">
        <v>35</v>
      </c>
      <c r="F156" s="178"/>
      <c r="G156" s="181"/>
      <c r="H156" s="178"/>
      <c r="I156" s="178"/>
      <c r="J156" s="178"/>
      <c r="K156" s="178">
        <v>2000</v>
      </c>
      <c r="L156" s="178">
        <f t="shared" si="55"/>
        <v>2000</v>
      </c>
      <c r="M156" s="179" t="s">
        <v>22</v>
      </c>
    </row>
    <row r="157" spans="1:13" ht="13.5" customHeight="1" x14ac:dyDescent="0.3">
      <c r="A157" s="176" t="s">
        <v>353</v>
      </c>
      <c r="B157" s="197" t="s">
        <v>320</v>
      </c>
      <c r="C157" s="205" t="s">
        <v>325</v>
      </c>
      <c r="D157" s="182" t="s">
        <v>322</v>
      </c>
      <c r="E157" s="201" t="s">
        <v>39</v>
      </c>
      <c r="F157" s="178"/>
      <c r="G157" s="181"/>
      <c r="H157" s="178"/>
      <c r="I157" s="178"/>
      <c r="J157" s="178"/>
      <c r="K157" s="178">
        <v>4500</v>
      </c>
      <c r="L157" s="178">
        <f t="shared" si="55"/>
        <v>4500</v>
      </c>
      <c r="M157" s="179" t="s">
        <v>91</v>
      </c>
    </row>
    <row r="158" spans="1:13" ht="13.5" customHeight="1" x14ac:dyDescent="0.3">
      <c r="A158" s="176" t="s">
        <v>353</v>
      </c>
      <c r="B158" s="197" t="s">
        <v>320</v>
      </c>
      <c r="C158" s="205" t="s">
        <v>325</v>
      </c>
      <c r="D158" s="182" t="s">
        <v>322</v>
      </c>
      <c r="E158" s="202" t="s">
        <v>324</v>
      </c>
      <c r="F158" s="178"/>
      <c r="G158" s="181"/>
      <c r="H158" s="178"/>
      <c r="I158" s="178"/>
      <c r="J158" s="178"/>
      <c r="K158" s="178">
        <v>5000</v>
      </c>
      <c r="L158" s="178">
        <f t="shared" si="55"/>
        <v>5000</v>
      </c>
      <c r="M158" s="179" t="s">
        <v>181</v>
      </c>
    </row>
    <row r="159" spans="1:13" ht="13.5" customHeight="1" x14ac:dyDescent="0.3">
      <c r="A159" s="176" t="s">
        <v>353</v>
      </c>
      <c r="B159" s="204" t="s">
        <v>44</v>
      </c>
      <c r="C159" s="178" t="s">
        <v>45</v>
      </c>
      <c r="D159" s="177" t="s">
        <v>46</v>
      </c>
      <c r="E159" s="177" t="s">
        <v>21</v>
      </c>
      <c r="F159" s="178">
        <v>373</v>
      </c>
      <c r="G159" s="178">
        <v>0.46</v>
      </c>
      <c r="H159" s="178">
        <f t="shared" ref="H159" si="56">F159*G159</f>
        <v>171.58</v>
      </c>
      <c r="I159" s="178">
        <v>22</v>
      </c>
      <c r="J159" s="178">
        <v>2</v>
      </c>
      <c r="K159" s="178">
        <f t="shared" ref="K159" si="57">F159*I159</f>
        <v>8206</v>
      </c>
      <c r="L159" s="178">
        <f t="shared" ref="L159" si="58">K159*J159</f>
        <v>16412</v>
      </c>
      <c r="M159" s="179" t="s">
        <v>22</v>
      </c>
    </row>
    <row r="160" spans="1:13" ht="13.5" customHeight="1" x14ac:dyDescent="0.3">
      <c r="A160" s="176" t="s">
        <v>354</v>
      </c>
      <c r="B160" s="197" t="s">
        <v>320</v>
      </c>
      <c r="C160" s="204" t="s">
        <v>321</v>
      </c>
      <c r="D160" s="182" t="s">
        <v>322</v>
      </c>
      <c r="E160" s="201" t="s">
        <v>39</v>
      </c>
      <c r="F160" s="178"/>
      <c r="G160" s="181"/>
      <c r="H160" s="178"/>
      <c r="I160" s="178"/>
      <c r="J160" s="178"/>
      <c r="K160" s="178">
        <v>850</v>
      </c>
      <c r="L160" s="178">
        <f t="shared" ref="L160:L165" si="59">K160</f>
        <v>850</v>
      </c>
      <c r="M160" s="179" t="s">
        <v>333</v>
      </c>
    </row>
    <row r="161" spans="1:13" ht="13.5" customHeight="1" x14ac:dyDescent="0.3">
      <c r="A161" s="176" t="s">
        <v>354</v>
      </c>
      <c r="B161" s="197" t="s">
        <v>320</v>
      </c>
      <c r="C161" s="205" t="s">
        <v>325</v>
      </c>
      <c r="D161" s="182" t="s">
        <v>322</v>
      </c>
      <c r="E161" s="198" t="s">
        <v>21</v>
      </c>
      <c r="F161" s="178"/>
      <c r="G161" s="181"/>
      <c r="H161" s="178"/>
      <c r="I161" s="178"/>
      <c r="J161" s="178"/>
      <c r="K161" s="178">
        <v>4800</v>
      </c>
      <c r="L161" s="178">
        <f t="shared" si="59"/>
        <v>4800</v>
      </c>
      <c r="M161" s="179" t="s">
        <v>37</v>
      </c>
    </row>
    <row r="162" spans="1:13" ht="13.5" customHeight="1" x14ac:dyDescent="0.3">
      <c r="A162" s="176" t="s">
        <v>354</v>
      </c>
      <c r="B162" s="197" t="s">
        <v>320</v>
      </c>
      <c r="C162" s="205" t="s">
        <v>325</v>
      </c>
      <c r="D162" s="182" t="s">
        <v>322</v>
      </c>
      <c r="E162" s="200" t="s">
        <v>35</v>
      </c>
      <c r="F162" s="178"/>
      <c r="G162" s="181"/>
      <c r="H162" s="178"/>
      <c r="I162" s="178"/>
      <c r="J162" s="178"/>
      <c r="K162" s="178">
        <v>5000</v>
      </c>
      <c r="L162" s="178">
        <f t="shared" si="59"/>
        <v>5000</v>
      </c>
      <c r="M162" s="179" t="s">
        <v>22</v>
      </c>
    </row>
    <row r="163" spans="1:13" ht="13.5" customHeight="1" x14ac:dyDescent="0.3">
      <c r="A163" s="176" t="s">
        <v>354</v>
      </c>
      <c r="B163" s="197" t="s">
        <v>320</v>
      </c>
      <c r="C163" s="205" t="s">
        <v>325</v>
      </c>
      <c r="D163" s="182" t="s">
        <v>322</v>
      </c>
      <c r="E163" s="201" t="s">
        <v>39</v>
      </c>
      <c r="F163" s="178"/>
      <c r="G163" s="181"/>
      <c r="H163" s="178"/>
      <c r="I163" s="178"/>
      <c r="J163" s="178"/>
      <c r="K163" s="178">
        <v>5000</v>
      </c>
      <c r="L163" s="178">
        <f t="shared" si="59"/>
        <v>5000</v>
      </c>
      <c r="M163" s="179" t="s">
        <v>91</v>
      </c>
    </row>
    <row r="164" spans="1:13" ht="13.5" customHeight="1" x14ac:dyDescent="0.3">
      <c r="A164" s="176" t="s">
        <v>354</v>
      </c>
      <c r="B164" s="197" t="s">
        <v>320</v>
      </c>
      <c r="C164" s="205" t="s">
        <v>325</v>
      </c>
      <c r="D164" s="182" t="s">
        <v>322</v>
      </c>
      <c r="E164" s="202" t="s">
        <v>324</v>
      </c>
      <c r="F164" s="178"/>
      <c r="G164" s="181"/>
      <c r="H164" s="178"/>
      <c r="I164" s="178"/>
      <c r="J164" s="178"/>
      <c r="K164" s="178">
        <v>5900</v>
      </c>
      <c r="L164" s="178">
        <f t="shared" si="59"/>
        <v>5900</v>
      </c>
      <c r="M164" s="179" t="s">
        <v>181</v>
      </c>
    </row>
    <row r="165" spans="1:13" ht="13.5" customHeight="1" x14ac:dyDescent="0.3">
      <c r="A165" s="176" t="s">
        <v>354</v>
      </c>
      <c r="B165" s="196" t="s">
        <v>23</v>
      </c>
      <c r="C165" s="178">
        <v>66772</v>
      </c>
      <c r="D165" s="177" t="s">
        <v>34</v>
      </c>
      <c r="E165" s="201" t="s">
        <v>35</v>
      </c>
      <c r="F165" s="178"/>
      <c r="G165" s="181" t="s">
        <v>77</v>
      </c>
      <c r="H165" s="178"/>
      <c r="I165" s="178"/>
      <c r="J165" s="178"/>
      <c r="K165" s="178">
        <v>4400</v>
      </c>
      <c r="L165" s="178">
        <f t="shared" si="59"/>
        <v>4400</v>
      </c>
      <c r="M165" s="179" t="s">
        <v>179</v>
      </c>
    </row>
    <row r="166" spans="1:13" ht="13.5" customHeight="1" x14ac:dyDescent="0.3">
      <c r="A166" s="176" t="s">
        <v>354</v>
      </c>
      <c r="B166" s="152" t="s">
        <v>14</v>
      </c>
      <c r="C166" s="151">
        <v>5036</v>
      </c>
      <c r="D166" s="152" t="s">
        <v>16</v>
      </c>
      <c r="E166" s="152" t="s">
        <v>17</v>
      </c>
      <c r="F166" s="151">
        <v>115</v>
      </c>
      <c r="G166" s="151">
        <v>0.32500000000000001</v>
      </c>
      <c r="H166" s="151">
        <f t="shared" ref="H166" si="60">F166*G166</f>
        <v>37.375</v>
      </c>
      <c r="I166" s="151">
        <v>62</v>
      </c>
      <c r="J166" s="151">
        <v>4</v>
      </c>
      <c r="K166" s="151">
        <f t="shared" ref="K166" si="61">F166*I166</f>
        <v>7130</v>
      </c>
      <c r="L166" s="151">
        <f>K166*J166</f>
        <v>28520</v>
      </c>
      <c r="M166" s="155" t="s">
        <v>22</v>
      </c>
    </row>
    <row r="167" spans="1:13" ht="13.5" customHeight="1" x14ac:dyDescent="0.3">
      <c r="A167" s="176" t="s">
        <v>355</v>
      </c>
      <c r="B167" s="196" t="s">
        <v>23</v>
      </c>
      <c r="C167" s="178">
        <v>66772</v>
      </c>
      <c r="D167" s="177" t="s">
        <v>34</v>
      </c>
      <c r="E167" s="201" t="s">
        <v>35</v>
      </c>
      <c r="F167" s="178"/>
      <c r="G167" s="181" t="s">
        <v>77</v>
      </c>
      <c r="H167" s="178"/>
      <c r="I167" s="178"/>
      <c r="J167" s="178"/>
      <c r="K167" s="178">
        <v>6100</v>
      </c>
      <c r="L167" s="178">
        <f t="shared" ref="L167:L168" si="62">K167</f>
        <v>6100</v>
      </c>
      <c r="M167" s="179" t="s">
        <v>179</v>
      </c>
    </row>
    <row r="168" spans="1:13" ht="13.5" customHeight="1" x14ac:dyDescent="0.3">
      <c r="A168" s="176" t="s">
        <v>355</v>
      </c>
      <c r="B168" s="196" t="s">
        <v>23</v>
      </c>
      <c r="C168" s="178">
        <v>66772</v>
      </c>
      <c r="D168" s="177" t="s">
        <v>34</v>
      </c>
      <c r="E168" s="177" t="s">
        <v>39</v>
      </c>
      <c r="F168" s="178"/>
      <c r="G168" s="181" t="s">
        <v>36</v>
      </c>
      <c r="H168" s="178"/>
      <c r="I168" s="178"/>
      <c r="J168" s="178"/>
      <c r="K168" s="178">
        <v>6000</v>
      </c>
      <c r="L168" s="178">
        <f t="shared" si="62"/>
        <v>6000</v>
      </c>
      <c r="M168" s="179" t="s">
        <v>277</v>
      </c>
    </row>
    <row r="169" spans="1:13" ht="13.5" customHeight="1" x14ac:dyDescent="0.3">
      <c r="A169" s="176" t="s">
        <v>355</v>
      </c>
      <c r="B169" s="196" t="s">
        <v>23</v>
      </c>
      <c r="C169" s="178">
        <v>66772</v>
      </c>
      <c r="D169" s="177" t="s">
        <v>34</v>
      </c>
      <c r="E169" s="204" t="s">
        <v>30</v>
      </c>
      <c r="F169" s="178"/>
      <c r="G169" s="181" t="s">
        <v>78</v>
      </c>
      <c r="H169" s="178"/>
      <c r="I169" s="178"/>
      <c r="J169" s="178"/>
      <c r="K169" s="178">
        <v>5550</v>
      </c>
      <c r="L169" s="178">
        <f>K169</f>
        <v>5550</v>
      </c>
      <c r="M169" s="179" t="s">
        <v>180</v>
      </c>
    </row>
    <row r="170" spans="1:13" ht="13.5" customHeight="1" x14ac:dyDescent="0.3">
      <c r="A170" s="176" t="s">
        <v>355</v>
      </c>
      <c r="B170" s="197" t="s">
        <v>320</v>
      </c>
      <c r="C170" s="204" t="s">
        <v>321</v>
      </c>
      <c r="D170" s="182" t="s">
        <v>322</v>
      </c>
      <c r="E170" s="198" t="s">
        <v>21</v>
      </c>
      <c r="F170" s="178"/>
      <c r="G170" s="181"/>
      <c r="H170" s="178"/>
      <c r="I170" s="178"/>
      <c r="J170" s="178"/>
      <c r="K170" s="178">
        <v>3220</v>
      </c>
      <c r="L170" s="178">
        <f t="shared" ref="L170:L177" si="63">K170</f>
        <v>3220</v>
      </c>
      <c r="M170" s="179" t="s">
        <v>332</v>
      </c>
    </row>
    <row r="171" spans="1:13" ht="13.5" customHeight="1" x14ac:dyDescent="0.3">
      <c r="A171" s="176" t="s">
        <v>355</v>
      </c>
      <c r="B171" s="197" t="s">
        <v>320</v>
      </c>
      <c r="C171" s="204" t="s">
        <v>321</v>
      </c>
      <c r="D171" s="182" t="s">
        <v>322</v>
      </c>
      <c r="E171" s="200" t="s">
        <v>35</v>
      </c>
      <c r="F171" s="178"/>
      <c r="G171" s="181"/>
      <c r="H171" s="178"/>
      <c r="I171" s="178"/>
      <c r="J171" s="178"/>
      <c r="K171" s="178">
        <v>1950</v>
      </c>
      <c r="L171" s="178">
        <f t="shared" si="63"/>
        <v>1950</v>
      </c>
      <c r="M171" s="179" t="s">
        <v>26</v>
      </c>
    </row>
    <row r="172" spans="1:13" ht="13.5" customHeight="1" x14ac:dyDescent="0.3">
      <c r="A172" s="176" t="s">
        <v>355</v>
      </c>
      <c r="B172" s="197" t="s">
        <v>320</v>
      </c>
      <c r="C172" s="204" t="s">
        <v>321</v>
      </c>
      <c r="D172" s="182" t="s">
        <v>322</v>
      </c>
      <c r="E172" s="201" t="s">
        <v>39</v>
      </c>
      <c r="F172" s="178"/>
      <c r="G172" s="181"/>
      <c r="H172" s="178"/>
      <c r="I172" s="178"/>
      <c r="J172" s="178"/>
      <c r="K172" s="178">
        <v>1200</v>
      </c>
      <c r="L172" s="178">
        <f t="shared" si="63"/>
        <v>1200</v>
      </c>
      <c r="M172" s="179" t="s">
        <v>333</v>
      </c>
    </row>
    <row r="173" spans="1:13" ht="13.5" customHeight="1" x14ac:dyDescent="0.3">
      <c r="A173" s="176" t="s">
        <v>355</v>
      </c>
      <c r="B173" s="197" t="s">
        <v>320</v>
      </c>
      <c r="C173" s="205" t="s">
        <v>325</v>
      </c>
      <c r="D173" s="182" t="s">
        <v>322</v>
      </c>
      <c r="E173" s="200" t="s">
        <v>35</v>
      </c>
      <c r="F173" s="178"/>
      <c r="G173" s="181"/>
      <c r="H173" s="178"/>
      <c r="I173" s="178"/>
      <c r="J173" s="178"/>
      <c r="K173" s="178">
        <v>4500</v>
      </c>
      <c r="L173" s="178">
        <f t="shared" si="63"/>
        <v>4500</v>
      </c>
      <c r="M173" s="179" t="s">
        <v>22</v>
      </c>
    </row>
    <row r="174" spans="1:13" ht="13.5" customHeight="1" x14ac:dyDescent="0.3">
      <c r="A174" s="176" t="s">
        <v>355</v>
      </c>
      <c r="B174" s="197" t="s">
        <v>320</v>
      </c>
      <c r="C174" s="205" t="s">
        <v>325</v>
      </c>
      <c r="D174" s="182" t="s">
        <v>322</v>
      </c>
      <c r="E174" s="201" t="s">
        <v>39</v>
      </c>
      <c r="F174" s="178"/>
      <c r="G174" s="181"/>
      <c r="H174" s="178"/>
      <c r="I174" s="178"/>
      <c r="J174" s="178"/>
      <c r="K174" s="178">
        <v>4800</v>
      </c>
      <c r="L174" s="178">
        <f t="shared" si="63"/>
        <v>4800</v>
      </c>
      <c r="M174" s="179" t="s">
        <v>91</v>
      </c>
    </row>
    <row r="175" spans="1:13" ht="13.5" customHeight="1" x14ac:dyDescent="0.3">
      <c r="A175" s="176" t="s">
        <v>355</v>
      </c>
      <c r="B175" s="197" t="s">
        <v>320</v>
      </c>
      <c r="C175" s="205" t="s">
        <v>325</v>
      </c>
      <c r="D175" s="182" t="s">
        <v>322</v>
      </c>
      <c r="E175" s="202" t="s">
        <v>324</v>
      </c>
      <c r="F175" s="178"/>
      <c r="G175" s="181"/>
      <c r="H175" s="178"/>
      <c r="I175" s="178"/>
      <c r="J175" s="178"/>
      <c r="K175" s="178">
        <v>4000</v>
      </c>
      <c r="L175" s="178">
        <f t="shared" si="63"/>
        <v>4000</v>
      </c>
      <c r="M175" s="179" t="s">
        <v>181</v>
      </c>
    </row>
    <row r="176" spans="1:13" ht="13.5" customHeight="1" x14ac:dyDescent="0.3">
      <c r="A176" s="176" t="s">
        <v>356</v>
      </c>
      <c r="B176" s="196" t="s">
        <v>23</v>
      </c>
      <c r="C176" s="178">
        <v>66772</v>
      </c>
      <c r="D176" s="177" t="s">
        <v>34</v>
      </c>
      <c r="E176" s="201" t="s">
        <v>35</v>
      </c>
      <c r="F176" s="178"/>
      <c r="G176" s="181" t="s">
        <v>77</v>
      </c>
      <c r="H176" s="178"/>
      <c r="I176" s="178"/>
      <c r="J176" s="178"/>
      <c r="K176" s="178">
        <v>4500</v>
      </c>
      <c r="L176" s="178">
        <f t="shared" si="63"/>
        <v>4500</v>
      </c>
      <c r="M176" s="179" t="s">
        <v>179</v>
      </c>
    </row>
    <row r="177" spans="1:13" ht="13.5" customHeight="1" x14ac:dyDescent="0.3">
      <c r="A177" s="176" t="s">
        <v>356</v>
      </c>
      <c r="B177" s="196" t="s">
        <v>23</v>
      </c>
      <c r="C177" s="178">
        <v>66772</v>
      </c>
      <c r="D177" s="177" t="s">
        <v>34</v>
      </c>
      <c r="E177" s="177" t="s">
        <v>39</v>
      </c>
      <c r="F177" s="178"/>
      <c r="G177" s="181" t="s">
        <v>36</v>
      </c>
      <c r="H177" s="178"/>
      <c r="I177" s="178"/>
      <c r="J177" s="178"/>
      <c r="K177" s="178">
        <v>4800</v>
      </c>
      <c r="L177" s="178">
        <f t="shared" si="63"/>
        <v>4800</v>
      </c>
      <c r="M177" s="179" t="s">
        <v>277</v>
      </c>
    </row>
    <row r="178" spans="1:13" ht="13.5" customHeight="1" x14ac:dyDescent="0.3">
      <c r="A178" s="176" t="s">
        <v>356</v>
      </c>
      <c r="B178" s="196" t="s">
        <v>23</v>
      </c>
      <c r="C178" s="178">
        <v>66772</v>
      </c>
      <c r="D178" s="177" t="s">
        <v>34</v>
      </c>
      <c r="E178" s="204" t="s">
        <v>30</v>
      </c>
      <c r="F178" s="178"/>
      <c r="G178" s="181" t="s">
        <v>78</v>
      </c>
      <c r="H178" s="178"/>
      <c r="I178" s="178"/>
      <c r="J178" s="178"/>
      <c r="K178" s="178">
        <v>6300</v>
      </c>
      <c r="L178" s="178">
        <f>K178</f>
        <v>6300</v>
      </c>
      <c r="M178" s="179" t="s">
        <v>180</v>
      </c>
    </row>
    <row r="179" spans="1:13" ht="13.5" customHeight="1" x14ac:dyDescent="0.3">
      <c r="A179" s="176" t="s">
        <v>356</v>
      </c>
      <c r="B179" s="197" t="s">
        <v>320</v>
      </c>
      <c r="C179" s="204" t="s">
        <v>321</v>
      </c>
      <c r="D179" s="182" t="s">
        <v>322</v>
      </c>
      <c r="E179" s="198" t="s">
        <v>21</v>
      </c>
      <c r="F179" s="178"/>
      <c r="G179" s="181"/>
      <c r="H179" s="178"/>
      <c r="I179" s="178"/>
      <c r="J179" s="178"/>
      <c r="K179" s="178">
        <f>1935+1049</f>
        <v>2984</v>
      </c>
      <c r="L179" s="178">
        <f t="shared" ref="L179:L184" si="64">K179</f>
        <v>2984</v>
      </c>
      <c r="M179" s="179" t="s">
        <v>332</v>
      </c>
    </row>
    <row r="180" spans="1:13" ht="13.5" customHeight="1" x14ac:dyDescent="0.3">
      <c r="A180" s="176" t="s">
        <v>356</v>
      </c>
      <c r="B180" s="197" t="s">
        <v>320</v>
      </c>
      <c r="C180" s="204" t="s">
        <v>321</v>
      </c>
      <c r="D180" s="182" t="s">
        <v>322</v>
      </c>
      <c r="E180" s="200" t="s">
        <v>35</v>
      </c>
      <c r="F180" s="178"/>
      <c r="G180" s="181"/>
      <c r="H180" s="178"/>
      <c r="I180" s="178"/>
      <c r="J180" s="178"/>
      <c r="K180" s="178">
        <v>3200</v>
      </c>
      <c r="L180" s="178">
        <f t="shared" si="64"/>
        <v>3200</v>
      </c>
      <c r="M180" s="179" t="s">
        <v>26</v>
      </c>
    </row>
    <row r="181" spans="1:13" ht="13.5" customHeight="1" x14ac:dyDescent="0.3">
      <c r="A181" s="176" t="s">
        <v>356</v>
      </c>
      <c r="B181" s="197" t="s">
        <v>320</v>
      </c>
      <c r="C181" s="204" t="s">
        <v>321</v>
      </c>
      <c r="D181" s="182" t="s">
        <v>322</v>
      </c>
      <c r="E181" s="201" t="s">
        <v>39</v>
      </c>
      <c r="F181" s="178"/>
      <c r="G181" s="181"/>
      <c r="H181" s="178"/>
      <c r="I181" s="178"/>
      <c r="J181" s="178"/>
      <c r="K181" s="178">
        <v>3950</v>
      </c>
      <c r="L181" s="178">
        <f t="shared" si="64"/>
        <v>3950</v>
      </c>
      <c r="M181" s="179" t="s">
        <v>333</v>
      </c>
    </row>
    <row r="182" spans="1:13" ht="13.5" customHeight="1" x14ac:dyDescent="0.3">
      <c r="A182" s="176" t="s">
        <v>356</v>
      </c>
      <c r="B182" s="197" t="s">
        <v>320</v>
      </c>
      <c r="C182" s="205" t="s">
        <v>325</v>
      </c>
      <c r="D182" s="182" t="s">
        <v>322</v>
      </c>
      <c r="E182" s="200" t="s">
        <v>35</v>
      </c>
      <c r="F182" s="178"/>
      <c r="G182" s="181"/>
      <c r="H182" s="178"/>
      <c r="I182" s="178"/>
      <c r="J182" s="178"/>
      <c r="K182" s="178">
        <v>4000</v>
      </c>
      <c r="L182" s="178">
        <f t="shared" si="64"/>
        <v>4000</v>
      </c>
      <c r="M182" s="179" t="s">
        <v>22</v>
      </c>
    </row>
    <row r="183" spans="1:13" ht="13.5" customHeight="1" x14ac:dyDescent="0.3">
      <c r="A183" s="176" t="s">
        <v>356</v>
      </c>
      <c r="B183" s="197" t="s">
        <v>320</v>
      </c>
      <c r="C183" s="205" t="s">
        <v>325</v>
      </c>
      <c r="D183" s="182" t="s">
        <v>322</v>
      </c>
      <c r="E183" s="201" t="s">
        <v>39</v>
      </c>
      <c r="F183" s="178"/>
      <c r="G183" s="181"/>
      <c r="H183" s="178"/>
      <c r="I183" s="178"/>
      <c r="J183" s="178"/>
      <c r="K183" s="178">
        <v>4000</v>
      </c>
      <c r="L183" s="178">
        <f t="shared" si="64"/>
        <v>4000</v>
      </c>
      <c r="M183" s="179" t="s">
        <v>91</v>
      </c>
    </row>
    <row r="184" spans="1:13" ht="13.5" customHeight="1" x14ac:dyDescent="0.3">
      <c r="A184" s="176" t="s">
        <v>356</v>
      </c>
      <c r="B184" s="197" t="s">
        <v>320</v>
      </c>
      <c r="C184" s="205" t="s">
        <v>325</v>
      </c>
      <c r="D184" s="182" t="s">
        <v>322</v>
      </c>
      <c r="E184" s="202" t="s">
        <v>324</v>
      </c>
      <c r="F184" s="178"/>
      <c r="G184" s="181"/>
      <c r="H184" s="178"/>
      <c r="I184" s="178"/>
      <c r="J184" s="178"/>
      <c r="K184" s="178">
        <v>4100</v>
      </c>
      <c r="L184" s="178">
        <f t="shared" si="64"/>
        <v>4100</v>
      </c>
      <c r="M184" s="179" t="s">
        <v>181</v>
      </c>
    </row>
    <row r="185" spans="1:13" ht="13.5" customHeight="1" x14ac:dyDescent="0.3">
      <c r="A185" s="176" t="s">
        <v>356</v>
      </c>
      <c r="B185" s="177" t="s">
        <v>14</v>
      </c>
      <c r="C185" s="178">
        <v>8283</v>
      </c>
      <c r="D185" s="177" t="s">
        <v>344</v>
      </c>
      <c r="E185" s="177" t="s">
        <v>25</v>
      </c>
      <c r="F185" s="178"/>
      <c r="G185" s="178"/>
      <c r="H185" s="178"/>
      <c r="I185" s="178"/>
      <c r="J185" s="178"/>
      <c r="K185" s="178">
        <v>2200</v>
      </c>
      <c r="L185" s="178">
        <f>K185</f>
        <v>2200</v>
      </c>
      <c r="M185" s="179" t="s">
        <v>179</v>
      </c>
    </row>
    <row r="186" spans="1:13" ht="13.5" customHeight="1" x14ac:dyDescent="0.3">
      <c r="A186" s="176" t="s">
        <v>356</v>
      </c>
      <c r="B186" s="177" t="s">
        <v>14</v>
      </c>
      <c r="C186" s="178">
        <v>2576</v>
      </c>
      <c r="D186" s="177" t="s">
        <v>346</v>
      </c>
      <c r="E186" s="177" t="s">
        <v>25</v>
      </c>
      <c r="F186" s="178"/>
      <c r="G186" s="178"/>
      <c r="H186" s="178"/>
      <c r="I186" s="178"/>
      <c r="J186" s="178"/>
      <c r="K186" s="178">
        <v>1000</v>
      </c>
      <c r="L186" s="178">
        <f>K186</f>
        <v>1000</v>
      </c>
      <c r="M186" s="179" t="s">
        <v>37</v>
      </c>
    </row>
    <row r="187" spans="1:13" ht="13.5" customHeight="1" x14ac:dyDescent="0.3">
      <c r="A187" s="176" t="s">
        <v>357</v>
      </c>
      <c r="B187" s="196" t="s">
        <v>23</v>
      </c>
      <c r="C187" s="178">
        <v>66772</v>
      </c>
      <c r="D187" s="177" t="s">
        <v>34</v>
      </c>
      <c r="E187" s="177" t="s">
        <v>39</v>
      </c>
      <c r="F187" s="178"/>
      <c r="G187" s="181" t="s">
        <v>36</v>
      </c>
      <c r="H187" s="178"/>
      <c r="I187" s="178"/>
      <c r="J187" s="178"/>
      <c r="K187" s="178">
        <v>6000</v>
      </c>
      <c r="L187" s="178">
        <f t="shared" ref="L187" si="65">K187</f>
        <v>6000</v>
      </c>
      <c r="M187" s="179" t="s">
        <v>277</v>
      </c>
    </row>
    <row r="188" spans="1:13" ht="13.5" customHeight="1" x14ac:dyDescent="0.3">
      <c r="A188" s="176" t="s">
        <v>357</v>
      </c>
      <c r="B188" s="196" t="s">
        <v>23</v>
      </c>
      <c r="C188" s="178">
        <v>66772</v>
      </c>
      <c r="D188" s="177" t="s">
        <v>34</v>
      </c>
      <c r="E188" s="204" t="s">
        <v>30</v>
      </c>
      <c r="F188" s="178"/>
      <c r="G188" s="181" t="s">
        <v>78</v>
      </c>
      <c r="H188" s="178"/>
      <c r="I188" s="178"/>
      <c r="J188" s="178"/>
      <c r="K188" s="178">
        <v>3200</v>
      </c>
      <c r="L188" s="178">
        <f>K188</f>
        <v>3200</v>
      </c>
      <c r="M188" s="179" t="s">
        <v>180</v>
      </c>
    </row>
    <row r="189" spans="1:13" ht="13.5" customHeight="1" x14ac:dyDescent="0.3">
      <c r="A189" s="176" t="s">
        <v>357</v>
      </c>
      <c r="B189" s="197" t="s">
        <v>320</v>
      </c>
      <c r="C189" s="204" t="s">
        <v>321</v>
      </c>
      <c r="D189" s="182" t="s">
        <v>322</v>
      </c>
      <c r="E189" s="198" t="s">
        <v>21</v>
      </c>
      <c r="F189" s="178"/>
      <c r="G189" s="181"/>
      <c r="H189" s="178"/>
      <c r="I189" s="178"/>
      <c r="J189" s="178"/>
      <c r="K189" s="178">
        <v>1634</v>
      </c>
      <c r="L189" s="178">
        <f t="shared" ref="L189:L194" si="66">K189</f>
        <v>1634</v>
      </c>
      <c r="M189" s="179" t="s">
        <v>332</v>
      </c>
    </row>
    <row r="190" spans="1:13" ht="13.5" customHeight="1" x14ac:dyDescent="0.3">
      <c r="A190" s="176" t="s">
        <v>357</v>
      </c>
      <c r="B190" s="197" t="s">
        <v>320</v>
      </c>
      <c r="C190" s="204" t="s">
        <v>321</v>
      </c>
      <c r="D190" s="182" t="s">
        <v>322</v>
      </c>
      <c r="E190" s="200" t="s">
        <v>35</v>
      </c>
      <c r="F190" s="178"/>
      <c r="G190" s="181"/>
      <c r="H190" s="178"/>
      <c r="I190" s="178"/>
      <c r="J190" s="178"/>
      <c r="K190" s="178">
        <v>2650</v>
      </c>
      <c r="L190" s="178">
        <f t="shared" si="66"/>
        <v>2650</v>
      </c>
      <c r="M190" s="179" t="s">
        <v>26</v>
      </c>
    </row>
    <row r="191" spans="1:13" ht="13.5" customHeight="1" x14ac:dyDescent="0.3">
      <c r="A191" s="176" t="s">
        <v>357</v>
      </c>
      <c r="B191" s="197" t="s">
        <v>320</v>
      </c>
      <c r="C191" s="204" t="s">
        <v>321</v>
      </c>
      <c r="D191" s="182" t="s">
        <v>322</v>
      </c>
      <c r="E191" s="201" t="s">
        <v>39</v>
      </c>
      <c r="F191" s="178"/>
      <c r="G191" s="181"/>
      <c r="H191" s="178"/>
      <c r="I191" s="178"/>
      <c r="J191" s="178"/>
      <c r="K191" s="178">
        <v>850</v>
      </c>
      <c r="L191" s="178">
        <f t="shared" si="66"/>
        <v>850</v>
      </c>
      <c r="M191" s="179" t="s">
        <v>333</v>
      </c>
    </row>
    <row r="192" spans="1:13" ht="13.5" customHeight="1" x14ac:dyDescent="0.3">
      <c r="A192" s="176" t="s">
        <v>357</v>
      </c>
      <c r="B192" s="197" t="s">
        <v>320</v>
      </c>
      <c r="C192" s="205" t="s">
        <v>325</v>
      </c>
      <c r="D192" s="182" t="s">
        <v>322</v>
      </c>
      <c r="E192" s="201" t="s">
        <v>39</v>
      </c>
      <c r="F192" s="178"/>
      <c r="G192" s="181"/>
      <c r="H192" s="178"/>
      <c r="I192" s="178"/>
      <c r="J192" s="178"/>
      <c r="K192" s="178">
        <v>3500</v>
      </c>
      <c r="L192" s="178">
        <f t="shared" si="66"/>
        <v>3500</v>
      </c>
      <c r="M192" s="179" t="s">
        <v>91</v>
      </c>
    </row>
    <row r="193" spans="1:13" ht="13.5" customHeight="1" x14ac:dyDescent="0.3">
      <c r="A193" s="176" t="s">
        <v>357</v>
      </c>
      <c r="B193" s="197" t="s">
        <v>320</v>
      </c>
      <c r="C193" s="205" t="s">
        <v>325</v>
      </c>
      <c r="D193" s="182" t="s">
        <v>322</v>
      </c>
      <c r="E193" s="202" t="s">
        <v>324</v>
      </c>
      <c r="F193" s="178"/>
      <c r="G193" s="181"/>
      <c r="H193" s="178"/>
      <c r="I193" s="178"/>
      <c r="J193" s="178"/>
      <c r="K193" s="178">
        <v>3500</v>
      </c>
      <c r="L193" s="178">
        <f t="shared" si="66"/>
        <v>3500</v>
      </c>
      <c r="M193" s="179" t="s">
        <v>181</v>
      </c>
    </row>
    <row r="194" spans="1:13" ht="13.5" customHeight="1" x14ac:dyDescent="0.3">
      <c r="A194" s="176" t="s">
        <v>357</v>
      </c>
      <c r="B194" s="177" t="s">
        <v>14</v>
      </c>
      <c r="C194" s="178">
        <v>7479</v>
      </c>
      <c r="D194" s="177" t="s">
        <v>20</v>
      </c>
      <c r="E194" s="177" t="s">
        <v>25</v>
      </c>
      <c r="F194" s="178"/>
      <c r="G194" s="178"/>
      <c r="H194" s="178"/>
      <c r="I194" s="178"/>
      <c r="J194" s="178">
        <v>1</v>
      </c>
      <c r="K194" s="178">
        <v>3110</v>
      </c>
      <c r="L194" s="178">
        <f t="shared" si="66"/>
        <v>3110</v>
      </c>
      <c r="M194" s="179" t="s">
        <v>181</v>
      </c>
    </row>
    <row r="195" spans="1:13" ht="13.5" customHeight="1" x14ac:dyDescent="0.3">
      <c r="A195" s="176" t="s">
        <v>357</v>
      </c>
      <c r="B195" s="177" t="s">
        <v>14</v>
      </c>
      <c r="C195" s="178">
        <v>5036</v>
      </c>
      <c r="D195" s="177" t="s">
        <v>16</v>
      </c>
      <c r="E195" s="177" t="s">
        <v>17</v>
      </c>
      <c r="F195" s="178">
        <v>32</v>
      </c>
      <c r="G195" s="178">
        <v>0.32500000000000001</v>
      </c>
      <c r="H195" s="178">
        <f t="shared" ref="H195" si="67">F195*G195</f>
        <v>10.4</v>
      </c>
      <c r="I195" s="178">
        <v>62</v>
      </c>
      <c r="J195" s="178">
        <v>4</v>
      </c>
      <c r="K195" s="178">
        <f t="shared" ref="K195" si="68">F195*I195</f>
        <v>1984</v>
      </c>
      <c r="L195" s="178">
        <f>K195*J195</f>
        <v>7936</v>
      </c>
      <c r="M195" s="179" t="s">
        <v>22</v>
      </c>
    </row>
    <row r="196" spans="1:13" ht="13.5" customHeight="1" x14ac:dyDescent="0.3">
      <c r="A196" s="176" t="s">
        <v>357</v>
      </c>
      <c r="B196" s="177" t="s">
        <v>14</v>
      </c>
      <c r="C196" s="178">
        <v>8283</v>
      </c>
      <c r="D196" s="177" t="s">
        <v>344</v>
      </c>
      <c r="E196" s="177" t="s">
        <v>17</v>
      </c>
      <c r="F196" s="178"/>
      <c r="G196" s="178"/>
      <c r="H196" s="178"/>
      <c r="I196" s="178"/>
      <c r="J196" s="178"/>
      <c r="K196" s="178">
        <v>1600</v>
      </c>
      <c r="L196" s="178">
        <f>K196</f>
        <v>1600</v>
      </c>
      <c r="M196" s="179" t="s">
        <v>179</v>
      </c>
    </row>
    <row r="197" spans="1:13" ht="13.5" customHeight="1" x14ac:dyDescent="0.3">
      <c r="A197" s="176" t="s">
        <v>357</v>
      </c>
      <c r="B197" s="196" t="s">
        <v>23</v>
      </c>
      <c r="C197" s="178">
        <v>65548</v>
      </c>
      <c r="D197" s="182" t="s">
        <v>24</v>
      </c>
      <c r="E197" s="180" t="s">
        <v>25</v>
      </c>
      <c r="F197" s="178"/>
      <c r="G197" s="181"/>
      <c r="H197" s="178"/>
      <c r="I197" s="178"/>
      <c r="J197" s="178"/>
      <c r="K197" s="178">
        <v>2150</v>
      </c>
      <c r="L197" s="178">
        <f t="shared" ref="L197:L198" si="69">K197</f>
        <v>2150</v>
      </c>
      <c r="M197" s="179" t="s">
        <v>179</v>
      </c>
    </row>
    <row r="198" spans="1:13" ht="13.5" customHeight="1" x14ac:dyDescent="0.3">
      <c r="A198" s="176" t="s">
        <v>357</v>
      </c>
      <c r="B198" s="196" t="s">
        <v>23</v>
      </c>
      <c r="C198" s="178">
        <v>65548</v>
      </c>
      <c r="D198" s="182" t="s">
        <v>24</v>
      </c>
      <c r="E198" s="204" t="s">
        <v>30</v>
      </c>
      <c r="F198" s="178"/>
      <c r="G198" s="181"/>
      <c r="H198" s="178"/>
      <c r="I198" s="178"/>
      <c r="J198" s="178"/>
      <c r="K198" s="178">
        <v>1400</v>
      </c>
      <c r="L198" s="178">
        <f t="shared" si="69"/>
        <v>1400</v>
      </c>
      <c r="M198" s="179" t="s">
        <v>180</v>
      </c>
    </row>
    <row r="199" spans="1:13" ht="13.5" customHeight="1" x14ac:dyDescent="0.3">
      <c r="A199" s="176" t="s">
        <v>358</v>
      </c>
      <c r="B199" s="196" t="s">
        <v>23</v>
      </c>
      <c r="C199" s="178">
        <v>65548</v>
      </c>
      <c r="D199" s="182" t="s">
        <v>24</v>
      </c>
      <c r="E199" s="180" t="s">
        <v>25</v>
      </c>
      <c r="F199" s="178"/>
      <c r="G199" s="181"/>
      <c r="H199" s="178"/>
      <c r="I199" s="178"/>
      <c r="J199" s="178"/>
      <c r="K199" s="178">
        <v>6550</v>
      </c>
      <c r="L199" s="178">
        <f t="shared" ref="L199:L206" si="70">K199</f>
        <v>6550</v>
      </c>
      <c r="M199" s="179" t="s">
        <v>179</v>
      </c>
    </row>
    <row r="200" spans="1:13" ht="13.5" customHeight="1" x14ac:dyDescent="0.3">
      <c r="A200" s="176" t="s">
        <v>358</v>
      </c>
      <c r="B200" s="196" t="s">
        <v>23</v>
      </c>
      <c r="C200" s="178">
        <v>65548</v>
      </c>
      <c r="D200" s="182" t="s">
        <v>24</v>
      </c>
      <c r="E200" s="204" t="s">
        <v>30</v>
      </c>
      <c r="F200" s="178"/>
      <c r="G200" s="181"/>
      <c r="H200" s="178"/>
      <c r="I200" s="178"/>
      <c r="J200" s="178"/>
      <c r="K200" s="178">
        <v>6300</v>
      </c>
      <c r="L200" s="178">
        <f t="shared" si="70"/>
        <v>6300</v>
      </c>
      <c r="M200" s="179" t="s">
        <v>180</v>
      </c>
    </row>
    <row r="201" spans="1:13" ht="13.5" customHeight="1" x14ac:dyDescent="0.3">
      <c r="A201" s="176" t="s">
        <v>358</v>
      </c>
      <c r="B201" s="197" t="s">
        <v>320</v>
      </c>
      <c r="C201" s="204" t="s">
        <v>321</v>
      </c>
      <c r="D201" s="182" t="s">
        <v>322</v>
      </c>
      <c r="E201" s="198" t="s">
        <v>21</v>
      </c>
      <c r="F201" s="178"/>
      <c r="G201" s="181"/>
      <c r="H201" s="178"/>
      <c r="I201" s="178"/>
      <c r="J201" s="178"/>
      <c r="K201" s="178">
        <v>500</v>
      </c>
      <c r="L201" s="178">
        <f t="shared" si="70"/>
        <v>500</v>
      </c>
      <c r="M201" s="179" t="s">
        <v>332</v>
      </c>
    </row>
    <row r="202" spans="1:13" ht="13.5" customHeight="1" x14ac:dyDescent="0.3">
      <c r="A202" s="176" t="s">
        <v>358</v>
      </c>
      <c r="B202" s="197" t="s">
        <v>320</v>
      </c>
      <c r="C202" s="204" t="s">
        <v>321</v>
      </c>
      <c r="D202" s="182" t="s">
        <v>322</v>
      </c>
      <c r="E202" s="200" t="s">
        <v>35</v>
      </c>
      <c r="F202" s="178"/>
      <c r="G202" s="181"/>
      <c r="H202" s="178"/>
      <c r="I202" s="178"/>
      <c r="J202" s="178"/>
      <c r="K202" s="178">
        <v>2100</v>
      </c>
      <c r="L202" s="178">
        <f t="shared" si="70"/>
        <v>2100</v>
      </c>
      <c r="M202" s="179" t="s">
        <v>26</v>
      </c>
    </row>
    <row r="203" spans="1:13" ht="13.5" customHeight="1" x14ac:dyDescent="0.3">
      <c r="A203" s="176" t="s">
        <v>358</v>
      </c>
      <c r="B203" s="197" t="s">
        <v>320</v>
      </c>
      <c r="C203" s="204" t="s">
        <v>321</v>
      </c>
      <c r="D203" s="182" t="s">
        <v>322</v>
      </c>
      <c r="E203" s="201" t="s">
        <v>39</v>
      </c>
      <c r="F203" s="178"/>
      <c r="G203" s="181"/>
      <c r="H203" s="178"/>
      <c r="I203" s="178"/>
      <c r="J203" s="178"/>
      <c r="K203" s="178">
        <v>3900</v>
      </c>
      <c r="L203" s="178">
        <f t="shared" si="70"/>
        <v>3900</v>
      </c>
      <c r="M203" s="179" t="s">
        <v>333</v>
      </c>
    </row>
    <row r="204" spans="1:13" ht="13.5" customHeight="1" x14ac:dyDescent="0.3">
      <c r="A204" s="176" t="s">
        <v>358</v>
      </c>
      <c r="B204" s="197" t="s">
        <v>320</v>
      </c>
      <c r="C204" s="205" t="s">
        <v>325</v>
      </c>
      <c r="D204" s="182" t="s">
        <v>322</v>
      </c>
      <c r="E204" s="200" t="s">
        <v>35</v>
      </c>
      <c r="F204" s="178"/>
      <c r="G204" s="181"/>
      <c r="H204" s="178"/>
      <c r="I204" s="178"/>
      <c r="J204" s="178"/>
      <c r="K204" s="178">
        <v>1000</v>
      </c>
      <c r="L204" s="178">
        <f t="shared" si="70"/>
        <v>1000</v>
      </c>
      <c r="M204" s="179" t="s">
        <v>22</v>
      </c>
    </row>
    <row r="205" spans="1:13" ht="13.5" customHeight="1" x14ac:dyDescent="0.3">
      <c r="A205" s="176" t="s">
        <v>358</v>
      </c>
      <c r="B205" s="197" t="s">
        <v>320</v>
      </c>
      <c r="C205" s="205" t="s">
        <v>325</v>
      </c>
      <c r="D205" s="182" t="s">
        <v>322</v>
      </c>
      <c r="E205" s="201" t="s">
        <v>39</v>
      </c>
      <c r="F205" s="178"/>
      <c r="G205" s="181"/>
      <c r="H205" s="178"/>
      <c r="I205" s="178"/>
      <c r="J205" s="178"/>
      <c r="K205" s="178">
        <v>1000</v>
      </c>
      <c r="L205" s="178">
        <f t="shared" si="70"/>
        <v>1000</v>
      </c>
      <c r="M205" s="179" t="s">
        <v>91</v>
      </c>
    </row>
    <row r="206" spans="1:13" ht="13.5" customHeight="1" x14ac:dyDescent="0.3">
      <c r="A206" s="176" t="s">
        <v>358</v>
      </c>
      <c r="B206" s="197" t="s">
        <v>320</v>
      </c>
      <c r="C206" s="205" t="s">
        <v>325</v>
      </c>
      <c r="D206" s="182" t="s">
        <v>322</v>
      </c>
      <c r="E206" s="202" t="s">
        <v>324</v>
      </c>
      <c r="F206" s="178"/>
      <c r="G206" s="181"/>
      <c r="H206" s="178"/>
      <c r="I206" s="178"/>
      <c r="J206" s="178"/>
      <c r="K206" s="178">
        <v>6000</v>
      </c>
      <c r="L206" s="178">
        <f t="shared" si="70"/>
        <v>6000</v>
      </c>
      <c r="M206" s="179" t="s">
        <v>181</v>
      </c>
    </row>
    <row r="207" spans="1:13" ht="13.5" customHeight="1" x14ac:dyDescent="0.3">
      <c r="A207" s="176" t="s">
        <v>358</v>
      </c>
      <c r="B207" s="177" t="s">
        <v>14</v>
      </c>
      <c r="C207" s="178">
        <v>7479</v>
      </c>
      <c r="D207" s="177" t="s">
        <v>20</v>
      </c>
      <c r="E207" s="177" t="s">
        <v>21</v>
      </c>
      <c r="F207" s="178">
        <v>102</v>
      </c>
      <c r="G207" s="178">
        <v>0.15</v>
      </c>
      <c r="H207" s="178">
        <f>G207*F207</f>
        <v>15.299999999999999</v>
      </c>
      <c r="I207" s="178">
        <v>80</v>
      </c>
      <c r="J207" s="178">
        <v>1</v>
      </c>
      <c r="K207" s="178">
        <f>F207*I207</f>
        <v>8160</v>
      </c>
      <c r="L207" s="178">
        <f>K207*J207</f>
        <v>8160</v>
      </c>
      <c r="M207" s="179" t="s">
        <v>37</v>
      </c>
    </row>
    <row r="208" spans="1:13" ht="13.5" customHeight="1" x14ac:dyDescent="0.3">
      <c r="A208" s="176" t="s">
        <v>128</v>
      </c>
      <c r="B208" s="204" t="s">
        <v>44</v>
      </c>
      <c r="C208" s="178" t="s">
        <v>45</v>
      </c>
      <c r="D208" s="177" t="s">
        <v>46</v>
      </c>
      <c r="E208" s="177" t="s">
        <v>25</v>
      </c>
      <c r="F208" s="178"/>
      <c r="G208" s="178"/>
      <c r="H208" s="178"/>
      <c r="I208" s="178"/>
      <c r="J208" s="178"/>
      <c r="K208" s="178">
        <v>1000</v>
      </c>
      <c r="L208" s="178">
        <v>3900</v>
      </c>
      <c r="M208" s="179" t="s">
        <v>22</v>
      </c>
    </row>
    <row r="209" spans="1:13" ht="13.5" customHeight="1" x14ac:dyDescent="0.3">
      <c r="A209" s="176" t="s">
        <v>128</v>
      </c>
      <c r="B209" s="204" t="s">
        <v>44</v>
      </c>
      <c r="C209" s="178" t="s">
        <v>45</v>
      </c>
      <c r="D209" s="177" t="s">
        <v>46</v>
      </c>
      <c r="E209" s="177" t="s">
        <v>30</v>
      </c>
      <c r="F209" s="178"/>
      <c r="G209" s="178"/>
      <c r="H209" s="178"/>
      <c r="I209" s="178"/>
      <c r="J209" s="178"/>
      <c r="K209" s="178">
        <v>1000</v>
      </c>
      <c r="L209" s="178">
        <v>1350</v>
      </c>
      <c r="M209" s="179" t="s">
        <v>48</v>
      </c>
    </row>
    <row r="210" spans="1:13" ht="13.5" customHeight="1" x14ac:dyDescent="0.3">
      <c r="A210" s="176" t="s">
        <v>128</v>
      </c>
      <c r="B210" s="177" t="s">
        <v>14</v>
      </c>
      <c r="C210" s="178">
        <v>5036</v>
      </c>
      <c r="D210" s="177" t="s">
        <v>16</v>
      </c>
      <c r="E210" s="177" t="s">
        <v>17</v>
      </c>
      <c r="F210" s="178">
        <v>89</v>
      </c>
      <c r="G210" s="178">
        <v>0.32500000000000001</v>
      </c>
      <c r="H210" s="178">
        <f t="shared" ref="H210" si="71">F210*G210</f>
        <v>28.925000000000001</v>
      </c>
      <c r="I210" s="178">
        <v>62</v>
      </c>
      <c r="J210" s="178">
        <v>4</v>
      </c>
      <c r="K210" s="178">
        <f t="shared" ref="K210" si="72">F210*I210</f>
        <v>5518</v>
      </c>
      <c r="L210" s="178">
        <f>K210*J210</f>
        <v>22072</v>
      </c>
      <c r="M210" s="179" t="s">
        <v>22</v>
      </c>
    </row>
    <row r="211" spans="1:13" ht="13.5" customHeight="1" x14ac:dyDescent="0.3">
      <c r="A211" s="176" t="s">
        <v>128</v>
      </c>
      <c r="B211" s="196" t="s">
        <v>23</v>
      </c>
      <c r="C211" s="178">
        <v>66772</v>
      </c>
      <c r="D211" s="177" t="s">
        <v>34</v>
      </c>
      <c r="E211" s="201" t="s">
        <v>35</v>
      </c>
      <c r="F211" s="178"/>
      <c r="G211" s="181" t="s">
        <v>77</v>
      </c>
      <c r="H211" s="178"/>
      <c r="I211" s="178"/>
      <c r="J211" s="178"/>
      <c r="K211" s="178">
        <v>4000</v>
      </c>
      <c r="L211" s="178">
        <f t="shared" ref="L211:L215" si="73">K211</f>
        <v>4000</v>
      </c>
      <c r="M211" s="179" t="s">
        <v>179</v>
      </c>
    </row>
    <row r="212" spans="1:13" ht="13.5" customHeight="1" x14ac:dyDescent="0.3">
      <c r="A212" s="176" t="s">
        <v>359</v>
      </c>
      <c r="B212" s="196" t="s">
        <v>23</v>
      </c>
      <c r="C212" s="178">
        <v>65548</v>
      </c>
      <c r="D212" s="182" t="s">
        <v>24</v>
      </c>
      <c r="E212" s="180" t="s">
        <v>25</v>
      </c>
      <c r="F212" s="178"/>
      <c r="G212" s="181"/>
      <c r="H212" s="178"/>
      <c r="I212" s="178"/>
      <c r="J212" s="178"/>
      <c r="K212" s="178">
        <v>350</v>
      </c>
      <c r="L212" s="178">
        <f t="shared" si="73"/>
        <v>350</v>
      </c>
      <c r="M212" s="179" t="s">
        <v>179</v>
      </c>
    </row>
    <row r="213" spans="1:13" ht="13.5" customHeight="1" x14ac:dyDescent="0.3">
      <c r="A213" s="176" t="s">
        <v>359</v>
      </c>
      <c r="B213" s="196" t="s">
        <v>23</v>
      </c>
      <c r="C213" s="178">
        <v>65548</v>
      </c>
      <c r="D213" s="182" t="s">
        <v>24</v>
      </c>
      <c r="E213" s="204" t="s">
        <v>30</v>
      </c>
      <c r="F213" s="178"/>
      <c r="G213" s="181"/>
      <c r="H213" s="178"/>
      <c r="I213" s="178"/>
      <c r="J213" s="178"/>
      <c r="K213" s="178">
        <v>2860</v>
      </c>
      <c r="L213" s="178">
        <f t="shared" si="73"/>
        <v>2860</v>
      </c>
      <c r="M213" s="179" t="s">
        <v>180</v>
      </c>
    </row>
    <row r="214" spans="1:13" ht="13.5" customHeight="1" x14ac:dyDescent="0.3">
      <c r="A214" s="176" t="s">
        <v>359</v>
      </c>
      <c r="B214" s="196" t="s">
        <v>23</v>
      </c>
      <c r="C214" s="178">
        <v>66772</v>
      </c>
      <c r="D214" s="177" t="s">
        <v>34</v>
      </c>
      <c r="E214" s="201" t="s">
        <v>35</v>
      </c>
      <c r="F214" s="178"/>
      <c r="G214" s="181" t="s">
        <v>77</v>
      </c>
      <c r="H214" s="178"/>
      <c r="I214" s="178"/>
      <c r="J214" s="178"/>
      <c r="K214" s="178">
        <v>7250</v>
      </c>
      <c r="L214" s="178">
        <f t="shared" si="73"/>
        <v>7250</v>
      </c>
      <c r="M214" s="179" t="s">
        <v>179</v>
      </c>
    </row>
    <row r="215" spans="1:13" ht="13.5" customHeight="1" x14ac:dyDescent="0.3">
      <c r="A215" s="176" t="s">
        <v>359</v>
      </c>
      <c r="B215" s="196" t="s">
        <v>23</v>
      </c>
      <c r="C215" s="178">
        <v>66772</v>
      </c>
      <c r="D215" s="177" t="s">
        <v>34</v>
      </c>
      <c r="E215" s="177" t="s">
        <v>39</v>
      </c>
      <c r="F215" s="178"/>
      <c r="G215" s="181" t="s">
        <v>36</v>
      </c>
      <c r="H215" s="178"/>
      <c r="I215" s="178"/>
      <c r="J215" s="178"/>
      <c r="K215" s="178">
        <v>6750</v>
      </c>
      <c r="L215" s="178">
        <f t="shared" si="73"/>
        <v>6750</v>
      </c>
      <c r="M215" s="179" t="s">
        <v>277</v>
      </c>
    </row>
    <row r="216" spans="1:13" ht="13.5" customHeight="1" x14ac:dyDescent="0.3">
      <c r="A216" s="176" t="s">
        <v>359</v>
      </c>
      <c r="B216" s="196" t="s">
        <v>23</v>
      </c>
      <c r="C216" s="178">
        <v>66772</v>
      </c>
      <c r="D216" s="177" t="s">
        <v>34</v>
      </c>
      <c r="E216" s="204" t="s">
        <v>30</v>
      </c>
      <c r="F216" s="178"/>
      <c r="G216" s="181" t="s">
        <v>78</v>
      </c>
      <c r="H216" s="178"/>
      <c r="I216" s="178"/>
      <c r="J216" s="178"/>
      <c r="K216" s="178">
        <v>2900</v>
      </c>
      <c r="L216" s="178">
        <f>K216</f>
        <v>2900</v>
      </c>
      <c r="M216" s="179" t="s">
        <v>180</v>
      </c>
    </row>
    <row r="217" spans="1:13" ht="13.5" customHeight="1" x14ac:dyDescent="0.3">
      <c r="A217" s="176" t="s">
        <v>359</v>
      </c>
      <c r="B217" s="197" t="s">
        <v>320</v>
      </c>
      <c r="C217" s="205" t="s">
        <v>325</v>
      </c>
      <c r="D217" s="182" t="s">
        <v>322</v>
      </c>
      <c r="E217" s="202" t="s">
        <v>324</v>
      </c>
      <c r="F217" s="178"/>
      <c r="G217" s="181"/>
      <c r="H217" s="178"/>
      <c r="I217" s="178"/>
      <c r="J217" s="178"/>
      <c r="K217" s="178">
        <v>1200</v>
      </c>
      <c r="L217" s="178">
        <f t="shared" ref="L217:L218" si="74">K217</f>
        <v>1200</v>
      </c>
      <c r="M217" s="179" t="s">
        <v>181</v>
      </c>
    </row>
    <row r="218" spans="1:13" ht="13.5" customHeight="1" x14ac:dyDescent="0.3">
      <c r="A218" s="176" t="s">
        <v>359</v>
      </c>
      <c r="B218" s="204" t="s">
        <v>44</v>
      </c>
      <c r="C218" s="178" t="s">
        <v>45</v>
      </c>
      <c r="D218" s="177" t="s">
        <v>46</v>
      </c>
      <c r="E218" s="177" t="s">
        <v>25</v>
      </c>
      <c r="F218" s="178"/>
      <c r="G218" s="178"/>
      <c r="H218" s="178"/>
      <c r="I218" s="178"/>
      <c r="J218" s="178"/>
      <c r="K218" s="178">
        <v>2100</v>
      </c>
      <c r="L218" s="178">
        <f t="shared" si="74"/>
        <v>2100</v>
      </c>
      <c r="M218" s="179" t="s">
        <v>22</v>
      </c>
    </row>
    <row r="219" spans="1:13" ht="13.5" customHeight="1" x14ac:dyDescent="0.3">
      <c r="A219" s="176" t="s">
        <v>359</v>
      </c>
      <c r="B219" s="177" t="s">
        <v>14</v>
      </c>
      <c r="C219" s="178">
        <v>7479</v>
      </c>
      <c r="D219" s="177" t="s">
        <v>20</v>
      </c>
      <c r="E219" s="177" t="s">
        <v>21</v>
      </c>
      <c r="F219" s="178">
        <v>233</v>
      </c>
      <c r="G219" s="178">
        <v>0.15</v>
      </c>
      <c r="H219" s="178">
        <f>G219*F219</f>
        <v>34.949999999999996</v>
      </c>
      <c r="I219" s="178">
        <v>80</v>
      </c>
      <c r="J219" s="178">
        <v>1</v>
      </c>
      <c r="K219" s="178">
        <f>F219*I219</f>
        <v>18640</v>
      </c>
      <c r="L219" s="178">
        <f>K219*J219</f>
        <v>18640</v>
      </c>
      <c r="M219" s="179" t="s">
        <v>37</v>
      </c>
    </row>
    <row r="220" spans="1:13" ht="13.5" customHeight="1" x14ac:dyDescent="0.3">
      <c r="A220" s="176" t="s">
        <v>359</v>
      </c>
      <c r="B220" s="177" t="s">
        <v>14</v>
      </c>
      <c r="C220" s="178">
        <v>7479</v>
      </c>
      <c r="D220" s="177" t="s">
        <v>20</v>
      </c>
      <c r="E220" s="177" t="s">
        <v>25</v>
      </c>
      <c r="F220" s="178"/>
      <c r="G220" s="178"/>
      <c r="H220" s="178"/>
      <c r="I220" s="178"/>
      <c r="J220" s="178">
        <v>1</v>
      </c>
      <c r="K220" s="178">
        <v>1800</v>
      </c>
      <c r="L220" s="178">
        <f t="shared" ref="L220:L222" si="75">K220</f>
        <v>1800</v>
      </c>
      <c r="M220" s="179" t="s">
        <v>181</v>
      </c>
    </row>
    <row r="221" spans="1:13" ht="13.5" customHeight="1" x14ac:dyDescent="0.3">
      <c r="A221" s="176" t="s">
        <v>359</v>
      </c>
      <c r="B221" s="177" t="s">
        <v>351</v>
      </c>
      <c r="C221" s="178" t="s">
        <v>352</v>
      </c>
      <c r="D221" s="177" t="s">
        <v>16</v>
      </c>
      <c r="E221" s="177" t="s">
        <v>17</v>
      </c>
      <c r="F221" s="178"/>
      <c r="G221" s="178"/>
      <c r="H221" s="178"/>
      <c r="I221" s="178"/>
      <c r="J221" s="178"/>
      <c r="K221" s="178">
        <v>3350</v>
      </c>
      <c r="L221" s="178">
        <f t="shared" si="75"/>
        <v>3350</v>
      </c>
      <c r="M221" s="179" t="s">
        <v>22</v>
      </c>
    </row>
    <row r="222" spans="1:13" ht="13.5" customHeight="1" x14ac:dyDescent="0.3">
      <c r="A222" s="176" t="s">
        <v>359</v>
      </c>
      <c r="B222" s="197" t="s">
        <v>320</v>
      </c>
      <c r="C222" s="204" t="s">
        <v>321</v>
      </c>
      <c r="D222" s="182" t="s">
        <v>322</v>
      </c>
      <c r="E222" s="198" t="s">
        <v>21</v>
      </c>
      <c r="F222" s="178"/>
      <c r="G222" s="181"/>
      <c r="H222" s="178"/>
      <c r="I222" s="178"/>
      <c r="J222" s="178"/>
      <c r="K222" s="178">
        <v>560</v>
      </c>
      <c r="L222" s="178">
        <f t="shared" si="75"/>
        <v>560</v>
      </c>
      <c r="M222" s="179" t="s">
        <v>332</v>
      </c>
    </row>
    <row r="223" spans="1:13" ht="13.5" customHeight="1" x14ac:dyDescent="0.3">
      <c r="A223" s="176" t="s">
        <v>359</v>
      </c>
      <c r="B223" s="191" t="s">
        <v>41</v>
      </c>
      <c r="C223" s="178" t="s">
        <v>42</v>
      </c>
      <c r="D223" s="177" t="s">
        <v>93</v>
      </c>
      <c r="E223" s="198" t="s">
        <v>21</v>
      </c>
      <c r="F223" s="178">
        <v>17</v>
      </c>
      <c r="G223" s="178">
        <v>0</v>
      </c>
      <c r="H223" s="178">
        <f>G223*F223</f>
        <v>0</v>
      </c>
      <c r="I223" s="178">
        <v>42</v>
      </c>
      <c r="J223" s="178">
        <v>4</v>
      </c>
      <c r="K223" s="178">
        <f>F223*I223</f>
        <v>714</v>
      </c>
      <c r="L223" s="178">
        <f>K223*J223</f>
        <v>2856</v>
      </c>
      <c r="M223" s="179" t="s">
        <v>91</v>
      </c>
    </row>
    <row r="224" spans="1:13" ht="13.5" customHeight="1" x14ac:dyDescent="0.3">
      <c r="A224" s="176" t="s">
        <v>360</v>
      </c>
      <c r="B224" s="196" t="s">
        <v>23</v>
      </c>
      <c r="C224" s="178">
        <v>66772</v>
      </c>
      <c r="D224" s="177" t="s">
        <v>34</v>
      </c>
      <c r="E224" s="201" t="s">
        <v>35</v>
      </c>
      <c r="F224" s="178"/>
      <c r="G224" s="181" t="s">
        <v>77</v>
      </c>
      <c r="H224" s="178"/>
      <c r="I224" s="178"/>
      <c r="J224" s="178"/>
      <c r="K224" s="178">
        <v>7300</v>
      </c>
      <c r="L224" s="178">
        <f t="shared" ref="L224:L225" si="76">K224</f>
        <v>7300</v>
      </c>
      <c r="M224" s="179" t="s">
        <v>179</v>
      </c>
    </row>
    <row r="225" spans="1:13" ht="13.5" customHeight="1" x14ac:dyDescent="0.3">
      <c r="A225" s="176" t="s">
        <v>360</v>
      </c>
      <c r="B225" s="196" t="s">
        <v>23</v>
      </c>
      <c r="C225" s="178">
        <v>66772</v>
      </c>
      <c r="D225" s="177" t="s">
        <v>34</v>
      </c>
      <c r="E225" s="177" t="s">
        <v>39</v>
      </c>
      <c r="F225" s="178"/>
      <c r="G225" s="181" t="s">
        <v>36</v>
      </c>
      <c r="H225" s="178"/>
      <c r="I225" s="178"/>
      <c r="J225" s="178"/>
      <c r="K225" s="178">
        <v>5750</v>
      </c>
      <c r="L225" s="178">
        <f t="shared" si="76"/>
        <v>5750</v>
      </c>
      <c r="M225" s="179" t="s">
        <v>277</v>
      </c>
    </row>
    <row r="226" spans="1:13" ht="13.5" customHeight="1" x14ac:dyDescent="0.3">
      <c r="A226" s="176" t="s">
        <v>360</v>
      </c>
      <c r="B226" s="196" t="s">
        <v>23</v>
      </c>
      <c r="C226" s="178">
        <v>66772</v>
      </c>
      <c r="D226" s="177" t="s">
        <v>34</v>
      </c>
      <c r="E226" s="204" t="s">
        <v>30</v>
      </c>
      <c r="F226" s="178"/>
      <c r="G226" s="181" t="s">
        <v>78</v>
      </c>
      <c r="H226" s="178"/>
      <c r="I226" s="178"/>
      <c r="J226" s="178"/>
      <c r="K226" s="178">
        <v>4100</v>
      </c>
      <c r="L226" s="178">
        <f>K226</f>
        <v>4100</v>
      </c>
      <c r="M226" s="179" t="s">
        <v>180</v>
      </c>
    </row>
    <row r="227" spans="1:13" ht="13.5" customHeight="1" x14ac:dyDescent="0.3">
      <c r="A227" s="176" t="s">
        <v>360</v>
      </c>
      <c r="B227" s="197" t="s">
        <v>320</v>
      </c>
      <c r="C227" s="204" t="s">
        <v>321</v>
      </c>
      <c r="D227" s="182" t="s">
        <v>322</v>
      </c>
      <c r="E227" s="198" t="s">
        <v>21</v>
      </c>
      <c r="F227" s="178"/>
      <c r="G227" s="181"/>
      <c r="H227" s="178"/>
      <c r="I227" s="178"/>
      <c r="J227" s="178"/>
      <c r="K227" s="178">
        <v>3669</v>
      </c>
      <c r="L227" s="178">
        <f t="shared" ref="L227:L231" si="77">K227</f>
        <v>3669</v>
      </c>
      <c r="M227" s="179" t="s">
        <v>332</v>
      </c>
    </row>
    <row r="228" spans="1:13" ht="13.5" customHeight="1" x14ac:dyDescent="0.3">
      <c r="A228" s="176" t="s">
        <v>360</v>
      </c>
      <c r="B228" s="197" t="s">
        <v>320</v>
      </c>
      <c r="C228" s="204" t="s">
        <v>321</v>
      </c>
      <c r="D228" s="182" t="s">
        <v>322</v>
      </c>
      <c r="E228" s="200" t="s">
        <v>35</v>
      </c>
      <c r="F228" s="178"/>
      <c r="G228" s="181"/>
      <c r="H228" s="178"/>
      <c r="I228" s="178"/>
      <c r="J228" s="178"/>
      <c r="K228" s="178">
        <v>3620</v>
      </c>
      <c r="L228" s="178">
        <f t="shared" si="77"/>
        <v>3620</v>
      </c>
      <c r="M228" s="179" t="s">
        <v>26</v>
      </c>
    </row>
    <row r="229" spans="1:13" ht="13.5" customHeight="1" x14ac:dyDescent="0.3">
      <c r="A229" s="176" t="s">
        <v>360</v>
      </c>
      <c r="B229" s="197" t="s">
        <v>320</v>
      </c>
      <c r="C229" s="204" t="s">
        <v>321</v>
      </c>
      <c r="D229" s="182" t="s">
        <v>322</v>
      </c>
      <c r="E229" s="201" t="s">
        <v>39</v>
      </c>
      <c r="F229" s="178"/>
      <c r="G229" s="181"/>
      <c r="H229" s="178"/>
      <c r="I229" s="178"/>
      <c r="J229" s="178"/>
      <c r="K229" s="178">
        <v>2800</v>
      </c>
      <c r="L229" s="178">
        <f t="shared" si="77"/>
        <v>2800</v>
      </c>
      <c r="M229" s="179" t="s">
        <v>333</v>
      </c>
    </row>
    <row r="230" spans="1:13" ht="13.5" customHeight="1" x14ac:dyDescent="0.3">
      <c r="A230" s="176" t="s">
        <v>360</v>
      </c>
      <c r="B230" s="177" t="s">
        <v>14</v>
      </c>
      <c r="C230" s="178">
        <v>7479</v>
      </c>
      <c r="D230" s="177" t="s">
        <v>20</v>
      </c>
      <c r="E230" s="177" t="s">
        <v>25</v>
      </c>
      <c r="F230" s="178"/>
      <c r="G230" s="178"/>
      <c r="H230" s="178"/>
      <c r="I230" s="178"/>
      <c r="J230" s="178"/>
      <c r="K230" s="178">
        <v>5200</v>
      </c>
      <c r="L230" s="178">
        <f t="shared" si="77"/>
        <v>5200</v>
      </c>
      <c r="M230" s="179" t="s">
        <v>181</v>
      </c>
    </row>
    <row r="231" spans="1:13" ht="13.5" customHeight="1" x14ac:dyDescent="0.3">
      <c r="A231" s="176" t="s">
        <v>360</v>
      </c>
      <c r="B231" s="204" t="s">
        <v>44</v>
      </c>
      <c r="C231" s="178" t="s">
        <v>45</v>
      </c>
      <c r="D231" s="177" t="s">
        <v>46</v>
      </c>
      <c r="E231" s="177" t="s">
        <v>25</v>
      </c>
      <c r="F231" s="178"/>
      <c r="G231" s="178"/>
      <c r="H231" s="178"/>
      <c r="I231" s="178"/>
      <c r="J231" s="178"/>
      <c r="K231" s="178">
        <v>500</v>
      </c>
      <c r="L231" s="178">
        <f t="shared" si="77"/>
        <v>500</v>
      </c>
      <c r="M231" s="179" t="s">
        <v>22</v>
      </c>
    </row>
    <row r="232" spans="1:13" ht="13.5" customHeight="1" x14ac:dyDescent="0.3">
      <c r="A232" s="176" t="s">
        <v>360</v>
      </c>
      <c r="B232" s="191" t="s">
        <v>41</v>
      </c>
      <c r="C232" s="178" t="s">
        <v>42</v>
      </c>
      <c r="D232" s="177" t="s">
        <v>93</v>
      </c>
      <c r="E232" s="198" t="s">
        <v>21</v>
      </c>
      <c r="F232" s="178">
        <v>40</v>
      </c>
      <c r="G232" s="178">
        <v>0</v>
      </c>
      <c r="H232" s="178">
        <f>G232*F232</f>
        <v>0</v>
      </c>
      <c r="I232" s="178">
        <v>42</v>
      </c>
      <c r="J232" s="178">
        <v>4</v>
      </c>
      <c r="K232" s="178">
        <f>F232*I232</f>
        <v>1680</v>
      </c>
      <c r="L232" s="178">
        <f>K232*J232</f>
        <v>6720</v>
      </c>
      <c r="M232" s="179" t="s">
        <v>91</v>
      </c>
    </row>
    <row r="233" spans="1:13" ht="13.5" customHeight="1" x14ac:dyDescent="0.3">
      <c r="A233" s="176" t="s">
        <v>361</v>
      </c>
      <c r="B233" s="196" t="s">
        <v>23</v>
      </c>
      <c r="C233" s="178">
        <v>66772</v>
      </c>
      <c r="D233" s="177" t="s">
        <v>34</v>
      </c>
      <c r="E233" s="177" t="s">
        <v>39</v>
      </c>
      <c r="F233" s="178"/>
      <c r="G233" s="181" t="s">
        <v>36</v>
      </c>
      <c r="H233" s="178"/>
      <c r="I233" s="178"/>
      <c r="J233" s="178"/>
      <c r="K233" s="178">
        <v>4426</v>
      </c>
      <c r="L233" s="178">
        <f t="shared" ref="L233" si="78">K233</f>
        <v>4426</v>
      </c>
      <c r="M233" s="179" t="s">
        <v>277</v>
      </c>
    </row>
    <row r="234" spans="1:13" ht="13.5" customHeight="1" x14ac:dyDescent="0.3">
      <c r="A234" s="176" t="s">
        <v>361</v>
      </c>
      <c r="B234" s="196" t="s">
        <v>23</v>
      </c>
      <c r="C234" s="178">
        <v>66772</v>
      </c>
      <c r="D234" s="177" t="s">
        <v>34</v>
      </c>
      <c r="E234" s="204" t="s">
        <v>30</v>
      </c>
      <c r="F234" s="178"/>
      <c r="G234" s="181" t="s">
        <v>78</v>
      </c>
      <c r="H234" s="178"/>
      <c r="I234" s="178"/>
      <c r="J234" s="178"/>
      <c r="K234" s="178">
        <v>5930</v>
      </c>
      <c r="L234" s="178">
        <f>K234</f>
        <v>5930</v>
      </c>
      <c r="M234" s="179" t="s">
        <v>180</v>
      </c>
    </row>
    <row r="235" spans="1:13" ht="13.5" customHeight="1" x14ac:dyDescent="0.3">
      <c r="A235" s="176" t="s">
        <v>361</v>
      </c>
      <c r="B235" s="197" t="s">
        <v>320</v>
      </c>
      <c r="C235" s="204" t="s">
        <v>321</v>
      </c>
      <c r="D235" s="182" t="s">
        <v>322</v>
      </c>
      <c r="E235" s="198" t="s">
        <v>21</v>
      </c>
      <c r="F235" s="178"/>
      <c r="G235" s="181"/>
      <c r="H235" s="178"/>
      <c r="I235" s="178"/>
      <c r="J235" s="178"/>
      <c r="K235" s="178">
        <v>4230</v>
      </c>
      <c r="L235" s="178">
        <f t="shared" ref="L235:L237" si="79">K235</f>
        <v>4230</v>
      </c>
      <c r="M235" s="179" t="s">
        <v>332</v>
      </c>
    </row>
    <row r="236" spans="1:13" ht="13.5" customHeight="1" x14ac:dyDescent="0.3">
      <c r="A236" s="176" t="s">
        <v>361</v>
      </c>
      <c r="B236" s="197" t="s">
        <v>320</v>
      </c>
      <c r="C236" s="204" t="s">
        <v>321</v>
      </c>
      <c r="D236" s="182" t="s">
        <v>322</v>
      </c>
      <c r="E236" s="200" t="s">
        <v>35</v>
      </c>
      <c r="F236" s="178"/>
      <c r="G236" s="181"/>
      <c r="H236" s="178"/>
      <c r="I236" s="178"/>
      <c r="J236" s="178"/>
      <c r="K236" s="178">
        <v>3680</v>
      </c>
      <c r="L236" s="178">
        <f t="shared" si="79"/>
        <v>3680</v>
      </c>
      <c r="M236" s="179" t="s">
        <v>26</v>
      </c>
    </row>
    <row r="237" spans="1:13" ht="13.5" customHeight="1" x14ac:dyDescent="0.3">
      <c r="A237" s="176" t="s">
        <v>361</v>
      </c>
      <c r="B237" s="197" t="s">
        <v>320</v>
      </c>
      <c r="C237" s="204" t="s">
        <v>321</v>
      </c>
      <c r="D237" s="182" t="s">
        <v>322</v>
      </c>
      <c r="E237" s="201" t="s">
        <v>39</v>
      </c>
      <c r="F237" s="178"/>
      <c r="G237" s="181"/>
      <c r="H237" s="178"/>
      <c r="I237" s="178"/>
      <c r="J237" s="178"/>
      <c r="K237" s="178">
        <v>3800</v>
      </c>
      <c r="L237" s="178">
        <f t="shared" si="79"/>
        <v>3800</v>
      </c>
      <c r="M237" s="179" t="s">
        <v>333</v>
      </c>
    </row>
    <row r="238" spans="1:13" ht="13.5" customHeight="1" x14ac:dyDescent="0.3">
      <c r="A238" s="176" t="s">
        <v>361</v>
      </c>
      <c r="B238" s="177" t="s">
        <v>14</v>
      </c>
      <c r="C238" s="178">
        <v>7479</v>
      </c>
      <c r="D238" s="177" t="s">
        <v>20</v>
      </c>
      <c r="E238" s="177" t="s">
        <v>21</v>
      </c>
      <c r="F238" s="178">
        <v>180</v>
      </c>
      <c r="G238" s="178">
        <v>0.15</v>
      </c>
      <c r="H238" s="178">
        <f>G238*F238</f>
        <v>27</v>
      </c>
      <c r="I238" s="178">
        <v>80</v>
      </c>
      <c r="J238" s="178">
        <v>1</v>
      </c>
      <c r="K238" s="178">
        <f>F238*I238</f>
        <v>14400</v>
      </c>
      <c r="L238" s="178">
        <f>K238*J238</f>
        <v>14400</v>
      </c>
      <c r="M238" s="179" t="s">
        <v>37</v>
      </c>
    </row>
    <row r="239" spans="1:13" ht="13.5" customHeight="1" x14ac:dyDescent="0.3">
      <c r="A239" s="176" t="s">
        <v>361</v>
      </c>
      <c r="B239" s="177" t="s">
        <v>14</v>
      </c>
      <c r="C239" s="178">
        <v>7479</v>
      </c>
      <c r="D239" s="177" t="s">
        <v>20</v>
      </c>
      <c r="E239" s="177" t="s">
        <v>25</v>
      </c>
      <c r="F239" s="178"/>
      <c r="G239" s="178"/>
      <c r="H239" s="178"/>
      <c r="I239" s="178"/>
      <c r="J239" s="178"/>
      <c r="K239" s="178">
        <v>6200</v>
      </c>
      <c r="L239" s="178">
        <f t="shared" ref="L239:L240" si="80">K239</f>
        <v>6200</v>
      </c>
      <c r="M239" s="179" t="s">
        <v>181</v>
      </c>
    </row>
    <row r="240" spans="1:13" ht="13.5" customHeight="1" x14ac:dyDescent="0.3">
      <c r="A240" s="176" t="s">
        <v>361</v>
      </c>
      <c r="B240" s="204" t="s">
        <v>44</v>
      </c>
      <c r="C240" s="178" t="s">
        <v>45</v>
      </c>
      <c r="D240" s="177" t="s">
        <v>46</v>
      </c>
      <c r="E240" s="177" t="s">
        <v>25</v>
      </c>
      <c r="F240" s="178"/>
      <c r="G240" s="178"/>
      <c r="H240" s="178"/>
      <c r="I240" s="178"/>
      <c r="J240" s="178"/>
      <c r="K240" s="178">
        <v>2500</v>
      </c>
      <c r="L240" s="178">
        <f t="shared" si="80"/>
        <v>2500</v>
      </c>
      <c r="M240" s="179" t="s">
        <v>22</v>
      </c>
    </row>
    <row r="241" spans="1:13" ht="13.5" customHeight="1" x14ac:dyDescent="0.3">
      <c r="A241" s="176" t="s">
        <v>361</v>
      </c>
      <c r="B241" s="191" t="s">
        <v>41</v>
      </c>
      <c r="C241" s="178" t="s">
        <v>42</v>
      </c>
      <c r="D241" s="177" t="s">
        <v>93</v>
      </c>
      <c r="E241" s="198" t="s">
        <v>21</v>
      </c>
      <c r="F241" s="178">
        <v>43</v>
      </c>
      <c r="G241" s="178">
        <v>0</v>
      </c>
      <c r="H241" s="178">
        <f>G241*F241</f>
        <v>0</v>
      </c>
      <c r="I241" s="178">
        <v>42</v>
      </c>
      <c r="J241" s="178">
        <v>4</v>
      </c>
      <c r="K241" s="178">
        <f>F241*I241</f>
        <v>1806</v>
      </c>
      <c r="L241" s="178">
        <f>K241*J241</f>
        <v>7224</v>
      </c>
      <c r="M241" s="179" t="s">
        <v>91</v>
      </c>
    </row>
    <row r="242" spans="1:13" ht="13.5" customHeight="1" x14ac:dyDescent="0.3">
      <c r="A242" s="176" t="s">
        <v>361</v>
      </c>
      <c r="B242" s="197" t="s">
        <v>320</v>
      </c>
      <c r="C242" s="205" t="s">
        <v>325</v>
      </c>
      <c r="D242" s="182" t="s">
        <v>322</v>
      </c>
      <c r="E242" s="198" t="s">
        <v>21</v>
      </c>
      <c r="F242" s="178"/>
      <c r="G242" s="181"/>
      <c r="H242" s="178"/>
      <c r="I242" s="178"/>
      <c r="J242" s="178"/>
      <c r="K242" s="178">
        <v>1068</v>
      </c>
      <c r="L242" s="178">
        <f t="shared" ref="L242" si="81">K242</f>
        <v>1068</v>
      </c>
      <c r="M242" s="179" t="s">
        <v>37</v>
      </c>
    </row>
    <row r="243" spans="1:13" ht="13.5" customHeight="1" x14ac:dyDescent="0.3">
      <c r="A243" s="176" t="s">
        <v>361</v>
      </c>
      <c r="B243" s="177" t="s">
        <v>14</v>
      </c>
      <c r="C243" s="178">
        <v>8283</v>
      </c>
      <c r="D243" s="177" t="s">
        <v>344</v>
      </c>
      <c r="E243" s="177" t="s">
        <v>25</v>
      </c>
      <c r="F243" s="178"/>
      <c r="G243" s="178"/>
      <c r="H243" s="178"/>
      <c r="I243" s="178"/>
      <c r="J243" s="178"/>
      <c r="K243" s="178">
        <v>4000</v>
      </c>
      <c r="L243" s="178">
        <f>K243</f>
        <v>4000</v>
      </c>
      <c r="M243" s="179" t="s">
        <v>179</v>
      </c>
    </row>
    <row r="244" spans="1:13" ht="13.5" customHeight="1" x14ac:dyDescent="0.3">
      <c r="A244" s="176" t="s">
        <v>362</v>
      </c>
      <c r="B244" s="197" t="s">
        <v>320</v>
      </c>
      <c r="C244" s="204" t="s">
        <v>321</v>
      </c>
      <c r="D244" s="182" t="s">
        <v>322</v>
      </c>
      <c r="E244" s="198" t="s">
        <v>21</v>
      </c>
      <c r="F244" s="178"/>
      <c r="G244" s="181"/>
      <c r="H244" s="178"/>
      <c r="I244" s="178"/>
      <c r="J244" s="178"/>
      <c r="K244" s="178">
        <v>4056</v>
      </c>
      <c r="L244" s="178">
        <f t="shared" ref="L244:L247" si="82">K244</f>
        <v>4056</v>
      </c>
      <c r="M244" s="179" t="s">
        <v>332</v>
      </c>
    </row>
    <row r="245" spans="1:13" ht="13.5" customHeight="1" x14ac:dyDescent="0.3">
      <c r="A245" s="176" t="s">
        <v>362</v>
      </c>
      <c r="B245" s="197" t="s">
        <v>320</v>
      </c>
      <c r="C245" s="204" t="s">
        <v>321</v>
      </c>
      <c r="D245" s="182" t="s">
        <v>322</v>
      </c>
      <c r="E245" s="200" t="s">
        <v>35</v>
      </c>
      <c r="F245" s="178"/>
      <c r="G245" s="181"/>
      <c r="H245" s="178"/>
      <c r="I245" s="178"/>
      <c r="J245" s="178"/>
      <c r="K245" s="178">
        <v>5000</v>
      </c>
      <c r="L245" s="178">
        <f t="shared" si="82"/>
        <v>5000</v>
      </c>
      <c r="M245" s="179" t="s">
        <v>26</v>
      </c>
    </row>
    <row r="246" spans="1:13" ht="13.5" customHeight="1" x14ac:dyDescent="0.3">
      <c r="A246" s="176" t="s">
        <v>362</v>
      </c>
      <c r="B246" s="197" t="s">
        <v>320</v>
      </c>
      <c r="C246" s="204" t="s">
        <v>321</v>
      </c>
      <c r="D246" s="182" t="s">
        <v>322</v>
      </c>
      <c r="E246" s="201" t="s">
        <v>39</v>
      </c>
      <c r="F246" s="178"/>
      <c r="G246" s="181"/>
      <c r="H246" s="178"/>
      <c r="I246" s="178"/>
      <c r="J246" s="178"/>
      <c r="K246" s="178">
        <v>5200</v>
      </c>
      <c r="L246" s="178">
        <f t="shared" si="82"/>
        <v>5200</v>
      </c>
      <c r="M246" s="179" t="s">
        <v>333</v>
      </c>
    </row>
    <row r="247" spans="1:13" ht="13.5" customHeight="1" x14ac:dyDescent="0.3">
      <c r="A247" s="176" t="s">
        <v>362</v>
      </c>
      <c r="B247" s="197" t="s">
        <v>320</v>
      </c>
      <c r="C247" s="205" t="s">
        <v>325</v>
      </c>
      <c r="D247" s="182" t="s">
        <v>322</v>
      </c>
      <c r="E247" s="198" t="s">
        <v>21</v>
      </c>
      <c r="F247" s="178"/>
      <c r="G247" s="181"/>
      <c r="H247" s="178"/>
      <c r="I247" s="178"/>
      <c r="J247" s="178"/>
      <c r="K247" s="178">
        <v>6160</v>
      </c>
      <c r="L247" s="178">
        <f t="shared" si="82"/>
        <v>6160</v>
      </c>
      <c r="M247" s="179" t="s">
        <v>37</v>
      </c>
    </row>
    <row r="248" spans="1:13" ht="13.5" customHeight="1" x14ac:dyDescent="0.3">
      <c r="A248" s="176" t="s">
        <v>362</v>
      </c>
      <c r="B248" s="197" t="s">
        <v>320</v>
      </c>
      <c r="C248" s="205" t="s">
        <v>325</v>
      </c>
      <c r="D248" s="182" t="s">
        <v>322</v>
      </c>
      <c r="E248" s="200" t="s">
        <v>35</v>
      </c>
      <c r="F248" s="178"/>
      <c r="G248" s="181"/>
      <c r="H248" s="178"/>
      <c r="I248" s="178"/>
      <c r="J248" s="178"/>
      <c r="K248" s="178">
        <v>5000</v>
      </c>
      <c r="L248" s="178">
        <f t="shared" ref="L248:L250" si="83">K248</f>
        <v>5000</v>
      </c>
      <c r="M248" s="179" t="s">
        <v>22</v>
      </c>
    </row>
    <row r="249" spans="1:13" ht="13.5" customHeight="1" x14ac:dyDescent="0.3">
      <c r="A249" s="176" t="s">
        <v>362</v>
      </c>
      <c r="B249" s="197" t="s">
        <v>320</v>
      </c>
      <c r="C249" s="205" t="s">
        <v>325</v>
      </c>
      <c r="D249" s="182" t="s">
        <v>322</v>
      </c>
      <c r="E249" s="201" t="s">
        <v>39</v>
      </c>
      <c r="F249" s="178"/>
      <c r="G249" s="181"/>
      <c r="H249" s="178"/>
      <c r="I249" s="178"/>
      <c r="J249" s="178"/>
      <c r="K249" s="178">
        <v>3000</v>
      </c>
      <c r="L249" s="178">
        <f t="shared" si="83"/>
        <v>3000</v>
      </c>
      <c r="M249" s="179" t="s">
        <v>91</v>
      </c>
    </row>
    <row r="250" spans="1:13" ht="13.5" customHeight="1" x14ac:dyDescent="0.3">
      <c r="A250" s="176" t="s">
        <v>362</v>
      </c>
      <c r="B250" s="197" t="s">
        <v>320</v>
      </c>
      <c r="C250" s="205" t="s">
        <v>325</v>
      </c>
      <c r="D250" s="182" t="s">
        <v>322</v>
      </c>
      <c r="E250" s="202" t="s">
        <v>324</v>
      </c>
      <c r="F250" s="178"/>
      <c r="G250" s="181"/>
      <c r="H250" s="178"/>
      <c r="I250" s="178"/>
      <c r="J250" s="178"/>
      <c r="K250" s="178">
        <v>1700</v>
      </c>
      <c r="L250" s="178">
        <f t="shared" si="83"/>
        <v>1700</v>
      </c>
      <c r="M250" s="179" t="s">
        <v>181</v>
      </c>
    </row>
    <row r="251" spans="1:13" ht="13.5" customHeight="1" x14ac:dyDescent="0.3">
      <c r="A251" s="176" t="s">
        <v>362</v>
      </c>
      <c r="B251" s="177" t="s">
        <v>14</v>
      </c>
      <c r="C251" s="178">
        <v>8283</v>
      </c>
      <c r="D251" s="177" t="s">
        <v>344</v>
      </c>
      <c r="E251" s="177" t="s">
        <v>25</v>
      </c>
      <c r="F251" s="178"/>
      <c r="G251" s="178"/>
      <c r="H251" s="178"/>
      <c r="I251" s="178"/>
      <c r="J251" s="178"/>
      <c r="K251" s="178">
        <v>2000</v>
      </c>
      <c r="L251" s="178">
        <f>K251</f>
        <v>2000</v>
      </c>
      <c r="M251" s="179" t="s">
        <v>179</v>
      </c>
    </row>
    <row r="252" spans="1:13" ht="13.5" customHeight="1" x14ac:dyDescent="0.3">
      <c r="A252" s="176"/>
      <c r="B252" s="204"/>
      <c r="C252" s="178"/>
      <c r="D252" s="177"/>
      <c r="E252" s="177"/>
      <c r="F252" s="178"/>
      <c r="G252" s="178"/>
      <c r="H252" s="178"/>
      <c r="I252" s="178"/>
      <c r="J252" s="178"/>
      <c r="K252" s="178"/>
      <c r="L252" s="178"/>
      <c r="M252" s="179"/>
    </row>
    <row r="253" spans="1:13" ht="13.5" customHeight="1" x14ac:dyDescent="0.3">
      <c r="A253" s="176"/>
      <c r="B253" s="177"/>
      <c r="C253" s="178"/>
      <c r="D253" s="177"/>
      <c r="E253" s="177"/>
      <c r="F253" s="178"/>
      <c r="G253" s="178"/>
      <c r="H253" s="178"/>
      <c r="I253" s="178"/>
      <c r="J253" s="178"/>
      <c r="K253" s="178"/>
      <c r="L253" s="178"/>
      <c r="M253" s="179"/>
    </row>
    <row r="254" spans="1:13" ht="29.25" customHeight="1" x14ac:dyDescent="0.3">
      <c r="A254" s="183"/>
      <c r="B254" s="184"/>
      <c r="C254" s="184"/>
      <c r="D254" s="184"/>
      <c r="E254" s="184"/>
      <c r="F254" s="184">
        <f t="shared" ref="F254:L254" si="84">SUM(F3:F253)</f>
        <v>2973</v>
      </c>
      <c r="G254" s="185">
        <f t="shared" si="84"/>
        <v>7.7200000000000015</v>
      </c>
      <c r="H254" s="186">
        <f>SUM(H3:H253)</f>
        <v>750.22500000000002</v>
      </c>
      <c r="I254" s="184">
        <f t="shared" si="84"/>
        <v>1254</v>
      </c>
      <c r="J254" s="184">
        <f t="shared" si="84"/>
        <v>71</v>
      </c>
      <c r="K254" s="187">
        <f>SUM(K3:K253)</f>
        <v>947212</v>
      </c>
      <c r="L254" s="188">
        <f t="shared" si="84"/>
        <v>1090618</v>
      </c>
      <c r="M254" s="189"/>
    </row>
    <row r="256" spans="1:13" x14ac:dyDescent="0.3">
      <c r="H256" s="190">
        <f>SUM(H77:H253)</f>
        <v>372.25</v>
      </c>
    </row>
  </sheetData>
  <autoFilter ref="A2:M254"/>
  <mergeCells count="1">
    <mergeCell ref="A1:M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02"/>
  <sheetViews>
    <sheetView workbookViewId="0">
      <selection activeCell="A288" sqref="A288:M288"/>
    </sheetView>
  </sheetViews>
  <sheetFormatPr defaultRowHeight="15" x14ac:dyDescent="0.25"/>
  <cols>
    <col min="4" max="4" width="12.140625" customWidth="1"/>
    <col min="5" max="5" width="10.5703125" customWidth="1"/>
    <col min="6" max="6" width="9.28515625" bestFit="1" customWidth="1"/>
    <col min="8" max="8" width="9.5703125" bestFit="1" customWidth="1"/>
    <col min="10" max="10" width="6.85546875" customWidth="1"/>
    <col min="11" max="12" width="10" customWidth="1"/>
  </cols>
  <sheetData>
    <row r="1" spans="1:13" ht="30.75" x14ac:dyDescent="0.25">
      <c r="A1" s="299" t="s">
        <v>394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</row>
    <row r="2" spans="1:13" ht="28.5" x14ac:dyDescent="0.25">
      <c r="A2" s="209" t="s">
        <v>0</v>
      </c>
      <c r="B2" s="209" t="s">
        <v>1</v>
      </c>
      <c r="C2" s="209" t="s">
        <v>2</v>
      </c>
      <c r="D2" s="209" t="s">
        <v>3</v>
      </c>
      <c r="E2" s="209" t="s">
        <v>4</v>
      </c>
      <c r="F2" s="209" t="s">
        <v>5</v>
      </c>
      <c r="G2" s="209" t="s">
        <v>6</v>
      </c>
      <c r="H2" s="209" t="s">
        <v>7</v>
      </c>
      <c r="I2" s="209" t="s">
        <v>8</v>
      </c>
      <c r="J2" s="209" t="s">
        <v>9</v>
      </c>
      <c r="K2" s="209" t="s">
        <v>10</v>
      </c>
      <c r="L2" s="209" t="s">
        <v>11</v>
      </c>
      <c r="M2" s="209" t="s">
        <v>12</v>
      </c>
    </row>
    <row r="3" spans="1:13" ht="15" hidden="1" customHeight="1" x14ac:dyDescent="0.25">
      <c r="A3" s="176" t="s">
        <v>363</v>
      </c>
      <c r="B3" s="197" t="s">
        <v>320</v>
      </c>
      <c r="C3" s="204" t="s">
        <v>321</v>
      </c>
      <c r="D3" s="182" t="s">
        <v>322</v>
      </c>
      <c r="E3" s="198" t="s">
        <v>21</v>
      </c>
      <c r="F3" s="178"/>
      <c r="G3" s="181"/>
      <c r="H3" s="178"/>
      <c r="I3" s="178"/>
      <c r="J3" s="178"/>
      <c r="K3" s="178">
        <v>4700</v>
      </c>
      <c r="L3" s="178">
        <f t="shared" ref="L3:L12" si="0">K3</f>
        <v>4700</v>
      </c>
      <c r="M3" s="179" t="s">
        <v>332</v>
      </c>
    </row>
    <row r="4" spans="1:13" ht="15" hidden="1" customHeight="1" x14ac:dyDescent="0.25">
      <c r="A4" s="176" t="s">
        <v>363</v>
      </c>
      <c r="B4" s="197" t="s">
        <v>320</v>
      </c>
      <c r="C4" s="204" t="s">
        <v>321</v>
      </c>
      <c r="D4" s="182" t="s">
        <v>322</v>
      </c>
      <c r="E4" s="200" t="s">
        <v>35</v>
      </c>
      <c r="F4" s="178"/>
      <c r="G4" s="181"/>
      <c r="H4" s="178"/>
      <c r="I4" s="178"/>
      <c r="J4" s="178"/>
      <c r="K4" s="178">
        <v>4900</v>
      </c>
      <c r="L4" s="178">
        <f t="shared" si="0"/>
        <v>4900</v>
      </c>
      <c r="M4" s="179" t="s">
        <v>26</v>
      </c>
    </row>
    <row r="5" spans="1:13" ht="15" hidden="1" customHeight="1" x14ac:dyDescent="0.25">
      <c r="A5" s="176" t="s">
        <v>363</v>
      </c>
      <c r="B5" s="197" t="s">
        <v>320</v>
      </c>
      <c r="C5" s="204" t="s">
        <v>321</v>
      </c>
      <c r="D5" s="182" t="s">
        <v>322</v>
      </c>
      <c r="E5" s="201" t="s">
        <v>39</v>
      </c>
      <c r="F5" s="178"/>
      <c r="G5" s="181"/>
      <c r="H5" s="178"/>
      <c r="I5" s="178"/>
      <c r="J5" s="178"/>
      <c r="K5" s="178">
        <v>3350</v>
      </c>
      <c r="L5" s="178">
        <f t="shared" si="0"/>
        <v>3350</v>
      </c>
      <c r="M5" s="179" t="s">
        <v>333</v>
      </c>
    </row>
    <row r="6" spans="1:13" ht="15" hidden="1" customHeight="1" x14ac:dyDescent="0.25">
      <c r="A6" s="176" t="s">
        <v>363</v>
      </c>
      <c r="B6" s="197" t="s">
        <v>320</v>
      </c>
      <c r="C6" s="205" t="s">
        <v>325</v>
      </c>
      <c r="D6" s="182" t="s">
        <v>322</v>
      </c>
      <c r="E6" s="198" t="s">
        <v>21</v>
      </c>
      <c r="F6" s="178"/>
      <c r="G6" s="181"/>
      <c r="H6" s="178"/>
      <c r="I6" s="178"/>
      <c r="J6" s="178"/>
      <c r="K6" s="178">
        <v>7550</v>
      </c>
      <c r="L6" s="178">
        <f t="shared" si="0"/>
        <v>7550</v>
      </c>
      <c r="M6" s="179" t="s">
        <v>37</v>
      </c>
    </row>
    <row r="7" spans="1:13" ht="15" hidden="1" customHeight="1" x14ac:dyDescent="0.25">
      <c r="A7" s="176" t="s">
        <v>363</v>
      </c>
      <c r="B7" s="197" t="s">
        <v>320</v>
      </c>
      <c r="C7" s="206" t="s">
        <v>325</v>
      </c>
      <c r="D7" s="182" t="s">
        <v>322</v>
      </c>
      <c r="E7" s="200" t="s">
        <v>35</v>
      </c>
      <c r="F7" s="178"/>
      <c r="G7" s="181"/>
      <c r="H7" s="178"/>
      <c r="I7" s="178"/>
      <c r="J7" s="178"/>
      <c r="K7" s="178">
        <v>5250</v>
      </c>
      <c r="L7" s="178">
        <f t="shared" si="0"/>
        <v>5250</v>
      </c>
      <c r="M7" s="179" t="s">
        <v>22</v>
      </c>
    </row>
    <row r="8" spans="1:13" ht="15" hidden="1" customHeight="1" x14ac:dyDescent="0.25">
      <c r="A8" s="176" t="s">
        <v>363</v>
      </c>
      <c r="B8" s="197" t="s">
        <v>320</v>
      </c>
      <c r="C8" s="206" t="s">
        <v>325</v>
      </c>
      <c r="D8" s="182" t="s">
        <v>322</v>
      </c>
      <c r="E8" s="201" t="s">
        <v>39</v>
      </c>
      <c r="F8" s="178"/>
      <c r="G8" s="181"/>
      <c r="H8" s="178"/>
      <c r="I8" s="178"/>
      <c r="J8" s="178"/>
      <c r="K8" s="178">
        <v>6500</v>
      </c>
      <c r="L8" s="178">
        <f t="shared" si="0"/>
        <v>6500</v>
      </c>
      <c r="M8" s="179" t="s">
        <v>91</v>
      </c>
    </row>
    <row r="9" spans="1:13" ht="15" hidden="1" customHeight="1" x14ac:dyDescent="0.25">
      <c r="A9" s="176" t="s">
        <v>363</v>
      </c>
      <c r="B9" s="197" t="s">
        <v>320</v>
      </c>
      <c r="C9" s="206" t="s">
        <v>325</v>
      </c>
      <c r="D9" s="182" t="s">
        <v>322</v>
      </c>
      <c r="E9" s="202" t="s">
        <v>324</v>
      </c>
      <c r="F9" s="178"/>
      <c r="G9" s="178"/>
      <c r="H9" s="178"/>
      <c r="I9" s="178"/>
      <c r="J9" s="178"/>
      <c r="K9" s="178">
        <v>7100</v>
      </c>
      <c r="L9" s="178">
        <f t="shared" si="0"/>
        <v>7100</v>
      </c>
      <c r="M9" s="179" t="s">
        <v>181</v>
      </c>
    </row>
    <row r="10" spans="1:13" ht="15" hidden="1" customHeight="1" x14ac:dyDescent="0.25">
      <c r="A10" s="176" t="s">
        <v>363</v>
      </c>
      <c r="B10" s="204" t="s">
        <v>44</v>
      </c>
      <c r="C10" s="178" t="s">
        <v>45</v>
      </c>
      <c r="D10" s="177" t="s">
        <v>46</v>
      </c>
      <c r="E10" s="177" t="s">
        <v>25</v>
      </c>
      <c r="F10" s="178"/>
      <c r="G10" s="178"/>
      <c r="H10" s="178"/>
      <c r="I10" s="178"/>
      <c r="J10" s="178"/>
      <c r="K10" s="178">
        <v>2500</v>
      </c>
      <c r="L10" s="178">
        <f t="shared" si="0"/>
        <v>2500</v>
      </c>
      <c r="M10" s="179" t="s">
        <v>22</v>
      </c>
    </row>
    <row r="11" spans="1:13" ht="15" hidden="1" customHeight="1" x14ac:dyDescent="0.25">
      <c r="A11" s="176" t="s">
        <v>363</v>
      </c>
      <c r="B11" s="204" t="s">
        <v>44</v>
      </c>
      <c r="C11" s="178" t="s">
        <v>45</v>
      </c>
      <c r="D11" s="177" t="s">
        <v>46</v>
      </c>
      <c r="E11" s="177" t="s">
        <v>30</v>
      </c>
      <c r="F11" s="178"/>
      <c r="G11" s="178"/>
      <c r="H11" s="178"/>
      <c r="I11" s="178"/>
      <c r="J11" s="178"/>
      <c r="K11" s="178">
        <v>1250</v>
      </c>
      <c r="L11" s="178">
        <f t="shared" si="0"/>
        <v>1250</v>
      </c>
      <c r="M11" s="179" t="s">
        <v>22</v>
      </c>
    </row>
    <row r="12" spans="1:13" ht="15" hidden="1" customHeight="1" x14ac:dyDescent="0.25">
      <c r="A12" s="176" t="s">
        <v>364</v>
      </c>
      <c r="B12" s="204" t="s">
        <v>44</v>
      </c>
      <c r="C12" s="178" t="s">
        <v>45</v>
      </c>
      <c r="D12" s="177" t="s">
        <v>46</v>
      </c>
      <c r="E12" s="177" t="s">
        <v>30</v>
      </c>
      <c r="F12" s="178"/>
      <c r="G12" s="178"/>
      <c r="H12" s="178"/>
      <c r="I12" s="178"/>
      <c r="J12" s="178"/>
      <c r="K12" s="178">
        <v>3200</v>
      </c>
      <c r="L12" s="178">
        <f t="shared" si="0"/>
        <v>3200</v>
      </c>
      <c r="M12" s="179" t="s">
        <v>22</v>
      </c>
    </row>
    <row r="13" spans="1:13" ht="15" hidden="1" customHeight="1" x14ac:dyDescent="0.25">
      <c r="A13" s="176" t="s">
        <v>364</v>
      </c>
      <c r="B13" s="197" t="s">
        <v>320</v>
      </c>
      <c r="C13" s="205" t="s">
        <v>325</v>
      </c>
      <c r="D13" s="182" t="s">
        <v>322</v>
      </c>
      <c r="E13" s="198" t="s">
        <v>21</v>
      </c>
      <c r="F13" s="178"/>
      <c r="G13" s="181"/>
      <c r="H13" s="178"/>
      <c r="I13" s="178"/>
      <c r="J13" s="178"/>
      <c r="K13" s="178">
        <v>5700</v>
      </c>
      <c r="L13" s="178">
        <f t="shared" ref="L13:L27" si="1">K13</f>
        <v>5700</v>
      </c>
      <c r="M13" s="179" t="s">
        <v>37</v>
      </c>
    </row>
    <row r="14" spans="1:13" ht="15" hidden="1" customHeight="1" x14ac:dyDescent="0.25">
      <c r="A14" s="176" t="s">
        <v>364</v>
      </c>
      <c r="B14" s="197" t="s">
        <v>320</v>
      </c>
      <c r="C14" s="206" t="s">
        <v>325</v>
      </c>
      <c r="D14" s="182" t="s">
        <v>322</v>
      </c>
      <c r="E14" s="200" t="s">
        <v>35</v>
      </c>
      <c r="F14" s="178"/>
      <c r="G14" s="181"/>
      <c r="H14" s="178"/>
      <c r="I14" s="178"/>
      <c r="J14" s="178"/>
      <c r="K14" s="178">
        <v>4350</v>
      </c>
      <c r="L14" s="178">
        <f t="shared" si="1"/>
        <v>4350</v>
      </c>
      <c r="M14" s="179" t="s">
        <v>22</v>
      </c>
    </row>
    <row r="15" spans="1:13" ht="15" hidden="1" customHeight="1" x14ac:dyDescent="0.25">
      <c r="A15" s="176" t="s">
        <v>364</v>
      </c>
      <c r="B15" s="197" t="s">
        <v>320</v>
      </c>
      <c r="C15" s="206" t="s">
        <v>325</v>
      </c>
      <c r="D15" s="182" t="s">
        <v>322</v>
      </c>
      <c r="E15" s="201" t="s">
        <v>39</v>
      </c>
      <c r="F15" s="178"/>
      <c r="G15" s="181"/>
      <c r="H15" s="178"/>
      <c r="I15" s="178"/>
      <c r="J15" s="178"/>
      <c r="K15" s="178">
        <v>4500</v>
      </c>
      <c r="L15" s="178">
        <f t="shared" si="1"/>
        <v>4500</v>
      </c>
      <c r="M15" s="179" t="s">
        <v>91</v>
      </c>
    </row>
    <row r="16" spans="1:13" ht="15" hidden="1" customHeight="1" x14ac:dyDescent="0.25">
      <c r="A16" s="176" t="s">
        <v>364</v>
      </c>
      <c r="B16" s="197" t="s">
        <v>320</v>
      </c>
      <c r="C16" s="206" t="s">
        <v>325</v>
      </c>
      <c r="D16" s="182" t="s">
        <v>322</v>
      </c>
      <c r="E16" s="202" t="s">
        <v>324</v>
      </c>
      <c r="F16" s="178"/>
      <c r="G16" s="178"/>
      <c r="H16" s="178"/>
      <c r="I16" s="178"/>
      <c r="J16" s="178"/>
      <c r="K16" s="178">
        <v>5200</v>
      </c>
      <c r="L16" s="178">
        <f t="shared" si="1"/>
        <v>5200</v>
      </c>
      <c r="M16" s="179" t="s">
        <v>181</v>
      </c>
    </row>
    <row r="17" spans="1:13" ht="15" hidden="1" customHeight="1" x14ac:dyDescent="0.25">
      <c r="A17" s="176" t="s">
        <v>365</v>
      </c>
      <c r="B17" s="197" t="s">
        <v>320</v>
      </c>
      <c r="C17" s="204" t="s">
        <v>321</v>
      </c>
      <c r="D17" s="182" t="s">
        <v>322</v>
      </c>
      <c r="E17" s="198" t="s">
        <v>21</v>
      </c>
      <c r="F17" s="178"/>
      <c r="G17" s="181"/>
      <c r="H17" s="178"/>
      <c r="I17" s="178"/>
      <c r="J17" s="178"/>
      <c r="K17" s="178">
        <v>4250</v>
      </c>
      <c r="L17" s="178">
        <f t="shared" si="1"/>
        <v>4250</v>
      </c>
      <c r="M17" s="179" t="s">
        <v>332</v>
      </c>
    </row>
    <row r="18" spans="1:13" ht="15" hidden="1" customHeight="1" x14ac:dyDescent="0.25">
      <c r="A18" s="176" t="s">
        <v>365</v>
      </c>
      <c r="B18" s="197" t="s">
        <v>320</v>
      </c>
      <c r="C18" s="204" t="s">
        <v>321</v>
      </c>
      <c r="D18" s="182" t="s">
        <v>322</v>
      </c>
      <c r="E18" s="200" t="s">
        <v>35</v>
      </c>
      <c r="F18" s="178"/>
      <c r="G18" s="181"/>
      <c r="H18" s="178"/>
      <c r="I18" s="178"/>
      <c r="J18" s="178"/>
      <c r="K18" s="178">
        <v>3000</v>
      </c>
      <c r="L18" s="178">
        <f t="shared" si="1"/>
        <v>3000</v>
      </c>
      <c r="M18" s="179" t="s">
        <v>26</v>
      </c>
    </row>
    <row r="19" spans="1:13" ht="15" hidden="1" customHeight="1" x14ac:dyDescent="0.25">
      <c r="A19" s="176" t="s">
        <v>365</v>
      </c>
      <c r="B19" s="197" t="s">
        <v>320</v>
      </c>
      <c r="C19" s="204" t="s">
        <v>321</v>
      </c>
      <c r="D19" s="182" t="s">
        <v>322</v>
      </c>
      <c r="E19" s="201" t="s">
        <v>39</v>
      </c>
      <c r="F19" s="178"/>
      <c r="G19" s="181"/>
      <c r="H19" s="178"/>
      <c r="I19" s="178"/>
      <c r="J19" s="178"/>
      <c r="K19" s="178">
        <v>2400</v>
      </c>
      <c r="L19" s="178">
        <f t="shared" si="1"/>
        <v>2400</v>
      </c>
      <c r="M19" s="179" t="s">
        <v>333</v>
      </c>
    </row>
    <row r="20" spans="1:13" ht="15" hidden="1" customHeight="1" x14ac:dyDescent="0.25">
      <c r="A20" s="176" t="s">
        <v>365</v>
      </c>
      <c r="B20" s="197" t="s">
        <v>320</v>
      </c>
      <c r="C20" s="205" t="s">
        <v>325</v>
      </c>
      <c r="D20" s="182" t="s">
        <v>322</v>
      </c>
      <c r="E20" s="198" t="s">
        <v>21</v>
      </c>
      <c r="F20" s="178"/>
      <c r="G20" s="181"/>
      <c r="H20" s="178"/>
      <c r="I20" s="178"/>
      <c r="J20" s="178"/>
      <c r="K20" s="178">
        <v>1750</v>
      </c>
      <c r="L20" s="178">
        <f t="shared" si="1"/>
        <v>1750</v>
      </c>
      <c r="M20" s="179" t="s">
        <v>37</v>
      </c>
    </row>
    <row r="21" spans="1:13" ht="15" hidden="1" customHeight="1" x14ac:dyDescent="0.25">
      <c r="A21" s="176" t="s">
        <v>365</v>
      </c>
      <c r="B21" s="197" t="s">
        <v>320</v>
      </c>
      <c r="C21" s="206" t="s">
        <v>325</v>
      </c>
      <c r="D21" s="182" t="s">
        <v>322</v>
      </c>
      <c r="E21" s="200" t="s">
        <v>35</v>
      </c>
      <c r="F21" s="178"/>
      <c r="G21" s="181"/>
      <c r="H21" s="178"/>
      <c r="I21" s="178"/>
      <c r="J21" s="178"/>
      <c r="K21" s="178">
        <v>6237</v>
      </c>
      <c r="L21" s="178">
        <f t="shared" si="1"/>
        <v>6237</v>
      </c>
      <c r="M21" s="179" t="s">
        <v>22</v>
      </c>
    </row>
    <row r="22" spans="1:13" ht="15" hidden="1" customHeight="1" x14ac:dyDescent="0.25">
      <c r="A22" s="176" t="s">
        <v>365</v>
      </c>
      <c r="B22" s="197" t="s">
        <v>320</v>
      </c>
      <c r="C22" s="206" t="s">
        <v>325</v>
      </c>
      <c r="D22" s="182" t="s">
        <v>322</v>
      </c>
      <c r="E22" s="201" t="s">
        <v>39</v>
      </c>
      <c r="F22" s="178"/>
      <c r="G22" s="181"/>
      <c r="H22" s="178"/>
      <c r="I22" s="178"/>
      <c r="J22" s="178"/>
      <c r="K22" s="178">
        <v>1500</v>
      </c>
      <c r="L22" s="178">
        <f t="shared" si="1"/>
        <v>1500</v>
      </c>
      <c r="M22" s="179" t="s">
        <v>91</v>
      </c>
    </row>
    <row r="23" spans="1:13" ht="15" hidden="1" customHeight="1" x14ac:dyDescent="0.25">
      <c r="A23" s="176" t="s">
        <v>365</v>
      </c>
      <c r="B23" s="197" t="s">
        <v>320</v>
      </c>
      <c r="C23" s="206" t="s">
        <v>325</v>
      </c>
      <c r="D23" s="182" t="s">
        <v>322</v>
      </c>
      <c r="E23" s="202" t="s">
        <v>324</v>
      </c>
      <c r="F23" s="178"/>
      <c r="G23" s="178"/>
      <c r="H23" s="178"/>
      <c r="I23" s="178"/>
      <c r="J23" s="178"/>
      <c r="K23" s="178">
        <v>1000</v>
      </c>
      <c r="L23" s="178">
        <f t="shared" si="1"/>
        <v>1000</v>
      </c>
      <c r="M23" s="179" t="s">
        <v>181</v>
      </c>
    </row>
    <row r="24" spans="1:13" ht="15" hidden="1" customHeight="1" x14ac:dyDescent="0.25">
      <c r="A24" s="176" t="s">
        <v>365</v>
      </c>
      <c r="B24" s="177" t="s">
        <v>14</v>
      </c>
      <c r="C24" s="178">
        <v>7479</v>
      </c>
      <c r="D24" s="177" t="s">
        <v>20</v>
      </c>
      <c r="E24" s="177" t="s">
        <v>25</v>
      </c>
      <c r="F24" s="178"/>
      <c r="G24" s="178"/>
      <c r="H24" s="178"/>
      <c r="I24" s="178"/>
      <c r="J24" s="178"/>
      <c r="K24" s="178">
        <v>5360</v>
      </c>
      <c r="L24" s="178">
        <f t="shared" si="1"/>
        <v>5360</v>
      </c>
      <c r="M24" s="179" t="s">
        <v>181</v>
      </c>
    </row>
    <row r="25" spans="1:13" ht="15" hidden="1" customHeight="1" x14ac:dyDescent="0.25">
      <c r="A25" s="176" t="s">
        <v>365</v>
      </c>
      <c r="B25" s="196" t="s">
        <v>23</v>
      </c>
      <c r="C25" s="178">
        <v>66772</v>
      </c>
      <c r="D25" s="177" t="s">
        <v>34</v>
      </c>
      <c r="E25" s="201" t="s">
        <v>35</v>
      </c>
      <c r="F25" s="178"/>
      <c r="G25" s="181" t="s">
        <v>77</v>
      </c>
      <c r="H25" s="178"/>
      <c r="I25" s="178"/>
      <c r="J25" s="178"/>
      <c r="K25" s="178">
        <v>4500</v>
      </c>
      <c r="L25" s="178">
        <f t="shared" si="1"/>
        <v>4500</v>
      </c>
      <c r="M25" s="179" t="s">
        <v>179</v>
      </c>
    </row>
    <row r="26" spans="1:13" ht="15" hidden="1" customHeight="1" x14ac:dyDescent="0.25">
      <c r="A26" s="176" t="s">
        <v>365</v>
      </c>
      <c r="B26" s="196" t="s">
        <v>23</v>
      </c>
      <c r="C26" s="178">
        <v>66772</v>
      </c>
      <c r="D26" s="177" t="s">
        <v>34</v>
      </c>
      <c r="E26" s="177" t="s">
        <v>39</v>
      </c>
      <c r="F26" s="178"/>
      <c r="G26" s="181" t="s">
        <v>36</v>
      </c>
      <c r="H26" s="178"/>
      <c r="I26" s="178"/>
      <c r="J26" s="178"/>
      <c r="K26" s="178">
        <v>420</v>
      </c>
      <c r="L26" s="178">
        <f t="shared" si="1"/>
        <v>420</v>
      </c>
      <c r="M26" s="179" t="s">
        <v>277</v>
      </c>
    </row>
    <row r="27" spans="1:13" ht="15" hidden="1" customHeight="1" x14ac:dyDescent="0.25">
      <c r="A27" s="176" t="s">
        <v>365</v>
      </c>
      <c r="B27" s="204" t="s">
        <v>44</v>
      </c>
      <c r="C27" s="178" t="s">
        <v>45</v>
      </c>
      <c r="D27" s="177" t="s">
        <v>46</v>
      </c>
      <c r="E27" s="177" t="s">
        <v>30</v>
      </c>
      <c r="F27" s="178"/>
      <c r="G27" s="178"/>
      <c r="H27" s="178"/>
      <c r="I27" s="178"/>
      <c r="J27" s="178"/>
      <c r="K27" s="178">
        <v>3000</v>
      </c>
      <c r="L27" s="178">
        <f t="shared" si="1"/>
        <v>3000</v>
      </c>
      <c r="M27" s="179" t="s">
        <v>22</v>
      </c>
    </row>
    <row r="28" spans="1:13" ht="15" hidden="1" customHeight="1" x14ac:dyDescent="0.25">
      <c r="A28" s="176" t="s">
        <v>365</v>
      </c>
      <c r="B28" s="177" t="s">
        <v>14</v>
      </c>
      <c r="C28" s="178">
        <v>8283</v>
      </c>
      <c r="D28" s="177" t="s">
        <v>344</v>
      </c>
      <c r="E28" s="177" t="s">
        <v>25</v>
      </c>
      <c r="F28" s="178"/>
      <c r="G28" s="178"/>
      <c r="H28" s="178"/>
      <c r="I28" s="178"/>
      <c r="J28" s="178"/>
      <c r="K28" s="178">
        <v>2470</v>
      </c>
      <c r="L28" s="178">
        <f>K28</f>
        <v>2470</v>
      </c>
      <c r="M28" s="179" t="s">
        <v>179</v>
      </c>
    </row>
    <row r="29" spans="1:13" ht="15" hidden="1" customHeight="1" x14ac:dyDescent="0.25">
      <c r="A29" s="176" t="s">
        <v>365</v>
      </c>
      <c r="B29" s="177" t="s">
        <v>14</v>
      </c>
      <c r="C29" s="178">
        <v>6871</v>
      </c>
      <c r="D29" s="177" t="s">
        <v>16</v>
      </c>
      <c r="E29" s="177" t="s">
        <v>17</v>
      </c>
      <c r="F29" s="178">
        <v>62</v>
      </c>
      <c r="G29" s="178">
        <v>0.64</v>
      </c>
      <c r="H29" s="178">
        <f>G29*F29</f>
        <v>39.68</v>
      </c>
      <c r="I29" s="178">
        <v>70</v>
      </c>
      <c r="J29" s="178">
        <v>2</v>
      </c>
      <c r="K29" s="178">
        <f t="shared" ref="K29" si="2">F29*I29</f>
        <v>4340</v>
      </c>
      <c r="L29" s="178">
        <f t="shared" ref="L29" si="3">K29*J29</f>
        <v>8680</v>
      </c>
      <c r="M29" s="179" t="s">
        <v>22</v>
      </c>
    </row>
    <row r="30" spans="1:13" hidden="1" x14ac:dyDescent="0.25">
      <c r="A30" s="176" t="s">
        <v>366</v>
      </c>
      <c r="B30" s="196" t="s">
        <v>23</v>
      </c>
      <c r="C30" s="178">
        <v>66772</v>
      </c>
      <c r="D30" s="177" t="s">
        <v>34</v>
      </c>
      <c r="E30" s="201" t="s">
        <v>35</v>
      </c>
      <c r="F30" s="178"/>
      <c r="G30" s="181" t="s">
        <v>77</v>
      </c>
      <c r="H30" s="178"/>
      <c r="I30" s="178"/>
      <c r="J30" s="178"/>
      <c r="K30" s="178">
        <v>5500</v>
      </c>
      <c r="L30" s="178">
        <f t="shared" ref="L30:L31" si="4">K30</f>
        <v>5500</v>
      </c>
      <c r="M30" s="179" t="s">
        <v>179</v>
      </c>
    </row>
    <row r="31" spans="1:13" hidden="1" x14ac:dyDescent="0.25">
      <c r="A31" s="176" t="s">
        <v>366</v>
      </c>
      <c r="B31" s="196" t="s">
        <v>23</v>
      </c>
      <c r="C31" s="178">
        <v>66772</v>
      </c>
      <c r="D31" s="177" t="s">
        <v>34</v>
      </c>
      <c r="E31" s="177" t="s">
        <v>39</v>
      </c>
      <c r="F31" s="178"/>
      <c r="G31" s="181" t="s">
        <v>36</v>
      </c>
      <c r="H31" s="178"/>
      <c r="I31" s="178"/>
      <c r="J31" s="178"/>
      <c r="K31" s="178">
        <v>1080</v>
      </c>
      <c r="L31" s="178">
        <f t="shared" si="4"/>
        <v>1080</v>
      </c>
      <c r="M31" s="179" t="s">
        <v>277</v>
      </c>
    </row>
    <row r="32" spans="1:13" hidden="1" x14ac:dyDescent="0.25">
      <c r="A32" s="176" t="s">
        <v>366</v>
      </c>
      <c r="B32" s="196" t="s">
        <v>23</v>
      </c>
      <c r="C32" s="178">
        <v>66772</v>
      </c>
      <c r="D32" s="177" t="s">
        <v>34</v>
      </c>
      <c r="E32" s="204" t="s">
        <v>30</v>
      </c>
      <c r="F32" s="178"/>
      <c r="G32" s="181" t="s">
        <v>78</v>
      </c>
      <c r="H32" s="178"/>
      <c r="I32" s="178"/>
      <c r="J32" s="178"/>
      <c r="K32" s="178">
        <v>1500</v>
      </c>
      <c r="L32" s="178">
        <f>K32</f>
        <v>1500</v>
      </c>
      <c r="M32" s="179" t="s">
        <v>180</v>
      </c>
    </row>
    <row r="33" spans="1:13" ht="15" hidden="1" customHeight="1" x14ac:dyDescent="0.25">
      <c r="A33" s="176" t="s">
        <v>366</v>
      </c>
      <c r="B33" s="196" t="s">
        <v>23</v>
      </c>
      <c r="C33" s="178">
        <v>65548</v>
      </c>
      <c r="D33" s="182" t="s">
        <v>24</v>
      </c>
      <c r="E33" s="180" t="s">
        <v>25</v>
      </c>
      <c r="F33" s="178"/>
      <c r="G33" s="181"/>
      <c r="H33" s="178"/>
      <c r="I33" s="178"/>
      <c r="J33" s="178"/>
      <c r="K33" s="178">
        <v>6540</v>
      </c>
      <c r="L33" s="178">
        <f t="shared" ref="L33:L41" si="5">K33</f>
        <v>6540</v>
      </c>
      <c r="M33" s="179" t="s">
        <v>179</v>
      </c>
    </row>
    <row r="34" spans="1:13" ht="15" hidden="1" customHeight="1" x14ac:dyDescent="0.25">
      <c r="A34" s="176" t="s">
        <v>366</v>
      </c>
      <c r="B34" s="196" t="s">
        <v>23</v>
      </c>
      <c r="C34" s="178">
        <v>65548</v>
      </c>
      <c r="D34" s="182" t="s">
        <v>24</v>
      </c>
      <c r="E34" s="204" t="s">
        <v>30</v>
      </c>
      <c r="F34" s="178"/>
      <c r="G34" s="181"/>
      <c r="H34" s="178"/>
      <c r="I34" s="178"/>
      <c r="J34" s="178"/>
      <c r="K34" s="178">
        <v>5000</v>
      </c>
      <c r="L34" s="178">
        <f t="shared" si="5"/>
        <v>5000</v>
      </c>
      <c r="M34" s="179" t="s">
        <v>180</v>
      </c>
    </row>
    <row r="35" spans="1:13" hidden="1" x14ac:dyDescent="0.25">
      <c r="A35" s="176" t="s">
        <v>366</v>
      </c>
      <c r="B35" s="197" t="s">
        <v>320</v>
      </c>
      <c r="C35" s="204" t="s">
        <v>321</v>
      </c>
      <c r="D35" s="182" t="s">
        <v>322</v>
      </c>
      <c r="E35" s="198" t="s">
        <v>21</v>
      </c>
      <c r="F35" s="178"/>
      <c r="G35" s="181"/>
      <c r="H35" s="178"/>
      <c r="I35" s="178"/>
      <c r="J35" s="178"/>
      <c r="K35" s="178">
        <v>2988</v>
      </c>
      <c r="L35" s="178">
        <f t="shared" si="5"/>
        <v>2988</v>
      </c>
      <c r="M35" s="179" t="s">
        <v>332</v>
      </c>
    </row>
    <row r="36" spans="1:13" hidden="1" x14ac:dyDescent="0.25">
      <c r="A36" s="176" t="s">
        <v>366</v>
      </c>
      <c r="B36" s="197" t="s">
        <v>320</v>
      </c>
      <c r="C36" s="204" t="s">
        <v>321</v>
      </c>
      <c r="D36" s="182" t="s">
        <v>322</v>
      </c>
      <c r="E36" s="200" t="s">
        <v>35</v>
      </c>
      <c r="F36" s="178"/>
      <c r="G36" s="181"/>
      <c r="H36" s="178"/>
      <c r="I36" s="178"/>
      <c r="J36" s="178"/>
      <c r="K36" s="178">
        <v>1200</v>
      </c>
      <c r="L36" s="178">
        <f t="shared" si="5"/>
        <v>1200</v>
      </c>
      <c r="M36" s="179" t="s">
        <v>26</v>
      </c>
    </row>
    <row r="37" spans="1:13" hidden="1" x14ac:dyDescent="0.25">
      <c r="A37" s="176" t="s">
        <v>366</v>
      </c>
      <c r="B37" s="197" t="s">
        <v>320</v>
      </c>
      <c r="C37" s="204" t="s">
        <v>321</v>
      </c>
      <c r="D37" s="182" t="s">
        <v>322</v>
      </c>
      <c r="E37" s="201" t="s">
        <v>39</v>
      </c>
      <c r="F37" s="178"/>
      <c r="G37" s="181"/>
      <c r="H37" s="178"/>
      <c r="I37" s="178"/>
      <c r="J37" s="178"/>
      <c r="K37" s="178">
        <v>2890</v>
      </c>
      <c r="L37" s="178">
        <f t="shared" si="5"/>
        <v>2890</v>
      </c>
      <c r="M37" s="179" t="s">
        <v>333</v>
      </c>
    </row>
    <row r="38" spans="1:13" hidden="1" x14ac:dyDescent="0.25">
      <c r="A38" s="176" t="s">
        <v>366</v>
      </c>
      <c r="B38" s="204" t="s">
        <v>44</v>
      </c>
      <c r="C38" s="178" t="s">
        <v>45</v>
      </c>
      <c r="D38" s="177" t="s">
        <v>46</v>
      </c>
      <c r="E38" s="177" t="s">
        <v>367</v>
      </c>
      <c r="F38" s="178"/>
      <c r="G38" s="178"/>
      <c r="H38" s="178"/>
      <c r="I38" s="178"/>
      <c r="J38" s="178"/>
      <c r="K38" s="178">
        <v>3000</v>
      </c>
      <c r="L38" s="178">
        <f t="shared" si="5"/>
        <v>3000</v>
      </c>
      <c r="M38" s="179" t="s">
        <v>22</v>
      </c>
    </row>
    <row r="39" spans="1:13" hidden="1" x14ac:dyDescent="0.25">
      <c r="A39" s="176" t="s">
        <v>366</v>
      </c>
      <c r="B39" s="197" t="s">
        <v>320</v>
      </c>
      <c r="C39" s="205" t="s">
        <v>325</v>
      </c>
      <c r="D39" s="182" t="s">
        <v>322</v>
      </c>
      <c r="E39" s="198" t="s">
        <v>21</v>
      </c>
      <c r="F39" s="178"/>
      <c r="G39" s="181"/>
      <c r="H39" s="178"/>
      <c r="I39" s="178"/>
      <c r="J39" s="178"/>
      <c r="K39" s="178">
        <v>5523</v>
      </c>
      <c r="L39" s="178">
        <f t="shared" si="5"/>
        <v>5523</v>
      </c>
      <c r="M39" s="179" t="s">
        <v>37</v>
      </c>
    </row>
    <row r="40" spans="1:13" hidden="1" x14ac:dyDescent="0.25">
      <c r="A40" s="176" t="s">
        <v>366</v>
      </c>
      <c r="B40" s="197" t="s">
        <v>320</v>
      </c>
      <c r="C40" s="206" t="s">
        <v>325</v>
      </c>
      <c r="D40" s="182" t="s">
        <v>322</v>
      </c>
      <c r="E40" s="200" t="s">
        <v>35</v>
      </c>
      <c r="F40" s="178"/>
      <c r="G40" s="181"/>
      <c r="H40" s="178"/>
      <c r="I40" s="178"/>
      <c r="J40" s="178"/>
      <c r="K40" s="178">
        <v>1150</v>
      </c>
      <c r="L40" s="178">
        <f t="shared" si="5"/>
        <v>1150</v>
      </c>
      <c r="M40" s="179" t="s">
        <v>22</v>
      </c>
    </row>
    <row r="41" spans="1:13" hidden="1" x14ac:dyDescent="0.25">
      <c r="A41" s="176" t="s">
        <v>366</v>
      </c>
      <c r="B41" s="197" t="s">
        <v>320</v>
      </c>
      <c r="C41" s="206" t="s">
        <v>325</v>
      </c>
      <c r="D41" s="182" t="s">
        <v>322</v>
      </c>
      <c r="E41" s="202" t="s">
        <v>324</v>
      </c>
      <c r="F41" s="178"/>
      <c r="G41" s="178"/>
      <c r="H41" s="178"/>
      <c r="I41" s="178"/>
      <c r="J41" s="178"/>
      <c r="K41" s="178">
        <v>5884</v>
      </c>
      <c r="L41" s="178">
        <f t="shared" si="5"/>
        <v>5884</v>
      </c>
      <c r="M41" s="179" t="s">
        <v>181</v>
      </c>
    </row>
    <row r="42" spans="1:13" hidden="1" x14ac:dyDescent="0.25">
      <c r="A42" s="176" t="s">
        <v>366</v>
      </c>
      <c r="B42" s="177" t="s">
        <v>14</v>
      </c>
      <c r="C42" s="178">
        <v>6871</v>
      </c>
      <c r="D42" s="177" t="s">
        <v>16</v>
      </c>
      <c r="E42" s="177" t="s">
        <v>17</v>
      </c>
      <c r="F42" s="178">
        <v>19</v>
      </c>
      <c r="G42" s="178">
        <v>0.64</v>
      </c>
      <c r="H42" s="178">
        <f>G42*F42</f>
        <v>12.16</v>
      </c>
      <c r="I42" s="178">
        <v>70</v>
      </c>
      <c r="J42" s="178">
        <v>2</v>
      </c>
      <c r="K42" s="178">
        <f t="shared" ref="K42" si="6">F42*I42</f>
        <v>1330</v>
      </c>
      <c r="L42" s="178">
        <f t="shared" ref="L42" si="7">K42*J42</f>
        <v>2660</v>
      </c>
      <c r="M42" s="179" t="s">
        <v>22</v>
      </c>
    </row>
    <row r="43" spans="1:13" hidden="1" x14ac:dyDescent="0.25">
      <c r="A43" s="176" t="s">
        <v>368</v>
      </c>
      <c r="B43" s="196" t="s">
        <v>23</v>
      </c>
      <c r="C43" s="178">
        <v>65548</v>
      </c>
      <c r="D43" s="182" t="s">
        <v>24</v>
      </c>
      <c r="E43" s="180" t="s">
        <v>25</v>
      </c>
      <c r="F43" s="178"/>
      <c r="G43" s="181"/>
      <c r="H43" s="178"/>
      <c r="I43" s="178"/>
      <c r="J43" s="178"/>
      <c r="K43" s="178">
        <v>3500</v>
      </c>
      <c r="L43" s="178">
        <f t="shared" ref="L43:L46" si="8">K43</f>
        <v>3500</v>
      </c>
      <c r="M43" s="179" t="s">
        <v>179</v>
      </c>
    </row>
    <row r="44" spans="1:13" hidden="1" x14ac:dyDescent="0.25">
      <c r="A44" s="176" t="s">
        <v>368</v>
      </c>
      <c r="B44" s="196" t="s">
        <v>23</v>
      </c>
      <c r="C44" s="178">
        <v>65548</v>
      </c>
      <c r="D44" s="182" t="s">
        <v>24</v>
      </c>
      <c r="E44" s="204" t="s">
        <v>30</v>
      </c>
      <c r="F44" s="178"/>
      <c r="G44" s="181"/>
      <c r="H44" s="178"/>
      <c r="I44" s="178"/>
      <c r="J44" s="178"/>
      <c r="K44" s="178">
        <v>5050</v>
      </c>
      <c r="L44" s="178">
        <f t="shared" si="8"/>
        <v>5050</v>
      </c>
      <c r="M44" s="179" t="s">
        <v>180</v>
      </c>
    </row>
    <row r="45" spans="1:13" hidden="1" x14ac:dyDescent="0.25">
      <c r="A45" s="176" t="s">
        <v>368</v>
      </c>
      <c r="B45" s="196" t="s">
        <v>23</v>
      </c>
      <c r="C45" s="178">
        <v>66772</v>
      </c>
      <c r="D45" s="177" t="s">
        <v>34</v>
      </c>
      <c r="E45" s="201" t="s">
        <v>35</v>
      </c>
      <c r="F45" s="178"/>
      <c r="G45" s="181" t="s">
        <v>77</v>
      </c>
      <c r="H45" s="178"/>
      <c r="I45" s="178"/>
      <c r="J45" s="178"/>
      <c r="K45" s="178">
        <v>2500</v>
      </c>
      <c r="L45" s="178">
        <f t="shared" si="8"/>
        <v>2500</v>
      </c>
      <c r="M45" s="179" t="s">
        <v>179</v>
      </c>
    </row>
    <row r="46" spans="1:13" hidden="1" x14ac:dyDescent="0.25">
      <c r="A46" s="176" t="s">
        <v>368</v>
      </c>
      <c r="B46" s="196" t="s">
        <v>23</v>
      </c>
      <c r="C46" s="178">
        <v>66772</v>
      </c>
      <c r="D46" s="177" t="s">
        <v>34</v>
      </c>
      <c r="E46" s="177" t="s">
        <v>39</v>
      </c>
      <c r="F46" s="178"/>
      <c r="G46" s="181" t="s">
        <v>36</v>
      </c>
      <c r="H46" s="178"/>
      <c r="I46" s="178"/>
      <c r="J46" s="178"/>
      <c r="K46" s="178">
        <v>2250</v>
      </c>
      <c r="L46" s="178">
        <f t="shared" si="8"/>
        <v>2250</v>
      </c>
      <c r="M46" s="179" t="s">
        <v>277</v>
      </c>
    </row>
    <row r="47" spans="1:13" hidden="1" x14ac:dyDescent="0.25">
      <c r="A47" s="176" t="s">
        <v>368</v>
      </c>
      <c r="B47" s="196" t="s">
        <v>23</v>
      </c>
      <c r="C47" s="178">
        <v>66772</v>
      </c>
      <c r="D47" s="177" t="s">
        <v>34</v>
      </c>
      <c r="E47" s="204" t="s">
        <v>30</v>
      </c>
      <c r="F47" s="178"/>
      <c r="G47" s="181" t="s">
        <v>78</v>
      </c>
      <c r="H47" s="178"/>
      <c r="I47" s="178"/>
      <c r="J47" s="178"/>
      <c r="K47" s="178">
        <v>3500</v>
      </c>
      <c r="L47" s="178">
        <f>K47</f>
        <v>3500</v>
      </c>
      <c r="M47" s="179" t="s">
        <v>180</v>
      </c>
    </row>
    <row r="48" spans="1:13" hidden="1" x14ac:dyDescent="0.25">
      <c r="A48" s="176" t="s">
        <v>368</v>
      </c>
      <c r="B48" s="204" t="s">
        <v>44</v>
      </c>
      <c r="C48" s="178" t="s">
        <v>45</v>
      </c>
      <c r="D48" s="177" t="s">
        <v>46</v>
      </c>
      <c r="E48" s="177" t="s">
        <v>367</v>
      </c>
      <c r="F48" s="178"/>
      <c r="G48" s="178"/>
      <c r="H48" s="178"/>
      <c r="I48" s="178"/>
      <c r="J48" s="178"/>
      <c r="K48" s="178">
        <v>1500</v>
      </c>
      <c r="L48" s="178">
        <f t="shared" ref="L48:L53" si="9">K48</f>
        <v>1500</v>
      </c>
      <c r="M48" s="179" t="s">
        <v>22</v>
      </c>
    </row>
    <row r="49" spans="1:13" hidden="1" x14ac:dyDescent="0.25">
      <c r="A49" s="176" t="s">
        <v>368</v>
      </c>
      <c r="B49" s="197" t="s">
        <v>320</v>
      </c>
      <c r="C49" s="204" t="s">
        <v>321</v>
      </c>
      <c r="D49" s="182" t="s">
        <v>322</v>
      </c>
      <c r="E49" s="200" t="s">
        <v>35</v>
      </c>
      <c r="F49" s="178"/>
      <c r="G49" s="181"/>
      <c r="H49" s="178"/>
      <c r="I49" s="178"/>
      <c r="J49" s="178"/>
      <c r="K49" s="178">
        <v>2880</v>
      </c>
      <c r="L49" s="178">
        <f t="shared" si="9"/>
        <v>2880</v>
      </c>
      <c r="M49" s="179" t="s">
        <v>26</v>
      </c>
    </row>
    <row r="50" spans="1:13" hidden="1" x14ac:dyDescent="0.25">
      <c r="A50" s="176" t="s">
        <v>368</v>
      </c>
      <c r="B50" s="197" t="s">
        <v>320</v>
      </c>
      <c r="C50" s="204" t="s">
        <v>321</v>
      </c>
      <c r="D50" s="182" t="s">
        <v>322</v>
      </c>
      <c r="E50" s="201" t="s">
        <v>39</v>
      </c>
      <c r="F50" s="178"/>
      <c r="G50" s="181"/>
      <c r="H50" s="178"/>
      <c r="I50" s="178"/>
      <c r="J50" s="178"/>
      <c r="K50" s="178">
        <v>1400</v>
      </c>
      <c r="L50" s="178">
        <f t="shared" si="9"/>
        <v>1400</v>
      </c>
      <c r="M50" s="179" t="s">
        <v>333</v>
      </c>
    </row>
    <row r="51" spans="1:13" hidden="1" x14ac:dyDescent="0.25">
      <c r="A51" s="176" t="s">
        <v>368</v>
      </c>
      <c r="B51" s="197" t="s">
        <v>320</v>
      </c>
      <c r="C51" s="205" t="s">
        <v>325</v>
      </c>
      <c r="D51" s="182" t="s">
        <v>322</v>
      </c>
      <c r="E51" s="198" t="s">
        <v>21</v>
      </c>
      <c r="F51" s="178"/>
      <c r="G51" s="181"/>
      <c r="H51" s="178"/>
      <c r="I51" s="178"/>
      <c r="J51" s="178"/>
      <c r="K51" s="178">
        <v>2850</v>
      </c>
      <c r="L51" s="178">
        <f t="shared" si="9"/>
        <v>2850</v>
      </c>
      <c r="M51" s="179" t="s">
        <v>37</v>
      </c>
    </row>
    <row r="52" spans="1:13" hidden="1" x14ac:dyDescent="0.25">
      <c r="A52" s="176" t="s">
        <v>368</v>
      </c>
      <c r="B52" s="197" t="s">
        <v>320</v>
      </c>
      <c r="C52" s="206" t="s">
        <v>325</v>
      </c>
      <c r="D52" s="182" t="s">
        <v>322</v>
      </c>
      <c r="E52" s="200" t="s">
        <v>35</v>
      </c>
      <c r="F52" s="178"/>
      <c r="G52" s="181"/>
      <c r="H52" s="178"/>
      <c r="I52" s="178"/>
      <c r="J52" s="178"/>
      <c r="K52" s="178">
        <v>2200</v>
      </c>
      <c r="L52" s="178">
        <f t="shared" si="9"/>
        <v>2200</v>
      </c>
      <c r="M52" s="179" t="s">
        <v>22</v>
      </c>
    </row>
    <row r="53" spans="1:13" hidden="1" x14ac:dyDescent="0.25">
      <c r="A53" s="176" t="s">
        <v>368</v>
      </c>
      <c r="B53" s="177" t="s">
        <v>14</v>
      </c>
      <c r="C53" s="178">
        <v>7479</v>
      </c>
      <c r="D53" s="177" t="s">
        <v>20</v>
      </c>
      <c r="E53" s="177" t="s">
        <v>25</v>
      </c>
      <c r="F53" s="178"/>
      <c r="G53" s="178"/>
      <c r="H53" s="178"/>
      <c r="I53" s="178"/>
      <c r="J53" s="178"/>
      <c r="K53" s="178">
        <v>244</v>
      </c>
      <c r="L53" s="178">
        <f t="shared" si="9"/>
        <v>244</v>
      </c>
      <c r="M53" s="179" t="s">
        <v>181</v>
      </c>
    </row>
    <row r="54" spans="1:13" ht="15" hidden="1" customHeight="1" x14ac:dyDescent="0.25">
      <c r="A54" s="176" t="s">
        <v>368</v>
      </c>
      <c r="B54" s="177" t="s">
        <v>14</v>
      </c>
      <c r="C54" s="178" t="s">
        <v>51</v>
      </c>
      <c r="D54" s="208" t="s">
        <v>52</v>
      </c>
      <c r="E54" s="177" t="s">
        <v>17</v>
      </c>
      <c r="F54" s="178">
        <v>114</v>
      </c>
      <c r="G54" s="178">
        <v>0.20499999999999999</v>
      </c>
      <c r="H54" s="178">
        <f t="shared" ref="H54" si="10">F54*G54</f>
        <v>23.369999999999997</v>
      </c>
      <c r="I54" s="178">
        <v>26</v>
      </c>
      <c r="J54" s="178">
        <v>4</v>
      </c>
      <c r="K54" s="178">
        <f>F54*I54</f>
        <v>2964</v>
      </c>
      <c r="L54" s="178">
        <f t="shared" ref="L54" si="11">K54*J54</f>
        <v>11856</v>
      </c>
      <c r="M54" s="179" t="s">
        <v>18</v>
      </c>
    </row>
    <row r="55" spans="1:13" hidden="1" x14ac:dyDescent="0.25">
      <c r="A55" s="176" t="s">
        <v>369</v>
      </c>
      <c r="B55" s="197" t="s">
        <v>320</v>
      </c>
      <c r="C55" s="204" t="s">
        <v>321</v>
      </c>
      <c r="D55" s="182" t="s">
        <v>322</v>
      </c>
      <c r="E55" s="198" t="s">
        <v>21</v>
      </c>
      <c r="F55" s="178"/>
      <c r="G55" s="181"/>
      <c r="H55" s="178"/>
      <c r="I55" s="178"/>
      <c r="J55" s="178"/>
      <c r="K55" s="178">
        <v>2346</v>
      </c>
      <c r="L55" s="178">
        <f t="shared" ref="L55:L57" si="12">K55</f>
        <v>2346</v>
      </c>
      <c r="M55" s="179" t="s">
        <v>332</v>
      </c>
    </row>
    <row r="56" spans="1:13" hidden="1" x14ac:dyDescent="0.25">
      <c r="A56" s="176" t="s">
        <v>369</v>
      </c>
      <c r="B56" s="197" t="s">
        <v>320</v>
      </c>
      <c r="C56" s="204" t="s">
        <v>321</v>
      </c>
      <c r="D56" s="182" t="s">
        <v>322</v>
      </c>
      <c r="E56" s="200" t="s">
        <v>35</v>
      </c>
      <c r="F56" s="178"/>
      <c r="G56" s="181"/>
      <c r="H56" s="178"/>
      <c r="I56" s="178"/>
      <c r="J56" s="178"/>
      <c r="K56" s="178">
        <v>2200</v>
      </c>
      <c r="L56" s="178">
        <f t="shared" si="12"/>
        <v>2200</v>
      </c>
      <c r="M56" s="179" t="s">
        <v>26</v>
      </c>
    </row>
    <row r="57" spans="1:13" hidden="1" x14ac:dyDescent="0.25">
      <c r="A57" s="176" t="s">
        <v>369</v>
      </c>
      <c r="B57" s="197" t="s">
        <v>320</v>
      </c>
      <c r="C57" s="204" t="s">
        <v>321</v>
      </c>
      <c r="D57" s="182" t="s">
        <v>322</v>
      </c>
      <c r="E57" s="201" t="s">
        <v>39</v>
      </c>
      <c r="F57" s="178"/>
      <c r="G57" s="181"/>
      <c r="H57" s="178"/>
      <c r="I57" s="178"/>
      <c r="J57" s="178"/>
      <c r="K57" s="178">
        <v>1600</v>
      </c>
      <c r="L57" s="178">
        <f t="shared" si="12"/>
        <v>1600</v>
      </c>
      <c r="M57" s="179" t="s">
        <v>333</v>
      </c>
    </row>
    <row r="58" spans="1:13" hidden="1" x14ac:dyDescent="0.25">
      <c r="A58" s="176" t="s">
        <v>369</v>
      </c>
      <c r="B58" s="177" t="s">
        <v>14</v>
      </c>
      <c r="C58" s="178" t="s">
        <v>51</v>
      </c>
      <c r="D58" s="208" t="s">
        <v>52</v>
      </c>
      <c r="E58" s="177" t="s">
        <v>17</v>
      </c>
      <c r="F58" s="178">
        <v>200</v>
      </c>
      <c r="G58" s="178">
        <v>0.20499999999999999</v>
      </c>
      <c r="H58" s="178">
        <f t="shared" ref="H58" si="13">F58*G58</f>
        <v>41</v>
      </c>
      <c r="I58" s="178">
        <v>26</v>
      </c>
      <c r="J58" s="178">
        <v>4</v>
      </c>
      <c r="K58" s="178">
        <f>F58*I58</f>
        <v>5200</v>
      </c>
      <c r="L58" s="178">
        <f t="shared" ref="L58" si="14">K58*J58</f>
        <v>20800</v>
      </c>
      <c r="M58" s="179" t="s">
        <v>18</v>
      </c>
    </row>
    <row r="59" spans="1:13" hidden="1" x14ac:dyDescent="0.25">
      <c r="A59" s="176" t="s">
        <v>369</v>
      </c>
      <c r="B59" s="197" t="s">
        <v>320</v>
      </c>
      <c r="C59" s="205" t="s">
        <v>325</v>
      </c>
      <c r="D59" s="182" t="s">
        <v>322</v>
      </c>
      <c r="E59" s="198" t="s">
        <v>21</v>
      </c>
      <c r="F59" s="178"/>
      <c r="G59" s="181"/>
      <c r="H59" s="178"/>
      <c r="I59" s="178"/>
      <c r="J59" s="178"/>
      <c r="K59" s="178">
        <v>200</v>
      </c>
      <c r="L59" s="178">
        <f t="shared" ref="L59:L63" si="15">K59</f>
        <v>200</v>
      </c>
      <c r="M59" s="179" t="s">
        <v>37</v>
      </c>
    </row>
    <row r="60" spans="1:13" hidden="1" x14ac:dyDescent="0.25">
      <c r="A60" s="176" t="s">
        <v>369</v>
      </c>
      <c r="B60" s="197" t="s">
        <v>320</v>
      </c>
      <c r="C60" s="206" t="s">
        <v>325</v>
      </c>
      <c r="D60" s="182" t="s">
        <v>322</v>
      </c>
      <c r="E60" s="200" t="s">
        <v>35</v>
      </c>
      <c r="F60" s="178"/>
      <c r="G60" s="181"/>
      <c r="H60" s="178"/>
      <c r="I60" s="178"/>
      <c r="J60" s="178"/>
      <c r="K60" s="178">
        <v>3000</v>
      </c>
      <c r="L60" s="178">
        <f t="shared" si="15"/>
        <v>3000</v>
      </c>
      <c r="M60" s="179" t="s">
        <v>22</v>
      </c>
    </row>
    <row r="61" spans="1:13" hidden="1" x14ac:dyDescent="0.25">
      <c r="A61" s="176" t="s">
        <v>369</v>
      </c>
      <c r="B61" s="197" t="s">
        <v>320</v>
      </c>
      <c r="C61" s="206" t="s">
        <v>325</v>
      </c>
      <c r="D61" s="182" t="s">
        <v>322</v>
      </c>
      <c r="E61" s="201" t="s">
        <v>39</v>
      </c>
      <c r="F61" s="178"/>
      <c r="G61" s="181"/>
      <c r="H61" s="178"/>
      <c r="I61" s="178"/>
      <c r="J61" s="178"/>
      <c r="K61" s="178">
        <v>4000</v>
      </c>
      <c r="L61" s="178">
        <f t="shared" si="15"/>
        <v>4000</v>
      </c>
      <c r="M61" s="179" t="s">
        <v>91</v>
      </c>
    </row>
    <row r="62" spans="1:13" hidden="1" x14ac:dyDescent="0.25">
      <c r="A62" s="176" t="s">
        <v>369</v>
      </c>
      <c r="B62" s="196" t="s">
        <v>23</v>
      </c>
      <c r="C62" s="178">
        <v>66772</v>
      </c>
      <c r="D62" s="177" t="s">
        <v>34</v>
      </c>
      <c r="E62" s="201" t="s">
        <v>35</v>
      </c>
      <c r="F62" s="178"/>
      <c r="G62" s="181" t="s">
        <v>77</v>
      </c>
      <c r="H62" s="178"/>
      <c r="I62" s="178"/>
      <c r="J62" s="178"/>
      <c r="K62" s="178">
        <v>6000</v>
      </c>
      <c r="L62" s="178">
        <f t="shared" si="15"/>
        <v>6000</v>
      </c>
      <c r="M62" s="179" t="s">
        <v>179</v>
      </c>
    </row>
    <row r="63" spans="1:13" hidden="1" x14ac:dyDescent="0.25">
      <c r="A63" s="176" t="s">
        <v>369</v>
      </c>
      <c r="B63" s="196" t="s">
        <v>23</v>
      </c>
      <c r="C63" s="178">
        <v>66772</v>
      </c>
      <c r="D63" s="177" t="s">
        <v>34</v>
      </c>
      <c r="E63" s="177" t="s">
        <v>39</v>
      </c>
      <c r="F63" s="178"/>
      <c r="G63" s="181" t="s">
        <v>36</v>
      </c>
      <c r="H63" s="178"/>
      <c r="I63" s="178"/>
      <c r="J63" s="178"/>
      <c r="K63" s="178">
        <v>5000</v>
      </c>
      <c r="L63" s="178">
        <f t="shared" si="15"/>
        <v>5000</v>
      </c>
      <c r="M63" s="179" t="s">
        <v>277</v>
      </c>
    </row>
    <row r="64" spans="1:13" hidden="1" x14ac:dyDescent="0.25">
      <c r="A64" s="176" t="s">
        <v>369</v>
      </c>
      <c r="B64" s="196" t="s">
        <v>23</v>
      </c>
      <c r="C64" s="178">
        <v>66772</v>
      </c>
      <c r="D64" s="177" t="s">
        <v>34</v>
      </c>
      <c r="E64" s="204" t="s">
        <v>30</v>
      </c>
      <c r="F64" s="178"/>
      <c r="G64" s="181" t="s">
        <v>78</v>
      </c>
      <c r="H64" s="178"/>
      <c r="I64" s="178"/>
      <c r="J64" s="178"/>
      <c r="K64" s="178">
        <v>2549</v>
      </c>
      <c r="L64" s="178">
        <f>K64</f>
        <v>2549</v>
      </c>
      <c r="M64" s="179" t="s">
        <v>180</v>
      </c>
    </row>
    <row r="65" spans="1:13" hidden="1" x14ac:dyDescent="0.25">
      <c r="A65" s="176" t="s">
        <v>369</v>
      </c>
      <c r="B65" s="177" t="s">
        <v>14</v>
      </c>
      <c r="C65" s="178">
        <v>7479</v>
      </c>
      <c r="D65" s="177" t="s">
        <v>20</v>
      </c>
      <c r="E65" s="177" t="s">
        <v>25</v>
      </c>
      <c r="F65" s="178"/>
      <c r="G65" s="178"/>
      <c r="H65" s="178"/>
      <c r="I65" s="178"/>
      <c r="J65" s="178"/>
      <c r="K65" s="178">
        <v>7000</v>
      </c>
      <c r="L65" s="178">
        <f t="shared" ref="L65" si="16">K65</f>
        <v>7000</v>
      </c>
      <c r="M65" s="179" t="s">
        <v>181</v>
      </c>
    </row>
    <row r="66" spans="1:13" hidden="1" x14ac:dyDescent="0.25">
      <c r="A66" s="176" t="s">
        <v>369</v>
      </c>
      <c r="B66" s="177" t="s">
        <v>14</v>
      </c>
      <c r="C66" s="178" t="s">
        <v>89</v>
      </c>
      <c r="D66" s="177" t="s">
        <v>90</v>
      </c>
      <c r="E66" s="177" t="s">
        <v>21</v>
      </c>
      <c r="F66" s="178">
        <v>63</v>
      </c>
      <c r="G66" s="178">
        <v>0.13500000000000001</v>
      </c>
      <c r="H66" s="178">
        <f t="shared" ref="H66" si="17">F66*G66</f>
        <v>8.5050000000000008</v>
      </c>
      <c r="I66" s="178">
        <v>77</v>
      </c>
      <c r="J66" s="178">
        <v>1</v>
      </c>
      <c r="K66" s="178">
        <f t="shared" ref="K66" si="18">F66*I66</f>
        <v>4851</v>
      </c>
      <c r="L66" s="178">
        <f t="shared" ref="L66" si="19">K66*J66</f>
        <v>4851</v>
      </c>
      <c r="M66" s="179" t="s">
        <v>181</v>
      </c>
    </row>
    <row r="67" spans="1:13" hidden="1" x14ac:dyDescent="0.25">
      <c r="A67" s="176" t="s">
        <v>370</v>
      </c>
      <c r="B67" s="177" t="s">
        <v>14</v>
      </c>
      <c r="C67" s="178" t="s">
        <v>89</v>
      </c>
      <c r="D67" s="177" t="s">
        <v>90</v>
      </c>
      <c r="E67" s="177" t="s">
        <v>21</v>
      </c>
      <c r="F67" s="178">
        <v>7</v>
      </c>
      <c r="G67" s="178">
        <v>0.13500000000000001</v>
      </c>
      <c r="H67" s="178">
        <f t="shared" ref="H67" si="20">F67*G67</f>
        <v>0.94500000000000006</v>
      </c>
      <c r="I67" s="178">
        <v>77</v>
      </c>
      <c r="J67" s="178">
        <v>1</v>
      </c>
      <c r="K67" s="178">
        <f t="shared" ref="K67" si="21">F67*I67</f>
        <v>539</v>
      </c>
      <c r="L67" s="178">
        <f t="shared" ref="L67" si="22">K67*J67</f>
        <v>539</v>
      </c>
      <c r="M67" s="179" t="s">
        <v>181</v>
      </c>
    </row>
    <row r="68" spans="1:13" hidden="1" x14ac:dyDescent="0.25">
      <c r="A68" s="176" t="s">
        <v>370</v>
      </c>
      <c r="B68" s="197" t="s">
        <v>320</v>
      </c>
      <c r="C68" s="204" t="s">
        <v>321</v>
      </c>
      <c r="D68" s="182" t="s">
        <v>322</v>
      </c>
      <c r="E68" s="198" t="s">
        <v>21</v>
      </c>
      <c r="F68" s="178"/>
      <c r="G68" s="181"/>
      <c r="H68" s="178"/>
      <c r="I68" s="178"/>
      <c r="J68" s="178"/>
      <c r="K68" s="178">
        <v>2460</v>
      </c>
      <c r="L68" s="178">
        <f t="shared" ref="L68:L74" si="23">K68</f>
        <v>2460</v>
      </c>
      <c r="M68" s="179" t="s">
        <v>332</v>
      </c>
    </row>
    <row r="69" spans="1:13" hidden="1" x14ac:dyDescent="0.25">
      <c r="A69" s="176" t="s">
        <v>370</v>
      </c>
      <c r="B69" s="197" t="s">
        <v>320</v>
      </c>
      <c r="C69" s="204" t="s">
        <v>321</v>
      </c>
      <c r="D69" s="182" t="s">
        <v>322</v>
      </c>
      <c r="E69" s="200" t="s">
        <v>35</v>
      </c>
      <c r="F69" s="178"/>
      <c r="G69" s="181"/>
      <c r="H69" s="178"/>
      <c r="I69" s="178"/>
      <c r="J69" s="178"/>
      <c r="K69" s="178">
        <v>2766</v>
      </c>
      <c r="L69" s="178">
        <f t="shared" si="23"/>
        <v>2766</v>
      </c>
      <c r="M69" s="179" t="s">
        <v>26</v>
      </c>
    </row>
    <row r="70" spans="1:13" hidden="1" x14ac:dyDescent="0.25">
      <c r="A70" s="176" t="s">
        <v>370</v>
      </c>
      <c r="B70" s="197" t="s">
        <v>320</v>
      </c>
      <c r="C70" s="204" t="s">
        <v>321</v>
      </c>
      <c r="D70" s="182" t="s">
        <v>322</v>
      </c>
      <c r="E70" s="201" t="s">
        <v>39</v>
      </c>
      <c r="F70" s="178"/>
      <c r="G70" s="181"/>
      <c r="H70" s="178"/>
      <c r="I70" s="178"/>
      <c r="J70" s="178"/>
      <c r="K70" s="178">
        <v>5800</v>
      </c>
      <c r="L70" s="178">
        <f t="shared" si="23"/>
        <v>5800</v>
      </c>
      <c r="M70" s="179" t="s">
        <v>333</v>
      </c>
    </row>
    <row r="71" spans="1:13" hidden="1" x14ac:dyDescent="0.25">
      <c r="A71" s="176" t="s">
        <v>370</v>
      </c>
      <c r="B71" s="197" t="s">
        <v>320</v>
      </c>
      <c r="C71" s="205" t="s">
        <v>325</v>
      </c>
      <c r="D71" s="182" t="s">
        <v>322</v>
      </c>
      <c r="E71" s="198" t="s">
        <v>21</v>
      </c>
      <c r="F71" s="178"/>
      <c r="G71" s="181"/>
      <c r="H71" s="178"/>
      <c r="I71" s="178"/>
      <c r="J71" s="178"/>
      <c r="K71" s="178">
        <v>1500</v>
      </c>
      <c r="L71" s="178">
        <f t="shared" si="23"/>
        <v>1500</v>
      </c>
      <c r="M71" s="179" t="s">
        <v>37</v>
      </c>
    </row>
    <row r="72" spans="1:13" hidden="1" x14ac:dyDescent="0.25">
      <c r="A72" s="176" t="s">
        <v>370</v>
      </c>
      <c r="B72" s="197" t="s">
        <v>320</v>
      </c>
      <c r="C72" s="206" t="s">
        <v>325</v>
      </c>
      <c r="D72" s="182" t="s">
        <v>322</v>
      </c>
      <c r="E72" s="202" t="s">
        <v>324</v>
      </c>
      <c r="F72" s="178"/>
      <c r="G72" s="178"/>
      <c r="H72" s="178"/>
      <c r="I72" s="178"/>
      <c r="J72" s="178"/>
      <c r="K72" s="178">
        <v>6700</v>
      </c>
      <c r="L72" s="178">
        <f t="shared" si="23"/>
        <v>6700</v>
      </c>
      <c r="M72" s="179" t="s">
        <v>181</v>
      </c>
    </row>
    <row r="73" spans="1:13" hidden="1" x14ac:dyDescent="0.25">
      <c r="A73" s="176" t="s">
        <v>370</v>
      </c>
      <c r="B73" s="196" t="s">
        <v>23</v>
      </c>
      <c r="C73" s="178">
        <v>66772</v>
      </c>
      <c r="D73" s="177" t="s">
        <v>34</v>
      </c>
      <c r="E73" s="201" t="s">
        <v>35</v>
      </c>
      <c r="F73" s="178"/>
      <c r="G73" s="181" t="s">
        <v>77</v>
      </c>
      <c r="H73" s="178"/>
      <c r="I73" s="178"/>
      <c r="J73" s="178"/>
      <c r="K73" s="178">
        <v>6500</v>
      </c>
      <c r="L73" s="178">
        <f t="shared" si="23"/>
        <v>6500</v>
      </c>
      <c r="M73" s="179" t="s">
        <v>179</v>
      </c>
    </row>
    <row r="74" spans="1:13" hidden="1" x14ac:dyDescent="0.25">
      <c r="A74" s="176" t="s">
        <v>370</v>
      </c>
      <c r="B74" s="196" t="s">
        <v>23</v>
      </c>
      <c r="C74" s="178">
        <v>66772</v>
      </c>
      <c r="D74" s="177" t="s">
        <v>34</v>
      </c>
      <c r="E74" s="177" t="s">
        <v>39</v>
      </c>
      <c r="F74" s="178"/>
      <c r="G74" s="181" t="s">
        <v>36</v>
      </c>
      <c r="H74" s="178"/>
      <c r="I74" s="178"/>
      <c r="J74" s="178"/>
      <c r="K74" s="178">
        <v>7500</v>
      </c>
      <c r="L74" s="178">
        <f t="shared" si="23"/>
        <v>7500</v>
      </c>
      <c r="M74" s="179" t="s">
        <v>277</v>
      </c>
    </row>
    <row r="75" spans="1:13" hidden="1" x14ac:dyDescent="0.25">
      <c r="A75" s="176" t="s">
        <v>370</v>
      </c>
      <c r="B75" s="196" t="s">
        <v>23</v>
      </c>
      <c r="C75" s="178">
        <v>66772</v>
      </c>
      <c r="D75" s="177" t="s">
        <v>34</v>
      </c>
      <c r="E75" s="204" t="s">
        <v>30</v>
      </c>
      <c r="F75" s="178"/>
      <c r="G75" s="181" t="s">
        <v>78</v>
      </c>
      <c r="H75" s="178"/>
      <c r="I75" s="178"/>
      <c r="J75" s="178"/>
      <c r="K75" s="178">
        <v>7000</v>
      </c>
      <c r="L75" s="178">
        <f>K75</f>
        <v>7000</v>
      </c>
      <c r="M75" s="179" t="s">
        <v>180</v>
      </c>
    </row>
    <row r="76" spans="1:13" hidden="1" x14ac:dyDescent="0.25">
      <c r="A76" s="176" t="s">
        <v>371</v>
      </c>
      <c r="B76" s="177" t="s">
        <v>14</v>
      </c>
      <c r="C76" s="178">
        <v>7479</v>
      </c>
      <c r="D76" s="177" t="s">
        <v>20</v>
      </c>
      <c r="E76" s="177" t="s">
        <v>21</v>
      </c>
      <c r="F76" s="178">
        <v>123</v>
      </c>
      <c r="G76" s="178">
        <v>0.15</v>
      </c>
      <c r="H76" s="178">
        <f>G76*F76</f>
        <v>18.45</v>
      </c>
      <c r="I76" s="178">
        <v>80</v>
      </c>
      <c r="J76" s="178">
        <v>1</v>
      </c>
      <c r="K76" s="178">
        <f>F76*I76</f>
        <v>9840</v>
      </c>
      <c r="L76" s="178">
        <f>K76*J76</f>
        <v>9840</v>
      </c>
      <c r="M76" s="179" t="s">
        <v>37</v>
      </c>
    </row>
    <row r="77" spans="1:13" hidden="1" x14ac:dyDescent="0.25">
      <c r="A77" s="176" t="s">
        <v>371</v>
      </c>
      <c r="B77" s="177" t="s">
        <v>14</v>
      </c>
      <c r="C77" s="178">
        <v>7479</v>
      </c>
      <c r="D77" s="177" t="s">
        <v>20</v>
      </c>
      <c r="E77" s="177" t="s">
        <v>25</v>
      </c>
      <c r="F77" s="178"/>
      <c r="G77" s="178"/>
      <c r="H77" s="178"/>
      <c r="I77" s="178"/>
      <c r="J77" s="178"/>
      <c r="K77" s="178">
        <v>7200</v>
      </c>
      <c r="L77" s="178">
        <f t="shared" ref="L77" si="24">K77</f>
        <v>7200</v>
      </c>
      <c r="M77" s="179" t="s">
        <v>181</v>
      </c>
    </row>
    <row r="78" spans="1:13" hidden="1" x14ac:dyDescent="0.25">
      <c r="A78" s="176" t="s">
        <v>371</v>
      </c>
      <c r="B78" s="177" t="s">
        <v>14</v>
      </c>
      <c r="C78" s="178" t="s">
        <v>89</v>
      </c>
      <c r="D78" s="177" t="s">
        <v>90</v>
      </c>
      <c r="E78" s="177" t="s">
        <v>25</v>
      </c>
      <c r="F78" s="178"/>
      <c r="G78" s="178"/>
      <c r="H78" s="178"/>
      <c r="I78" s="178"/>
      <c r="J78" s="178"/>
      <c r="K78" s="178">
        <v>4200</v>
      </c>
      <c r="L78" s="178">
        <f t="shared" ref="L78:L80" si="25">K78</f>
        <v>4200</v>
      </c>
      <c r="M78" s="179" t="s">
        <v>22</v>
      </c>
    </row>
    <row r="79" spans="1:13" hidden="1" x14ac:dyDescent="0.25">
      <c r="A79" s="176" t="s">
        <v>371</v>
      </c>
      <c r="B79" s="196" t="s">
        <v>23</v>
      </c>
      <c r="C79" s="178">
        <v>66772</v>
      </c>
      <c r="D79" s="177" t="s">
        <v>34</v>
      </c>
      <c r="E79" s="201" t="s">
        <v>35</v>
      </c>
      <c r="F79" s="178"/>
      <c r="G79" s="181" t="s">
        <v>77</v>
      </c>
      <c r="H79" s="178"/>
      <c r="I79" s="178"/>
      <c r="J79" s="178"/>
      <c r="K79" s="178">
        <v>5600</v>
      </c>
      <c r="L79" s="178">
        <f t="shared" si="25"/>
        <v>5600</v>
      </c>
      <c r="M79" s="179" t="s">
        <v>179</v>
      </c>
    </row>
    <row r="80" spans="1:13" hidden="1" x14ac:dyDescent="0.25">
      <c r="A80" s="176" t="s">
        <v>371</v>
      </c>
      <c r="B80" s="196" t="s">
        <v>23</v>
      </c>
      <c r="C80" s="178">
        <v>66772</v>
      </c>
      <c r="D80" s="177" t="s">
        <v>34</v>
      </c>
      <c r="E80" s="177" t="s">
        <v>39</v>
      </c>
      <c r="F80" s="178"/>
      <c r="G80" s="181" t="s">
        <v>36</v>
      </c>
      <c r="H80" s="178"/>
      <c r="I80" s="178"/>
      <c r="J80" s="178"/>
      <c r="K80" s="178">
        <v>7590</v>
      </c>
      <c r="L80" s="178">
        <f t="shared" si="25"/>
        <v>7590</v>
      </c>
      <c r="M80" s="179" t="s">
        <v>277</v>
      </c>
    </row>
    <row r="81" spans="1:13" hidden="1" x14ac:dyDescent="0.25">
      <c r="A81" s="176" t="s">
        <v>371</v>
      </c>
      <c r="B81" s="196" t="s">
        <v>23</v>
      </c>
      <c r="C81" s="178">
        <v>66772</v>
      </c>
      <c r="D81" s="177" t="s">
        <v>34</v>
      </c>
      <c r="E81" s="204" t="s">
        <v>30</v>
      </c>
      <c r="F81" s="178"/>
      <c r="G81" s="181" t="s">
        <v>78</v>
      </c>
      <c r="H81" s="178"/>
      <c r="I81" s="178"/>
      <c r="J81" s="178"/>
      <c r="K81" s="178">
        <v>8012</v>
      </c>
      <c r="L81" s="178">
        <f>K81</f>
        <v>8012</v>
      </c>
      <c r="M81" s="179" t="s">
        <v>180</v>
      </c>
    </row>
    <row r="82" spans="1:13" hidden="1" x14ac:dyDescent="0.25">
      <c r="A82" s="176" t="s">
        <v>371</v>
      </c>
      <c r="B82" s="177" t="s">
        <v>14</v>
      </c>
      <c r="C82" s="178">
        <v>8283</v>
      </c>
      <c r="D82" s="177" t="s">
        <v>344</v>
      </c>
      <c r="E82" s="177" t="s">
        <v>25</v>
      </c>
      <c r="F82" s="178"/>
      <c r="G82" s="178"/>
      <c r="H82" s="178"/>
      <c r="I82" s="178"/>
      <c r="J82" s="178"/>
      <c r="K82" s="178">
        <v>2000</v>
      </c>
      <c r="L82" s="178">
        <f>K82</f>
        <v>2000</v>
      </c>
      <c r="M82" s="179" t="s">
        <v>179</v>
      </c>
    </row>
    <row r="83" spans="1:13" hidden="1" x14ac:dyDescent="0.25">
      <c r="A83" s="176" t="s">
        <v>371</v>
      </c>
      <c r="B83" s="204" t="s">
        <v>44</v>
      </c>
      <c r="C83" s="178" t="s">
        <v>45</v>
      </c>
      <c r="D83" s="177" t="s">
        <v>46</v>
      </c>
      <c r="E83" s="177" t="s">
        <v>367</v>
      </c>
      <c r="F83" s="178"/>
      <c r="G83" s="178"/>
      <c r="H83" s="178"/>
      <c r="I83" s="178"/>
      <c r="J83" s="178"/>
      <c r="K83" s="178">
        <v>1020</v>
      </c>
      <c r="L83" s="178">
        <f t="shared" ref="L83" si="26">K83</f>
        <v>1020</v>
      </c>
      <c r="M83" s="179" t="s">
        <v>22</v>
      </c>
    </row>
    <row r="84" spans="1:13" hidden="1" x14ac:dyDescent="0.25">
      <c r="A84" s="176" t="s">
        <v>372</v>
      </c>
      <c r="B84" s="177" t="s">
        <v>14</v>
      </c>
      <c r="C84" s="178">
        <v>7479</v>
      </c>
      <c r="D84" s="177" t="s">
        <v>20</v>
      </c>
      <c r="E84" s="177" t="s">
        <v>21</v>
      </c>
      <c r="F84" s="178">
        <v>155</v>
      </c>
      <c r="G84" s="178">
        <v>0.15</v>
      </c>
      <c r="H84" s="178">
        <f>G84*F84</f>
        <v>23.25</v>
      </c>
      <c r="I84" s="178">
        <v>80</v>
      </c>
      <c r="J84" s="178">
        <v>1</v>
      </c>
      <c r="K84" s="178">
        <f>F84*I84</f>
        <v>12400</v>
      </c>
      <c r="L84" s="178">
        <f>K84*J84</f>
        <v>12400</v>
      </c>
      <c r="M84" s="179" t="s">
        <v>37</v>
      </c>
    </row>
    <row r="85" spans="1:13" hidden="1" x14ac:dyDescent="0.25">
      <c r="A85" s="176" t="s">
        <v>372</v>
      </c>
      <c r="B85" s="177" t="s">
        <v>14</v>
      </c>
      <c r="C85" s="178">
        <v>7479</v>
      </c>
      <c r="D85" s="177" t="s">
        <v>20</v>
      </c>
      <c r="E85" s="177" t="s">
        <v>25</v>
      </c>
      <c r="F85" s="178"/>
      <c r="G85" s="178"/>
      <c r="H85" s="178"/>
      <c r="I85" s="178"/>
      <c r="J85" s="178"/>
      <c r="K85" s="178">
        <v>7600</v>
      </c>
      <c r="L85" s="178">
        <f t="shared" ref="L85:L87" si="27">K85</f>
        <v>7600</v>
      </c>
      <c r="M85" s="179" t="s">
        <v>181</v>
      </c>
    </row>
    <row r="86" spans="1:13" hidden="1" x14ac:dyDescent="0.25">
      <c r="A86" s="176" t="s">
        <v>372</v>
      </c>
      <c r="B86" s="177" t="s">
        <v>14</v>
      </c>
      <c r="C86" s="178" t="s">
        <v>89</v>
      </c>
      <c r="D86" s="177" t="s">
        <v>90</v>
      </c>
      <c r="E86" s="177" t="s">
        <v>25</v>
      </c>
      <c r="F86" s="178"/>
      <c r="G86" s="178"/>
      <c r="H86" s="178"/>
      <c r="I86" s="178"/>
      <c r="J86" s="178"/>
      <c r="K86" s="178">
        <v>1200</v>
      </c>
      <c r="L86" s="178">
        <f t="shared" si="27"/>
        <v>1200</v>
      </c>
      <c r="M86" s="179" t="s">
        <v>22</v>
      </c>
    </row>
    <row r="87" spans="1:13" hidden="1" x14ac:dyDescent="0.25">
      <c r="A87" s="176" t="s">
        <v>372</v>
      </c>
      <c r="B87" s="196" t="s">
        <v>23</v>
      </c>
      <c r="C87" s="178">
        <v>66772</v>
      </c>
      <c r="D87" s="177" t="s">
        <v>34</v>
      </c>
      <c r="E87" s="177" t="s">
        <v>39</v>
      </c>
      <c r="F87" s="178"/>
      <c r="G87" s="181" t="s">
        <v>36</v>
      </c>
      <c r="H87" s="178"/>
      <c r="I87" s="178"/>
      <c r="J87" s="178"/>
      <c r="K87" s="178">
        <v>6200</v>
      </c>
      <c r="L87" s="178">
        <f t="shared" si="27"/>
        <v>6200</v>
      </c>
      <c r="M87" s="179" t="s">
        <v>277</v>
      </c>
    </row>
    <row r="88" spans="1:13" hidden="1" x14ac:dyDescent="0.25">
      <c r="A88" s="176" t="s">
        <v>372</v>
      </c>
      <c r="B88" s="196" t="s">
        <v>23</v>
      </c>
      <c r="C88" s="178">
        <v>66772</v>
      </c>
      <c r="D88" s="177" t="s">
        <v>34</v>
      </c>
      <c r="E88" s="204" t="s">
        <v>30</v>
      </c>
      <c r="F88" s="178"/>
      <c r="G88" s="181" t="s">
        <v>78</v>
      </c>
      <c r="H88" s="178"/>
      <c r="I88" s="178"/>
      <c r="J88" s="178"/>
      <c r="K88" s="178">
        <v>6055</v>
      </c>
      <c r="L88" s="178">
        <f>K88</f>
        <v>6055</v>
      </c>
      <c r="M88" s="179" t="s">
        <v>180</v>
      </c>
    </row>
    <row r="89" spans="1:13" hidden="1" x14ac:dyDescent="0.25">
      <c r="A89" s="176" t="s">
        <v>372</v>
      </c>
      <c r="B89" s="177" t="s">
        <v>14</v>
      </c>
      <c r="C89" s="178">
        <v>6380</v>
      </c>
      <c r="D89" s="177" t="s">
        <v>16</v>
      </c>
      <c r="E89" s="177" t="s">
        <v>17</v>
      </c>
      <c r="F89" s="178">
        <v>96</v>
      </c>
      <c r="G89" s="178">
        <v>0.42499999999999999</v>
      </c>
      <c r="H89" s="178">
        <f t="shared" ref="H89" si="28">F89*G89</f>
        <v>40.799999999999997</v>
      </c>
      <c r="I89" s="178">
        <v>56</v>
      </c>
      <c r="J89" s="178">
        <v>4</v>
      </c>
      <c r="K89" s="178">
        <f t="shared" ref="K89" si="29">F89*I89</f>
        <v>5376</v>
      </c>
      <c r="L89" s="178">
        <f t="shared" ref="L89" si="30">K89*J89</f>
        <v>21504</v>
      </c>
      <c r="M89" s="179" t="s">
        <v>18</v>
      </c>
    </row>
    <row r="90" spans="1:13" hidden="1" x14ac:dyDescent="0.25">
      <c r="A90" s="176" t="s">
        <v>372</v>
      </c>
      <c r="B90" s="177" t="s">
        <v>14</v>
      </c>
      <c r="C90" s="178">
        <v>8283</v>
      </c>
      <c r="D90" s="177" t="s">
        <v>344</v>
      </c>
      <c r="E90" s="177" t="s">
        <v>25</v>
      </c>
      <c r="F90" s="178"/>
      <c r="G90" s="178"/>
      <c r="H90" s="178"/>
      <c r="I90" s="178"/>
      <c r="J90" s="178"/>
      <c r="K90" s="178">
        <v>2000</v>
      </c>
      <c r="L90" s="178">
        <f>K90</f>
        <v>2000</v>
      </c>
      <c r="M90" s="179" t="s">
        <v>179</v>
      </c>
    </row>
    <row r="91" spans="1:13" hidden="1" x14ac:dyDescent="0.25">
      <c r="A91" s="176" t="s">
        <v>372</v>
      </c>
      <c r="B91" s="197" t="s">
        <v>320</v>
      </c>
      <c r="C91" s="204" t="s">
        <v>321</v>
      </c>
      <c r="D91" s="182" t="s">
        <v>322</v>
      </c>
      <c r="E91" s="198" t="s">
        <v>21</v>
      </c>
      <c r="F91" s="178"/>
      <c r="G91" s="181"/>
      <c r="H91" s="178"/>
      <c r="I91" s="178"/>
      <c r="J91" s="178"/>
      <c r="K91" s="178">
        <v>3241</v>
      </c>
      <c r="L91" s="178">
        <f t="shared" ref="L91:L93" si="31">K91</f>
        <v>3241</v>
      </c>
      <c r="M91" s="179" t="s">
        <v>332</v>
      </c>
    </row>
    <row r="92" spans="1:13" hidden="1" x14ac:dyDescent="0.25">
      <c r="A92" s="176" t="s">
        <v>372</v>
      </c>
      <c r="B92" s="197" t="s">
        <v>320</v>
      </c>
      <c r="C92" s="204" t="s">
        <v>321</v>
      </c>
      <c r="D92" s="182" t="s">
        <v>322</v>
      </c>
      <c r="E92" s="200" t="s">
        <v>35</v>
      </c>
      <c r="F92" s="178"/>
      <c r="G92" s="181"/>
      <c r="H92" s="178"/>
      <c r="I92" s="178"/>
      <c r="J92" s="178"/>
      <c r="K92" s="178">
        <v>2280</v>
      </c>
      <c r="L92" s="178">
        <f t="shared" si="31"/>
        <v>2280</v>
      </c>
      <c r="M92" s="179" t="s">
        <v>26</v>
      </c>
    </row>
    <row r="93" spans="1:13" hidden="1" x14ac:dyDescent="0.25">
      <c r="A93" s="176" t="s">
        <v>372</v>
      </c>
      <c r="B93" s="197" t="s">
        <v>320</v>
      </c>
      <c r="C93" s="204" t="s">
        <v>321</v>
      </c>
      <c r="D93" s="182" t="s">
        <v>322</v>
      </c>
      <c r="E93" s="201" t="s">
        <v>39</v>
      </c>
      <c r="F93" s="178"/>
      <c r="G93" s="181"/>
      <c r="H93" s="178"/>
      <c r="I93" s="178"/>
      <c r="J93" s="178"/>
      <c r="K93" s="178">
        <v>1100</v>
      </c>
      <c r="L93" s="178">
        <f t="shared" si="31"/>
        <v>1100</v>
      </c>
      <c r="M93" s="179" t="s">
        <v>333</v>
      </c>
    </row>
    <row r="94" spans="1:13" hidden="1" x14ac:dyDescent="0.25">
      <c r="A94" s="176" t="s">
        <v>372</v>
      </c>
      <c r="B94" s="177" t="s">
        <v>14</v>
      </c>
      <c r="C94" s="178" t="s">
        <v>86</v>
      </c>
      <c r="D94" s="177" t="s">
        <v>84</v>
      </c>
      <c r="E94" s="177" t="s">
        <v>17</v>
      </c>
      <c r="F94" s="178">
        <v>103</v>
      </c>
      <c r="G94" s="178">
        <v>0.46</v>
      </c>
      <c r="H94" s="178">
        <v>36.340000000000003</v>
      </c>
      <c r="I94" s="178">
        <v>38</v>
      </c>
      <c r="J94" s="178">
        <v>1</v>
      </c>
      <c r="K94" s="178">
        <f t="shared" ref="K94" si="32">F94*I94</f>
        <v>3914</v>
      </c>
      <c r="L94" s="178">
        <f t="shared" ref="L94" si="33">K94*J94</f>
        <v>3914</v>
      </c>
      <c r="M94" s="179" t="s">
        <v>22</v>
      </c>
    </row>
    <row r="95" spans="1:13" hidden="1" x14ac:dyDescent="0.25">
      <c r="A95" s="176" t="s">
        <v>372</v>
      </c>
      <c r="B95" s="204" t="s">
        <v>44</v>
      </c>
      <c r="C95" s="178" t="s">
        <v>45</v>
      </c>
      <c r="D95" s="177" t="s">
        <v>46</v>
      </c>
      <c r="E95" s="177" t="s">
        <v>367</v>
      </c>
      <c r="F95" s="178"/>
      <c r="G95" s="178"/>
      <c r="H95" s="178"/>
      <c r="I95" s="178"/>
      <c r="J95" s="178"/>
      <c r="K95" s="178">
        <v>1900</v>
      </c>
      <c r="L95" s="178">
        <f t="shared" ref="L95:L98" si="34">K95</f>
        <v>1900</v>
      </c>
      <c r="M95" s="179" t="s">
        <v>22</v>
      </c>
    </row>
    <row r="96" spans="1:13" hidden="1" x14ac:dyDescent="0.25">
      <c r="A96" s="176" t="s">
        <v>374</v>
      </c>
      <c r="B96" s="197" t="s">
        <v>320</v>
      </c>
      <c r="C96" s="204" t="s">
        <v>321</v>
      </c>
      <c r="D96" s="182" t="s">
        <v>322</v>
      </c>
      <c r="E96" s="198" t="s">
        <v>21</v>
      </c>
      <c r="F96" s="178"/>
      <c r="G96" s="181"/>
      <c r="H96" s="178"/>
      <c r="I96" s="178"/>
      <c r="J96" s="178"/>
      <c r="K96" s="178">
        <v>3730</v>
      </c>
      <c r="L96" s="178">
        <f t="shared" si="34"/>
        <v>3730</v>
      </c>
      <c r="M96" s="179" t="s">
        <v>332</v>
      </c>
    </row>
    <row r="97" spans="1:13" hidden="1" x14ac:dyDescent="0.25">
      <c r="A97" s="176" t="s">
        <v>374</v>
      </c>
      <c r="B97" s="197" t="s">
        <v>320</v>
      </c>
      <c r="C97" s="204" t="s">
        <v>321</v>
      </c>
      <c r="D97" s="182" t="s">
        <v>322</v>
      </c>
      <c r="E97" s="200" t="s">
        <v>35</v>
      </c>
      <c r="F97" s="178"/>
      <c r="G97" s="181"/>
      <c r="H97" s="178"/>
      <c r="I97" s="178"/>
      <c r="J97" s="178"/>
      <c r="K97" s="178">
        <v>4650</v>
      </c>
      <c r="L97" s="178">
        <f t="shared" si="34"/>
        <v>4650</v>
      </c>
      <c r="M97" s="179" t="s">
        <v>26</v>
      </c>
    </row>
    <row r="98" spans="1:13" hidden="1" x14ac:dyDescent="0.25">
      <c r="A98" s="176" t="s">
        <v>374</v>
      </c>
      <c r="B98" s="197" t="s">
        <v>320</v>
      </c>
      <c r="C98" s="204" t="s">
        <v>321</v>
      </c>
      <c r="D98" s="182" t="s">
        <v>322</v>
      </c>
      <c r="E98" s="201" t="s">
        <v>39</v>
      </c>
      <c r="F98" s="178"/>
      <c r="G98" s="181"/>
      <c r="H98" s="178"/>
      <c r="I98" s="178"/>
      <c r="J98" s="178"/>
      <c r="K98" s="178">
        <v>5700</v>
      </c>
      <c r="L98" s="178">
        <f t="shared" si="34"/>
        <v>5700</v>
      </c>
      <c r="M98" s="179" t="s">
        <v>333</v>
      </c>
    </row>
    <row r="99" spans="1:13" hidden="1" x14ac:dyDescent="0.25">
      <c r="A99" s="176" t="s">
        <v>374</v>
      </c>
      <c r="B99" s="177" t="s">
        <v>14</v>
      </c>
      <c r="C99" s="178">
        <v>7479</v>
      </c>
      <c r="D99" s="177" t="s">
        <v>20</v>
      </c>
      <c r="E99" s="177" t="s">
        <v>21</v>
      </c>
      <c r="F99" s="178">
        <v>64</v>
      </c>
      <c r="G99" s="178">
        <v>0.15</v>
      </c>
      <c r="H99" s="178">
        <f>G99*F99</f>
        <v>9.6</v>
      </c>
      <c r="I99" s="178">
        <v>80</v>
      </c>
      <c r="J99" s="178">
        <v>1</v>
      </c>
      <c r="K99" s="178">
        <f>F99*I99</f>
        <v>5120</v>
      </c>
      <c r="L99" s="178">
        <f>K99*J99</f>
        <v>5120</v>
      </c>
      <c r="M99" s="179" t="s">
        <v>37</v>
      </c>
    </row>
    <row r="100" spans="1:13" hidden="1" x14ac:dyDescent="0.25">
      <c r="A100" s="176" t="s">
        <v>374</v>
      </c>
      <c r="B100" s="177" t="s">
        <v>14</v>
      </c>
      <c r="C100" s="178">
        <v>7479</v>
      </c>
      <c r="D100" s="177" t="s">
        <v>20</v>
      </c>
      <c r="E100" s="177" t="s">
        <v>25</v>
      </c>
      <c r="F100" s="178"/>
      <c r="G100" s="178"/>
      <c r="H100" s="178"/>
      <c r="I100" s="178"/>
      <c r="J100" s="178"/>
      <c r="K100" s="178">
        <v>4200</v>
      </c>
      <c r="L100" s="178">
        <f t="shared" ref="L100" si="35">K100</f>
        <v>4200</v>
      </c>
      <c r="M100" s="179" t="s">
        <v>181</v>
      </c>
    </row>
    <row r="101" spans="1:13" hidden="1" x14ac:dyDescent="0.25">
      <c r="A101" s="176" t="s">
        <v>374</v>
      </c>
      <c r="B101" s="196" t="s">
        <v>23</v>
      </c>
      <c r="C101" s="178">
        <v>66772</v>
      </c>
      <c r="D101" s="177" t="s">
        <v>34</v>
      </c>
      <c r="E101" s="204" t="s">
        <v>30</v>
      </c>
      <c r="F101" s="178"/>
      <c r="G101" s="181" t="s">
        <v>78</v>
      </c>
      <c r="H101" s="178"/>
      <c r="I101" s="178"/>
      <c r="J101" s="178"/>
      <c r="K101" s="178">
        <v>3000</v>
      </c>
      <c r="L101" s="178">
        <f>K101</f>
        <v>3000</v>
      </c>
      <c r="M101" s="179" t="s">
        <v>180</v>
      </c>
    </row>
    <row r="102" spans="1:13" hidden="1" x14ac:dyDescent="0.25">
      <c r="A102" s="176" t="s">
        <v>374</v>
      </c>
      <c r="B102" s="177" t="s">
        <v>14</v>
      </c>
      <c r="C102" s="178">
        <v>6380</v>
      </c>
      <c r="D102" s="177" t="s">
        <v>16</v>
      </c>
      <c r="E102" s="177" t="s">
        <v>17</v>
      </c>
      <c r="F102" s="178">
        <v>9</v>
      </c>
      <c r="G102" s="178">
        <v>0.42499999999999999</v>
      </c>
      <c r="H102" s="178">
        <f t="shared" ref="H102" si="36">F102*G102</f>
        <v>3.8249999999999997</v>
      </c>
      <c r="I102" s="178">
        <v>56</v>
      </c>
      <c r="J102" s="178">
        <v>4</v>
      </c>
      <c r="K102" s="178">
        <f t="shared" ref="K102:K104" si="37">F102*I102</f>
        <v>504</v>
      </c>
      <c r="L102" s="178">
        <f t="shared" ref="L102:L103" si="38">K102*J102</f>
        <v>2016</v>
      </c>
      <c r="M102" s="179" t="s">
        <v>18</v>
      </c>
    </row>
    <row r="103" spans="1:13" hidden="1" x14ac:dyDescent="0.25">
      <c r="A103" s="176" t="s">
        <v>374</v>
      </c>
      <c r="B103" s="177" t="s">
        <v>14</v>
      </c>
      <c r="C103" s="178" t="s">
        <v>86</v>
      </c>
      <c r="D103" s="177" t="s">
        <v>84</v>
      </c>
      <c r="E103" s="177" t="s">
        <v>17</v>
      </c>
      <c r="F103" s="178">
        <v>32</v>
      </c>
      <c r="G103" s="178">
        <v>0.46</v>
      </c>
      <c r="H103" s="178">
        <v>36.340000000000003</v>
      </c>
      <c r="I103" s="178">
        <v>38</v>
      </c>
      <c r="J103" s="178">
        <v>1</v>
      </c>
      <c r="K103" s="178">
        <f t="shared" si="37"/>
        <v>1216</v>
      </c>
      <c r="L103" s="178">
        <f t="shared" si="38"/>
        <v>1216</v>
      </c>
      <c r="M103" s="179" t="s">
        <v>22</v>
      </c>
    </row>
    <row r="104" spans="1:13" hidden="1" x14ac:dyDescent="0.25">
      <c r="A104" s="176" t="s">
        <v>374</v>
      </c>
      <c r="B104" s="177" t="s">
        <v>14</v>
      </c>
      <c r="C104" s="178">
        <v>12028</v>
      </c>
      <c r="D104" s="177" t="s">
        <v>16</v>
      </c>
      <c r="E104" s="177" t="s">
        <v>17</v>
      </c>
      <c r="F104" s="178">
        <v>50</v>
      </c>
      <c r="G104" s="178">
        <v>0.67500000000000004</v>
      </c>
      <c r="H104" s="178">
        <f>G104*F104</f>
        <v>33.75</v>
      </c>
      <c r="I104" s="178">
        <v>42</v>
      </c>
      <c r="J104" s="178">
        <v>4</v>
      </c>
      <c r="K104" s="178">
        <f t="shared" si="37"/>
        <v>2100</v>
      </c>
      <c r="L104" s="178">
        <f>K104*J104</f>
        <v>8400</v>
      </c>
      <c r="M104" s="179" t="s">
        <v>18</v>
      </c>
    </row>
    <row r="105" spans="1:13" hidden="1" x14ac:dyDescent="0.25">
      <c r="A105" s="176" t="s">
        <v>374</v>
      </c>
      <c r="B105" s="197" t="s">
        <v>320</v>
      </c>
      <c r="C105" s="205" t="s">
        <v>325</v>
      </c>
      <c r="D105" s="182" t="s">
        <v>322</v>
      </c>
      <c r="E105" s="198" t="s">
        <v>21</v>
      </c>
      <c r="F105" s="178"/>
      <c r="G105" s="181"/>
      <c r="H105" s="178"/>
      <c r="I105" s="178"/>
      <c r="J105" s="178"/>
      <c r="K105" s="178">
        <v>3500</v>
      </c>
      <c r="L105" s="178">
        <f t="shared" ref="L105:L112" si="39">K105</f>
        <v>3500</v>
      </c>
      <c r="M105" s="179" t="s">
        <v>37</v>
      </c>
    </row>
    <row r="106" spans="1:13" hidden="1" x14ac:dyDescent="0.25">
      <c r="A106" s="176" t="s">
        <v>374</v>
      </c>
      <c r="B106" s="197" t="s">
        <v>320</v>
      </c>
      <c r="C106" s="206" t="s">
        <v>325</v>
      </c>
      <c r="D106" s="182" t="s">
        <v>322</v>
      </c>
      <c r="E106" s="200" t="s">
        <v>35</v>
      </c>
      <c r="F106" s="178"/>
      <c r="G106" s="181"/>
      <c r="H106" s="178"/>
      <c r="I106" s="178"/>
      <c r="J106" s="178"/>
      <c r="K106" s="178">
        <v>3450</v>
      </c>
      <c r="L106" s="178">
        <f t="shared" si="39"/>
        <v>3450</v>
      </c>
      <c r="M106" s="179" t="s">
        <v>22</v>
      </c>
    </row>
    <row r="107" spans="1:13" hidden="1" x14ac:dyDescent="0.25">
      <c r="A107" s="176" t="s">
        <v>374</v>
      </c>
      <c r="B107" s="197" t="s">
        <v>320</v>
      </c>
      <c r="C107" s="206" t="s">
        <v>325</v>
      </c>
      <c r="D107" s="182" t="s">
        <v>322</v>
      </c>
      <c r="E107" s="201" t="s">
        <v>39</v>
      </c>
      <c r="F107" s="178"/>
      <c r="G107" s="181"/>
      <c r="H107" s="178"/>
      <c r="I107" s="178"/>
      <c r="J107" s="178"/>
      <c r="K107" s="178">
        <v>3000</v>
      </c>
      <c r="L107" s="178">
        <f t="shared" si="39"/>
        <v>3000</v>
      </c>
      <c r="M107" s="179" t="s">
        <v>91</v>
      </c>
    </row>
    <row r="108" spans="1:13" hidden="1" x14ac:dyDescent="0.25">
      <c r="A108" s="176" t="s">
        <v>374</v>
      </c>
      <c r="B108" s="197" t="s">
        <v>320</v>
      </c>
      <c r="C108" s="206" t="s">
        <v>325</v>
      </c>
      <c r="D108" s="182" t="s">
        <v>322</v>
      </c>
      <c r="E108" s="202" t="s">
        <v>324</v>
      </c>
      <c r="F108" s="178"/>
      <c r="G108" s="178"/>
      <c r="H108" s="178"/>
      <c r="I108" s="178"/>
      <c r="J108" s="178"/>
      <c r="K108" s="178">
        <v>2000</v>
      </c>
      <c r="L108" s="178">
        <f t="shared" si="39"/>
        <v>2000</v>
      </c>
      <c r="M108" s="179" t="s">
        <v>181</v>
      </c>
    </row>
    <row r="109" spans="1:13" hidden="1" x14ac:dyDescent="0.25">
      <c r="A109" s="176" t="s">
        <v>374</v>
      </c>
      <c r="B109" s="177" t="s">
        <v>14</v>
      </c>
      <c r="C109" s="178">
        <v>2576</v>
      </c>
      <c r="D109" s="177" t="s">
        <v>387</v>
      </c>
      <c r="E109" s="177" t="s">
        <v>25</v>
      </c>
      <c r="F109" s="178"/>
      <c r="G109" s="178"/>
      <c r="H109" s="178"/>
      <c r="I109" s="178"/>
      <c r="J109" s="178"/>
      <c r="K109" s="178">
        <v>1500</v>
      </c>
      <c r="L109" s="178">
        <f t="shared" si="39"/>
        <v>1500</v>
      </c>
      <c r="M109" s="179" t="s">
        <v>31</v>
      </c>
    </row>
    <row r="110" spans="1:13" hidden="1" x14ac:dyDescent="0.25">
      <c r="A110" s="176" t="s">
        <v>375</v>
      </c>
      <c r="B110" s="197" t="s">
        <v>320</v>
      </c>
      <c r="C110" s="204" t="s">
        <v>321</v>
      </c>
      <c r="D110" s="182" t="s">
        <v>322</v>
      </c>
      <c r="E110" s="198" t="s">
        <v>21</v>
      </c>
      <c r="F110" s="178"/>
      <c r="G110" s="181"/>
      <c r="H110" s="178"/>
      <c r="I110" s="178"/>
      <c r="J110" s="178"/>
      <c r="K110" s="178">
        <v>4434</v>
      </c>
      <c r="L110" s="178">
        <f t="shared" si="39"/>
        <v>4434</v>
      </c>
      <c r="M110" s="179" t="s">
        <v>332</v>
      </c>
    </row>
    <row r="111" spans="1:13" hidden="1" x14ac:dyDescent="0.25">
      <c r="A111" s="176" t="s">
        <v>375</v>
      </c>
      <c r="B111" s="197" t="s">
        <v>320</v>
      </c>
      <c r="C111" s="204" t="s">
        <v>321</v>
      </c>
      <c r="D111" s="182" t="s">
        <v>322</v>
      </c>
      <c r="E111" s="200" t="s">
        <v>35</v>
      </c>
      <c r="F111" s="178"/>
      <c r="G111" s="181"/>
      <c r="H111" s="178"/>
      <c r="I111" s="178"/>
      <c r="J111" s="178"/>
      <c r="K111" s="178">
        <v>4272</v>
      </c>
      <c r="L111" s="178">
        <f t="shared" si="39"/>
        <v>4272</v>
      </c>
      <c r="M111" s="179" t="s">
        <v>26</v>
      </c>
    </row>
    <row r="112" spans="1:13" hidden="1" x14ac:dyDescent="0.25">
      <c r="A112" s="176" t="s">
        <v>375</v>
      </c>
      <c r="B112" s="197" t="s">
        <v>320</v>
      </c>
      <c r="C112" s="204" t="s">
        <v>321</v>
      </c>
      <c r="D112" s="182" t="s">
        <v>322</v>
      </c>
      <c r="E112" s="201" t="s">
        <v>39</v>
      </c>
      <c r="F112" s="178"/>
      <c r="G112" s="181"/>
      <c r="H112" s="178"/>
      <c r="I112" s="178"/>
      <c r="J112" s="178"/>
      <c r="K112" s="178">
        <v>4320</v>
      </c>
      <c r="L112" s="178">
        <f t="shared" si="39"/>
        <v>4320</v>
      </c>
      <c r="M112" s="179" t="s">
        <v>333</v>
      </c>
    </row>
    <row r="113" spans="1:13" hidden="1" x14ac:dyDescent="0.25">
      <c r="A113" s="176" t="s">
        <v>375</v>
      </c>
      <c r="B113" s="197" t="s">
        <v>320</v>
      </c>
      <c r="C113" s="205" t="s">
        <v>325</v>
      </c>
      <c r="D113" s="182" t="s">
        <v>322</v>
      </c>
      <c r="E113" s="198" t="s">
        <v>21</v>
      </c>
      <c r="F113" s="178"/>
      <c r="G113" s="181"/>
      <c r="H113" s="178"/>
      <c r="I113" s="178"/>
      <c r="J113" s="178"/>
      <c r="K113" s="178">
        <v>5750</v>
      </c>
      <c r="L113" s="178">
        <f t="shared" ref="L113:L119" si="40">K113</f>
        <v>5750</v>
      </c>
      <c r="M113" s="179" t="s">
        <v>37</v>
      </c>
    </row>
    <row r="114" spans="1:13" hidden="1" x14ac:dyDescent="0.25">
      <c r="A114" s="176" t="s">
        <v>375</v>
      </c>
      <c r="B114" s="197" t="s">
        <v>320</v>
      </c>
      <c r="C114" s="206" t="s">
        <v>325</v>
      </c>
      <c r="D114" s="182" t="s">
        <v>322</v>
      </c>
      <c r="E114" s="200" t="s">
        <v>35</v>
      </c>
      <c r="F114" s="178"/>
      <c r="G114" s="181"/>
      <c r="H114" s="178"/>
      <c r="I114" s="178"/>
      <c r="J114" s="178"/>
      <c r="K114" s="178">
        <v>5750</v>
      </c>
      <c r="L114" s="178">
        <f t="shared" si="40"/>
        <v>5750</v>
      </c>
      <c r="M114" s="179" t="s">
        <v>22</v>
      </c>
    </row>
    <row r="115" spans="1:13" hidden="1" x14ac:dyDescent="0.25">
      <c r="A115" s="176" t="s">
        <v>375</v>
      </c>
      <c r="B115" s="197" t="s">
        <v>320</v>
      </c>
      <c r="C115" s="206" t="s">
        <v>325</v>
      </c>
      <c r="D115" s="182" t="s">
        <v>322</v>
      </c>
      <c r="E115" s="201" t="s">
        <v>39</v>
      </c>
      <c r="F115" s="178"/>
      <c r="G115" s="181"/>
      <c r="H115" s="178"/>
      <c r="I115" s="178"/>
      <c r="J115" s="178"/>
      <c r="K115" s="178">
        <v>6000</v>
      </c>
      <c r="L115" s="178">
        <f t="shared" si="40"/>
        <v>6000</v>
      </c>
      <c r="M115" s="179" t="s">
        <v>91</v>
      </c>
    </row>
    <row r="116" spans="1:13" hidden="1" x14ac:dyDescent="0.25">
      <c r="A116" s="176" t="s">
        <v>375</v>
      </c>
      <c r="B116" s="197" t="s">
        <v>320</v>
      </c>
      <c r="C116" s="206" t="s">
        <v>325</v>
      </c>
      <c r="D116" s="182" t="s">
        <v>322</v>
      </c>
      <c r="E116" s="202" t="s">
        <v>324</v>
      </c>
      <c r="F116" s="178"/>
      <c r="G116" s="178"/>
      <c r="H116" s="178"/>
      <c r="I116" s="178"/>
      <c r="J116" s="178"/>
      <c r="K116" s="178">
        <v>6052</v>
      </c>
      <c r="L116" s="178">
        <f t="shared" si="40"/>
        <v>6052</v>
      </c>
      <c r="M116" s="179" t="s">
        <v>181</v>
      </c>
    </row>
    <row r="117" spans="1:13" hidden="1" x14ac:dyDescent="0.25">
      <c r="A117" s="176" t="s">
        <v>375</v>
      </c>
      <c r="B117" s="177" t="s">
        <v>14</v>
      </c>
      <c r="C117" s="178">
        <v>2576</v>
      </c>
      <c r="D117" s="177" t="s">
        <v>387</v>
      </c>
      <c r="E117" s="177" t="s">
        <v>25</v>
      </c>
      <c r="F117" s="178"/>
      <c r="G117" s="178"/>
      <c r="H117" s="178"/>
      <c r="I117" s="178"/>
      <c r="J117" s="178"/>
      <c r="K117" s="178">
        <v>1000</v>
      </c>
      <c r="L117" s="178">
        <f t="shared" si="40"/>
        <v>1000</v>
      </c>
      <c r="M117" s="179" t="s">
        <v>31</v>
      </c>
    </row>
    <row r="118" spans="1:13" hidden="1" x14ac:dyDescent="0.25">
      <c r="A118" s="176" t="s">
        <v>375</v>
      </c>
      <c r="B118" s="196" t="s">
        <v>23</v>
      </c>
      <c r="C118" s="178">
        <v>66772</v>
      </c>
      <c r="D118" s="177" t="s">
        <v>34</v>
      </c>
      <c r="E118" s="201" t="s">
        <v>35</v>
      </c>
      <c r="F118" s="178"/>
      <c r="G118" s="181" t="s">
        <v>77</v>
      </c>
      <c r="H118" s="178"/>
      <c r="I118" s="178"/>
      <c r="J118" s="178"/>
      <c r="K118" s="178">
        <v>4700</v>
      </c>
      <c r="L118" s="178">
        <f t="shared" si="40"/>
        <v>4700</v>
      </c>
      <c r="M118" s="179" t="s">
        <v>179</v>
      </c>
    </row>
    <row r="119" spans="1:13" hidden="1" x14ac:dyDescent="0.25">
      <c r="A119" s="176" t="s">
        <v>375</v>
      </c>
      <c r="B119" s="196" t="s">
        <v>23</v>
      </c>
      <c r="C119" s="178">
        <v>66772</v>
      </c>
      <c r="D119" s="177" t="s">
        <v>34</v>
      </c>
      <c r="E119" s="177" t="s">
        <v>39</v>
      </c>
      <c r="F119" s="178"/>
      <c r="G119" s="181" t="s">
        <v>36</v>
      </c>
      <c r="H119" s="178"/>
      <c r="I119" s="178"/>
      <c r="J119" s="178"/>
      <c r="K119" s="178">
        <v>1000</v>
      </c>
      <c r="L119" s="178">
        <f t="shared" si="40"/>
        <v>1000</v>
      </c>
      <c r="M119" s="179" t="s">
        <v>277</v>
      </c>
    </row>
    <row r="120" spans="1:13" hidden="1" x14ac:dyDescent="0.25">
      <c r="A120" s="176" t="s">
        <v>375</v>
      </c>
      <c r="B120" s="177" t="s">
        <v>14</v>
      </c>
      <c r="C120" s="178" t="s">
        <v>83</v>
      </c>
      <c r="D120" s="177" t="s">
        <v>84</v>
      </c>
      <c r="E120" s="177" t="s">
        <v>17</v>
      </c>
      <c r="F120" s="178">
        <v>48</v>
      </c>
      <c r="G120" s="178">
        <v>0.44</v>
      </c>
      <c r="H120" s="178">
        <v>22</v>
      </c>
      <c r="I120" s="178">
        <v>50</v>
      </c>
      <c r="J120" s="178">
        <v>1</v>
      </c>
      <c r="K120" s="178">
        <f t="shared" ref="K120" si="41">F120*I120</f>
        <v>2400</v>
      </c>
      <c r="L120" s="178">
        <f t="shared" ref="L120" si="42">K120*J120</f>
        <v>2400</v>
      </c>
      <c r="M120" s="179" t="s">
        <v>22</v>
      </c>
    </row>
    <row r="121" spans="1:13" hidden="1" x14ac:dyDescent="0.25">
      <c r="A121" s="176" t="s">
        <v>376</v>
      </c>
      <c r="B121" s="197" t="s">
        <v>320</v>
      </c>
      <c r="C121" s="204" t="s">
        <v>321</v>
      </c>
      <c r="D121" s="182" t="s">
        <v>322</v>
      </c>
      <c r="E121" s="198" t="s">
        <v>21</v>
      </c>
      <c r="F121" s="178"/>
      <c r="G121" s="181"/>
      <c r="H121" s="178"/>
      <c r="I121" s="178"/>
      <c r="J121" s="178"/>
      <c r="K121" s="178">
        <v>3954</v>
      </c>
      <c r="L121" s="178">
        <f t="shared" ref="L121:L129" si="43">K121</f>
        <v>3954</v>
      </c>
      <c r="M121" s="179" t="s">
        <v>332</v>
      </c>
    </row>
    <row r="122" spans="1:13" hidden="1" x14ac:dyDescent="0.25">
      <c r="A122" s="176" t="s">
        <v>376</v>
      </c>
      <c r="B122" s="197" t="s">
        <v>320</v>
      </c>
      <c r="C122" s="204" t="s">
        <v>321</v>
      </c>
      <c r="D122" s="182" t="s">
        <v>322</v>
      </c>
      <c r="E122" s="200" t="s">
        <v>35</v>
      </c>
      <c r="F122" s="178"/>
      <c r="G122" s="181"/>
      <c r="H122" s="178"/>
      <c r="I122" s="178"/>
      <c r="J122" s="178"/>
      <c r="K122" s="178">
        <v>3522</v>
      </c>
      <c r="L122" s="178">
        <f t="shared" si="43"/>
        <v>3522</v>
      </c>
      <c r="M122" s="179" t="s">
        <v>26</v>
      </c>
    </row>
    <row r="123" spans="1:13" hidden="1" x14ac:dyDescent="0.25">
      <c r="A123" s="176" t="s">
        <v>376</v>
      </c>
      <c r="B123" s="197" t="s">
        <v>320</v>
      </c>
      <c r="C123" s="204" t="s">
        <v>321</v>
      </c>
      <c r="D123" s="182" t="s">
        <v>322</v>
      </c>
      <c r="E123" s="201" t="s">
        <v>39</v>
      </c>
      <c r="F123" s="178"/>
      <c r="G123" s="181"/>
      <c r="H123" s="178"/>
      <c r="I123" s="178"/>
      <c r="J123" s="178"/>
      <c r="K123" s="178">
        <v>3080</v>
      </c>
      <c r="L123" s="178">
        <f t="shared" si="43"/>
        <v>3080</v>
      </c>
      <c r="M123" s="179" t="s">
        <v>333</v>
      </c>
    </row>
    <row r="124" spans="1:13" hidden="1" x14ac:dyDescent="0.25">
      <c r="A124" s="176" t="s">
        <v>376</v>
      </c>
      <c r="B124" s="197" t="s">
        <v>320</v>
      </c>
      <c r="C124" s="205" t="s">
        <v>325</v>
      </c>
      <c r="D124" s="182" t="s">
        <v>322</v>
      </c>
      <c r="E124" s="198" t="s">
        <v>21</v>
      </c>
      <c r="F124" s="178"/>
      <c r="G124" s="181"/>
      <c r="H124" s="178"/>
      <c r="I124" s="178"/>
      <c r="J124" s="178"/>
      <c r="K124" s="178">
        <v>2900</v>
      </c>
      <c r="L124" s="178">
        <f t="shared" si="43"/>
        <v>2900</v>
      </c>
      <c r="M124" s="179" t="s">
        <v>37</v>
      </c>
    </row>
    <row r="125" spans="1:13" hidden="1" x14ac:dyDescent="0.25">
      <c r="A125" s="176" t="s">
        <v>376</v>
      </c>
      <c r="B125" s="197" t="s">
        <v>320</v>
      </c>
      <c r="C125" s="206" t="s">
        <v>325</v>
      </c>
      <c r="D125" s="182" t="s">
        <v>322</v>
      </c>
      <c r="E125" s="200" t="s">
        <v>35</v>
      </c>
      <c r="F125" s="178"/>
      <c r="G125" s="181"/>
      <c r="H125" s="178"/>
      <c r="I125" s="178"/>
      <c r="J125" s="178"/>
      <c r="K125" s="178">
        <v>2000</v>
      </c>
      <c r="L125" s="178">
        <f t="shared" si="43"/>
        <v>2000</v>
      </c>
      <c r="M125" s="179" t="s">
        <v>22</v>
      </c>
    </row>
    <row r="126" spans="1:13" hidden="1" x14ac:dyDescent="0.25">
      <c r="A126" s="176" t="s">
        <v>376</v>
      </c>
      <c r="B126" s="197" t="s">
        <v>320</v>
      </c>
      <c r="C126" s="206" t="s">
        <v>325</v>
      </c>
      <c r="D126" s="182" t="s">
        <v>322</v>
      </c>
      <c r="E126" s="201" t="s">
        <v>39</v>
      </c>
      <c r="F126" s="178"/>
      <c r="G126" s="181"/>
      <c r="H126" s="178"/>
      <c r="I126" s="178"/>
      <c r="J126" s="178"/>
      <c r="K126" s="178">
        <v>3000</v>
      </c>
      <c r="L126" s="178">
        <f t="shared" si="43"/>
        <v>3000</v>
      </c>
      <c r="M126" s="179" t="s">
        <v>91</v>
      </c>
    </row>
    <row r="127" spans="1:13" hidden="1" x14ac:dyDescent="0.25">
      <c r="A127" s="176" t="s">
        <v>376</v>
      </c>
      <c r="B127" s="197" t="s">
        <v>320</v>
      </c>
      <c r="C127" s="206" t="s">
        <v>325</v>
      </c>
      <c r="D127" s="182" t="s">
        <v>322</v>
      </c>
      <c r="E127" s="202" t="s">
        <v>324</v>
      </c>
      <c r="F127" s="178"/>
      <c r="G127" s="178"/>
      <c r="H127" s="178"/>
      <c r="I127" s="178"/>
      <c r="J127" s="178"/>
      <c r="K127" s="178">
        <v>3650</v>
      </c>
      <c r="L127" s="178">
        <f t="shared" si="43"/>
        <v>3650</v>
      </c>
      <c r="M127" s="179" t="s">
        <v>181</v>
      </c>
    </row>
    <row r="128" spans="1:13" hidden="1" x14ac:dyDescent="0.25">
      <c r="A128" s="176" t="s">
        <v>376</v>
      </c>
      <c r="B128" s="196" t="s">
        <v>23</v>
      </c>
      <c r="C128" s="178">
        <v>66772</v>
      </c>
      <c r="D128" s="177" t="s">
        <v>34</v>
      </c>
      <c r="E128" s="201" t="s">
        <v>35</v>
      </c>
      <c r="F128" s="178"/>
      <c r="G128" s="181" t="s">
        <v>77</v>
      </c>
      <c r="H128" s="178"/>
      <c r="I128" s="178"/>
      <c r="J128" s="178"/>
      <c r="K128" s="178">
        <v>4300</v>
      </c>
      <c r="L128" s="178">
        <f t="shared" si="43"/>
        <v>4300</v>
      </c>
      <c r="M128" s="179" t="s">
        <v>179</v>
      </c>
    </row>
    <row r="129" spans="1:13" hidden="1" x14ac:dyDescent="0.25">
      <c r="A129" s="176" t="s">
        <v>376</v>
      </c>
      <c r="B129" s="196" t="s">
        <v>23</v>
      </c>
      <c r="C129" s="178">
        <v>66772</v>
      </c>
      <c r="D129" s="177" t="s">
        <v>34</v>
      </c>
      <c r="E129" s="177" t="s">
        <v>39</v>
      </c>
      <c r="F129" s="178"/>
      <c r="G129" s="181" t="s">
        <v>36</v>
      </c>
      <c r="H129" s="178"/>
      <c r="I129" s="178"/>
      <c r="J129" s="178"/>
      <c r="K129" s="178">
        <v>5500</v>
      </c>
      <c r="L129" s="178">
        <f t="shared" si="43"/>
        <v>5500</v>
      </c>
      <c r="M129" s="179" t="s">
        <v>277</v>
      </c>
    </row>
    <row r="130" spans="1:13" hidden="1" x14ac:dyDescent="0.25">
      <c r="A130" s="176" t="s">
        <v>376</v>
      </c>
      <c r="B130" s="196" t="s">
        <v>23</v>
      </c>
      <c r="C130" s="178">
        <v>66772</v>
      </c>
      <c r="D130" s="177" t="s">
        <v>34</v>
      </c>
      <c r="E130" s="204" t="s">
        <v>30</v>
      </c>
      <c r="F130" s="178"/>
      <c r="G130" s="181" t="s">
        <v>78</v>
      </c>
      <c r="H130" s="178"/>
      <c r="I130" s="178"/>
      <c r="J130" s="178"/>
      <c r="K130" s="178">
        <v>3800</v>
      </c>
      <c r="L130" s="178">
        <f>K130</f>
        <v>3800</v>
      </c>
      <c r="M130" s="179" t="s">
        <v>180</v>
      </c>
    </row>
    <row r="131" spans="1:13" hidden="1" x14ac:dyDescent="0.25">
      <c r="A131" s="176" t="s">
        <v>376</v>
      </c>
      <c r="B131" s="177" t="s">
        <v>14</v>
      </c>
      <c r="C131" s="178" t="s">
        <v>83</v>
      </c>
      <c r="D131" s="177" t="s">
        <v>84</v>
      </c>
      <c r="E131" s="177" t="s">
        <v>17</v>
      </c>
      <c r="F131" s="178">
        <v>92</v>
      </c>
      <c r="G131" s="178">
        <v>0.44</v>
      </c>
      <c r="H131" s="178">
        <v>22</v>
      </c>
      <c r="I131" s="178">
        <v>50</v>
      </c>
      <c r="J131" s="178">
        <v>1</v>
      </c>
      <c r="K131" s="178">
        <f t="shared" ref="K131" si="44">F131*I131</f>
        <v>4600</v>
      </c>
      <c r="L131" s="178">
        <f t="shared" ref="L131" si="45">K131*J131</f>
        <v>4600</v>
      </c>
      <c r="M131" s="179" t="s">
        <v>22</v>
      </c>
    </row>
    <row r="132" spans="1:13" hidden="1" x14ac:dyDescent="0.25">
      <c r="A132" s="176" t="s">
        <v>376</v>
      </c>
      <c r="B132" s="177" t="s">
        <v>14</v>
      </c>
      <c r="C132" s="178">
        <v>8283</v>
      </c>
      <c r="D132" s="177" t="s">
        <v>344</v>
      </c>
      <c r="E132" s="177" t="s">
        <v>25</v>
      </c>
      <c r="F132" s="178"/>
      <c r="G132" s="178"/>
      <c r="H132" s="178"/>
      <c r="I132" s="178"/>
      <c r="J132" s="178"/>
      <c r="K132" s="178">
        <v>1000</v>
      </c>
      <c r="L132" s="178">
        <f>K132</f>
        <v>1000</v>
      </c>
      <c r="M132" s="179" t="s">
        <v>179</v>
      </c>
    </row>
    <row r="133" spans="1:13" hidden="1" x14ac:dyDescent="0.25">
      <c r="A133" s="176" t="s">
        <v>377</v>
      </c>
      <c r="B133" s="197" t="s">
        <v>320</v>
      </c>
      <c r="C133" s="204" t="s">
        <v>321</v>
      </c>
      <c r="D133" s="182" t="s">
        <v>322</v>
      </c>
      <c r="E133" s="198" t="s">
        <v>21</v>
      </c>
      <c r="F133" s="178"/>
      <c r="G133" s="181"/>
      <c r="H133" s="178"/>
      <c r="I133" s="178"/>
      <c r="J133" s="178"/>
      <c r="K133" s="178">
        <v>3281</v>
      </c>
      <c r="L133" s="178">
        <f t="shared" ref="L133:L141" si="46">K133</f>
        <v>3281</v>
      </c>
      <c r="M133" s="179" t="s">
        <v>332</v>
      </c>
    </row>
    <row r="134" spans="1:13" hidden="1" x14ac:dyDescent="0.25">
      <c r="A134" s="176" t="s">
        <v>377</v>
      </c>
      <c r="B134" s="197" t="s">
        <v>320</v>
      </c>
      <c r="C134" s="204" t="s">
        <v>321</v>
      </c>
      <c r="D134" s="182" t="s">
        <v>322</v>
      </c>
      <c r="E134" s="200" t="s">
        <v>35</v>
      </c>
      <c r="F134" s="178"/>
      <c r="G134" s="181"/>
      <c r="H134" s="178"/>
      <c r="I134" s="178"/>
      <c r="J134" s="178"/>
      <c r="K134" s="178">
        <v>3672</v>
      </c>
      <c r="L134" s="178">
        <f t="shared" si="46"/>
        <v>3672</v>
      </c>
      <c r="M134" s="179" t="s">
        <v>26</v>
      </c>
    </row>
    <row r="135" spans="1:13" hidden="1" x14ac:dyDescent="0.25">
      <c r="A135" s="176" t="s">
        <v>377</v>
      </c>
      <c r="B135" s="197" t="s">
        <v>320</v>
      </c>
      <c r="C135" s="204" t="s">
        <v>321</v>
      </c>
      <c r="D135" s="182" t="s">
        <v>322</v>
      </c>
      <c r="E135" s="201" t="s">
        <v>39</v>
      </c>
      <c r="F135" s="178"/>
      <c r="G135" s="181"/>
      <c r="H135" s="178"/>
      <c r="I135" s="178"/>
      <c r="J135" s="178"/>
      <c r="K135" s="178">
        <v>4191</v>
      </c>
      <c r="L135" s="178">
        <f t="shared" si="46"/>
        <v>4191</v>
      </c>
      <c r="M135" s="179" t="s">
        <v>333</v>
      </c>
    </row>
    <row r="136" spans="1:13" hidden="1" x14ac:dyDescent="0.25">
      <c r="A136" s="176" t="s">
        <v>377</v>
      </c>
      <c r="B136" s="197" t="s">
        <v>320</v>
      </c>
      <c r="C136" s="205" t="s">
        <v>325</v>
      </c>
      <c r="D136" s="182" t="s">
        <v>322</v>
      </c>
      <c r="E136" s="198" t="s">
        <v>21</v>
      </c>
      <c r="F136" s="178"/>
      <c r="G136" s="181"/>
      <c r="H136" s="178"/>
      <c r="I136" s="178"/>
      <c r="J136" s="178"/>
      <c r="K136" s="178">
        <v>4050</v>
      </c>
      <c r="L136" s="178">
        <f t="shared" si="46"/>
        <v>4050</v>
      </c>
      <c r="M136" s="179" t="s">
        <v>37</v>
      </c>
    </row>
    <row r="137" spans="1:13" hidden="1" x14ac:dyDescent="0.25">
      <c r="A137" s="176" t="s">
        <v>377</v>
      </c>
      <c r="B137" s="197" t="s">
        <v>320</v>
      </c>
      <c r="C137" s="206" t="s">
        <v>325</v>
      </c>
      <c r="D137" s="182" t="s">
        <v>322</v>
      </c>
      <c r="E137" s="200" t="s">
        <v>35</v>
      </c>
      <c r="F137" s="178"/>
      <c r="G137" s="181"/>
      <c r="H137" s="178"/>
      <c r="I137" s="178"/>
      <c r="J137" s="178"/>
      <c r="K137" s="178">
        <v>3500</v>
      </c>
      <c r="L137" s="178">
        <f t="shared" si="46"/>
        <v>3500</v>
      </c>
      <c r="M137" s="179" t="s">
        <v>22</v>
      </c>
    </row>
    <row r="138" spans="1:13" hidden="1" x14ac:dyDescent="0.25">
      <c r="A138" s="176" t="s">
        <v>377</v>
      </c>
      <c r="B138" s="197" t="s">
        <v>320</v>
      </c>
      <c r="C138" s="206" t="s">
        <v>325</v>
      </c>
      <c r="D138" s="182" t="s">
        <v>322</v>
      </c>
      <c r="E138" s="201" t="s">
        <v>39</v>
      </c>
      <c r="F138" s="178"/>
      <c r="G138" s="181"/>
      <c r="H138" s="178"/>
      <c r="I138" s="178"/>
      <c r="J138" s="178"/>
      <c r="K138" s="178">
        <v>4000</v>
      </c>
      <c r="L138" s="178">
        <f t="shared" si="46"/>
        <v>4000</v>
      </c>
      <c r="M138" s="179" t="s">
        <v>91</v>
      </c>
    </row>
    <row r="139" spans="1:13" hidden="1" x14ac:dyDescent="0.25">
      <c r="A139" s="176" t="s">
        <v>377</v>
      </c>
      <c r="B139" s="197" t="s">
        <v>320</v>
      </c>
      <c r="C139" s="206" t="s">
        <v>325</v>
      </c>
      <c r="D139" s="182" t="s">
        <v>322</v>
      </c>
      <c r="E139" s="202" t="s">
        <v>324</v>
      </c>
      <c r="F139" s="178"/>
      <c r="G139" s="178"/>
      <c r="H139" s="178"/>
      <c r="I139" s="178"/>
      <c r="J139" s="178"/>
      <c r="K139" s="178">
        <v>3300</v>
      </c>
      <c r="L139" s="178">
        <f t="shared" si="46"/>
        <v>3300</v>
      </c>
      <c r="M139" s="179" t="s">
        <v>181</v>
      </c>
    </row>
    <row r="140" spans="1:13" hidden="1" x14ac:dyDescent="0.25">
      <c r="A140" s="176" t="s">
        <v>377</v>
      </c>
      <c r="B140" s="196" t="s">
        <v>23</v>
      </c>
      <c r="C140" s="178">
        <v>66772</v>
      </c>
      <c r="D140" s="177" t="s">
        <v>34</v>
      </c>
      <c r="E140" s="201" t="s">
        <v>35</v>
      </c>
      <c r="F140" s="178"/>
      <c r="G140" s="181" t="s">
        <v>77</v>
      </c>
      <c r="H140" s="178"/>
      <c r="I140" s="178"/>
      <c r="J140" s="178"/>
      <c r="K140" s="178">
        <v>4870</v>
      </c>
      <c r="L140" s="178">
        <f t="shared" si="46"/>
        <v>4870</v>
      </c>
      <c r="M140" s="179" t="s">
        <v>179</v>
      </c>
    </row>
    <row r="141" spans="1:13" hidden="1" x14ac:dyDescent="0.25">
      <c r="A141" s="176" t="s">
        <v>377</v>
      </c>
      <c r="B141" s="196" t="s">
        <v>23</v>
      </c>
      <c r="C141" s="178">
        <v>66772</v>
      </c>
      <c r="D141" s="177" t="s">
        <v>34</v>
      </c>
      <c r="E141" s="177" t="s">
        <v>39</v>
      </c>
      <c r="F141" s="178"/>
      <c r="G141" s="181" t="s">
        <v>36</v>
      </c>
      <c r="H141" s="178"/>
      <c r="I141" s="178"/>
      <c r="J141" s="178"/>
      <c r="K141" s="178">
        <v>4000</v>
      </c>
      <c r="L141" s="178">
        <f t="shared" si="46"/>
        <v>4000</v>
      </c>
      <c r="M141" s="179" t="s">
        <v>277</v>
      </c>
    </row>
    <row r="142" spans="1:13" hidden="1" x14ac:dyDescent="0.25">
      <c r="A142" s="176" t="s">
        <v>377</v>
      </c>
      <c r="B142" s="196" t="s">
        <v>23</v>
      </c>
      <c r="C142" s="178">
        <v>66772</v>
      </c>
      <c r="D142" s="177" t="s">
        <v>34</v>
      </c>
      <c r="E142" s="204" t="s">
        <v>30</v>
      </c>
      <c r="F142" s="178"/>
      <c r="G142" s="181" t="s">
        <v>78</v>
      </c>
      <c r="H142" s="178"/>
      <c r="I142" s="178"/>
      <c r="J142" s="178"/>
      <c r="K142" s="178">
        <v>6800</v>
      </c>
      <c r="L142" s="178">
        <f>K142</f>
        <v>6800</v>
      </c>
      <c r="M142" s="179" t="s">
        <v>180</v>
      </c>
    </row>
    <row r="143" spans="1:13" hidden="1" x14ac:dyDescent="0.25">
      <c r="A143" s="176" t="s">
        <v>378</v>
      </c>
      <c r="B143" s="197" t="s">
        <v>320</v>
      </c>
      <c r="C143" s="204" t="s">
        <v>321</v>
      </c>
      <c r="D143" s="182" t="s">
        <v>322</v>
      </c>
      <c r="E143" s="198" t="s">
        <v>21</v>
      </c>
      <c r="F143" s="178"/>
      <c r="G143" s="181"/>
      <c r="H143" s="178"/>
      <c r="I143" s="178"/>
      <c r="J143" s="178"/>
      <c r="K143" s="178">
        <v>3728</v>
      </c>
      <c r="L143" s="178">
        <f t="shared" ref="L143:L151" si="47">K143</f>
        <v>3728</v>
      </c>
      <c r="M143" s="179" t="s">
        <v>332</v>
      </c>
    </row>
    <row r="144" spans="1:13" hidden="1" x14ac:dyDescent="0.25">
      <c r="A144" s="176" t="s">
        <v>378</v>
      </c>
      <c r="B144" s="197" t="s">
        <v>320</v>
      </c>
      <c r="C144" s="204" t="s">
        <v>321</v>
      </c>
      <c r="D144" s="182" t="s">
        <v>322</v>
      </c>
      <c r="E144" s="200" t="s">
        <v>35</v>
      </c>
      <c r="F144" s="178"/>
      <c r="G144" s="181"/>
      <c r="H144" s="178"/>
      <c r="I144" s="178"/>
      <c r="J144" s="178"/>
      <c r="K144" s="178">
        <v>3660</v>
      </c>
      <c r="L144" s="178">
        <f t="shared" si="47"/>
        <v>3660</v>
      </c>
      <c r="M144" s="179" t="s">
        <v>26</v>
      </c>
    </row>
    <row r="145" spans="1:13" hidden="1" x14ac:dyDescent="0.25">
      <c r="A145" s="176" t="s">
        <v>378</v>
      </c>
      <c r="B145" s="197" t="s">
        <v>320</v>
      </c>
      <c r="C145" s="204" t="s">
        <v>321</v>
      </c>
      <c r="D145" s="182" t="s">
        <v>322</v>
      </c>
      <c r="E145" s="201" t="s">
        <v>39</v>
      </c>
      <c r="F145" s="178"/>
      <c r="G145" s="181"/>
      <c r="H145" s="178"/>
      <c r="I145" s="178"/>
      <c r="J145" s="178"/>
      <c r="K145" s="178">
        <v>3633</v>
      </c>
      <c r="L145" s="178">
        <f t="shared" si="47"/>
        <v>3633</v>
      </c>
      <c r="M145" s="179" t="s">
        <v>333</v>
      </c>
    </row>
    <row r="146" spans="1:13" hidden="1" x14ac:dyDescent="0.25">
      <c r="A146" s="176" t="s">
        <v>378</v>
      </c>
      <c r="B146" s="197" t="s">
        <v>320</v>
      </c>
      <c r="C146" s="205" t="s">
        <v>325</v>
      </c>
      <c r="D146" s="182" t="s">
        <v>322</v>
      </c>
      <c r="E146" s="198" t="s">
        <v>21</v>
      </c>
      <c r="F146" s="178"/>
      <c r="G146" s="181"/>
      <c r="H146" s="178"/>
      <c r="I146" s="178"/>
      <c r="J146" s="178"/>
      <c r="K146" s="178">
        <v>3500</v>
      </c>
      <c r="L146" s="178">
        <f t="shared" si="47"/>
        <v>3500</v>
      </c>
      <c r="M146" s="179" t="s">
        <v>37</v>
      </c>
    </row>
    <row r="147" spans="1:13" hidden="1" x14ac:dyDescent="0.25">
      <c r="A147" s="176" t="s">
        <v>378</v>
      </c>
      <c r="B147" s="197" t="s">
        <v>320</v>
      </c>
      <c r="C147" s="206" t="s">
        <v>325</v>
      </c>
      <c r="D147" s="182" t="s">
        <v>322</v>
      </c>
      <c r="E147" s="200" t="s">
        <v>35</v>
      </c>
      <c r="F147" s="178"/>
      <c r="G147" s="181"/>
      <c r="H147" s="178"/>
      <c r="I147" s="178"/>
      <c r="J147" s="178"/>
      <c r="K147" s="178">
        <v>3500</v>
      </c>
      <c r="L147" s="178">
        <f t="shared" si="47"/>
        <v>3500</v>
      </c>
      <c r="M147" s="179" t="s">
        <v>22</v>
      </c>
    </row>
    <row r="148" spans="1:13" hidden="1" x14ac:dyDescent="0.25">
      <c r="A148" s="176" t="s">
        <v>378</v>
      </c>
      <c r="B148" s="197" t="s">
        <v>320</v>
      </c>
      <c r="C148" s="206" t="s">
        <v>325</v>
      </c>
      <c r="D148" s="182" t="s">
        <v>322</v>
      </c>
      <c r="E148" s="201" t="s">
        <v>39</v>
      </c>
      <c r="F148" s="178"/>
      <c r="G148" s="181"/>
      <c r="H148" s="178"/>
      <c r="I148" s="178"/>
      <c r="J148" s="178"/>
      <c r="K148" s="178">
        <v>3500</v>
      </c>
      <c r="L148" s="178">
        <f t="shared" si="47"/>
        <v>3500</v>
      </c>
      <c r="M148" s="179" t="s">
        <v>91</v>
      </c>
    </row>
    <row r="149" spans="1:13" hidden="1" x14ac:dyDescent="0.25">
      <c r="A149" s="176" t="s">
        <v>378</v>
      </c>
      <c r="B149" s="197" t="s">
        <v>320</v>
      </c>
      <c r="C149" s="206" t="s">
        <v>325</v>
      </c>
      <c r="D149" s="182" t="s">
        <v>322</v>
      </c>
      <c r="E149" s="202" t="s">
        <v>324</v>
      </c>
      <c r="F149" s="178"/>
      <c r="G149" s="178"/>
      <c r="H149" s="178"/>
      <c r="I149" s="178"/>
      <c r="J149" s="178"/>
      <c r="K149" s="178">
        <v>4000</v>
      </c>
      <c r="L149" s="178">
        <f t="shared" si="47"/>
        <v>4000</v>
      </c>
      <c r="M149" s="179" t="s">
        <v>181</v>
      </c>
    </row>
    <row r="150" spans="1:13" hidden="1" x14ac:dyDescent="0.25">
      <c r="A150" s="176" t="s">
        <v>378</v>
      </c>
      <c r="B150" s="196" t="s">
        <v>23</v>
      </c>
      <c r="C150" s="178">
        <v>66772</v>
      </c>
      <c r="D150" s="177" t="s">
        <v>34</v>
      </c>
      <c r="E150" s="201" t="s">
        <v>35</v>
      </c>
      <c r="F150" s="178"/>
      <c r="G150" s="181" t="s">
        <v>77</v>
      </c>
      <c r="H150" s="178"/>
      <c r="I150" s="178"/>
      <c r="J150" s="178"/>
      <c r="K150" s="178">
        <v>500</v>
      </c>
      <c r="L150" s="178">
        <f t="shared" si="47"/>
        <v>500</v>
      </c>
      <c r="M150" s="179" t="s">
        <v>179</v>
      </c>
    </row>
    <row r="151" spans="1:13" hidden="1" x14ac:dyDescent="0.25">
      <c r="A151" s="176" t="s">
        <v>378</v>
      </c>
      <c r="B151" s="196" t="s">
        <v>23</v>
      </c>
      <c r="C151" s="178">
        <v>66772</v>
      </c>
      <c r="D151" s="177" t="s">
        <v>34</v>
      </c>
      <c r="E151" s="177" t="s">
        <v>39</v>
      </c>
      <c r="F151" s="178"/>
      <c r="G151" s="181" t="s">
        <v>36</v>
      </c>
      <c r="H151" s="178"/>
      <c r="I151" s="178"/>
      <c r="J151" s="178"/>
      <c r="K151" s="178">
        <v>2000</v>
      </c>
      <c r="L151" s="178">
        <f t="shared" si="47"/>
        <v>2000</v>
      </c>
      <c r="M151" s="179" t="s">
        <v>277</v>
      </c>
    </row>
    <row r="152" spans="1:13" hidden="1" x14ac:dyDescent="0.25">
      <c r="A152" s="176" t="s">
        <v>378</v>
      </c>
      <c r="B152" s="196" t="s">
        <v>23</v>
      </c>
      <c r="C152" s="178">
        <v>66772</v>
      </c>
      <c r="D152" s="177" t="s">
        <v>34</v>
      </c>
      <c r="E152" s="204" t="s">
        <v>30</v>
      </c>
      <c r="F152" s="178"/>
      <c r="G152" s="181" t="s">
        <v>78</v>
      </c>
      <c r="H152" s="178"/>
      <c r="I152" s="178"/>
      <c r="J152" s="178"/>
      <c r="K152" s="178">
        <v>4350</v>
      </c>
      <c r="L152" s="178">
        <f>K152</f>
        <v>4350</v>
      </c>
      <c r="M152" s="179" t="s">
        <v>180</v>
      </c>
    </row>
    <row r="153" spans="1:13" hidden="1" x14ac:dyDescent="0.25">
      <c r="A153" s="176" t="s">
        <v>378</v>
      </c>
      <c r="B153" s="177" t="s">
        <v>14</v>
      </c>
      <c r="C153" s="178">
        <v>7479</v>
      </c>
      <c r="D153" s="177" t="s">
        <v>20</v>
      </c>
      <c r="E153" s="177" t="s">
        <v>21</v>
      </c>
      <c r="F153" s="178">
        <v>174</v>
      </c>
      <c r="G153" s="178">
        <v>0.15</v>
      </c>
      <c r="H153" s="178">
        <f>G153*F153</f>
        <v>26.099999999999998</v>
      </c>
      <c r="I153" s="178">
        <v>80</v>
      </c>
      <c r="J153" s="178">
        <v>1</v>
      </c>
      <c r="K153" s="178">
        <f>F153*I153</f>
        <v>13920</v>
      </c>
      <c r="L153" s="178">
        <f>K153*J153</f>
        <v>13920</v>
      </c>
      <c r="M153" s="179" t="s">
        <v>37</v>
      </c>
    </row>
    <row r="154" spans="1:13" hidden="1" x14ac:dyDescent="0.25">
      <c r="A154" s="176" t="s">
        <v>378</v>
      </c>
      <c r="B154" s="177" t="s">
        <v>14</v>
      </c>
      <c r="C154" s="178">
        <v>7479</v>
      </c>
      <c r="D154" s="177" t="s">
        <v>20</v>
      </c>
      <c r="E154" s="177" t="s">
        <v>25</v>
      </c>
      <c r="F154" s="178"/>
      <c r="G154" s="178"/>
      <c r="H154" s="178"/>
      <c r="I154" s="178"/>
      <c r="J154" s="178"/>
      <c r="K154" s="178">
        <v>2000</v>
      </c>
      <c r="L154" s="178">
        <f t="shared" ref="L154" si="48">K154</f>
        <v>2000</v>
      </c>
      <c r="M154" s="179" t="s">
        <v>181</v>
      </c>
    </row>
    <row r="155" spans="1:13" hidden="1" x14ac:dyDescent="0.25">
      <c r="A155" s="176" t="s">
        <v>378</v>
      </c>
      <c r="B155" s="177" t="s">
        <v>14</v>
      </c>
      <c r="C155" s="178">
        <v>2576</v>
      </c>
      <c r="D155" s="177" t="s">
        <v>387</v>
      </c>
      <c r="E155" s="177" t="s">
        <v>17</v>
      </c>
      <c r="F155" s="178">
        <v>166</v>
      </c>
      <c r="G155" s="178">
        <v>0.1</v>
      </c>
      <c r="H155" s="178">
        <v>18.100000000000001</v>
      </c>
      <c r="I155" s="178">
        <v>17</v>
      </c>
      <c r="J155" s="178">
        <v>1</v>
      </c>
      <c r="K155" s="178">
        <f>F155*I155</f>
        <v>2822</v>
      </c>
      <c r="L155" s="178">
        <f>K155*J155</f>
        <v>2822</v>
      </c>
      <c r="M155" s="179" t="s">
        <v>22</v>
      </c>
    </row>
    <row r="156" spans="1:13" hidden="1" x14ac:dyDescent="0.25">
      <c r="A156" s="176" t="s">
        <v>378</v>
      </c>
      <c r="B156" s="177" t="s">
        <v>14</v>
      </c>
      <c r="C156" s="178" t="s">
        <v>83</v>
      </c>
      <c r="D156" s="177" t="s">
        <v>84</v>
      </c>
      <c r="E156" s="177" t="s">
        <v>25</v>
      </c>
      <c r="F156" s="178"/>
      <c r="G156" s="178"/>
      <c r="H156" s="178"/>
      <c r="I156" s="178"/>
      <c r="J156" s="178"/>
      <c r="K156" s="178">
        <v>1800</v>
      </c>
      <c r="L156" s="178">
        <f>K156</f>
        <v>1800</v>
      </c>
      <c r="M156" s="179" t="s">
        <v>22</v>
      </c>
    </row>
    <row r="157" spans="1:13" hidden="1" x14ac:dyDescent="0.25">
      <c r="A157" s="176" t="s">
        <v>379</v>
      </c>
      <c r="B157" s="197" t="s">
        <v>320</v>
      </c>
      <c r="C157" s="204" t="s">
        <v>321</v>
      </c>
      <c r="D157" s="182" t="s">
        <v>322</v>
      </c>
      <c r="E157" s="198" t="s">
        <v>21</v>
      </c>
      <c r="F157" s="178"/>
      <c r="G157" s="181"/>
      <c r="H157" s="178"/>
      <c r="I157" s="178"/>
      <c r="J157" s="178"/>
      <c r="K157" s="178">
        <v>1694</v>
      </c>
      <c r="L157" s="178">
        <f t="shared" ref="L157:L159" si="49">K157</f>
        <v>1694</v>
      </c>
      <c r="M157" s="179" t="s">
        <v>332</v>
      </c>
    </row>
    <row r="158" spans="1:13" hidden="1" x14ac:dyDescent="0.25">
      <c r="A158" s="176" t="s">
        <v>379</v>
      </c>
      <c r="B158" s="197" t="s">
        <v>320</v>
      </c>
      <c r="C158" s="204" t="s">
        <v>321</v>
      </c>
      <c r="D158" s="182" t="s">
        <v>322</v>
      </c>
      <c r="E158" s="200" t="s">
        <v>35</v>
      </c>
      <c r="F158" s="178"/>
      <c r="G158" s="181"/>
      <c r="H158" s="178"/>
      <c r="I158" s="178"/>
      <c r="J158" s="178"/>
      <c r="K158" s="178">
        <v>1466</v>
      </c>
      <c r="L158" s="178">
        <f t="shared" si="49"/>
        <v>1466</v>
      </c>
      <c r="M158" s="179" t="s">
        <v>26</v>
      </c>
    </row>
    <row r="159" spans="1:13" hidden="1" x14ac:dyDescent="0.25">
      <c r="A159" s="176" t="s">
        <v>379</v>
      </c>
      <c r="B159" s="197" t="s">
        <v>320</v>
      </c>
      <c r="C159" s="204" t="s">
        <v>321</v>
      </c>
      <c r="D159" s="182" t="s">
        <v>322</v>
      </c>
      <c r="E159" s="201" t="s">
        <v>39</v>
      </c>
      <c r="F159" s="178"/>
      <c r="G159" s="181"/>
      <c r="H159" s="178"/>
      <c r="I159" s="178"/>
      <c r="J159" s="178"/>
      <c r="K159" s="178">
        <v>1493</v>
      </c>
      <c r="L159" s="178">
        <f t="shared" si="49"/>
        <v>1493</v>
      </c>
      <c r="M159" s="179" t="s">
        <v>333</v>
      </c>
    </row>
    <row r="160" spans="1:13" hidden="1" x14ac:dyDescent="0.25">
      <c r="A160" s="176" t="s">
        <v>379</v>
      </c>
      <c r="B160" s="177" t="s">
        <v>14</v>
      </c>
      <c r="C160" s="178">
        <v>7479</v>
      </c>
      <c r="D160" s="177" t="s">
        <v>20</v>
      </c>
      <c r="E160" s="177" t="s">
        <v>21</v>
      </c>
      <c r="F160" s="178">
        <v>185</v>
      </c>
      <c r="G160" s="178">
        <v>0.15</v>
      </c>
      <c r="H160" s="178">
        <f>G160*F160</f>
        <v>27.75</v>
      </c>
      <c r="I160" s="178">
        <v>80</v>
      </c>
      <c r="J160" s="178">
        <v>1</v>
      </c>
      <c r="K160" s="178">
        <f>F160*I160</f>
        <v>14800</v>
      </c>
      <c r="L160" s="178">
        <f>K160*J160</f>
        <v>14800</v>
      </c>
      <c r="M160" s="179" t="s">
        <v>37</v>
      </c>
    </row>
    <row r="161" spans="1:13" hidden="1" x14ac:dyDescent="0.25">
      <c r="A161" s="176" t="s">
        <v>379</v>
      </c>
      <c r="B161" s="177" t="s">
        <v>14</v>
      </c>
      <c r="C161" s="178">
        <v>7479</v>
      </c>
      <c r="D161" s="177" t="s">
        <v>20</v>
      </c>
      <c r="E161" s="177" t="s">
        <v>25</v>
      </c>
      <c r="F161" s="178"/>
      <c r="G161" s="178"/>
      <c r="H161" s="178"/>
      <c r="I161" s="178"/>
      <c r="J161" s="178"/>
      <c r="K161" s="178">
        <v>8000</v>
      </c>
      <c r="L161" s="178">
        <f t="shared" ref="L161" si="50">K161</f>
        <v>8000</v>
      </c>
      <c r="M161" s="179" t="s">
        <v>181</v>
      </c>
    </row>
    <row r="162" spans="1:13" hidden="1" x14ac:dyDescent="0.25">
      <c r="A162" s="176" t="s">
        <v>379</v>
      </c>
      <c r="B162" s="177" t="s">
        <v>14</v>
      </c>
      <c r="C162" s="178" t="s">
        <v>83</v>
      </c>
      <c r="D162" s="177" t="s">
        <v>84</v>
      </c>
      <c r="E162" s="177" t="s">
        <v>25</v>
      </c>
      <c r="F162" s="178"/>
      <c r="G162" s="178"/>
      <c r="H162" s="178"/>
      <c r="I162" s="178"/>
      <c r="J162" s="178"/>
      <c r="K162" s="178">
        <v>4881</v>
      </c>
      <c r="L162" s="178">
        <f>K162</f>
        <v>4881</v>
      </c>
      <c r="M162" s="179" t="s">
        <v>22</v>
      </c>
    </row>
    <row r="163" spans="1:13" hidden="1" x14ac:dyDescent="0.25">
      <c r="A163" s="176" t="s">
        <v>379</v>
      </c>
      <c r="B163" s="177" t="s">
        <v>14</v>
      </c>
      <c r="C163" s="178">
        <v>8283</v>
      </c>
      <c r="D163" s="177" t="s">
        <v>344</v>
      </c>
      <c r="E163" s="177" t="s">
        <v>25</v>
      </c>
      <c r="F163" s="178"/>
      <c r="G163" s="178"/>
      <c r="H163" s="178"/>
      <c r="I163" s="178"/>
      <c r="J163" s="178"/>
      <c r="K163" s="178">
        <v>2500</v>
      </c>
      <c r="L163" s="178">
        <f>K163</f>
        <v>2500</v>
      </c>
      <c r="M163" s="179" t="s">
        <v>179</v>
      </c>
    </row>
    <row r="164" spans="1:13" hidden="1" x14ac:dyDescent="0.25">
      <c r="A164" s="176" t="s">
        <v>379</v>
      </c>
      <c r="B164" s="177" t="s">
        <v>14</v>
      </c>
      <c r="C164" s="178">
        <v>2576</v>
      </c>
      <c r="D164" s="177" t="s">
        <v>387</v>
      </c>
      <c r="E164" s="177" t="s">
        <v>17</v>
      </c>
      <c r="F164" s="178">
        <v>166</v>
      </c>
      <c r="G164" s="178">
        <v>0.1</v>
      </c>
      <c r="H164" s="178">
        <v>18.100000000000001</v>
      </c>
      <c r="I164" s="178">
        <v>17</v>
      </c>
      <c r="J164" s="178">
        <v>1</v>
      </c>
      <c r="K164" s="178">
        <f>F164*I164</f>
        <v>2822</v>
      </c>
      <c r="L164" s="178">
        <f>K164*J164</f>
        <v>2822</v>
      </c>
      <c r="M164" s="179" t="s">
        <v>22</v>
      </c>
    </row>
    <row r="165" spans="1:13" hidden="1" x14ac:dyDescent="0.25">
      <c r="A165" s="176" t="s">
        <v>379</v>
      </c>
      <c r="B165" s="191" t="s">
        <v>41</v>
      </c>
      <c r="C165" s="192" t="s">
        <v>159</v>
      </c>
      <c r="D165" s="193" t="s">
        <v>159</v>
      </c>
      <c r="E165" s="204" t="s">
        <v>30</v>
      </c>
      <c r="F165" s="178"/>
      <c r="G165" s="178"/>
      <c r="H165" s="178"/>
      <c r="I165" s="178"/>
      <c r="J165" s="178"/>
      <c r="K165" s="178">
        <v>100</v>
      </c>
      <c r="L165" s="178">
        <f t="shared" ref="L165:L170" si="51">K165</f>
        <v>100</v>
      </c>
      <c r="M165" s="179" t="s">
        <v>180</v>
      </c>
    </row>
    <row r="166" spans="1:13" hidden="1" x14ac:dyDescent="0.25">
      <c r="A166" s="176" t="s">
        <v>380</v>
      </c>
      <c r="B166" s="197" t="s">
        <v>320</v>
      </c>
      <c r="C166" s="204" t="s">
        <v>321</v>
      </c>
      <c r="D166" s="182" t="s">
        <v>322</v>
      </c>
      <c r="E166" s="198" t="s">
        <v>21</v>
      </c>
      <c r="F166" s="178"/>
      <c r="G166" s="181"/>
      <c r="H166" s="178"/>
      <c r="I166" s="178"/>
      <c r="J166" s="178"/>
      <c r="K166" s="178">
        <v>3858</v>
      </c>
      <c r="L166" s="178">
        <f t="shared" si="51"/>
        <v>3858</v>
      </c>
      <c r="M166" s="179" t="s">
        <v>332</v>
      </c>
    </row>
    <row r="167" spans="1:13" hidden="1" x14ac:dyDescent="0.25">
      <c r="A167" s="176" t="s">
        <v>380</v>
      </c>
      <c r="B167" s="197" t="s">
        <v>320</v>
      </c>
      <c r="C167" s="204" t="s">
        <v>321</v>
      </c>
      <c r="D167" s="182" t="s">
        <v>322</v>
      </c>
      <c r="E167" s="200" t="s">
        <v>35</v>
      </c>
      <c r="F167" s="178"/>
      <c r="G167" s="181"/>
      <c r="H167" s="178"/>
      <c r="I167" s="178"/>
      <c r="J167" s="178"/>
      <c r="K167" s="178">
        <v>4100</v>
      </c>
      <c r="L167" s="178">
        <f t="shared" si="51"/>
        <v>4100</v>
      </c>
      <c r="M167" s="179" t="s">
        <v>26</v>
      </c>
    </row>
    <row r="168" spans="1:13" hidden="1" x14ac:dyDescent="0.25">
      <c r="A168" s="176" t="s">
        <v>380</v>
      </c>
      <c r="B168" s="197" t="s">
        <v>320</v>
      </c>
      <c r="C168" s="204" t="s">
        <v>321</v>
      </c>
      <c r="D168" s="182" t="s">
        <v>322</v>
      </c>
      <c r="E168" s="201" t="s">
        <v>39</v>
      </c>
      <c r="F168" s="178"/>
      <c r="G168" s="181"/>
      <c r="H168" s="178"/>
      <c r="I168" s="178"/>
      <c r="J168" s="178"/>
      <c r="K168" s="178">
        <v>2000</v>
      </c>
      <c r="L168" s="178">
        <f t="shared" si="51"/>
        <v>2000</v>
      </c>
      <c r="M168" s="179" t="s">
        <v>333</v>
      </c>
    </row>
    <row r="169" spans="1:13" hidden="1" x14ac:dyDescent="0.25">
      <c r="A169" s="176" t="s">
        <v>380</v>
      </c>
      <c r="B169" s="196" t="s">
        <v>23</v>
      </c>
      <c r="C169" s="178">
        <v>66772</v>
      </c>
      <c r="D169" s="177" t="s">
        <v>34</v>
      </c>
      <c r="E169" s="201" t="s">
        <v>35</v>
      </c>
      <c r="F169" s="178"/>
      <c r="G169" s="181" t="s">
        <v>77</v>
      </c>
      <c r="H169" s="178"/>
      <c r="I169" s="178"/>
      <c r="J169" s="178"/>
      <c r="K169" s="178">
        <v>4000</v>
      </c>
      <c r="L169" s="178">
        <f t="shared" si="51"/>
        <v>4000</v>
      </c>
      <c r="M169" s="179" t="s">
        <v>179</v>
      </c>
    </row>
    <row r="170" spans="1:13" hidden="1" x14ac:dyDescent="0.25">
      <c r="A170" s="176" t="s">
        <v>380</v>
      </c>
      <c r="B170" s="196" t="s">
        <v>23</v>
      </c>
      <c r="C170" s="178">
        <v>66772</v>
      </c>
      <c r="D170" s="177" t="s">
        <v>34</v>
      </c>
      <c r="E170" s="177" t="s">
        <v>39</v>
      </c>
      <c r="F170" s="178"/>
      <c r="G170" s="181" t="s">
        <v>36</v>
      </c>
      <c r="H170" s="178"/>
      <c r="I170" s="178"/>
      <c r="J170" s="178"/>
      <c r="K170" s="178">
        <v>1000</v>
      </c>
      <c r="L170" s="178">
        <f t="shared" si="51"/>
        <v>1000</v>
      </c>
      <c r="M170" s="179" t="s">
        <v>277</v>
      </c>
    </row>
    <row r="171" spans="1:13" hidden="1" x14ac:dyDescent="0.25">
      <c r="A171" s="176" t="s">
        <v>380</v>
      </c>
      <c r="B171" s="191" t="s">
        <v>41</v>
      </c>
      <c r="C171" s="192" t="s">
        <v>159</v>
      </c>
      <c r="D171" s="193" t="s">
        <v>159</v>
      </c>
      <c r="E171" s="204" t="s">
        <v>30</v>
      </c>
      <c r="F171" s="178"/>
      <c r="G171" s="178"/>
      <c r="H171" s="178"/>
      <c r="I171" s="178"/>
      <c r="J171" s="178"/>
      <c r="K171" s="178">
        <v>700</v>
      </c>
      <c r="L171" s="178">
        <f t="shared" ref="L171" si="52">K171</f>
        <v>700</v>
      </c>
      <c r="M171" s="179" t="s">
        <v>180</v>
      </c>
    </row>
    <row r="172" spans="1:13" hidden="1" x14ac:dyDescent="0.25">
      <c r="A172" s="176" t="s">
        <v>380</v>
      </c>
      <c r="B172" s="177" t="s">
        <v>14</v>
      </c>
      <c r="C172" s="178">
        <v>8283</v>
      </c>
      <c r="D172" s="177" t="s">
        <v>344</v>
      </c>
      <c r="E172" s="177" t="s">
        <v>25</v>
      </c>
      <c r="F172" s="178"/>
      <c r="G172" s="178"/>
      <c r="H172" s="178"/>
      <c r="I172" s="178"/>
      <c r="J172" s="178"/>
      <c r="K172" s="178">
        <v>3500</v>
      </c>
      <c r="L172" s="178">
        <f>K172</f>
        <v>3500</v>
      </c>
      <c r="M172" s="179" t="s">
        <v>179</v>
      </c>
    </row>
    <row r="173" spans="1:13" hidden="1" x14ac:dyDescent="0.25">
      <c r="A173" s="176" t="s">
        <v>381</v>
      </c>
      <c r="B173" s="197" t="s">
        <v>320</v>
      </c>
      <c r="C173" s="204" t="s">
        <v>321</v>
      </c>
      <c r="D173" s="182" t="s">
        <v>322</v>
      </c>
      <c r="E173" s="198" t="s">
        <v>21</v>
      </c>
      <c r="F173" s="178"/>
      <c r="G173" s="181"/>
      <c r="H173" s="178"/>
      <c r="I173" s="178"/>
      <c r="J173" s="178"/>
      <c r="K173" s="178">
        <v>4542</v>
      </c>
      <c r="L173" s="178">
        <f t="shared" ref="L173:L181" si="53">K173</f>
        <v>4542</v>
      </c>
      <c r="M173" s="179" t="s">
        <v>332</v>
      </c>
    </row>
    <row r="174" spans="1:13" hidden="1" x14ac:dyDescent="0.25">
      <c r="A174" s="176" t="s">
        <v>381</v>
      </c>
      <c r="B174" s="197" t="s">
        <v>320</v>
      </c>
      <c r="C174" s="204" t="s">
        <v>321</v>
      </c>
      <c r="D174" s="182" t="s">
        <v>322</v>
      </c>
      <c r="E174" s="200" t="s">
        <v>35</v>
      </c>
      <c r="F174" s="178"/>
      <c r="G174" s="181"/>
      <c r="H174" s="178"/>
      <c r="I174" s="178"/>
      <c r="J174" s="178"/>
      <c r="K174" s="178">
        <v>4200</v>
      </c>
      <c r="L174" s="178">
        <f t="shared" si="53"/>
        <v>4200</v>
      </c>
      <c r="M174" s="179" t="s">
        <v>26</v>
      </c>
    </row>
    <row r="175" spans="1:13" hidden="1" x14ac:dyDescent="0.25">
      <c r="A175" s="176" t="s">
        <v>381</v>
      </c>
      <c r="B175" s="197" t="s">
        <v>320</v>
      </c>
      <c r="C175" s="204" t="s">
        <v>321</v>
      </c>
      <c r="D175" s="182" t="s">
        <v>322</v>
      </c>
      <c r="E175" s="201" t="s">
        <v>39</v>
      </c>
      <c r="F175" s="178"/>
      <c r="G175" s="181"/>
      <c r="H175" s="178"/>
      <c r="I175" s="178"/>
      <c r="J175" s="178"/>
      <c r="K175" s="178">
        <v>4200</v>
      </c>
      <c r="L175" s="178">
        <f t="shared" si="53"/>
        <v>4200</v>
      </c>
      <c r="M175" s="179" t="s">
        <v>333</v>
      </c>
    </row>
    <row r="176" spans="1:13" hidden="1" x14ac:dyDescent="0.25">
      <c r="A176" s="176" t="s">
        <v>381</v>
      </c>
      <c r="B176" s="197" t="s">
        <v>320</v>
      </c>
      <c r="C176" s="205" t="s">
        <v>325</v>
      </c>
      <c r="D176" s="182" t="s">
        <v>322</v>
      </c>
      <c r="E176" s="198" t="s">
        <v>21</v>
      </c>
      <c r="F176" s="178"/>
      <c r="G176" s="181"/>
      <c r="H176" s="178"/>
      <c r="I176" s="178"/>
      <c r="J176" s="178"/>
      <c r="K176" s="178">
        <v>5250</v>
      </c>
      <c r="L176" s="178">
        <f t="shared" si="53"/>
        <v>5250</v>
      </c>
      <c r="M176" s="179" t="s">
        <v>37</v>
      </c>
    </row>
    <row r="177" spans="1:13" hidden="1" x14ac:dyDescent="0.25">
      <c r="A177" s="176" t="s">
        <v>381</v>
      </c>
      <c r="B177" s="197" t="s">
        <v>320</v>
      </c>
      <c r="C177" s="206" t="s">
        <v>325</v>
      </c>
      <c r="D177" s="182" t="s">
        <v>322</v>
      </c>
      <c r="E177" s="200" t="s">
        <v>35</v>
      </c>
      <c r="F177" s="178"/>
      <c r="G177" s="181"/>
      <c r="H177" s="178"/>
      <c r="I177" s="178"/>
      <c r="J177" s="178"/>
      <c r="K177" s="178">
        <v>2000</v>
      </c>
      <c r="L177" s="178">
        <f t="shared" si="53"/>
        <v>2000</v>
      </c>
      <c r="M177" s="179" t="s">
        <v>22</v>
      </c>
    </row>
    <row r="178" spans="1:13" hidden="1" x14ac:dyDescent="0.25">
      <c r="A178" s="176" t="s">
        <v>381</v>
      </c>
      <c r="B178" s="197" t="s">
        <v>320</v>
      </c>
      <c r="C178" s="206" t="s">
        <v>325</v>
      </c>
      <c r="D178" s="182" t="s">
        <v>322</v>
      </c>
      <c r="E178" s="201" t="s">
        <v>39</v>
      </c>
      <c r="F178" s="178"/>
      <c r="G178" s="181"/>
      <c r="H178" s="178"/>
      <c r="I178" s="178"/>
      <c r="J178" s="178"/>
      <c r="K178" s="178">
        <v>3500</v>
      </c>
      <c r="L178" s="178">
        <f t="shared" si="53"/>
        <v>3500</v>
      </c>
      <c r="M178" s="179" t="s">
        <v>91</v>
      </c>
    </row>
    <row r="179" spans="1:13" hidden="1" x14ac:dyDescent="0.25">
      <c r="A179" s="176" t="s">
        <v>381</v>
      </c>
      <c r="B179" s="197" t="s">
        <v>320</v>
      </c>
      <c r="C179" s="206" t="s">
        <v>325</v>
      </c>
      <c r="D179" s="182" t="s">
        <v>322</v>
      </c>
      <c r="E179" s="202" t="s">
        <v>324</v>
      </c>
      <c r="F179" s="178"/>
      <c r="G179" s="178"/>
      <c r="H179" s="178"/>
      <c r="I179" s="178"/>
      <c r="J179" s="178"/>
      <c r="K179" s="178">
        <v>3200</v>
      </c>
      <c r="L179" s="178">
        <f t="shared" si="53"/>
        <v>3200</v>
      </c>
      <c r="M179" s="179" t="s">
        <v>181</v>
      </c>
    </row>
    <row r="180" spans="1:13" hidden="1" x14ac:dyDescent="0.25">
      <c r="A180" s="176" t="s">
        <v>381</v>
      </c>
      <c r="B180" s="196" t="s">
        <v>23</v>
      </c>
      <c r="C180" s="178">
        <v>66772</v>
      </c>
      <c r="D180" s="177" t="s">
        <v>34</v>
      </c>
      <c r="E180" s="201" t="s">
        <v>35</v>
      </c>
      <c r="F180" s="178"/>
      <c r="G180" s="181" t="s">
        <v>77</v>
      </c>
      <c r="H180" s="178"/>
      <c r="I180" s="178"/>
      <c r="J180" s="178"/>
      <c r="K180" s="178">
        <v>6700</v>
      </c>
      <c r="L180" s="178">
        <f t="shared" si="53"/>
        <v>6700</v>
      </c>
      <c r="M180" s="179" t="s">
        <v>179</v>
      </c>
    </row>
    <row r="181" spans="1:13" hidden="1" x14ac:dyDescent="0.25">
      <c r="A181" s="176" t="s">
        <v>381</v>
      </c>
      <c r="B181" s="196" t="s">
        <v>23</v>
      </c>
      <c r="C181" s="178">
        <v>66772</v>
      </c>
      <c r="D181" s="177" t="s">
        <v>34</v>
      </c>
      <c r="E181" s="177" t="s">
        <v>39</v>
      </c>
      <c r="F181" s="178"/>
      <c r="G181" s="181" t="s">
        <v>36</v>
      </c>
      <c r="H181" s="178"/>
      <c r="I181" s="178"/>
      <c r="J181" s="178"/>
      <c r="K181" s="178">
        <v>6000</v>
      </c>
      <c r="L181" s="178">
        <f t="shared" si="53"/>
        <v>6000</v>
      </c>
      <c r="M181" s="179" t="s">
        <v>277</v>
      </c>
    </row>
    <row r="182" spans="1:13" hidden="1" x14ac:dyDescent="0.25">
      <c r="A182" s="176" t="s">
        <v>382</v>
      </c>
      <c r="B182" s="197" t="s">
        <v>320</v>
      </c>
      <c r="C182" s="204" t="s">
        <v>321</v>
      </c>
      <c r="D182" s="182" t="s">
        <v>322</v>
      </c>
      <c r="E182" s="198" t="s">
        <v>21</v>
      </c>
      <c r="F182" s="178"/>
      <c r="G182" s="181"/>
      <c r="H182" s="178"/>
      <c r="I182" s="178"/>
      <c r="J182" s="178"/>
      <c r="K182" s="178">
        <v>4242</v>
      </c>
      <c r="L182" s="178">
        <f t="shared" ref="L182:L190" si="54">K182</f>
        <v>4242</v>
      </c>
      <c r="M182" s="179" t="s">
        <v>332</v>
      </c>
    </row>
    <row r="183" spans="1:13" hidden="1" x14ac:dyDescent="0.25">
      <c r="A183" s="176" t="s">
        <v>382</v>
      </c>
      <c r="B183" s="197" t="s">
        <v>320</v>
      </c>
      <c r="C183" s="204" t="s">
        <v>321</v>
      </c>
      <c r="D183" s="182" t="s">
        <v>322</v>
      </c>
      <c r="E183" s="200" t="s">
        <v>35</v>
      </c>
      <c r="F183" s="178"/>
      <c r="G183" s="181"/>
      <c r="H183" s="178"/>
      <c r="I183" s="178"/>
      <c r="J183" s="178"/>
      <c r="K183" s="178">
        <v>5089</v>
      </c>
      <c r="L183" s="178">
        <f t="shared" si="54"/>
        <v>5089</v>
      </c>
      <c r="M183" s="179" t="s">
        <v>26</v>
      </c>
    </row>
    <row r="184" spans="1:13" hidden="1" x14ac:dyDescent="0.25">
      <c r="A184" s="176" t="s">
        <v>382</v>
      </c>
      <c r="B184" s="197" t="s">
        <v>320</v>
      </c>
      <c r="C184" s="204" t="s">
        <v>321</v>
      </c>
      <c r="D184" s="182" t="s">
        <v>322</v>
      </c>
      <c r="E184" s="201" t="s">
        <v>39</v>
      </c>
      <c r="F184" s="178"/>
      <c r="G184" s="181"/>
      <c r="H184" s="178"/>
      <c r="I184" s="178"/>
      <c r="J184" s="178"/>
      <c r="K184" s="178">
        <v>5000</v>
      </c>
      <c r="L184" s="178">
        <f t="shared" si="54"/>
        <v>5000</v>
      </c>
      <c r="M184" s="179" t="s">
        <v>333</v>
      </c>
    </row>
    <row r="185" spans="1:13" hidden="1" x14ac:dyDescent="0.25">
      <c r="A185" s="176" t="s">
        <v>382</v>
      </c>
      <c r="B185" s="197" t="s">
        <v>320</v>
      </c>
      <c r="C185" s="205" t="s">
        <v>325</v>
      </c>
      <c r="D185" s="182" t="s">
        <v>322</v>
      </c>
      <c r="E185" s="198" t="s">
        <v>21</v>
      </c>
      <c r="F185" s="178"/>
      <c r="G185" s="181"/>
      <c r="H185" s="178"/>
      <c r="I185" s="178"/>
      <c r="J185" s="178"/>
      <c r="K185" s="178">
        <v>3950</v>
      </c>
      <c r="L185" s="178">
        <f t="shared" si="54"/>
        <v>3950</v>
      </c>
      <c r="M185" s="179" t="s">
        <v>37</v>
      </c>
    </row>
    <row r="186" spans="1:13" hidden="1" x14ac:dyDescent="0.25">
      <c r="A186" s="176" t="s">
        <v>382</v>
      </c>
      <c r="B186" s="197" t="s">
        <v>320</v>
      </c>
      <c r="C186" s="206" t="s">
        <v>325</v>
      </c>
      <c r="D186" s="182" t="s">
        <v>322</v>
      </c>
      <c r="E186" s="200" t="s">
        <v>35</v>
      </c>
      <c r="F186" s="178"/>
      <c r="G186" s="181"/>
      <c r="H186" s="178"/>
      <c r="I186" s="178"/>
      <c r="J186" s="178"/>
      <c r="K186" s="178">
        <v>4500</v>
      </c>
      <c r="L186" s="178">
        <f t="shared" si="54"/>
        <v>4500</v>
      </c>
      <c r="M186" s="179" t="s">
        <v>22</v>
      </c>
    </row>
    <row r="187" spans="1:13" hidden="1" x14ac:dyDescent="0.25">
      <c r="A187" s="176" t="s">
        <v>382</v>
      </c>
      <c r="B187" s="197" t="s">
        <v>320</v>
      </c>
      <c r="C187" s="206" t="s">
        <v>325</v>
      </c>
      <c r="D187" s="182" t="s">
        <v>322</v>
      </c>
      <c r="E187" s="201" t="s">
        <v>39</v>
      </c>
      <c r="F187" s="178"/>
      <c r="G187" s="181"/>
      <c r="H187" s="178"/>
      <c r="I187" s="178"/>
      <c r="J187" s="178"/>
      <c r="K187" s="178">
        <v>5500</v>
      </c>
      <c r="L187" s="178">
        <f t="shared" si="54"/>
        <v>5500</v>
      </c>
      <c r="M187" s="179" t="s">
        <v>91</v>
      </c>
    </row>
    <row r="188" spans="1:13" hidden="1" x14ac:dyDescent="0.25">
      <c r="A188" s="176" t="s">
        <v>382</v>
      </c>
      <c r="B188" s="197" t="s">
        <v>320</v>
      </c>
      <c r="C188" s="206" t="s">
        <v>325</v>
      </c>
      <c r="D188" s="182" t="s">
        <v>322</v>
      </c>
      <c r="E188" s="202" t="s">
        <v>324</v>
      </c>
      <c r="F188" s="178"/>
      <c r="G188" s="178"/>
      <c r="H188" s="178"/>
      <c r="I188" s="178"/>
      <c r="J188" s="178"/>
      <c r="K188" s="178">
        <v>4200</v>
      </c>
      <c r="L188" s="178">
        <f t="shared" si="54"/>
        <v>4200</v>
      </c>
      <c r="M188" s="179" t="s">
        <v>181</v>
      </c>
    </row>
    <row r="189" spans="1:13" hidden="1" x14ac:dyDescent="0.25">
      <c r="A189" s="176" t="s">
        <v>382</v>
      </c>
      <c r="B189" s="196" t="s">
        <v>23</v>
      </c>
      <c r="C189" s="178">
        <v>66772</v>
      </c>
      <c r="D189" s="177" t="s">
        <v>34</v>
      </c>
      <c r="E189" s="201" t="s">
        <v>35</v>
      </c>
      <c r="F189" s="178"/>
      <c r="G189" s="181" t="s">
        <v>77</v>
      </c>
      <c r="H189" s="178"/>
      <c r="I189" s="178"/>
      <c r="J189" s="178"/>
      <c r="K189" s="178">
        <v>4222</v>
      </c>
      <c r="L189" s="178">
        <f t="shared" si="54"/>
        <v>4222</v>
      </c>
      <c r="M189" s="179" t="s">
        <v>179</v>
      </c>
    </row>
    <row r="190" spans="1:13" hidden="1" x14ac:dyDescent="0.25">
      <c r="A190" s="176" t="s">
        <v>382</v>
      </c>
      <c r="B190" s="196" t="s">
        <v>23</v>
      </c>
      <c r="C190" s="178">
        <v>66772</v>
      </c>
      <c r="D190" s="177" t="s">
        <v>34</v>
      </c>
      <c r="E190" s="177" t="s">
        <v>39</v>
      </c>
      <c r="F190" s="178"/>
      <c r="G190" s="181" t="s">
        <v>36</v>
      </c>
      <c r="H190" s="178"/>
      <c r="I190" s="178"/>
      <c r="J190" s="178"/>
      <c r="K190" s="178">
        <v>4500</v>
      </c>
      <c r="L190" s="178">
        <f t="shared" si="54"/>
        <v>4500</v>
      </c>
      <c r="M190" s="179" t="s">
        <v>277</v>
      </c>
    </row>
    <row r="191" spans="1:13" hidden="1" x14ac:dyDescent="0.25">
      <c r="A191" s="176" t="s">
        <v>382</v>
      </c>
      <c r="B191" s="196" t="s">
        <v>23</v>
      </c>
      <c r="C191" s="178">
        <v>66772</v>
      </c>
      <c r="D191" s="177" t="s">
        <v>34</v>
      </c>
      <c r="E191" s="204" t="s">
        <v>30</v>
      </c>
      <c r="F191" s="178"/>
      <c r="G191" s="181" t="s">
        <v>78</v>
      </c>
      <c r="H191" s="178"/>
      <c r="I191" s="178"/>
      <c r="J191" s="178"/>
      <c r="K191" s="178">
        <v>9100</v>
      </c>
      <c r="L191" s="178">
        <f>K191</f>
        <v>9100</v>
      </c>
      <c r="M191" s="179" t="s">
        <v>180</v>
      </c>
    </row>
    <row r="192" spans="1:13" hidden="1" x14ac:dyDescent="0.25">
      <c r="A192" s="176" t="s">
        <v>382</v>
      </c>
      <c r="B192" s="177" t="s">
        <v>14</v>
      </c>
      <c r="C192" s="178">
        <v>8283</v>
      </c>
      <c r="D192" s="177" t="s">
        <v>344</v>
      </c>
      <c r="E192" s="177" t="s">
        <v>25</v>
      </c>
      <c r="F192" s="178"/>
      <c r="G192" s="178"/>
      <c r="H192" s="178"/>
      <c r="I192" s="178"/>
      <c r="J192" s="178"/>
      <c r="K192" s="178">
        <v>2500</v>
      </c>
      <c r="L192" s="178">
        <f>K192</f>
        <v>2500</v>
      </c>
      <c r="M192" s="179" t="s">
        <v>179</v>
      </c>
    </row>
    <row r="193" spans="1:13" hidden="1" x14ac:dyDescent="0.25">
      <c r="A193" s="176" t="s">
        <v>383</v>
      </c>
      <c r="B193" s="197" t="s">
        <v>320</v>
      </c>
      <c r="C193" s="204" t="s">
        <v>321</v>
      </c>
      <c r="D193" s="182" t="s">
        <v>322</v>
      </c>
      <c r="E193" s="198" t="s">
        <v>21</v>
      </c>
      <c r="F193" s="178"/>
      <c r="G193" s="181"/>
      <c r="H193" s="178"/>
      <c r="I193" s="178"/>
      <c r="J193" s="178"/>
      <c r="K193" s="178">
        <v>4118</v>
      </c>
      <c r="L193" s="178">
        <f t="shared" ref="L193:L199" si="55">K193</f>
        <v>4118</v>
      </c>
      <c r="M193" s="179" t="s">
        <v>332</v>
      </c>
    </row>
    <row r="194" spans="1:13" hidden="1" x14ac:dyDescent="0.25">
      <c r="A194" s="176" t="s">
        <v>383</v>
      </c>
      <c r="B194" s="197" t="s">
        <v>320</v>
      </c>
      <c r="C194" s="204" t="s">
        <v>321</v>
      </c>
      <c r="D194" s="182" t="s">
        <v>322</v>
      </c>
      <c r="E194" s="200" t="s">
        <v>35</v>
      </c>
      <c r="F194" s="178"/>
      <c r="G194" s="181"/>
      <c r="H194" s="178"/>
      <c r="I194" s="178"/>
      <c r="J194" s="178"/>
      <c r="K194" s="178">
        <v>4240</v>
      </c>
      <c r="L194" s="178">
        <f t="shared" si="55"/>
        <v>4240</v>
      </c>
      <c r="M194" s="179" t="s">
        <v>26</v>
      </c>
    </row>
    <row r="195" spans="1:13" hidden="1" x14ac:dyDescent="0.25">
      <c r="A195" s="176" t="s">
        <v>383</v>
      </c>
      <c r="B195" s="197" t="s">
        <v>320</v>
      </c>
      <c r="C195" s="204" t="s">
        <v>321</v>
      </c>
      <c r="D195" s="182" t="s">
        <v>322</v>
      </c>
      <c r="E195" s="201" t="s">
        <v>39</v>
      </c>
      <c r="F195" s="178"/>
      <c r="G195" s="181"/>
      <c r="H195" s="178"/>
      <c r="I195" s="178"/>
      <c r="J195" s="178"/>
      <c r="K195" s="178">
        <v>3400</v>
      </c>
      <c r="L195" s="178">
        <f t="shared" si="55"/>
        <v>3400</v>
      </c>
      <c r="M195" s="179" t="s">
        <v>333</v>
      </c>
    </row>
    <row r="196" spans="1:13" hidden="1" x14ac:dyDescent="0.25">
      <c r="A196" s="176" t="s">
        <v>383</v>
      </c>
      <c r="B196" s="197" t="s">
        <v>320</v>
      </c>
      <c r="C196" s="205" t="s">
        <v>325</v>
      </c>
      <c r="D196" s="182" t="s">
        <v>322</v>
      </c>
      <c r="E196" s="198" t="s">
        <v>21</v>
      </c>
      <c r="F196" s="178"/>
      <c r="G196" s="181"/>
      <c r="H196" s="178"/>
      <c r="I196" s="178"/>
      <c r="J196" s="178"/>
      <c r="K196" s="178">
        <v>5050</v>
      </c>
      <c r="L196" s="178">
        <f t="shared" si="55"/>
        <v>5050</v>
      </c>
      <c r="M196" s="179" t="s">
        <v>37</v>
      </c>
    </row>
    <row r="197" spans="1:13" hidden="1" x14ac:dyDescent="0.25">
      <c r="A197" s="176" t="s">
        <v>383</v>
      </c>
      <c r="B197" s="197" t="s">
        <v>320</v>
      </c>
      <c r="C197" s="206" t="s">
        <v>325</v>
      </c>
      <c r="D197" s="182" t="s">
        <v>322</v>
      </c>
      <c r="E197" s="200" t="s">
        <v>35</v>
      </c>
      <c r="F197" s="178"/>
      <c r="G197" s="181"/>
      <c r="H197" s="178"/>
      <c r="I197" s="178"/>
      <c r="J197" s="178"/>
      <c r="K197" s="178">
        <v>5000</v>
      </c>
      <c r="L197" s="178">
        <f t="shared" si="55"/>
        <v>5000</v>
      </c>
      <c r="M197" s="179" t="s">
        <v>22</v>
      </c>
    </row>
    <row r="198" spans="1:13" hidden="1" x14ac:dyDescent="0.25">
      <c r="A198" s="176" t="s">
        <v>383</v>
      </c>
      <c r="B198" s="197" t="s">
        <v>320</v>
      </c>
      <c r="C198" s="206" t="s">
        <v>325</v>
      </c>
      <c r="D198" s="182" t="s">
        <v>322</v>
      </c>
      <c r="E198" s="201" t="s">
        <v>39</v>
      </c>
      <c r="F198" s="178"/>
      <c r="G198" s="181"/>
      <c r="H198" s="178"/>
      <c r="I198" s="178"/>
      <c r="J198" s="178"/>
      <c r="K198" s="178">
        <v>5500</v>
      </c>
      <c r="L198" s="178">
        <f t="shared" si="55"/>
        <v>5500</v>
      </c>
      <c r="M198" s="179" t="s">
        <v>91</v>
      </c>
    </row>
    <row r="199" spans="1:13" hidden="1" x14ac:dyDescent="0.25">
      <c r="A199" s="176" t="s">
        <v>383</v>
      </c>
      <c r="B199" s="197" t="s">
        <v>320</v>
      </c>
      <c r="C199" s="206" t="s">
        <v>325</v>
      </c>
      <c r="D199" s="182" t="s">
        <v>322</v>
      </c>
      <c r="E199" s="202" t="s">
        <v>324</v>
      </c>
      <c r="F199" s="178"/>
      <c r="G199" s="178"/>
      <c r="H199" s="178"/>
      <c r="I199" s="178"/>
      <c r="J199" s="178"/>
      <c r="K199" s="178">
        <v>5434</v>
      </c>
      <c r="L199" s="178">
        <f t="shared" si="55"/>
        <v>5434</v>
      </c>
      <c r="M199" s="179" t="s">
        <v>181</v>
      </c>
    </row>
    <row r="200" spans="1:13" hidden="1" x14ac:dyDescent="0.25">
      <c r="A200" s="176" t="s">
        <v>383</v>
      </c>
      <c r="B200" s="177" t="s">
        <v>14</v>
      </c>
      <c r="C200" s="178">
        <v>8283</v>
      </c>
      <c r="D200" s="177" t="s">
        <v>344</v>
      </c>
      <c r="E200" s="177" t="s">
        <v>25</v>
      </c>
      <c r="F200" s="178"/>
      <c r="G200" s="178"/>
      <c r="H200" s="178"/>
      <c r="I200" s="178"/>
      <c r="J200" s="178"/>
      <c r="K200" s="178">
        <v>1000</v>
      </c>
      <c r="L200" s="178">
        <f>K200</f>
        <v>1000</v>
      </c>
      <c r="M200" s="179" t="s">
        <v>179</v>
      </c>
    </row>
    <row r="201" spans="1:13" hidden="1" x14ac:dyDescent="0.25">
      <c r="A201" s="176" t="s">
        <v>383</v>
      </c>
      <c r="B201" s="177" t="s">
        <v>14</v>
      </c>
      <c r="C201" s="178">
        <v>2576</v>
      </c>
      <c r="D201" s="177" t="s">
        <v>387</v>
      </c>
      <c r="E201" s="177" t="s">
        <v>25</v>
      </c>
      <c r="F201" s="178"/>
      <c r="G201" s="178"/>
      <c r="H201" s="178"/>
      <c r="I201" s="178"/>
      <c r="J201" s="178"/>
      <c r="K201" s="178">
        <v>2000</v>
      </c>
      <c r="L201" s="178">
        <f t="shared" ref="L201:L203" si="56">K201</f>
        <v>2000</v>
      </c>
      <c r="M201" s="179" t="s">
        <v>31</v>
      </c>
    </row>
    <row r="202" spans="1:13" hidden="1" x14ac:dyDescent="0.25">
      <c r="A202" s="176" t="s">
        <v>383</v>
      </c>
      <c r="B202" s="196" t="s">
        <v>23</v>
      </c>
      <c r="C202" s="178">
        <v>66772</v>
      </c>
      <c r="D202" s="177" t="s">
        <v>34</v>
      </c>
      <c r="E202" s="201" t="s">
        <v>35</v>
      </c>
      <c r="F202" s="178"/>
      <c r="G202" s="181" t="s">
        <v>77</v>
      </c>
      <c r="H202" s="178"/>
      <c r="I202" s="178"/>
      <c r="J202" s="178"/>
      <c r="K202" s="178">
        <v>5100</v>
      </c>
      <c r="L202" s="178">
        <f t="shared" si="56"/>
        <v>5100</v>
      </c>
      <c r="M202" s="179" t="s">
        <v>179</v>
      </c>
    </row>
    <row r="203" spans="1:13" hidden="1" x14ac:dyDescent="0.25">
      <c r="A203" s="176" t="s">
        <v>383</v>
      </c>
      <c r="B203" s="196" t="s">
        <v>23</v>
      </c>
      <c r="C203" s="178">
        <v>66772</v>
      </c>
      <c r="D203" s="177" t="s">
        <v>34</v>
      </c>
      <c r="E203" s="177" t="s">
        <v>39</v>
      </c>
      <c r="F203" s="178"/>
      <c r="G203" s="181" t="s">
        <v>36</v>
      </c>
      <c r="H203" s="178"/>
      <c r="I203" s="178"/>
      <c r="J203" s="178"/>
      <c r="K203" s="178">
        <v>5000</v>
      </c>
      <c r="L203" s="178">
        <f t="shared" si="56"/>
        <v>5000</v>
      </c>
      <c r="M203" s="179" t="s">
        <v>277</v>
      </c>
    </row>
    <row r="204" spans="1:13" hidden="1" x14ac:dyDescent="0.25">
      <c r="A204" s="176" t="s">
        <v>383</v>
      </c>
      <c r="B204" s="196" t="s">
        <v>23</v>
      </c>
      <c r="C204" s="178">
        <v>66772</v>
      </c>
      <c r="D204" s="177" t="s">
        <v>34</v>
      </c>
      <c r="E204" s="204" t="s">
        <v>30</v>
      </c>
      <c r="F204" s="178"/>
      <c r="G204" s="181" t="s">
        <v>78</v>
      </c>
      <c r="H204" s="178"/>
      <c r="I204" s="178"/>
      <c r="J204" s="178"/>
      <c r="K204" s="178">
        <v>2900</v>
      </c>
      <c r="L204" s="178">
        <f>K204</f>
        <v>2900</v>
      </c>
      <c r="M204" s="179" t="s">
        <v>180</v>
      </c>
    </row>
    <row r="205" spans="1:13" hidden="1" x14ac:dyDescent="0.25">
      <c r="A205" s="176" t="s">
        <v>384</v>
      </c>
      <c r="B205" s="197" t="s">
        <v>320</v>
      </c>
      <c r="C205" s="204" t="s">
        <v>321</v>
      </c>
      <c r="D205" s="182" t="s">
        <v>322</v>
      </c>
      <c r="E205" s="198" t="s">
        <v>21</v>
      </c>
      <c r="F205" s="178"/>
      <c r="G205" s="181"/>
      <c r="H205" s="178"/>
      <c r="I205" s="178"/>
      <c r="J205" s="178"/>
      <c r="K205" s="178">
        <v>4496</v>
      </c>
      <c r="L205" s="178">
        <f t="shared" ref="L205:L211" si="57">K205</f>
        <v>4496</v>
      </c>
      <c r="M205" s="179" t="s">
        <v>332</v>
      </c>
    </row>
    <row r="206" spans="1:13" hidden="1" x14ac:dyDescent="0.25">
      <c r="A206" s="176" t="s">
        <v>384</v>
      </c>
      <c r="B206" s="197" t="s">
        <v>320</v>
      </c>
      <c r="C206" s="204" t="s">
        <v>321</v>
      </c>
      <c r="D206" s="182" t="s">
        <v>322</v>
      </c>
      <c r="E206" s="200" t="s">
        <v>35</v>
      </c>
      <c r="F206" s="178"/>
      <c r="G206" s="181"/>
      <c r="H206" s="178"/>
      <c r="I206" s="178"/>
      <c r="J206" s="178"/>
      <c r="K206" s="178">
        <v>5070</v>
      </c>
      <c r="L206" s="178">
        <f t="shared" si="57"/>
        <v>5070</v>
      </c>
      <c r="M206" s="179" t="s">
        <v>26</v>
      </c>
    </row>
    <row r="207" spans="1:13" hidden="1" x14ac:dyDescent="0.25">
      <c r="A207" s="176" t="s">
        <v>384</v>
      </c>
      <c r="B207" s="197" t="s">
        <v>320</v>
      </c>
      <c r="C207" s="204" t="s">
        <v>321</v>
      </c>
      <c r="D207" s="182" t="s">
        <v>322</v>
      </c>
      <c r="E207" s="201" t="s">
        <v>39</v>
      </c>
      <c r="F207" s="178"/>
      <c r="G207" s="181"/>
      <c r="H207" s="178"/>
      <c r="I207" s="178"/>
      <c r="J207" s="178"/>
      <c r="K207" s="178">
        <v>5600</v>
      </c>
      <c r="L207" s="178">
        <f t="shared" si="57"/>
        <v>5600</v>
      </c>
      <c r="M207" s="179" t="s">
        <v>333</v>
      </c>
    </row>
    <row r="208" spans="1:13" hidden="1" x14ac:dyDescent="0.25">
      <c r="A208" s="176" t="s">
        <v>384</v>
      </c>
      <c r="B208" s="197" t="s">
        <v>320</v>
      </c>
      <c r="C208" s="205" t="s">
        <v>325</v>
      </c>
      <c r="D208" s="182" t="s">
        <v>322</v>
      </c>
      <c r="E208" s="198" t="s">
        <v>21</v>
      </c>
      <c r="F208" s="178"/>
      <c r="G208" s="181"/>
      <c r="H208" s="178"/>
      <c r="I208" s="178"/>
      <c r="J208" s="178"/>
      <c r="K208" s="178">
        <v>6500</v>
      </c>
      <c r="L208" s="178">
        <f t="shared" si="57"/>
        <v>6500</v>
      </c>
      <c r="M208" s="179" t="s">
        <v>37</v>
      </c>
    </row>
    <row r="209" spans="1:13" hidden="1" x14ac:dyDescent="0.25">
      <c r="A209" s="176" t="s">
        <v>384</v>
      </c>
      <c r="B209" s="197" t="s">
        <v>320</v>
      </c>
      <c r="C209" s="206" t="s">
        <v>325</v>
      </c>
      <c r="D209" s="182" t="s">
        <v>322</v>
      </c>
      <c r="E209" s="200" t="s">
        <v>35</v>
      </c>
      <c r="F209" s="178"/>
      <c r="G209" s="181"/>
      <c r="H209" s="178"/>
      <c r="I209" s="178"/>
      <c r="J209" s="178"/>
      <c r="K209" s="178">
        <v>5100</v>
      </c>
      <c r="L209" s="178">
        <f t="shared" si="57"/>
        <v>5100</v>
      </c>
      <c r="M209" s="179" t="s">
        <v>22</v>
      </c>
    </row>
    <row r="210" spans="1:13" hidden="1" x14ac:dyDescent="0.25">
      <c r="A210" s="176" t="s">
        <v>384</v>
      </c>
      <c r="B210" s="197" t="s">
        <v>320</v>
      </c>
      <c r="C210" s="206" t="s">
        <v>325</v>
      </c>
      <c r="D210" s="182" t="s">
        <v>322</v>
      </c>
      <c r="E210" s="201" t="s">
        <v>39</v>
      </c>
      <c r="F210" s="178"/>
      <c r="G210" s="181"/>
      <c r="H210" s="178"/>
      <c r="I210" s="178"/>
      <c r="J210" s="178"/>
      <c r="K210" s="178">
        <v>6000</v>
      </c>
      <c r="L210" s="178">
        <f t="shared" si="57"/>
        <v>6000</v>
      </c>
      <c r="M210" s="179" t="s">
        <v>91</v>
      </c>
    </row>
    <row r="211" spans="1:13" hidden="1" x14ac:dyDescent="0.25">
      <c r="A211" s="176" t="s">
        <v>384</v>
      </c>
      <c r="B211" s="197" t="s">
        <v>320</v>
      </c>
      <c r="C211" s="206" t="s">
        <v>325</v>
      </c>
      <c r="D211" s="182" t="s">
        <v>322</v>
      </c>
      <c r="E211" s="202" t="s">
        <v>324</v>
      </c>
      <c r="F211" s="178"/>
      <c r="G211" s="178"/>
      <c r="H211" s="178"/>
      <c r="I211" s="178"/>
      <c r="J211" s="178"/>
      <c r="K211" s="178">
        <v>5100</v>
      </c>
      <c r="L211" s="178">
        <f t="shared" si="57"/>
        <v>5100</v>
      </c>
      <c r="M211" s="179" t="s">
        <v>181</v>
      </c>
    </row>
    <row r="212" spans="1:13" hidden="1" x14ac:dyDescent="0.25">
      <c r="A212" s="176" t="s">
        <v>384</v>
      </c>
      <c r="B212" s="177" t="s">
        <v>14</v>
      </c>
      <c r="C212" s="178">
        <v>2576</v>
      </c>
      <c r="D212" s="177" t="s">
        <v>387</v>
      </c>
      <c r="E212" s="177" t="s">
        <v>25</v>
      </c>
      <c r="F212" s="178"/>
      <c r="G212" s="178"/>
      <c r="H212" s="178"/>
      <c r="I212" s="178"/>
      <c r="J212" s="178"/>
      <c r="K212" s="178">
        <v>1000</v>
      </c>
      <c r="L212" s="178">
        <f t="shared" ref="L212:L213" si="58">K212</f>
        <v>1000</v>
      </c>
      <c r="M212" s="179" t="s">
        <v>31</v>
      </c>
    </row>
    <row r="213" spans="1:13" hidden="1" x14ac:dyDescent="0.25">
      <c r="A213" s="176" t="s">
        <v>384</v>
      </c>
      <c r="B213" s="196" t="s">
        <v>23</v>
      </c>
      <c r="C213" s="178">
        <v>66772</v>
      </c>
      <c r="D213" s="177" t="s">
        <v>34</v>
      </c>
      <c r="E213" s="177" t="s">
        <v>39</v>
      </c>
      <c r="F213" s="178"/>
      <c r="G213" s="181" t="s">
        <v>36</v>
      </c>
      <c r="H213" s="178"/>
      <c r="I213" s="178"/>
      <c r="J213" s="178"/>
      <c r="K213" s="178">
        <v>3500</v>
      </c>
      <c r="L213" s="178">
        <f t="shared" si="58"/>
        <v>3500</v>
      </c>
      <c r="M213" s="179" t="s">
        <v>277</v>
      </c>
    </row>
    <row r="214" spans="1:13" hidden="1" x14ac:dyDescent="0.25">
      <c r="A214" s="176" t="s">
        <v>384</v>
      </c>
      <c r="B214" s="196" t="s">
        <v>23</v>
      </c>
      <c r="C214" s="178">
        <v>66772</v>
      </c>
      <c r="D214" s="177" t="s">
        <v>34</v>
      </c>
      <c r="E214" s="204" t="s">
        <v>30</v>
      </c>
      <c r="F214" s="178"/>
      <c r="G214" s="181" t="s">
        <v>78</v>
      </c>
      <c r="H214" s="178"/>
      <c r="I214" s="178"/>
      <c r="J214" s="178"/>
      <c r="K214" s="178">
        <v>7227</v>
      </c>
      <c r="L214" s="178">
        <f>K214</f>
        <v>7227</v>
      </c>
      <c r="M214" s="179" t="s">
        <v>180</v>
      </c>
    </row>
    <row r="215" spans="1:13" hidden="1" x14ac:dyDescent="0.25">
      <c r="A215" s="176" t="s">
        <v>384</v>
      </c>
      <c r="B215" s="177" t="s">
        <v>14</v>
      </c>
      <c r="C215" s="178">
        <v>6380</v>
      </c>
      <c r="D215" s="177" t="s">
        <v>16</v>
      </c>
      <c r="E215" s="177" t="s">
        <v>17</v>
      </c>
      <c r="F215" s="178">
        <v>80</v>
      </c>
      <c r="G215" s="178">
        <v>0.42499999999999999</v>
      </c>
      <c r="H215" s="178">
        <f t="shared" ref="H215" si="59">F215*G215</f>
        <v>34</v>
      </c>
      <c r="I215" s="178">
        <v>56</v>
      </c>
      <c r="J215" s="178">
        <v>4</v>
      </c>
      <c r="K215" s="178">
        <f t="shared" ref="K215" si="60">F215*I215</f>
        <v>4480</v>
      </c>
      <c r="L215" s="178">
        <f t="shared" ref="L215" si="61">K215*J215</f>
        <v>17920</v>
      </c>
      <c r="M215" s="179" t="s">
        <v>18</v>
      </c>
    </row>
    <row r="216" spans="1:13" hidden="1" x14ac:dyDescent="0.25">
      <c r="A216" s="176" t="s">
        <v>385</v>
      </c>
      <c r="B216" s="177" t="s">
        <v>14</v>
      </c>
      <c r="C216" s="178">
        <v>8283</v>
      </c>
      <c r="D216" s="177" t="s">
        <v>344</v>
      </c>
      <c r="E216" s="177" t="s">
        <v>25</v>
      </c>
      <c r="F216" s="178"/>
      <c r="G216" s="178"/>
      <c r="H216" s="178"/>
      <c r="I216" s="178"/>
      <c r="J216" s="178"/>
      <c r="K216" s="178">
        <v>1000</v>
      </c>
      <c r="L216" s="178">
        <f>K216</f>
        <v>1000</v>
      </c>
      <c r="M216" s="179" t="s">
        <v>179</v>
      </c>
    </row>
    <row r="217" spans="1:13" hidden="1" x14ac:dyDescent="0.25">
      <c r="A217" s="176" t="s">
        <v>385</v>
      </c>
      <c r="B217" s="197" t="s">
        <v>320</v>
      </c>
      <c r="C217" s="205" t="s">
        <v>325</v>
      </c>
      <c r="D217" s="182" t="s">
        <v>322</v>
      </c>
      <c r="E217" s="198" t="s">
        <v>21</v>
      </c>
      <c r="F217" s="178"/>
      <c r="G217" s="181"/>
      <c r="H217" s="178"/>
      <c r="I217" s="178"/>
      <c r="J217" s="178"/>
      <c r="K217" s="178">
        <v>2100</v>
      </c>
      <c r="L217" s="178">
        <f t="shared" ref="L217:L221" si="62">K217</f>
        <v>2100</v>
      </c>
      <c r="M217" s="179" t="s">
        <v>37</v>
      </c>
    </row>
    <row r="218" spans="1:13" hidden="1" x14ac:dyDescent="0.25">
      <c r="A218" s="176" t="s">
        <v>385</v>
      </c>
      <c r="B218" s="197" t="s">
        <v>320</v>
      </c>
      <c r="C218" s="206" t="s">
        <v>325</v>
      </c>
      <c r="D218" s="182" t="s">
        <v>322</v>
      </c>
      <c r="E218" s="200" t="s">
        <v>35</v>
      </c>
      <c r="F218" s="178"/>
      <c r="G218" s="181"/>
      <c r="H218" s="178"/>
      <c r="I218" s="178"/>
      <c r="J218" s="178"/>
      <c r="K218" s="178">
        <v>4000</v>
      </c>
      <c r="L218" s="178">
        <f t="shared" si="62"/>
        <v>4000</v>
      </c>
      <c r="M218" s="179" t="s">
        <v>22</v>
      </c>
    </row>
    <row r="219" spans="1:13" hidden="1" x14ac:dyDescent="0.25">
      <c r="A219" s="176" t="s">
        <v>385</v>
      </c>
      <c r="B219" s="197" t="s">
        <v>320</v>
      </c>
      <c r="C219" s="206" t="s">
        <v>325</v>
      </c>
      <c r="D219" s="182" t="s">
        <v>322</v>
      </c>
      <c r="E219" s="201" t="s">
        <v>39</v>
      </c>
      <c r="F219" s="178"/>
      <c r="G219" s="181"/>
      <c r="H219" s="178"/>
      <c r="I219" s="178"/>
      <c r="J219" s="178"/>
      <c r="K219" s="178">
        <v>6000</v>
      </c>
      <c r="L219" s="178">
        <f t="shared" si="62"/>
        <v>6000</v>
      </c>
      <c r="M219" s="179" t="s">
        <v>91</v>
      </c>
    </row>
    <row r="220" spans="1:13" hidden="1" x14ac:dyDescent="0.25">
      <c r="A220" s="176" t="s">
        <v>385</v>
      </c>
      <c r="B220" s="197" t="s">
        <v>320</v>
      </c>
      <c r="C220" s="206" t="s">
        <v>325</v>
      </c>
      <c r="D220" s="182" t="s">
        <v>322</v>
      </c>
      <c r="E220" s="202" t="s">
        <v>324</v>
      </c>
      <c r="F220" s="178"/>
      <c r="G220" s="178"/>
      <c r="H220" s="178"/>
      <c r="I220" s="178"/>
      <c r="J220" s="178"/>
      <c r="K220" s="178">
        <v>1400</v>
      </c>
      <c r="L220" s="178">
        <f t="shared" si="62"/>
        <v>1400</v>
      </c>
      <c r="M220" s="179" t="s">
        <v>181</v>
      </c>
    </row>
    <row r="221" spans="1:13" hidden="1" x14ac:dyDescent="0.25">
      <c r="A221" s="176" t="s">
        <v>385</v>
      </c>
      <c r="B221" s="177" t="s">
        <v>14</v>
      </c>
      <c r="C221" s="178">
        <v>7479</v>
      </c>
      <c r="D221" s="177" t="s">
        <v>20</v>
      </c>
      <c r="E221" s="177" t="s">
        <v>25</v>
      </c>
      <c r="F221" s="178"/>
      <c r="G221" s="178"/>
      <c r="H221" s="178"/>
      <c r="I221" s="178"/>
      <c r="J221" s="178"/>
      <c r="K221" s="178">
        <v>1500</v>
      </c>
      <c r="L221" s="178">
        <f t="shared" si="62"/>
        <v>1500</v>
      </c>
      <c r="M221" s="179" t="s">
        <v>181</v>
      </c>
    </row>
    <row r="222" spans="1:13" hidden="1" x14ac:dyDescent="0.25">
      <c r="A222" s="176" t="s">
        <v>385</v>
      </c>
      <c r="B222" s="177" t="s">
        <v>14</v>
      </c>
      <c r="C222" s="178">
        <v>2576</v>
      </c>
      <c r="D222" s="177" t="s">
        <v>387</v>
      </c>
      <c r="E222" s="177" t="s">
        <v>25</v>
      </c>
      <c r="F222" s="178"/>
      <c r="G222" s="178"/>
      <c r="H222" s="178"/>
      <c r="I222" s="178"/>
      <c r="J222" s="178"/>
      <c r="K222" s="178">
        <v>1000</v>
      </c>
      <c r="L222" s="178">
        <f t="shared" ref="L222" si="63">K222</f>
        <v>1000</v>
      </c>
      <c r="M222" s="179" t="s">
        <v>181</v>
      </c>
    </row>
    <row r="223" spans="1:13" hidden="1" x14ac:dyDescent="0.25">
      <c r="A223" s="176" t="s">
        <v>385</v>
      </c>
      <c r="B223" s="196" t="s">
        <v>23</v>
      </c>
      <c r="C223" s="178">
        <v>66772</v>
      </c>
      <c r="D223" s="177" t="s">
        <v>34</v>
      </c>
      <c r="E223" s="204" t="s">
        <v>30</v>
      </c>
      <c r="F223" s="178"/>
      <c r="G223" s="181" t="s">
        <v>78</v>
      </c>
      <c r="H223" s="178"/>
      <c r="I223" s="178"/>
      <c r="J223" s="178"/>
      <c r="K223" s="178">
        <v>650</v>
      </c>
      <c r="L223" s="178">
        <f>K223</f>
        <v>650</v>
      </c>
      <c r="M223" s="179" t="s">
        <v>180</v>
      </c>
    </row>
    <row r="224" spans="1:13" hidden="1" x14ac:dyDescent="0.25">
      <c r="A224" s="176" t="s">
        <v>386</v>
      </c>
      <c r="B224" s="197" t="s">
        <v>320</v>
      </c>
      <c r="C224" s="204" t="s">
        <v>321</v>
      </c>
      <c r="D224" s="182" t="s">
        <v>322</v>
      </c>
      <c r="E224" s="198" t="s">
        <v>21</v>
      </c>
      <c r="F224" s="178"/>
      <c r="G224" s="181"/>
      <c r="H224" s="178"/>
      <c r="I224" s="178"/>
      <c r="J224" s="178"/>
      <c r="K224" s="178">
        <v>2850</v>
      </c>
      <c r="L224" s="178">
        <f t="shared" ref="L224:L232" si="64">K224</f>
        <v>2850</v>
      </c>
      <c r="M224" s="179" t="s">
        <v>332</v>
      </c>
    </row>
    <row r="225" spans="1:13" hidden="1" x14ac:dyDescent="0.25">
      <c r="A225" s="176" t="s">
        <v>386</v>
      </c>
      <c r="B225" s="197" t="s">
        <v>320</v>
      </c>
      <c r="C225" s="204" t="s">
        <v>321</v>
      </c>
      <c r="D225" s="182" t="s">
        <v>322</v>
      </c>
      <c r="E225" s="200" t="s">
        <v>35</v>
      </c>
      <c r="F225" s="178"/>
      <c r="G225" s="181"/>
      <c r="H225" s="178"/>
      <c r="I225" s="178"/>
      <c r="J225" s="178"/>
      <c r="K225" s="178">
        <v>3530</v>
      </c>
      <c r="L225" s="178">
        <f t="shared" si="64"/>
        <v>3530</v>
      </c>
      <c r="M225" s="179" t="s">
        <v>26</v>
      </c>
    </row>
    <row r="226" spans="1:13" hidden="1" x14ac:dyDescent="0.25">
      <c r="A226" s="176" t="s">
        <v>386</v>
      </c>
      <c r="B226" s="197" t="s">
        <v>320</v>
      </c>
      <c r="C226" s="204" t="s">
        <v>321</v>
      </c>
      <c r="D226" s="182" t="s">
        <v>322</v>
      </c>
      <c r="E226" s="201" t="s">
        <v>39</v>
      </c>
      <c r="F226" s="178"/>
      <c r="G226" s="181"/>
      <c r="H226" s="178"/>
      <c r="I226" s="178"/>
      <c r="J226" s="178"/>
      <c r="K226" s="178">
        <v>2200</v>
      </c>
      <c r="L226" s="178">
        <f t="shared" si="64"/>
        <v>2200</v>
      </c>
      <c r="M226" s="179" t="s">
        <v>333</v>
      </c>
    </row>
    <row r="227" spans="1:13" hidden="1" x14ac:dyDescent="0.25">
      <c r="A227" s="176" t="s">
        <v>386</v>
      </c>
      <c r="B227" s="197" t="s">
        <v>320</v>
      </c>
      <c r="C227" s="205" t="s">
        <v>325</v>
      </c>
      <c r="D227" s="182" t="s">
        <v>322</v>
      </c>
      <c r="E227" s="198" t="s">
        <v>21</v>
      </c>
      <c r="F227" s="178"/>
      <c r="G227" s="181"/>
      <c r="H227" s="178"/>
      <c r="I227" s="178"/>
      <c r="J227" s="178"/>
      <c r="K227" s="178">
        <v>5000</v>
      </c>
      <c r="L227" s="178">
        <f t="shared" si="64"/>
        <v>5000</v>
      </c>
      <c r="M227" s="179" t="s">
        <v>37</v>
      </c>
    </row>
    <row r="228" spans="1:13" hidden="1" x14ac:dyDescent="0.25">
      <c r="A228" s="176" t="s">
        <v>386</v>
      </c>
      <c r="B228" s="197" t="s">
        <v>320</v>
      </c>
      <c r="C228" s="206" t="s">
        <v>325</v>
      </c>
      <c r="D228" s="182" t="s">
        <v>322</v>
      </c>
      <c r="E228" s="200" t="s">
        <v>35</v>
      </c>
      <c r="F228" s="178"/>
      <c r="G228" s="181"/>
      <c r="H228" s="178"/>
      <c r="I228" s="178"/>
      <c r="J228" s="178"/>
      <c r="K228" s="178">
        <v>6000</v>
      </c>
      <c r="L228" s="178">
        <f t="shared" si="64"/>
        <v>6000</v>
      </c>
      <c r="M228" s="179" t="s">
        <v>22</v>
      </c>
    </row>
    <row r="229" spans="1:13" hidden="1" x14ac:dyDescent="0.25">
      <c r="A229" s="176" t="s">
        <v>386</v>
      </c>
      <c r="B229" s="197" t="s">
        <v>320</v>
      </c>
      <c r="C229" s="206" t="s">
        <v>325</v>
      </c>
      <c r="D229" s="182" t="s">
        <v>322</v>
      </c>
      <c r="E229" s="201" t="s">
        <v>39</v>
      </c>
      <c r="F229" s="178"/>
      <c r="G229" s="181"/>
      <c r="H229" s="178"/>
      <c r="I229" s="178"/>
      <c r="J229" s="178"/>
      <c r="K229" s="178">
        <v>6000</v>
      </c>
      <c r="L229" s="178">
        <f t="shared" si="64"/>
        <v>6000</v>
      </c>
      <c r="M229" s="179" t="s">
        <v>91</v>
      </c>
    </row>
    <row r="230" spans="1:13" hidden="1" x14ac:dyDescent="0.25">
      <c r="A230" s="176" t="s">
        <v>386</v>
      </c>
      <c r="B230" s="197" t="s">
        <v>320</v>
      </c>
      <c r="C230" s="206" t="s">
        <v>325</v>
      </c>
      <c r="D230" s="182" t="s">
        <v>322</v>
      </c>
      <c r="E230" s="202" t="s">
        <v>324</v>
      </c>
      <c r="F230" s="178"/>
      <c r="G230" s="178"/>
      <c r="H230" s="178"/>
      <c r="I230" s="178"/>
      <c r="J230" s="178"/>
      <c r="K230" s="178">
        <v>4700</v>
      </c>
      <c r="L230" s="178">
        <f t="shared" si="64"/>
        <v>4700</v>
      </c>
      <c r="M230" s="179" t="s">
        <v>181</v>
      </c>
    </row>
    <row r="231" spans="1:13" hidden="1" x14ac:dyDescent="0.25">
      <c r="A231" s="176" t="s">
        <v>386</v>
      </c>
      <c r="B231" s="177" t="s">
        <v>14</v>
      </c>
      <c r="C231" s="178">
        <v>7479</v>
      </c>
      <c r="D231" s="177" t="s">
        <v>20</v>
      </c>
      <c r="E231" s="177" t="s">
        <v>25</v>
      </c>
      <c r="F231" s="178"/>
      <c r="G231" s="178"/>
      <c r="H231" s="178"/>
      <c r="I231" s="178"/>
      <c r="J231" s="178"/>
      <c r="K231" s="178">
        <v>6100</v>
      </c>
      <c r="L231" s="178">
        <f t="shared" si="64"/>
        <v>6100</v>
      </c>
      <c r="M231" s="179" t="s">
        <v>181</v>
      </c>
    </row>
    <row r="232" spans="1:13" hidden="1" x14ac:dyDescent="0.25">
      <c r="A232" s="176" t="s">
        <v>386</v>
      </c>
      <c r="B232" s="177" t="s">
        <v>14</v>
      </c>
      <c r="C232" s="178">
        <v>2576</v>
      </c>
      <c r="D232" s="177" t="s">
        <v>387</v>
      </c>
      <c r="E232" s="177" t="s">
        <v>25</v>
      </c>
      <c r="F232" s="178"/>
      <c r="G232" s="178"/>
      <c r="H232" s="178"/>
      <c r="I232" s="178"/>
      <c r="J232" s="178"/>
      <c r="K232" s="178">
        <v>2700</v>
      </c>
      <c r="L232" s="178">
        <f t="shared" si="64"/>
        <v>2700</v>
      </c>
      <c r="M232" s="179" t="s">
        <v>180</v>
      </c>
    </row>
    <row r="233" spans="1:13" hidden="1" x14ac:dyDescent="0.25">
      <c r="A233" s="176" t="s">
        <v>386</v>
      </c>
      <c r="B233" s="177" t="s">
        <v>14</v>
      </c>
      <c r="C233" s="178">
        <v>6380</v>
      </c>
      <c r="D233" s="177" t="s">
        <v>16</v>
      </c>
      <c r="E233" s="177" t="s">
        <v>17</v>
      </c>
      <c r="F233" s="178">
        <v>68</v>
      </c>
      <c r="G233" s="178">
        <v>0.42499999999999999</v>
      </c>
      <c r="H233" s="178">
        <f t="shared" ref="H233" si="65">F233*G233</f>
        <v>28.9</v>
      </c>
      <c r="I233" s="178">
        <v>56</v>
      </c>
      <c r="J233" s="178">
        <v>4</v>
      </c>
      <c r="K233" s="178">
        <f t="shared" ref="K233" si="66">F233*I233</f>
        <v>3808</v>
      </c>
      <c r="L233" s="178">
        <f t="shared" ref="L233" si="67">K233*J233</f>
        <v>15232</v>
      </c>
      <c r="M233" s="179" t="s">
        <v>18</v>
      </c>
    </row>
    <row r="234" spans="1:13" hidden="1" x14ac:dyDescent="0.25">
      <c r="A234" s="176" t="s">
        <v>386</v>
      </c>
      <c r="B234" s="177" t="s">
        <v>14</v>
      </c>
      <c r="C234" s="178">
        <v>8283</v>
      </c>
      <c r="D234" s="177" t="s">
        <v>344</v>
      </c>
      <c r="E234" s="177" t="s">
        <v>25</v>
      </c>
      <c r="F234" s="178"/>
      <c r="G234" s="178"/>
      <c r="H234" s="178"/>
      <c r="I234" s="178"/>
      <c r="J234" s="178"/>
      <c r="K234" s="178">
        <v>2650</v>
      </c>
      <c r="L234" s="178">
        <f>K234</f>
        <v>2650</v>
      </c>
      <c r="M234" s="179" t="s">
        <v>179</v>
      </c>
    </row>
    <row r="235" spans="1:13" hidden="1" x14ac:dyDescent="0.25">
      <c r="A235" s="176" t="s">
        <v>388</v>
      </c>
      <c r="B235" s="197" t="s">
        <v>320</v>
      </c>
      <c r="C235" s="204" t="s">
        <v>321</v>
      </c>
      <c r="D235" s="182" t="s">
        <v>322</v>
      </c>
      <c r="E235" s="198" t="s">
        <v>21</v>
      </c>
      <c r="F235" s="178"/>
      <c r="G235" s="181"/>
      <c r="H235" s="178"/>
      <c r="I235" s="178"/>
      <c r="J235" s="178"/>
      <c r="K235" s="178">
        <v>4326</v>
      </c>
      <c r="L235" s="178">
        <f t="shared" ref="L235:L242" si="68">K235</f>
        <v>4326</v>
      </c>
      <c r="M235" s="179" t="s">
        <v>332</v>
      </c>
    </row>
    <row r="236" spans="1:13" hidden="1" x14ac:dyDescent="0.25">
      <c r="A236" s="176" t="s">
        <v>388</v>
      </c>
      <c r="B236" s="197" t="s">
        <v>320</v>
      </c>
      <c r="C236" s="204" t="s">
        <v>321</v>
      </c>
      <c r="D236" s="182" t="s">
        <v>322</v>
      </c>
      <c r="E236" s="200" t="s">
        <v>35</v>
      </c>
      <c r="F236" s="178"/>
      <c r="G236" s="181"/>
      <c r="H236" s="178"/>
      <c r="I236" s="178"/>
      <c r="J236" s="178"/>
      <c r="K236" s="178">
        <v>4720</v>
      </c>
      <c r="L236" s="178">
        <f t="shared" si="68"/>
        <v>4720</v>
      </c>
      <c r="M236" s="179" t="s">
        <v>26</v>
      </c>
    </row>
    <row r="237" spans="1:13" hidden="1" x14ac:dyDescent="0.25">
      <c r="A237" s="176" t="s">
        <v>388</v>
      </c>
      <c r="B237" s="197" t="s">
        <v>320</v>
      </c>
      <c r="C237" s="204" t="s">
        <v>321</v>
      </c>
      <c r="D237" s="182" t="s">
        <v>322</v>
      </c>
      <c r="E237" s="201" t="s">
        <v>39</v>
      </c>
      <c r="F237" s="178"/>
      <c r="G237" s="181"/>
      <c r="H237" s="178"/>
      <c r="I237" s="178"/>
      <c r="J237" s="178"/>
      <c r="K237" s="178">
        <v>4800</v>
      </c>
      <c r="L237" s="178">
        <f t="shared" si="68"/>
        <v>4800</v>
      </c>
      <c r="M237" s="179" t="s">
        <v>333</v>
      </c>
    </row>
    <row r="238" spans="1:13" hidden="1" x14ac:dyDescent="0.25">
      <c r="A238" s="176" t="s">
        <v>388</v>
      </c>
      <c r="B238" s="197" t="s">
        <v>320</v>
      </c>
      <c r="C238" s="205" t="s">
        <v>325</v>
      </c>
      <c r="D238" s="182" t="s">
        <v>322</v>
      </c>
      <c r="E238" s="198" t="s">
        <v>21</v>
      </c>
      <c r="F238" s="178"/>
      <c r="G238" s="181"/>
      <c r="H238" s="178"/>
      <c r="I238" s="178"/>
      <c r="J238" s="178"/>
      <c r="K238" s="178">
        <v>5400</v>
      </c>
      <c r="L238" s="178">
        <f t="shared" si="68"/>
        <v>5400</v>
      </c>
      <c r="M238" s="179" t="s">
        <v>37</v>
      </c>
    </row>
    <row r="239" spans="1:13" hidden="1" x14ac:dyDescent="0.25">
      <c r="A239" s="176" t="s">
        <v>388</v>
      </c>
      <c r="B239" s="197" t="s">
        <v>320</v>
      </c>
      <c r="C239" s="206" t="s">
        <v>325</v>
      </c>
      <c r="D239" s="182" t="s">
        <v>322</v>
      </c>
      <c r="E239" s="200" t="s">
        <v>35</v>
      </c>
      <c r="F239" s="178"/>
      <c r="G239" s="181"/>
      <c r="H239" s="178"/>
      <c r="I239" s="178"/>
      <c r="J239" s="178"/>
      <c r="K239" s="178">
        <v>9200</v>
      </c>
      <c r="L239" s="178">
        <f t="shared" si="68"/>
        <v>9200</v>
      </c>
      <c r="M239" s="179" t="s">
        <v>22</v>
      </c>
    </row>
    <row r="240" spans="1:13" hidden="1" x14ac:dyDescent="0.25">
      <c r="A240" s="176" t="s">
        <v>388</v>
      </c>
      <c r="B240" s="197" t="s">
        <v>320</v>
      </c>
      <c r="C240" s="206" t="s">
        <v>325</v>
      </c>
      <c r="D240" s="182" t="s">
        <v>322</v>
      </c>
      <c r="E240" s="201" t="s">
        <v>39</v>
      </c>
      <c r="F240" s="178"/>
      <c r="G240" s="181"/>
      <c r="H240" s="178"/>
      <c r="I240" s="178"/>
      <c r="J240" s="178"/>
      <c r="K240" s="178">
        <v>6000</v>
      </c>
      <c r="L240" s="178">
        <f t="shared" si="68"/>
        <v>6000</v>
      </c>
      <c r="M240" s="179" t="s">
        <v>91</v>
      </c>
    </row>
    <row r="241" spans="1:13" hidden="1" x14ac:dyDescent="0.25">
      <c r="A241" s="176" t="s">
        <v>388</v>
      </c>
      <c r="B241" s="197" t="s">
        <v>320</v>
      </c>
      <c r="C241" s="206" t="s">
        <v>325</v>
      </c>
      <c r="D241" s="182" t="s">
        <v>322</v>
      </c>
      <c r="E241" s="202" t="s">
        <v>324</v>
      </c>
      <c r="F241" s="178"/>
      <c r="G241" s="178"/>
      <c r="H241" s="178"/>
      <c r="I241" s="178"/>
      <c r="J241" s="178"/>
      <c r="K241" s="178">
        <v>5000</v>
      </c>
      <c r="L241" s="178">
        <f t="shared" si="68"/>
        <v>5000</v>
      </c>
      <c r="M241" s="179" t="s">
        <v>181</v>
      </c>
    </row>
    <row r="242" spans="1:13" hidden="1" x14ac:dyDescent="0.25">
      <c r="A242" s="176" t="s">
        <v>388</v>
      </c>
      <c r="B242" s="177" t="s">
        <v>14</v>
      </c>
      <c r="C242" s="178">
        <v>7479</v>
      </c>
      <c r="D242" s="177" t="s">
        <v>20</v>
      </c>
      <c r="E242" s="177" t="s">
        <v>25</v>
      </c>
      <c r="F242" s="178"/>
      <c r="G242" s="178"/>
      <c r="H242" s="178"/>
      <c r="I242" s="178"/>
      <c r="J242" s="178"/>
      <c r="K242" s="178">
        <v>5700</v>
      </c>
      <c r="L242" s="178">
        <f t="shared" si="68"/>
        <v>5700</v>
      </c>
      <c r="M242" s="179" t="s">
        <v>181</v>
      </c>
    </row>
    <row r="243" spans="1:13" hidden="1" x14ac:dyDescent="0.25">
      <c r="A243" s="176" t="s">
        <v>388</v>
      </c>
      <c r="B243" s="177" t="s">
        <v>14</v>
      </c>
      <c r="C243" s="178">
        <v>6871</v>
      </c>
      <c r="D243" s="177" t="s">
        <v>16</v>
      </c>
      <c r="E243" s="177" t="s">
        <v>17</v>
      </c>
      <c r="F243" s="178">
        <v>147</v>
      </c>
      <c r="G243" s="178">
        <v>0.64</v>
      </c>
      <c r="H243" s="178">
        <f>G243*F243</f>
        <v>94.08</v>
      </c>
      <c r="I243" s="178">
        <v>70</v>
      </c>
      <c r="J243" s="178">
        <v>2</v>
      </c>
      <c r="K243" s="178">
        <f t="shared" ref="K243" si="69">F243*I243</f>
        <v>10290</v>
      </c>
      <c r="L243" s="178">
        <f t="shared" ref="L243" si="70">K243*J243</f>
        <v>20580</v>
      </c>
      <c r="M243" s="179" t="s">
        <v>22</v>
      </c>
    </row>
    <row r="244" spans="1:13" hidden="1" x14ac:dyDescent="0.25">
      <c r="A244" s="176" t="s">
        <v>389</v>
      </c>
      <c r="B244" s="197" t="s">
        <v>320</v>
      </c>
      <c r="C244" s="204" t="s">
        <v>321</v>
      </c>
      <c r="D244" s="182" t="s">
        <v>322</v>
      </c>
      <c r="E244" s="198" t="s">
        <v>21</v>
      </c>
      <c r="F244" s="178"/>
      <c r="G244" s="181"/>
      <c r="H244" s="178"/>
      <c r="I244" s="178"/>
      <c r="J244" s="178"/>
      <c r="K244" s="178">
        <v>2298</v>
      </c>
      <c r="L244" s="178">
        <f t="shared" ref="L244:L251" si="71">K244</f>
        <v>2298</v>
      </c>
      <c r="M244" s="179" t="s">
        <v>332</v>
      </c>
    </row>
    <row r="245" spans="1:13" hidden="1" x14ac:dyDescent="0.25">
      <c r="A245" s="176" t="s">
        <v>389</v>
      </c>
      <c r="B245" s="197" t="s">
        <v>320</v>
      </c>
      <c r="C245" s="204" t="s">
        <v>321</v>
      </c>
      <c r="D245" s="182" t="s">
        <v>322</v>
      </c>
      <c r="E245" s="200" t="s">
        <v>35</v>
      </c>
      <c r="F245" s="178"/>
      <c r="G245" s="181"/>
      <c r="H245" s="178"/>
      <c r="I245" s="178"/>
      <c r="J245" s="178"/>
      <c r="K245" s="178">
        <v>1900</v>
      </c>
      <c r="L245" s="178">
        <f t="shared" si="71"/>
        <v>1900</v>
      </c>
      <c r="M245" s="179" t="s">
        <v>26</v>
      </c>
    </row>
    <row r="246" spans="1:13" hidden="1" x14ac:dyDescent="0.25">
      <c r="A246" s="176" t="s">
        <v>389</v>
      </c>
      <c r="B246" s="197" t="s">
        <v>320</v>
      </c>
      <c r="C246" s="204" t="s">
        <v>321</v>
      </c>
      <c r="D246" s="182" t="s">
        <v>322</v>
      </c>
      <c r="E246" s="201" t="s">
        <v>39</v>
      </c>
      <c r="F246" s="178"/>
      <c r="G246" s="181"/>
      <c r="H246" s="178"/>
      <c r="I246" s="178"/>
      <c r="J246" s="178"/>
      <c r="K246" s="178">
        <v>1990</v>
      </c>
      <c r="L246" s="178">
        <f t="shared" si="71"/>
        <v>1990</v>
      </c>
      <c r="M246" s="179" t="s">
        <v>333</v>
      </c>
    </row>
    <row r="247" spans="1:13" hidden="1" x14ac:dyDescent="0.25">
      <c r="A247" s="176" t="s">
        <v>389</v>
      </c>
      <c r="B247" s="197" t="s">
        <v>320</v>
      </c>
      <c r="C247" s="205" t="s">
        <v>325</v>
      </c>
      <c r="D247" s="182" t="s">
        <v>322</v>
      </c>
      <c r="E247" s="198" t="s">
        <v>21</v>
      </c>
      <c r="F247" s="178"/>
      <c r="G247" s="181"/>
      <c r="H247" s="178"/>
      <c r="I247" s="178"/>
      <c r="J247" s="178"/>
      <c r="K247" s="178">
        <v>5700</v>
      </c>
      <c r="L247" s="178">
        <f t="shared" si="71"/>
        <v>5700</v>
      </c>
      <c r="M247" s="179" t="s">
        <v>37</v>
      </c>
    </row>
    <row r="248" spans="1:13" hidden="1" x14ac:dyDescent="0.25">
      <c r="A248" s="176" t="s">
        <v>389</v>
      </c>
      <c r="B248" s="197" t="s">
        <v>320</v>
      </c>
      <c r="C248" s="206" t="s">
        <v>325</v>
      </c>
      <c r="D248" s="182" t="s">
        <v>322</v>
      </c>
      <c r="E248" s="200" t="s">
        <v>35</v>
      </c>
      <c r="F248" s="178"/>
      <c r="G248" s="181"/>
      <c r="H248" s="178"/>
      <c r="I248" s="178"/>
      <c r="J248" s="178"/>
      <c r="K248" s="178">
        <v>5500</v>
      </c>
      <c r="L248" s="178">
        <f t="shared" si="71"/>
        <v>5500</v>
      </c>
      <c r="M248" s="179" t="s">
        <v>22</v>
      </c>
    </row>
    <row r="249" spans="1:13" hidden="1" x14ac:dyDescent="0.25">
      <c r="A249" s="176" t="s">
        <v>389</v>
      </c>
      <c r="B249" s="197" t="s">
        <v>320</v>
      </c>
      <c r="C249" s="206" t="s">
        <v>325</v>
      </c>
      <c r="D249" s="182" t="s">
        <v>322</v>
      </c>
      <c r="E249" s="201" t="s">
        <v>39</v>
      </c>
      <c r="F249" s="178"/>
      <c r="G249" s="181"/>
      <c r="H249" s="178"/>
      <c r="I249" s="178"/>
      <c r="J249" s="178"/>
      <c r="K249" s="178">
        <v>6000</v>
      </c>
      <c r="L249" s="178">
        <f t="shared" si="71"/>
        <v>6000</v>
      </c>
      <c r="M249" s="179" t="s">
        <v>91</v>
      </c>
    </row>
    <row r="250" spans="1:13" hidden="1" x14ac:dyDescent="0.25">
      <c r="A250" s="176" t="s">
        <v>389</v>
      </c>
      <c r="B250" s="197" t="s">
        <v>320</v>
      </c>
      <c r="C250" s="206" t="s">
        <v>325</v>
      </c>
      <c r="D250" s="182" t="s">
        <v>322</v>
      </c>
      <c r="E250" s="202" t="s">
        <v>324</v>
      </c>
      <c r="F250" s="178"/>
      <c r="G250" s="178"/>
      <c r="H250" s="178"/>
      <c r="I250" s="178"/>
      <c r="J250" s="178"/>
      <c r="K250" s="178">
        <v>4100</v>
      </c>
      <c r="L250" s="178">
        <f t="shared" si="71"/>
        <v>4100</v>
      </c>
      <c r="M250" s="179" t="s">
        <v>181</v>
      </c>
    </row>
    <row r="251" spans="1:13" hidden="1" x14ac:dyDescent="0.25">
      <c r="A251" s="176" t="s">
        <v>389</v>
      </c>
      <c r="B251" s="177" t="s">
        <v>14</v>
      </c>
      <c r="C251" s="178">
        <v>7479</v>
      </c>
      <c r="D251" s="177" t="s">
        <v>20</v>
      </c>
      <c r="E251" s="177" t="s">
        <v>25</v>
      </c>
      <c r="F251" s="178"/>
      <c r="G251" s="178"/>
      <c r="H251" s="178"/>
      <c r="I251" s="178"/>
      <c r="J251" s="178"/>
      <c r="K251" s="178">
        <v>7878</v>
      </c>
      <c r="L251" s="178">
        <f t="shared" si="71"/>
        <v>7878</v>
      </c>
      <c r="M251" s="179" t="s">
        <v>181</v>
      </c>
    </row>
    <row r="252" spans="1:13" hidden="1" x14ac:dyDescent="0.25">
      <c r="A252" s="176" t="s">
        <v>389</v>
      </c>
      <c r="B252" s="177" t="s">
        <v>14</v>
      </c>
      <c r="C252" s="178">
        <v>6871</v>
      </c>
      <c r="D252" s="177" t="s">
        <v>16</v>
      </c>
      <c r="E252" s="177" t="s">
        <v>17</v>
      </c>
      <c r="F252" s="178">
        <v>63</v>
      </c>
      <c r="G252" s="178">
        <v>0.64</v>
      </c>
      <c r="H252" s="178">
        <f>G252*F252</f>
        <v>40.32</v>
      </c>
      <c r="I252" s="178">
        <v>70</v>
      </c>
      <c r="J252" s="178">
        <v>2</v>
      </c>
      <c r="K252" s="178">
        <f t="shared" ref="K252" si="72">F252*I252</f>
        <v>4410</v>
      </c>
      <c r="L252" s="178">
        <f t="shared" ref="L252" si="73">K252*J252</f>
        <v>8820</v>
      </c>
      <c r="M252" s="179" t="s">
        <v>22</v>
      </c>
    </row>
    <row r="253" spans="1:13" hidden="1" x14ac:dyDescent="0.25">
      <c r="A253" s="176" t="s">
        <v>389</v>
      </c>
      <c r="B253" s="177" t="s">
        <v>14</v>
      </c>
      <c r="C253" s="178">
        <v>8283</v>
      </c>
      <c r="D253" s="177" t="s">
        <v>344</v>
      </c>
      <c r="E253" s="177" t="s">
        <v>25</v>
      </c>
      <c r="F253" s="178"/>
      <c r="G253" s="178"/>
      <c r="H253" s="178"/>
      <c r="I253" s="178"/>
      <c r="J253" s="178"/>
      <c r="K253" s="178">
        <v>1800</v>
      </c>
      <c r="L253" s="178">
        <f>K253</f>
        <v>1800</v>
      </c>
      <c r="M253" s="179" t="s">
        <v>179</v>
      </c>
    </row>
    <row r="254" spans="1:13" hidden="1" x14ac:dyDescent="0.25">
      <c r="A254" s="176" t="s">
        <v>389</v>
      </c>
      <c r="B254" s="196" t="s">
        <v>23</v>
      </c>
      <c r="C254" s="178">
        <v>66772</v>
      </c>
      <c r="D254" s="177" t="s">
        <v>34</v>
      </c>
      <c r="E254" s="201" t="s">
        <v>35</v>
      </c>
      <c r="F254" s="178"/>
      <c r="G254" s="181" t="s">
        <v>77</v>
      </c>
      <c r="H254" s="178"/>
      <c r="I254" s="178"/>
      <c r="J254" s="178"/>
      <c r="K254" s="178">
        <v>4300</v>
      </c>
      <c r="L254" s="178">
        <f t="shared" ref="L254:L255" si="74">K254</f>
        <v>4300</v>
      </c>
      <c r="M254" s="179" t="s">
        <v>179</v>
      </c>
    </row>
    <row r="255" spans="1:13" hidden="1" x14ac:dyDescent="0.25">
      <c r="A255" s="176" t="s">
        <v>389</v>
      </c>
      <c r="B255" s="196" t="s">
        <v>23</v>
      </c>
      <c r="C255" s="178">
        <v>66772</v>
      </c>
      <c r="D255" s="177" t="s">
        <v>34</v>
      </c>
      <c r="E255" s="177" t="s">
        <v>39</v>
      </c>
      <c r="F255" s="178"/>
      <c r="G255" s="181" t="s">
        <v>36</v>
      </c>
      <c r="H255" s="178"/>
      <c r="I255" s="178"/>
      <c r="J255" s="178"/>
      <c r="K255" s="178">
        <v>3800</v>
      </c>
      <c r="L255" s="178">
        <f t="shared" si="74"/>
        <v>3800</v>
      </c>
      <c r="M255" s="179" t="s">
        <v>277</v>
      </c>
    </row>
    <row r="256" spans="1:13" hidden="1" x14ac:dyDescent="0.25">
      <c r="A256" s="176" t="s">
        <v>389</v>
      </c>
      <c r="B256" s="196" t="s">
        <v>23</v>
      </c>
      <c r="C256" s="178">
        <v>66772</v>
      </c>
      <c r="D256" s="177" t="s">
        <v>34</v>
      </c>
      <c r="E256" s="204" t="s">
        <v>30</v>
      </c>
      <c r="F256" s="178"/>
      <c r="G256" s="181" t="s">
        <v>78</v>
      </c>
      <c r="H256" s="178"/>
      <c r="I256" s="178"/>
      <c r="J256" s="178"/>
      <c r="K256" s="178">
        <v>3200</v>
      </c>
      <c r="L256" s="178">
        <f>K256</f>
        <v>3200</v>
      </c>
      <c r="M256" s="179" t="s">
        <v>180</v>
      </c>
    </row>
    <row r="257" spans="1:13" hidden="1" x14ac:dyDescent="0.25">
      <c r="A257" s="176" t="s">
        <v>390</v>
      </c>
      <c r="B257" s="197" t="s">
        <v>320</v>
      </c>
      <c r="C257" s="204" t="s">
        <v>321</v>
      </c>
      <c r="D257" s="182" t="s">
        <v>322</v>
      </c>
      <c r="E257" s="198" t="s">
        <v>21</v>
      </c>
      <c r="F257" s="178"/>
      <c r="G257" s="181"/>
      <c r="H257" s="178"/>
      <c r="I257" s="178"/>
      <c r="J257" s="178"/>
      <c r="K257" s="178">
        <v>2500</v>
      </c>
      <c r="L257" s="178">
        <f t="shared" ref="L257:L264" si="75">K257</f>
        <v>2500</v>
      </c>
      <c r="M257" s="179" t="s">
        <v>332</v>
      </c>
    </row>
    <row r="258" spans="1:13" hidden="1" x14ac:dyDescent="0.25">
      <c r="A258" s="176" t="s">
        <v>390</v>
      </c>
      <c r="B258" s="197" t="s">
        <v>320</v>
      </c>
      <c r="C258" s="204" t="s">
        <v>321</v>
      </c>
      <c r="D258" s="182" t="s">
        <v>322</v>
      </c>
      <c r="E258" s="200" t="s">
        <v>35</v>
      </c>
      <c r="F258" s="178"/>
      <c r="G258" s="181"/>
      <c r="H258" s="178"/>
      <c r="I258" s="178"/>
      <c r="J258" s="178"/>
      <c r="K258" s="178">
        <v>2175</v>
      </c>
      <c r="L258" s="178">
        <f t="shared" si="75"/>
        <v>2175</v>
      </c>
      <c r="M258" s="179" t="s">
        <v>26</v>
      </c>
    </row>
    <row r="259" spans="1:13" hidden="1" x14ac:dyDescent="0.25">
      <c r="A259" s="176" t="s">
        <v>390</v>
      </c>
      <c r="B259" s="197" t="s">
        <v>320</v>
      </c>
      <c r="C259" s="204" t="s">
        <v>321</v>
      </c>
      <c r="D259" s="182" t="s">
        <v>322</v>
      </c>
      <c r="E259" s="201" t="s">
        <v>39</v>
      </c>
      <c r="F259" s="178"/>
      <c r="G259" s="181"/>
      <c r="H259" s="178"/>
      <c r="I259" s="178"/>
      <c r="J259" s="178"/>
      <c r="K259" s="178">
        <v>2200</v>
      </c>
      <c r="L259" s="178">
        <f t="shared" si="75"/>
        <v>2200</v>
      </c>
      <c r="M259" s="179" t="s">
        <v>333</v>
      </c>
    </row>
    <row r="260" spans="1:13" hidden="1" x14ac:dyDescent="0.25">
      <c r="A260" s="176" t="s">
        <v>390</v>
      </c>
      <c r="B260" s="197" t="s">
        <v>320</v>
      </c>
      <c r="C260" s="205" t="s">
        <v>325</v>
      </c>
      <c r="D260" s="182" t="s">
        <v>322</v>
      </c>
      <c r="E260" s="198" t="s">
        <v>21</v>
      </c>
      <c r="F260" s="178"/>
      <c r="G260" s="181"/>
      <c r="H260" s="178"/>
      <c r="I260" s="178"/>
      <c r="J260" s="178"/>
      <c r="K260" s="178">
        <v>3000</v>
      </c>
      <c r="L260" s="178">
        <f t="shared" si="75"/>
        <v>3000</v>
      </c>
      <c r="M260" s="179" t="s">
        <v>37</v>
      </c>
    </row>
    <row r="261" spans="1:13" hidden="1" x14ac:dyDescent="0.25">
      <c r="A261" s="176" t="s">
        <v>390</v>
      </c>
      <c r="B261" s="197" t="s">
        <v>320</v>
      </c>
      <c r="C261" s="206" t="s">
        <v>325</v>
      </c>
      <c r="D261" s="182" t="s">
        <v>322</v>
      </c>
      <c r="E261" s="200" t="s">
        <v>35</v>
      </c>
      <c r="F261" s="178"/>
      <c r="G261" s="181"/>
      <c r="H261" s="178"/>
      <c r="I261" s="178"/>
      <c r="J261" s="178"/>
      <c r="K261" s="178">
        <v>3000</v>
      </c>
      <c r="L261" s="178">
        <f t="shared" si="75"/>
        <v>3000</v>
      </c>
      <c r="M261" s="179" t="s">
        <v>22</v>
      </c>
    </row>
    <row r="262" spans="1:13" hidden="1" x14ac:dyDescent="0.25">
      <c r="A262" s="176" t="s">
        <v>390</v>
      </c>
      <c r="B262" s="197" t="s">
        <v>320</v>
      </c>
      <c r="C262" s="206" t="s">
        <v>325</v>
      </c>
      <c r="D262" s="182" t="s">
        <v>322</v>
      </c>
      <c r="E262" s="201" t="s">
        <v>39</v>
      </c>
      <c r="F262" s="178"/>
      <c r="G262" s="181"/>
      <c r="H262" s="178"/>
      <c r="I262" s="178"/>
      <c r="J262" s="178"/>
      <c r="K262" s="178">
        <v>3000</v>
      </c>
      <c r="L262" s="178">
        <f t="shared" si="75"/>
        <v>3000</v>
      </c>
      <c r="M262" s="179" t="s">
        <v>91</v>
      </c>
    </row>
    <row r="263" spans="1:13" hidden="1" x14ac:dyDescent="0.25">
      <c r="A263" s="176" t="s">
        <v>390</v>
      </c>
      <c r="B263" s="197" t="s">
        <v>320</v>
      </c>
      <c r="C263" s="206" t="s">
        <v>325</v>
      </c>
      <c r="D263" s="182" t="s">
        <v>322</v>
      </c>
      <c r="E263" s="202" t="s">
        <v>324</v>
      </c>
      <c r="F263" s="178"/>
      <c r="G263" s="178"/>
      <c r="H263" s="178"/>
      <c r="I263" s="178"/>
      <c r="J263" s="178"/>
      <c r="K263" s="178">
        <v>4300</v>
      </c>
      <c r="L263" s="178">
        <f t="shared" si="75"/>
        <v>4300</v>
      </c>
      <c r="M263" s="179" t="s">
        <v>181</v>
      </c>
    </row>
    <row r="264" spans="1:13" hidden="1" x14ac:dyDescent="0.25">
      <c r="A264" s="176" t="s">
        <v>390</v>
      </c>
      <c r="B264" s="177" t="s">
        <v>14</v>
      </c>
      <c r="C264" s="178">
        <v>7479</v>
      </c>
      <c r="D264" s="177" t="s">
        <v>20</v>
      </c>
      <c r="E264" s="177" t="s">
        <v>25</v>
      </c>
      <c r="F264" s="178"/>
      <c r="G264" s="178"/>
      <c r="H264" s="178"/>
      <c r="I264" s="178"/>
      <c r="J264" s="178"/>
      <c r="K264" s="178">
        <v>1000</v>
      </c>
      <c r="L264" s="178">
        <f t="shared" si="75"/>
        <v>1000</v>
      </c>
      <c r="M264" s="179" t="s">
        <v>181</v>
      </c>
    </row>
    <row r="265" spans="1:13" hidden="1" x14ac:dyDescent="0.25">
      <c r="A265" s="176" t="s">
        <v>390</v>
      </c>
      <c r="B265" s="196" t="s">
        <v>23</v>
      </c>
      <c r="C265" s="178">
        <v>66772</v>
      </c>
      <c r="D265" s="177" t="s">
        <v>34</v>
      </c>
      <c r="E265" s="201" t="s">
        <v>35</v>
      </c>
      <c r="F265" s="178"/>
      <c r="G265" s="181" t="s">
        <v>77</v>
      </c>
      <c r="H265" s="178"/>
      <c r="I265" s="178"/>
      <c r="J265" s="178"/>
      <c r="K265" s="178">
        <v>5900</v>
      </c>
      <c r="L265" s="178">
        <f t="shared" ref="L265:L266" si="76">K265</f>
        <v>5900</v>
      </c>
      <c r="M265" s="179" t="s">
        <v>179</v>
      </c>
    </row>
    <row r="266" spans="1:13" hidden="1" x14ac:dyDescent="0.25">
      <c r="A266" s="176" t="s">
        <v>390</v>
      </c>
      <c r="B266" s="196" t="s">
        <v>23</v>
      </c>
      <c r="C266" s="178">
        <v>66772</v>
      </c>
      <c r="D266" s="177" t="s">
        <v>34</v>
      </c>
      <c r="E266" s="177" t="s">
        <v>39</v>
      </c>
      <c r="F266" s="178"/>
      <c r="G266" s="181" t="s">
        <v>36</v>
      </c>
      <c r="H266" s="178"/>
      <c r="I266" s="178"/>
      <c r="J266" s="178"/>
      <c r="K266" s="178">
        <v>5700</v>
      </c>
      <c r="L266" s="178">
        <f t="shared" si="76"/>
        <v>5700</v>
      </c>
      <c r="M266" s="179" t="s">
        <v>277</v>
      </c>
    </row>
    <row r="267" spans="1:13" hidden="1" x14ac:dyDescent="0.25">
      <c r="A267" s="176" t="s">
        <v>390</v>
      </c>
      <c r="B267" s="196" t="s">
        <v>23</v>
      </c>
      <c r="C267" s="178">
        <v>66772</v>
      </c>
      <c r="D267" s="177" t="s">
        <v>34</v>
      </c>
      <c r="E267" s="204" t="s">
        <v>30</v>
      </c>
      <c r="F267" s="178"/>
      <c r="G267" s="181" t="s">
        <v>78</v>
      </c>
      <c r="H267" s="178"/>
      <c r="I267" s="178"/>
      <c r="J267" s="178"/>
      <c r="K267" s="178">
        <v>5700</v>
      </c>
      <c r="L267" s="178">
        <f>K267</f>
        <v>5700</v>
      </c>
      <c r="M267" s="179" t="s">
        <v>180</v>
      </c>
    </row>
    <row r="268" spans="1:13" hidden="1" x14ac:dyDescent="0.25">
      <c r="A268" s="176" t="s">
        <v>390</v>
      </c>
      <c r="B268" s="177" t="s">
        <v>14</v>
      </c>
      <c r="C268" s="178" t="s">
        <v>89</v>
      </c>
      <c r="D268" s="177" t="s">
        <v>90</v>
      </c>
      <c r="E268" s="177" t="s">
        <v>21</v>
      </c>
      <c r="F268" s="178">
        <v>23</v>
      </c>
      <c r="G268" s="178">
        <v>0.13500000000000001</v>
      </c>
      <c r="H268" s="178">
        <f t="shared" ref="H268" si="77">F268*G268</f>
        <v>3.1050000000000004</v>
      </c>
      <c r="I268" s="178">
        <v>77</v>
      </c>
      <c r="J268" s="178">
        <v>1</v>
      </c>
      <c r="K268" s="178">
        <f t="shared" ref="K268" si="78">F268*I268</f>
        <v>1771</v>
      </c>
      <c r="L268" s="178">
        <f t="shared" ref="L268" si="79">K268*J268</f>
        <v>1771</v>
      </c>
      <c r="M268" s="179" t="s">
        <v>181</v>
      </c>
    </row>
    <row r="269" spans="1:13" hidden="1" x14ac:dyDescent="0.25">
      <c r="A269" s="176" t="s">
        <v>391</v>
      </c>
      <c r="B269" s="197" t="s">
        <v>320</v>
      </c>
      <c r="C269" s="204" t="s">
        <v>321</v>
      </c>
      <c r="D269" s="182" t="s">
        <v>322</v>
      </c>
      <c r="E269" s="198" t="s">
        <v>21</v>
      </c>
      <c r="F269" s="178"/>
      <c r="G269" s="181"/>
      <c r="H269" s="178"/>
      <c r="I269" s="178"/>
      <c r="J269" s="178"/>
      <c r="K269" s="178">
        <v>2000</v>
      </c>
      <c r="L269" s="178">
        <f t="shared" ref="L269:L276" si="80">K269</f>
        <v>2000</v>
      </c>
      <c r="M269" s="179" t="s">
        <v>332</v>
      </c>
    </row>
    <row r="270" spans="1:13" hidden="1" x14ac:dyDescent="0.25">
      <c r="A270" s="176" t="s">
        <v>391</v>
      </c>
      <c r="B270" s="197" t="s">
        <v>320</v>
      </c>
      <c r="C270" s="204" t="s">
        <v>321</v>
      </c>
      <c r="D270" s="182" t="s">
        <v>322</v>
      </c>
      <c r="E270" s="200" t="s">
        <v>35</v>
      </c>
      <c r="F270" s="178"/>
      <c r="G270" s="181"/>
      <c r="H270" s="178"/>
      <c r="I270" s="178"/>
      <c r="J270" s="178"/>
      <c r="K270" s="178">
        <v>2325</v>
      </c>
      <c r="L270" s="178">
        <f t="shared" si="80"/>
        <v>2325</v>
      </c>
      <c r="M270" s="179" t="s">
        <v>26</v>
      </c>
    </row>
    <row r="271" spans="1:13" hidden="1" x14ac:dyDescent="0.25">
      <c r="A271" s="176" t="s">
        <v>391</v>
      </c>
      <c r="B271" s="197" t="s">
        <v>320</v>
      </c>
      <c r="C271" s="204" t="s">
        <v>321</v>
      </c>
      <c r="D271" s="182" t="s">
        <v>322</v>
      </c>
      <c r="E271" s="201" t="s">
        <v>39</v>
      </c>
      <c r="F271" s="178"/>
      <c r="G271" s="181"/>
      <c r="H271" s="178"/>
      <c r="I271" s="178"/>
      <c r="J271" s="178"/>
      <c r="K271" s="178">
        <v>2300</v>
      </c>
      <c r="L271" s="178">
        <f t="shared" si="80"/>
        <v>2300</v>
      </c>
      <c r="M271" s="179" t="s">
        <v>333</v>
      </c>
    </row>
    <row r="272" spans="1:13" hidden="1" x14ac:dyDescent="0.25">
      <c r="A272" s="176" t="s">
        <v>391</v>
      </c>
      <c r="B272" s="197" t="s">
        <v>320</v>
      </c>
      <c r="C272" s="206" t="s">
        <v>325</v>
      </c>
      <c r="D272" s="182" t="s">
        <v>322</v>
      </c>
      <c r="E272" s="200" t="s">
        <v>35</v>
      </c>
      <c r="F272" s="178"/>
      <c r="G272" s="181"/>
      <c r="H272" s="178"/>
      <c r="I272" s="178"/>
      <c r="J272" s="178"/>
      <c r="K272" s="178">
        <v>3000</v>
      </c>
      <c r="L272" s="178">
        <f t="shared" si="80"/>
        <v>3000</v>
      </c>
      <c r="M272" s="179" t="s">
        <v>22</v>
      </c>
    </row>
    <row r="273" spans="1:13" hidden="1" x14ac:dyDescent="0.25">
      <c r="A273" s="176" t="s">
        <v>391</v>
      </c>
      <c r="B273" s="197" t="s">
        <v>320</v>
      </c>
      <c r="C273" s="206" t="s">
        <v>325</v>
      </c>
      <c r="D273" s="182" t="s">
        <v>322</v>
      </c>
      <c r="E273" s="201" t="s">
        <v>39</v>
      </c>
      <c r="F273" s="178"/>
      <c r="G273" s="181"/>
      <c r="H273" s="178"/>
      <c r="I273" s="178"/>
      <c r="J273" s="178"/>
      <c r="K273" s="178">
        <v>4000</v>
      </c>
      <c r="L273" s="178">
        <f t="shared" si="80"/>
        <v>4000</v>
      </c>
      <c r="M273" s="179" t="s">
        <v>91</v>
      </c>
    </row>
    <row r="274" spans="1:13" hidden="1" x14ac:dyDescent="0.25">
      <c r="A274" s="176" t="s">
        <v>391</v>
      </c>
      <c r="B274" s="197" t="s">
        <v>320</v>
      </c>
      <c r="C274" s="206" t="s">
        <v>325</v>
      </c>
      <c r="D274" s="182" t="s">
        <v>322</v>
      </c>
      <c r="E274" s="202" t="s">
        <v>324</v>
      </c>
      <c r="F274" s="178"/>
      <c r="G274" s="178"/>
      <c r="H274" s="178"/>
      <c r="I274" s="178"/>
      <c r="J274" s="178"/>
      <c r="K274" s="178">
        <v>5375</v>
      </c>
      <c r="L274" s="178">
        <f t="shared" si="80"/>
        <v>5375</v>
      </c>
      <c r="M274" s="179" t="s">
        <v>181</v>
      </c>
    </row>
    <row r="275" spans="1:13" hidden="1" x14ac:dyDescent="0.25">
      <c r="A275" s="176" t="s">
        <v>391</v>
      </c>
      <c r="B275" s="196" t="s">
        <v>23</v>
      </c>
      <c r="C275" s="178">
        <v>66772</v>
      </c>
      <c r="D275" s="177" t="s">
        <v>34</v>
      </c>
      <c r="E275" s="201" t="s">
        <v>35</v>
      </c>
      <c r="F275" s="178"/>
      <c r="G275" s="181" t="s">
        <v>77</v>
      </c>
      <c r="H275" s="178"/>
      <c r="I275" s="178"/>
      <c r="J275" s="178"/>
      <c r="K275" s="178">
        <v>4720</v>
      </c>
      <c r="L275" s="178">
        <f t="shared" si="80"/>
        <v>4720</v>
      </c>
      <c r="M275" s="179" t="s">
        <v>179</v>
      </c>
    </row>
    <row r="276" spans="1:13" hidden="1" x14ac:dyDescent="0.25">
      <c r="A276" s="176" t="s">
        <v>391</v>
      </c>
      <c r="B276" s="196" t="s">
        <v>23</v>
      </c>
      <c r="C276" s="178">
        <v>66772</v>
      </c>
      <c r="D276" s="177" t="s">
        <v>34</v>
      </c>
      <c r="E276" s="177" t="s">
        <v>39</v>
      </c>
      <c r="F276" s="178"/>
      <c r="G276" s="181" t="s">
        <v>36</v>
      </c>
      <c r="H276" s="178"/>
      <c r="I276" s="178"/>
      <c r="J276" s="178"/>
      <c r="K276" s="178">
        <v>5000</v>
      </c>
      <c r="L276" s="178">
        <f t="shared" si="80"/>
        <v>5000</v>
      </c>
      <c r="M276" s="179" t="s">
        <v>277</v>
      </c>
    </row>
    <row r="277" spans="1:13" hidden="1" x14ac:dyDescent="0.25">
      <c r="A277" s="176" t="s">
        <v>391</v>
      </c>
      <c r="B277" s="196" t="s">
        <v>23</v>
      </c>
      <c r="C277" s="178">
        <v>66772</v>
      </c>
      <c r="D277" s="177" t="s">
        <v>34</v>
      </c>
      <c r="E277" s="204" t="s">
        <v>30</v>
      </c>
      <c r="F277" s="178"/>
      <c r="G277" s="181" t="s">
        <v>78</v>
      </c>
      <c r="H277" s="178"/>
      <c r="I277" s="178"/>
      <c r="J277" s="178"/>
      <c r="K277" s="178">
        <v>4800</v>
      </c>
      <c r="L277" s="178">
        <f>K277</f>
        <v>4800</v>
      </c>
      <c r="M277" s="179" t="s">
        <v>180</v>
      </c>
    </row>
    <row r="278" spans="1:13" hidden="1" x14ac:dyDescent="0.25">
      <c r="A278" s="176" t="s">
        <v>391</v>
      </c>
      <c r="B278" s="177" t="s">
        <v>14</v>
      </c>
      <c r="C278" s="178" t="s">
        <v>89</v>
      </c>
      <c r="D278" s="177" t="s">
        <v>90</v>
      </c>
      <c r="E278" s="177" t="s">
        <v>21</v>
      </c>
      <c r="F278" s="178">
        <v>69</v>
      </c>
      <c r="G278" s="178">
        <v>0.13500000000000001</v>
      </c>
      <c r="H278" s="178">
        <f t="shared" ref="H278" si="81">F278*G278</f>
        <v>9.3150000000000013</v>
      </c>
      <c r="I278" s="178">
        <v>77</v>
      </c>
      <c r="J278" s="178">
        <v>1</v>
      </c>
      <c r="K278" s="178">
        <f t="shared" ref="K278" si="82">F278*I278</f>
        <v>5313</v>
      </c>
      <c r="L278" s="178">
        <f t="shared" ref="L278" si="83">K278*J278</f>
        <v>5313</v>
      </c>
      <c r="M278" s="179" t="s">
        <v>181</v>
      </c>
    </row>
    <row r="279" spans="1:13" hidden="1" x14ac:dyDescent="0.25">
      <c r="A279" s="176" t="s">
        <v>391</v>
      </c>
      <c r="B279" s="177" t="s">
        <v>14</v>
      </c>
      <c r="C279" s="178" t="s">
        <v>89</v>
      </c>
      <c r="D279" s="177" t="s">
        <v>90</v>
      </c>
      <c r="E279" s="177" t="s">
        <v>25</v>
      </c>
      <c r="F279" s="178"/>
      <c r="G279" s="178"/>
      <c r="H279" s="178"/>
      <c r="I279" s="178"/>
      <c r="J279" s="178"/>
      <c r="K279" s="178">
        <v>2800</v>
      </c>
      <c r="L279" s="178">
        <f>K279</f>
        <v>2800</v>
      </c>
      <c r="M279" s="179" t="s">
        <v>22</v>
      </c>
    </row>
    <row r="280" spans="1:13" hidden="1" x14ac:dyDescent="0.25">
      <c r="A280" s="176" t="s">
        <v>391</v>
      </c>
      <c r="B280" s="177" t="s">
        <v>14</v>
      </c>
      <c r="C280" s="178">
        <v>5036</v>
      </c>
      <c r="D280" s="177" t="s">
        <v>16</v>
      </c>
      <c r="E280" s="177" t="s">
        <v>17</v>
      </c>
      <c r="F280" s="178">
        <v>30</v>
      </c>
      <c r="G280" s="178">
        <v>0.32500000000000001</v>
      </c>
      <c r="H280" s="178">
        <f t="shared" ref="H280" si="84">F280*G280</f>
        <v>9.75</v>
      </c>
      <c r="I280" s="178">
        <v>62</v>
      </c>
      <c r="J280" s="178">
        <v>4</v>
      </c>
      <c r="K280" s="178">
        <f t="shared" ref="K280" si="85">F280*I280</f>
        <v>1860</v>
      </c>
      <c r="L280" s="178">
        <f>K280*J280</f>
        <v>7440</v>
      </c>
      <c r="M280" s="179" t="s">
        <v>22</v>
      </c>
    </row>
    <row r="281" spans="1:13" hidden="1" x14ac:dyDescent="0.25">
      <c r="A281" s="176" t="s">
        <v>391</v>
      </c>
      <c r="B281" s="177" t="s">
        <v>14</v>
      </c>
      <c r="C281" s="178">
        <v>8283</v>
      </c>
      <c r="D281" s="177" t="s">
        <v>344</v>
      </c>
      <c r="E281" s="177" t="s">
        <v>25</v>
      </c>
      <c r="F281" s="178"/>
      <c r="G281" s="178"/>
      <c r="H281" s="178"/>
      <c r="I281" s="178"/>
      <c r="J281" s="178"/>
      <c r="K281" s="178">
        <v>2500</v>
      </c>
      <c r="L281" s="178">
        <f>K281</f>
        <v>2500</v>
      </c>
      <c r="M281" s="179" t="s">
        <v>179</v>
      </c>
    </row>
    <row r="282" spans="1:13" hidden="1" x14ac:dyDescent="0.25">
      <c r="A282" s="176" t="s">
        <v>392</v>
      </c>
      <c r="B282" s="177" t="s">
        <v>14</v>
      </c>
      <c r="C282" s="178" t="s">
        <v>89</v>
      </c>
      <c r="D282" s="177" t="s">
        <v>90</v>
      </c>
      <c r="E282" s="177" t="s">
        <v>21</v>
      </c>
      <c r="F282" s="178">
        <v>24</v>
      </c>
      <c r="G282" s="178">
        <v>0.13500000000000001</v>
      </c>
      <c r="H282" s="178">
        <f t="shared" ref="H282" si="86">F282*G282</f>
        <v>3.24</v>
      </c>
      <c r="I282" s="178">
        <v>77</v>
      </c>
      <c r="J282" s="178">
        <v>1</v>
      </c>
      <c r="K282" s="178">
        <f t="shared" ref="K282" si="87">F282*I282</f>
        <v>1848</v>
      </c>
      <c r="L282" s="178">
        <f t="shared" ref="L282" si="88">K282*J282</f>
        <v>1848</v>
      </c>
      <c r="M282" s="179" t="s">
        <v>181</v>
      </c>
    </row>
    <row r="283" spans="1:13" hidden="1" x14ac:dyDescent="0.25">
      <c r="A283" s="176" t="s">
        <v>392</v>
      </c>
      <c r="B283" s="177" t="s">
        <v>14</v>
      </c>
      <c r="C283" s="178" t="s">
        <v>89</v>
      </c>
      <c r="D283" s="177" t="s">
        <v>90</v>
      </c>
      <c r="E283" s="177" t="s">
        <v>25</v>
      </c>
      <c r="F283" s="178"/>
      <c r="G283" s="178"/>
      <c r="H283" s="178"/>
      <c r="I283" s="178"/>
      <c r="J283" s="178"/>
      <c r="K283" s="178">
        <v>3560</v>
      </c>
      <c r="L283" s="178">
        <f>K283</f>
        <v>3560</v>
      </c>
      <c r="M283" s="179" t="s">
        <v>22</v>
      </c>
    </row>
    <row r="284" spans="1:13" hidden="1" x14ac:dyDescent="0.25">
      <c r="A284" s="176" t="s">
        <v>392</v>
      </c>
      <c r="B284" s="177" t="s">
        <v>14</v>
      </c>
      <c r="C284" s="178">
        <v>7479</v>
      </c>
      <c r="D284" s="177" t="s">
        <v>20</v>
      </c>
      <c r="E284" s="177" t="s">
        <v>21</v>
      </c>
      <c r="F284" s="178">
        <v>150</v>
      </c>
      <c r="G284" s="178">
        <v>0.15</v>
      </c>
      <c r="H284" s="178">
        <f>G284*F284</f>
        <v>22.5</v>
      </c>
      <c r="I284" s="178">
        <v>80</v>
      </c>
      <c r="J284" s="178">
        <v>1</v>
      </c>
      <c r="K284" s="178">
        <f>F284*I284</f>
        <v>12000</v>
      </c>
      <c r="L284" s="178">
        <f>K284*J284</f>
        <v>12000</v>
      </c>
      <c r="M284" s="179" t="s">
        <v>37</v>
      </c>
    </row>
    <row r="285" spans="1:13" hidden="1" x14ac:dyDescent="0.25">
      <c r="A285" s="176" t="s">
        <v>392</v>
      </c>
      <c r="B285" s="177" t="s">
        <v>14</v>
      </c>
      <c r="C285" s="178">
        <v>7479</v>
      </c>
      <c r="D285" s="177" t="s">
        <v>20</v>
      </c>
      <c r="E285" s="177" t="s">
        <v>25</v>
      </c>
      <c r="F285" s="178"/>
      <c r="G285" s="178"/>
      <c r="H285" s="178"/>
      <c r="I285" s="178"/>
      <c r="J285" s="178"/>
      <c r="K285" s="178">
        <v>6800</v>
      </c>
      <c r="L285" s="178">
        <f t="shared" ref="L285" si="89">K285</f>
        <v>6800</v>
      </c>
      <c r="M285" s="179" t="s">
        <v>181</v>
      </c>
    </row>
    <row r="286" spans="1:13" hidden="1" x14ac:dyDescent="0.25">
      <c r="A286" s="176" t="s">
        <v>392</v>
      </c>
      <c r="B286" s="177" t="s">
        <v>14</v>
      </c>
      <c r="C286" s="178">
        <v>8283</v>
      </c>
      <c r="D286" s="177" t="s">
        <v>344</v>
      </c>
      <c r="E286" s="177" t="s">
        <v>25</v>
      </c>
      <c r="F286" s="178"/>
      <c r="G286" s="178"/>
      <c r="H286" s="178"/>
      <c r="I286" s="178"/>
      <c r="J286" s="178"/>
      <c r="K286" s="178">
        <v>6200</v>
      </c>
      <c r="L286" s="178">
        <f>K286</f>
        <v>6200</v>
      </c>
      <c r="M286" s="179" t="s">
        <v>179</v>
      </c>
    </row>
    <row r="287" spans="1:13" hidden="1" x14ac:dyDescent="0.25">
      <c r="A287" s="176" t="s">
        <v>392</v>
      </c>
      <c r="B287" s="196" t="s">
        <v>23</v>
      </c>
      <c r="C287" s="178">
        <v>66772</v>
      </c>
      <c r="D287" s="177" t="s">
        <v>34</v>
      </c>
      <c r="E287" s="204" t="s">
        <v>30</v>
      </c>
      <c r="F287" s="178"/>
      <c r="G287" s="181" t="s">
        <v>78</v>
      </c>
      <c r="H287" s="178"/>
      <c r="I287" s="178"/>
      <c r="J287" s="178"/>
      <c r="K287" s="178">
        <v>1220</v>
      </c>
      <c r="L287" s="178">
        <f>K287</f>
        <v>1220</v>
      </c>
      <c r="M287" s="179" t="s">
        <v>180</v>
      </c>
    </row>
    <row r="288" spans="1:13" x14ac:dyDescent="0.25">
      <c r="A288" s="176" t="s">
        <v>392</v>
      </c>
      <c r="B288" s="177" t="s">
        <v>14</v>
      </c>
      <c r="C288" s="178" t="s">
        <v>192</v>
      </c>
      <c r="D288" s="177" t="s">
        <v>84</v>
      </c>
      <c r="E288" s="177" t="s">
        <v>21</v>
      </c>
      <c r="F288" s="178">
        <v>86</v>
      </c>
      <c r="G288" s="178">
        <v>0.42</v>
      </c>
      <c r="H288" s="178">
        <v>27.3</v>
      </c>
      <c r="I288" s="178">
        <v>66</v>
      </c>
      <c r="J288" s="178">
        <v>1</v>
      </c>
      <c r="K288" s="178">
        <f t="shared" ref="K288" si="90">F288*I288</f>
        <v>5676</v>
      </c>
      <c r="L288" s="178">
        <f>K288*J288</f>
        <v>5676</v>
      </c>
      <c r="M288" s="179" t="s">
        <v>22</v>
      </c>
    </row>
    <row r="289" spans="1:13" hidden="1" x14ac:dyDescent="0.25">
      <c r="A289" s="176" t="s">
        <v>392</v>
      </c>
      <c r="B289" s="191" t="s">
        <v>41</v>
      </c>
      <c r="C289" s="178" t="s">
        <v>159</v>
      </c>
      <c r="D289" s="177" t="s">
        <v>93</v>
      </c>
      <c r="E289" s="204" t="s">
        <v>30</v>
      </c>
      <c r="F289" s="178"/>
      <c r="G289" s="178"/>
      <c r="H289" s="178"/>
      <c r="I289" s="178"/>
      <c r="J289" s="178"/>
      <c r="K289" s="178">
        <v>1225</v>
      </c>
      <c r="L289" s="178">
        <f>K289</f>
        <v>1225</v>
      </c>
      <c r="M289" s="179" t="s">
        <v>180</v>
      </c>
    </row>
    <row r="290" spans="1:13" hidden="1" x14ac:dyDescent="0.25">
      <c r="A290" s="176" t="s">
        <v>393</v>
      </c>
      <c r="B290" s="177" t="s">
        <v>14</v>
      </c>
      <c r="C290" s="178">
        <v>7479</v>
      </c>
      <c r="D290" s="177" t="s">
        <v>20</v>
      </c>
      <c r="E290" s="177" t="s">
        <v>21</v>
      </c>
      <c r="F290" s="178"/>
      <c r="G290" s="178">
        <v>0.15</v>
      </c>
      <c r="H290" s="178">
        <f>G290*F290</f>
        <v>0</v>
      </c>
      <c r="I290" s="178">
        <v>80</v>
      </c>
      <c r="J290" s="178">
        <v>1</v>
      </c>
      <c r="K290" s="178">
        <f>F290*I290</f>
        <v>0</v>
      </c>
      <c r="L290" s="178">
        <f>K290*J290</f>
        <v>0</v>
      </c>
      <c r="M290" s="179" t="s">
        <v>37</v>
      </c>
    </row>
    <row r="291" spans="1:13" hidden="1" x14ac:dyDescent="0.25">
      <c r="A291" s="176" t="s">
        <v>393</v>
      </c>
      <c r="B291" s="177" t="s">
        <v>14</v>
      </c>
      <c r="C291" s="178">
        <v>7479</v>
      </c>
      <c r="D291" s="177" t="s">
        <v>20</v>
      </c>
      <c r="E291" s="177" t="s">
        <v>25</v>
      </c>
      <c r="F291" s="178"/>
      <c r="G291" s="178"/>
      <c r="H291" s="178"/>
      <c r="I291" s="178"/>
      <c r="J291" s="178"/>
      <c r="K291" s="178">
        <v>0</v>
      </c>
      <c r="L291" s="178">
        <f t="shared" ref="L291" si="91">K291</f>
        <v>0</v>
      </c>
      <c r="M291" s="179" t="s">
        <v>181</v>
      </c>
    </row>
    <row r="292" spans="1:13" hidden="1" x14ac:dyDescent="0.25">
      <c r="A292" s="176" t="s">
        <v>393</v>
      </c>
      <c r="B292" s="191" t="s">
        <v>41</v>
      </c>
      <c r="C292" s="178" t="s">
        <v>159</v>
      </c>
      <c r="D292" s="177" t="s">
        <v>93</v>
      </c>
      <c r="E292" s="204" t="s">
        <v>30</v>
      </c>
      <c r="F292" s="178"/>
      <c r="G292" s="178"/>
      <c r="H292" s="178"/>
      <c r="I292" s="178"/>
      <c r="J292" s="178"/>
      <c r="K292" s="178">
        <v>0</v>
      </c>
      <c r="L292" s="178">
        <f>K292</f>
        <v>0</v>
      </c>
      <c r="M292" s="179" t="s">
        <v>180</v>
      </c>
    </row>
    <row r="293" spans="1:13" hidden="1" x14ac:dyDescent="0.25">
      <c r="A293" s="176" t="s">
        <v>393</v>
      </c>
      <c r="B293" s="197" t="s">
        <v>320</v>
      </c>
      <c r="C293" s="204" t="s">
        <v>321</v>
      </c>
      <c r="D293" s="182" t="s">
        <v>322</v>
      </c>
      <c r="E293" s="198" t="s">
        <v>21</v>
      </c>
      <c r="F293" s="178"/>
      <c r="G293" s="181"/>
      <c r="H293" s="178"/>
      <c r="I293" s="178"/>
      <c r="J293" s="178"/>
      <c r="K293" s="178">
        <v>0</v>
      </c>
      <c r="L293" s="178">
        <f t="shared" ref="L293:L295" si="92">K293</f>
        <v>0</v>
      </c>
      <c r="M293" s="179" t="s">
        <v>332</v>
      </c>
    </row>
    <row r="294" spans="1:13" hidden="1" x14ac:dyDescent="0.25">
      <c r="A294" s="176" t="s">
        <v>393</v>
      </c>
      <c r="B294" s="197" t="s">
        <v>320</v>
      </c>
      <c r="C294" s="205" t="s">
        <v>325</v>
      </c>
      <c r="D294" s="182" t="s">
        <v>322</v>
      </c>
      <c r="E294" s="198" t="s">
        <v>21</v>
      </c>
      <c r="F294" s="178"/>
      <c r="G294" s="181"/>
      <c r="H294" s="178"/>
      <c r="I294" s="178"/>
      <c r="J294" s="178"/>
      <c r="K294" s="178">
        <v>0</v>
      </c>
      <c r="L294" s="178">
        <f t="shared" si="92"/>
        <v>0</v>
      </c>
      <c r="M294" s="179" t="s">
        <v>37</v>
      </c>
    </row>
    <row r="295" spans="1:13" hidden="1" x14ac:dyDescent="0.25">
      <c r="A295" s="176" t="s">
        <v>393</v>
      </c>
      <c r="B295" s="197" t="s">
        <v>320</v>
      </c>
      <c r="C295" s="206" t="s">
        <v>325</v>
      </c>
      <c r="D295" s="182" t="s">
        <v>322</v>
      </c>
      <c r="E295" s="200" t="s">
        <v>35</v>
      </c>
      <c r="F295" s="178"/>
      <c r="G295" s="181"/>
      <c r="H295" s="178"/>
      <c r="I295" s="178"/>
      <c r="J295" s="178"/>
      <c r="K295" s="178">
        <v>0</v>
      </c>
      <c r="L295" s="178">
        <f t="shared" si="92"/>
        <v>0</v>
      </c>
      <c r="M295" s="179" t="s">
        <v>22</v>
      </c>
    </row>
    <row r="296" spans="1:13" hidden="1" x14ac:dyDescent="0.25">
      <c r="A296" s="176" t="s">
        <v>393</v>
      </c>
      <c r="B296" s="197" t="s">
        <v>320</v>
      </c>
      <c r="C296" s="206" t="s">
        <v>323</v>
      </c>
      <c r="D296" s="182" t="s">
        <v>322</v>
      </c>
      <c r="E296" s="198" t="s">
        <v>21</v>
      </c>
      <c r="F296" s="178"/>
      <c r="G296" s="181"/>
      <c r="H296" s="178"/>
      <c r="I296" s="178"/>
      <c r="J296" s="178"/>
      <c r="K296" s="178">
        <v>0</v>
      </c>
      <c r="L296" s="178">
        <f t="shared" ref="L296" si="93">K296</f>
        <v>0</v>
      </c>
      <c r="M296" s="179" t="s">
        <v>179</v>
      </c>
    </row>
    <row r="297" spans="1:13" x14ac:dyDescent="0.25">
      <c r="A297" s="176"/>
      <c r="B297" s="177"/>
      <c r="C297" s="178"/>
      <c r="D297" s="177"/>
      <c r="E297" s="177"/>
      <c r="F297" s="178"/>
      <c r="G297" s="178"/>
      <c r="H297" s="178"/>
      <c r="I297" s="178"/>
      <c r="J297" s="178"/>
      <c r="K297" s="178"/>
      <c r="L297" s="178"/>
      <c r="M297" s="179"/>
    </row>
    <row r="298" spans="1:13" x14ac:dyDescent="0.25">
      <c r="A298" s="176"/>
      <c r="B298" s="177"/>
      <c r="C298" s="178"/>
      <c r="D298" s="177"/>
      <c r="E298" s="177"/>
      <c r="F298" s="178"/>
      <c r="G298" s="178"/>
      <c r="H298" s="178"/>
      <c r="I298" s="178"/>
      <c r="J298" s="178"/>
      <c r="K298" s="178"/>
      <c r="L298" s="178"/>
      <c r="M298" s="179"/>
    </row>
    <row r="299" spans="1:13" x14ac:dyDescent="0.25">
      <c r="A299" s="176"/>
      <c r="B299" s="177"/>
      <c r="C299" s="178"/>
      <c r="D299" s="177"/>
      <c r="E299" s="177"/>
      <c r="F299" s="178"/>
      <c r="G299" s="178"/>
      <c r="H299" s="178"/>
      <c r="I299" s="178"/>
      <c r="J299" s="178"/>
      <c r="K299" s="178"/>
      <c r="L299" s="178"/>
      <c r="M299" s="179"/>
    </row>
    <row r="300" spans="1:13" x14ac:dyDescent="0.25">
      <c r="A300" s="176"/>
      <c r="B300" s="177"/>
      <c r="C300" s="178"/>
      <c r="D300" s="177"/>
      <c r="E300" s="177"/>
      <c r="F300" s="178"/>
      <c r="G300" s="178"/>
      <c r="H300" s="178"/>
      <c r="I300" s="178"/>
      <c r="J300" s="178"/>
      <c r="K300" s="178"/>
      <c r="L300" s="178"/>
      <c r="M300" s="179"/>
    </row>
    <row r="301" spans="1:13" x14ac:dyDescent="0.25">
      <c r="A301" s="176"/>
      <c r="B301" s="197"/>
      <c r="C301" s="206"/>
      <c r="D301" s="182"/>
      <c r="E301" s="202"/>
      <c r="F301" s="178"/>
      <c r="G301" s="178"/>
      <c r="H301" s="178"/>
      <c r="I301" s="178"/>
      <c r="J301" s="178"/>
      <c r="K301" s="178"/>
      <c r="L301" s="178"/>
      <c r="M301" s="179"/>
    </row>
    <row r="302" spans="1:13" ht="27" customHeight="1" x14ac:dyDescent="0.25">
      <c r="A302" s="300" t="s">
        <v>373</v>
      </c>
      <c r="B302" s="301"/>
      <c r="C302" s="301"/>
      <c r="D302" s="301"/>
      <c r="E302" s="302"/>
      <c r="F302" s="210">
        <f>SUM(F3:F301)</f>
        <v>2668</v>
      </c>
      <c r="G302" s="210"/>
      <c r="H302" s="210">
        <f>SUM(H3:H301)</f>
        <v>734.57500000000016</v>
      </c>
      <c r="I302" s="210"/>
      <c r="J302" s="210"/>
      <c r="K302" s="210">
        <f>SUM(K3:K301)</f>
        <v>1137762</v>
      </c>
      <c r="L302" s="210">
        <f>SUM(L3:L301)</f>
        <v>1237008</v>
      </c>
      <c r="M302" s="211"/>
    </row>
  </sheetData>
  <autoFilter ref="A2:M296">
    <filterColumn colId="2">
      <filters>
        <filter val="138K"/>
      </filters>
    </filterColumn>
  </autoFilter>
  <mergeCells count="2">
    <mergeCell ref="A1:M1"/>
    <mergeCell ref="A302:E302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09"/>
  <sheetViews>
    <sheetView workbookViewId="0">
      <selection activeCell="A50" sqref="A50:M50"/>
    </sheetView>
  </sheetViews>
  <sheetFormatPr defaultRowHeight="15" x14ac:dyDescent="0.25"/>
  <cols>
    <col min="1" max="1" width="8" customWidth="1"/>
    <col min="2" max="2" width="7" customWidth="1"/>
    <col min="4" max="4" width="12.140625" customWidth="1"/>
    <col min="5" max="5" width="10.5703125" customWidth="1"/>
    <col min="6" max="6" width="9.28515625" bestFit="1" customWidth="1"/>
    <col min="8" max="8" width="9.5703125" bestFit="1" customWidth="1"/>
    <col min="10" max="10" width="6.85546875" customWidth="1"/>
    <col min="11" max="12" width="10" customWidth="1"/>
  </cols>
  <sheetData>
    <row r="1" spans="1:13" ht="30.75" x14ac:dyDescent="0.25">
      <c r="A1" s="303" t="s">
        <v>395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pans="1:13" ht="28.5" x14ac:dyDescent="0.25">
      <c r="A2" s="209" t="s">
        <v>0</v>
      </c>
      <c r="B2" s="209" t="s">
        <v>1</v>
      </c>
      <c r="C2" s="209" t="s">
        <v>2</v>
      </c>
      <c r="D2" s="209" t="s">
        <v>3</v>
      </c>
      <c r="E2" s="209" t="s">
        <v>4</v>
      </c>
      <c r="F2" s="209" t="s">
        <v>5</v>
      </c>
      <c r="G2" s="209" t="s">
        <v>6</v>
      </c>
      <c r="H2" s="209" t="s">
        <v>7</v>
      </c>
      <c r="I2" s="209" t="s">
        <v>8</v>
      </c>
      <c r="J2" s="209" t="s">
        <v>9</v>
      </c>
      <c r="K2" s="209" t="s">
        <v>10</v>
      </c>
      <c r="L2" s="209" t="s">
        <v>11</v>
      </c>
      <c r="M2" s="209" t="s">
        <v>12</v>
      </c>
    </row>
    <row r="3" spans="1:13" ht="15" hidden="1" customHeight="1" x14ac:dyDescent="0.25">
      <c r="A3" s="176" t="s">
        <v>396</v>
      </c>
      <c r="B3" s="197" t="s">
        <v>320</v>
      </c>
      <c r="C3" s="204" t="s">
        <v>321</v>
      </c>
      <c r="D3" s="182" t="s">
        <v>322</v>
      </c>
      <c r="E3" s="198" t="s">
        <v>21</v>
      </c>
      <c r="F3" s="178"/>
      <c r="G3" s="181"/>
      <c r="H3" s="178"/>
      <c r="I3" s="178"/>
      <c r="J3" s="178"/>
      <c r="K3" s="178">
        <v>2244</v>
      </c>
      <c r="L3" s="178">
        <f t="shared" ref="L3:L7" si="0">K3</f>
        <v>2244</v>
      </c>
      <c r="M3" s="179" t="s">
        <v>332</v>
      </c>
    </row>
    <row r="4" spans="1:13" ht="15" hidden="1" customHeight="1" x14ac:dyDescent="0.25">
      <c r="A4" s="176" t="s">
        <v>396</v>
      </c>
      <c r="B4" s="197" t="s">
        <v>320</v>
      </c>
      <c r="C4" s="204" t="s">
        <v>321</v>
      </c>
      <c r="D4" s="182" t="s">
        <v>322</v>
      </c>
      <c r="E4" s="200" t="s">
        <v>35</v>
      </c>
      <c r="F4" s="178"/>
      <c r="G4" s="181"/>
      <c r="H4" s="178"/>
      <c r="I4" s="178"/>
      <c r="J4" s="178"/>
      <c r="K4" s="178">
        <v>2464</v>
      </c>
      <c r="L4" s="178">
        <f t="shared" si="0"/>
        <v>2464</v>
      </c>
      <c r="M4" s="179" t="s">
        <v>26</v>
      </c>
    </row>
    <row r="5" spans="1:13" ht="15" hidden="1" customHeight="1" x14ac:dyDescent="0.25">
      <c r="A5" s="176" t="s">
        <v>396</v>
      </c>
      <c r="B5" s="197" t="s">
        <v>320</v>
      </c>
      <c r="C5" s="204" t="s">
        <v>321</v>
      </c>
      <c r="D5" s="182" t="s">
        <v>322</v>
      </c>
      <c r="E5" s="201" t="s">
        <v>39</v>
      </c>
      <c r="F5" s="178"/>
      <c r="G5" s="181"/>
      <c r="H5" s="178"/>
      <c r="I5" s="178"/>
      <c r="J5" s="178"/>
      <c r="K5" s="178">
        <v>2711</v>
      </c>
      <c r="L5" s="178">
        <f t="shared" si="0"/>
        <v>2711</v>
      </c>
      <c r="M5" s="179" t="s">
        <v>333</v>
      </c>
    </row>
    <row r="6" spans="1:13" ht="15" hidden="1" customHeight="1" x14ac:dyDescent="0.25">
      <c r="A6" s="176" t="s">
        <v>396</v>
      </c>
      <c r="B6" s="196" t="s">
        <v>23</v>
      </c>
      <c r="C6" s="178">
        <v>66772</v>
      </c>
      <c r="D6" s="177" t="s">
        <v>34</v>
      </c>
      <c r="E6" s="201" t="s">
        <v>35</v>
      </c>
      <c r="F6" s="178"/>
      <c r="G6" s="181" t="s">
        <v>77</v>
      </c>
      <c r="H6" s="178"/>
      <c r="I6" s="178"/>
      <c r="J6" s="178"/>
      <c r="K6" s="178">
        <v>7000</v>
      </c>
      <c r="L6" s="178">
        <f t="shared" si="0"/>
        <v>7000</v>
      </c>
      <c r="M6" s="179" t="s">
        <v>179</v>
      </c>
    </row>
    <row r="7" spans="1:13" hidden="1" x14ac:dyDescent="0.25">
      <c r="A7" s="176" t="s">
        <v>396</v>
      </c>
      <c r="B7" s="196" t="s">
        <v>23</v>
      </c>
      <c r="C7" s="178">
        <v>66772</v>
      </c>
      <c r="D7" s="177" t="s">
        <v>34</v>
      </c>
      <c r="E7" s="177" t="s">
        <v>39</v>
      </c>
      <c r="F7" s="178"/>
      <c r="G7" s="181" t="s">
        <v>36</v>
      </c>
      <c r="H7" s="178"/>
      <c r="I7" s="178"/>
      <c r="J7" s="178"/>
      <c r="K7" s="178">
        <v>6500</v>
      </c>
      <c r="L7" s="178">
        <f t="shared" si="0"/>
        <v>6500</v>
      </c>
      <c r="M7" s="179" t="s">
        <v>277</v>
      </c>
    </row>
    <row r="8" spans="1:13" hidden="1" x14ac:dyDescent="0.25">
      <c r="A8" s="176" t="s">
        <v>396</v>
      </c>
      <c r="B8" s="196" t="s">
        <v>23</v>
      </c>
      <c r="C8" s="178">
        <v>66772</v>
      </c>
      <c r="D8" s="177" t="s">
        <v>34</v>
      </c>
      <c r="E8" s="204" t="s">
        <v>30</v>
      </c>
      <c r="F8" s="178"/>
      <c r="G8" s="181" t="s">
        <v>78</v>
      </c>
      <c r="H8" s="178"/>
      <c r="I8" s="178"/>
      <c r="J8" s="178"/>
      <c r="K8" s="178">
        <v>5860</v>
      </c>
      <c r="L8" s="178">
        <f>K8</f>
        <v>5860</v>
      </c>
      <c r="M8" s="179" t="s">
        <v>180</v>
      </c>
    </row>
    <row r="9" spans="1:13" hidden="1" x14ac:dyDescent="0.25">
      <c r="A9" s="176" t="s">
        <v>396</v>
      </c>
      <c r="B9" s="177" t="s">
        <v>14</v>
      </c>
      <c r="C9" s="178">
        <v>7479</v>
      </c>
      <c r="D9" s="177" t="s">
        <v>20</v>
      </c>
      <c r="E9" s="177" t="s">
        <v>21</v>
      </c>
      <c r="F9" s="178">
        <v>74</v>
      </c>
      <c r="G9" s="178">
        <v>0.15</v>
      </c>
      <c r="H9" s="178">
        <f>G9*F9</f>
        <v>11.1</v>
      </c>
      <c r="I9" s="178">
        <v>80</v>
      </c>
      <c r="J9" s="178">
        <v>1</v>
      </c>
      <c r="K9" s="178">
        <f>F9*I9</f>
        <v>5920</v>
      </c>
      <c r="L9" s="178">
        <f>K9*J9</f>
        <v>5920</v>
      </c>
      <c r="M9" s="179" t="s">
        <v>37</v>
      </c>
    </row>
    <row r="10" spans="1:13" hidden="1" x14ac:dyDescent="0.25">
      <c r="A10" s="176" t="s">
        <v>396</v>
      </c>
      <c r="B10" s="177" t="s">
        <v>14</v>
      </c>
      <c r="C10" s="178">
        <v>7479</v>
      </c>
      <c r="D10" s="177" t="s">
        <v>20</v>
      </c>
      <c r="E10" s="177" t="s">
        <v>25</v>
      </c>
      <c r="F10" s="178"/>
      <c r="G10" s="178"/>
      <c r="H10" s="178"/>
      <c r="I10" s="178"/>
      <c r="J10" s="178"/>
      <c r="K10" s="178">
        <v>3500</v>
      </c>
      <c r="L10" s="178">
        <f t="shared" ref="L10" si="1">K10</f>
        <v>3500</v>
      </c>
      <c r="M10" s="179" t="s">
        <v>181</v>
      </c>
    </row>
    <row r="11" spans="1:13" hidden="1" x14ac:dyDescent="0.25">
      <c r="A11" s="176" t="s">
        <v>396</v>
      </c>
      <c r="B11" s="177" t="s">
        <v>14</v>
      </c>
      <c r="C11" s="178">
        <v>6871</v>
      </c>
      <c r="D11" s="177" t="s">
        <v>16</v>
      </c>
      <c r="E11" s="177" t="s">
        <v>17</v>
      </c>
      <c r="F11" s="178">
        <v>62</v>
      </c>
      <c r="G11" s="178">
        <v>0.64</v>
      </c>
      <c r="H11" s="178">
        <f>G11*F11</f>
        <v>39.68</v>
      </c>
      <c r="I11" s="178">
        <v>70</v>
      </c>
      <c r="J11" s="178">
        <v>2</v>
      </c>
      <c r="K11" s="178">
        <f t="shared" ref="K11" si="2">F11*I11</f>
        <v>4340</v>
      </c>
      <c r="L11" s="178">
        <f t="shared" ref="L11" si="3">K11*J11</f>
        <v>8680</v>
      </c>
      <c r="M11" s="179" t="s">
        <v>22</v>
      </c>
    </row>
    <row r="12" spans="1:13" hidden="1" x14ac:dyDescent="0.25">
      <c r="A12" s="176" t="s">
        <v>397</v>
      </c>
      <c r="B12" s="197" t="s">
        <v>320</v>
      </c>
      <c r="C12" s="204" t="s">
        <v>321</v>
      </c>
      <c r="D12" s="182" t="s">
        <v>322</v>
      </c>
      <c r="E12" s="198" t="s">
        <v>21</v>
      </c>
      <c r="F12" s="178"/>
      <c r="G12" s="181"/>
      <c r="H12" s="178"/>
      <c r="I12" s="178"/>
      <c r="J12" s="178"/>
      <c r="K12" s="178">
        <v>4640</v>
      </c>
      <c r="L12" s="178">
        <f t="shared" ref="L12:L14" si="4">K12</f>
        <v>4640</v>
      </c>
      <c r="M12" s="179" t="s">
        <v>332</v>
      </c>
    </row>
    <row r="13" spans="1:13" hidden="1" x14ac:dyDescent="0.25">
      <c r="A13" s="176" t="s">
        <v>397</v>
      </c>
      <c r="B13" s="197" t="s">
        <v>320</v>
      </c>
      <c r="C13" s="204" t="s">
        <v>321</v>
      </c>
      <c r="D13" s="182" t="s">
        <v>322</v>
      </c>
      <c r="E13" s="200" t="s">
        <v>35</v>
      </c>
      <c r="F13" s="178"/>
      <c r="G13" s="181"/>
      <c r="H13" s="178"/>
      <c r="I13" s="178"/>
      <c r="J13" s="178"/>
      <c r="K13" s="178">
        <v>6000</v>
      </c>
      <c r="L13" s="178">
        <f t="shared" si="4"/>
        <v>6000</v>
      </c>
      <c r="M13" s="179" t="s">
        <v>26</v>
      </c>
    </row>
    <row r="14" spans="1:13" hidden="1" x14ac:dyDescent="0.25">
      <c r="A14" s="176" t="s">
        <v>397</v>
      </c>
      <c r="B14" s="197" t="s">
        <v>320</v>
      </c>
      <c r="C14" s="204" t="s">
        <v>321</v>
      </c>
      <c r="D14" s="182" t="s">
        <v>322</v>
      </c>
      <c r="E14" s="201" t="s">
        <v>39</v>
      </c>
      <c r="F14" s="178"/>
      <c r="G14" s="181"/>
      <c r="H14" s="178"/>
      <c r="I14" s="178"/>
      <c r="J14" s="178"/>
      <c r="K14" s="178">
        <v>6940</v>
      </c>
      <c r="L14" s="178">
        <f t="shared" si="4"/>
        <v>6940</v>
      </c>
      <c r="M14" s="179" t="s">
        <v>333</v>
      </c>
    </row>
    <row r="15" spans="1:13" hidden="1" x14ac:dyDescent="0.25">
      <c r="A15" s="176" t="s">
        <v>397</v>
      </c>
      <c r="B15" s="177" t="s">
        <v>14</v>
      </c>
      <c r="C15" s="178">
        <v>6380</v>
      </c>
      <c r="D15" s="177" t="s">
        <v>16</v>
      </c>
      <c r="E15" s="177" t="s">
        <v>17</v>
      </c>
      <c r="F15" s="178">
        <v>107</v>
      </c>
      <c r="G15" s="178">
        <v>0.42499999999999999</v>
      </c>
      <c r="H15" s="178">
        <f t="shared" ref="H15" si="5">F15*G15</f>
        <v>45.475000000000001</v>
      </c>
      <c r="I15" s="178">
        <v>56</v>
      </c>
      <c r="J15" s="178">
        <v>4</v>
      </c>
      <c r="K15" s="178">
        <f t="shared" ref="K15" si="6">F15*I15</f>
        <v>5992</v>
      </c>
      <c r="L15" s="178">
        <f t="shared" ref="L15" si="7">K15*J15</f>
        <v>23968</v>
      </c>
      <c r="M15" s="179" t="s">
        <v>18</v>
      </c>
    </row>
    <row r="16" spans="1:13" hidden="1" x14ac:dyDescent="0.25">
      <c r="A16" s="176" t="s">
        <v>397</v>
      </c>
      <c r="B16" s="177" t="s">
        <v>14</v>
      </c>
      <c r="C16" s="178">
        <v>7479</v>
      </c>
      <c r="D16" s="177" t="s">
        <v>20</v>
      </c>
      <c r="E16" s="177" t="s">
        <v>25</v>
      </c>
      <c r="F16" s="178"/>
      <c r="G16" s="178"/>
      <c r="H16" s="178"/>
      <c r="I16" s="178"/>
      <c r="J16" s="178"/>
      <c r="K16" s="178">
        <v>3800</v>
      </c>
      <c r="L16" s="178">
        <f t="shared" ref="L16" si="8">K16</f>
        <v>3800</v>
      </c>
      <c r="M16" s="179" t="s">
        <v>181</v>
      </c>
    </row>
    <row r="17" spans="1:13" hidden="1" x14ac:dyDescent="0.25">
      <c r="A17" s="176" t="s">
        <v>397</v>
      </c>
      <c r="B17" s="177" t="s">
        <v>14</v>
      </c>
      <c r="C17" s="178" t="s">
        <v>89</v>
      </c>
      <c r="D17" s="177" t="s">
        <v>90</v>
      </c>
      <c r="E17" s="177" t="s">
        <v>21</v>
      </c>
      <c r="F17" s="178">
        <v>50</v>
      </c>
      <c r="G17" s="178">
        <v>0.13500000000000001</v>
      </c>
      <c r="H17" s="178">
        <f t="shared" ref="H17" si="9">F17*G17</f>
        <v>6.75</v>
      </c>
      <c r="I17" s="178">
        <v>77</v>
      </c>
      <c r="J17" s="178">
        <v>1</v>
      </c>
      <c r="K17" s="178">
        <f t="shared" ref="K17" si="10">F17*I17</f>
        <v>3850</v>
      </c>
      <c r="L17" s="178">
        <f t="shared" ref="L17" si="11">K17*J17</f>
        <v>3850</v>
      </c>
      <c r="M17" s="179" t="s">
        <v>181</v>
      </c>
    </row>
    <row r="18" spans="1:13" hidden="1" x14ac:dyDescent="0.25">
      <c r="A18" s="176" t="s">
        <v>397</v>
      </c>
      <c r="B18" s="177" t="s">
        <v>14</v>
      </c>
      <c r="C18" s="178" t="s">
        <v>89</v>
      </c>
      <c r="D18" s="177" t="s">
        <v>90</v>
      </c>
      <c r="E18" s="177" t="s">
        <v>25</v>
      </c>
      <c r="F18" s="178"/>
      <c r="G18" s="178"/>
      <c r="H18" s="178"/>
      <c r="I18" s="178"/>
      <c r="J18" s="178"/>
      <c r="K18" s="178">
        <v>1225</v>
      </c>
      <c r="L18" s="178">
        <f>K18</f>
        <v>1225</v>
      </c>
      <c r="M18" s="179" t="s">
        <v>22</v>
      </c>
    </row>
    <row r="19" spans="1:13" hidden="1" x14ac:dyDescent="0.25">
      <c r="A19" s="176" t="s">
        <v>397</v>
      </c>
      <c r="B19" s="197" t="s">
        <v>320</v>
      </c>
      <c r="C19" s="206" t="s">
        <v>325</v>
      </c>
      <c r="D19" s="182" t="s">
        <v>322</v>
      </c>
      <c r="E19" s="202" t="s">
        <v>324</v>
      </c>
      <c r="F19" s="178"/>
      <c r="G19" s="178"/>
      <c r="H19" s="178"/>
      <c r="I19" s="178"/>
      <c r="J19" s="178"/>
      <c r="K19" s="178">
        <v>2324</v>
      </c>
      <c r="L19" s="178">
        <f t="shared" ref="L19:L22" si="12">K19</f>
        <v>2324</v>
      </c>
      <c r="M19" s="179" t="s">
        <v>181</v>
      </c>
    </row>
    <row r="20" spans="1:13" hidden="1" x14ac:dyDescent="0.25">
      <c r="A20" s="176" t="s">
        <v>398</v>
      </c>
      <c r="B20" s="196" t="s">
        <v>23</v>
      </c>
      <c r="C20" s="178">
        <v>66772</v>
      </c>
      <c r="D20" s="177" t="s">
        <v>34</v>
      </c>
      <c r="E20" s="201" t="s">
        <v>35</v>
      </c>
      <c r="F20" s="178"/>
      <c r="G20" s="181" t="s">
        <v>77</v>
      </c>
      <c r="H20" s="178"/>
      <c r="I20" s="178"/>
      <c r="J20" s="178"/>
      <c r="K20" s="178">
        <v>7800</v>
      </c>
      <c r="L20" s="178">
        <f t="shared" si="12"/>
        <v>7800</v>
      </c>
      <c r="M20" s="179" t="s">
        <v>179</v>
      </c>
    </row>
    <row r="21" spans="1:13" hidden="1" x14ac:dyDescent="0.25">
      <c r="A21" s="176" t="s">
        <v>398</v>
      </c>
      <c r="B21" s="196" t="s">
        <v>23</v>
      </c>
      <c r="C21" s="178">
        <v>66772</v>
      </c>
      <c r="D21" s="177" t="s">
        <v>34</v>
      </c>
      <c r="E21" s="177" t="s">
        <v>39</v>
      </c>
      <c r="F21" s="178"/>
      <c r="G21" s="181" t="s">
        <v>36</v>
      </c>
      <c r="H21" s="178"/>
      <c r="I21" s="178"/>
      <c r="J21" s="178"/>
      <c r="K21" s="178">
        <v>6000</v>
      </c>
      <c r="L21" s="178">
        <f t="shared" si="12"/>
        <v>6000</v>
      </c>
      <c r="M21" s="179" t="s">
        <v>277</v>
      </c>
    </row>
    <row r="22" spans="1:13" hidden="1" x14ac:dyDescent="0.25">
      <c r="A22" s="176" t="s">
        <v>398</v>
      </c>
      <c r="B22" s="196" t="s">
        <v>23</v>
      </c>
      <c r="C22" s="178">
        <v>66772</v>
      </c>
      <c r="D22" s="177" t="s">
        <v>34</v>
      </c>
      <c r="E22" s="204" t="s">
        <v>30</v>
      </c>
      <c r="F22" s="178"/>
      <c r="G22" s="181" t="s">
        <v>78</v>
      </c>
      <c r="H22" s="178"/>
      <c r="I22" s="178"/>
      <c r="J22" s="178"/>
      <c r="K22" s="178">
        <v>5700</v>
      </c>
      <c r="L22" s="178">
        <f t="shared" si="12"/>
        <v>5700</v>
      </c>
      <c r="M22" s="179" t="s">
        <v>180</v>
      </c>
    </row>
    <row r="23" spans="1:13" hidden="1" x14ac:dyDescent="0.25">
      <c r="A23" s="176" t="s">
        <v>398</v>
      </c>
      <c r="B23" s="177" t="s">
        <v>14</v>
      </c>
      <c r="C23" s="178" t="s">
        <v>89</v>
      </c>
      <c r="D23" s="177" t="s">
        <v>90</v>
      </c>
      <c r="E23" s="177" t="s">
        <v>25</v>
      </c>
      <c r="F23" s="178"/>
      <c r="G23" s="178"/>
      <c r="H23" s="178"/>
      <c r="I23" s="178"/>
      <c r="J23" s="178"/>
      <c r="K23" s="178">
        <v>5000</v>
      </c>
      <c r="L23" s="178">
        <f>K23</f>
        <v>5000</v>
      </c>
      <c r="M23" s="179" t="s">
        <v>22</v>
      </c>
    </row>
    <row r="24" spans="1:13" hidden="1" x14ac:dyDescent="0.25">
      <c r="A24" s="176" t="s">
        <v>398</v>
      </c>
      <c r="B24" s="177" t="s">
        <v>14</v>
      </c>
      <c r="C24" s="178">
        <v>5036</v>
      </c>
      <c r="D24" s="177" t="s">
        <v>16</v>
      </c>
      <c r="E24" s="177" t="s">
        <v>17</v>
      </c>
      <c r="F24" s="178">
        <v>35</v>
      </c>
      <c r="G24" s="178">
        <v>0.32500000000000001</v>
      </c>
      <c r="H24" s="178">
        <f t="shared" ref="H24:H25" si="13">F24*G24</f>
        <v>11.375</v>
      </c>
      <c r="I24" s="178">
        <v>62</v>
      </c>
      <c r="J24" s="178">
        <v>4</v>
      </c>
      <c r="K24" s="178">
        <f t="shared" ref="K24:K25" si="14">F24*I24</f>
        <v>2170</v>
      </c>
      <c r="L24" s="178">
        <f>K24*J24</f>
        <v>8680</v>
      </c>
      <c r="M24" s="179" t="s">
        <v>22</v>
      </c>
    </row>
    <row r="25" spans="1:13" hidden="1" x14ac:dyDescent="0.25">
      <c r="A25" s="176" t="s">
        <v>398</v>
      </c>
      <c r="B25" s="177" t="s">
        <v>14</v>
      </c>
      <c r="C25" s="178">
        <v>6380</v>
      </c>
      <c r="D25" s="177" t="s">
        <v>16</v>
      </c>
      <c r="E25" s="177" t="s">
        <v>17</v>
      </c>
      <c r="F25" s="178">
        <v>44</v>
      </c>
      <c r="G25" s="178">
        <v>0.42499999999999999</v>
      </c>
      <c r="H25" s="178">
        <f t="shared" si="13"/>
        <v>18.7</v>
      </c>
      <c r="I25" s="178">
        <v>56</v>
      </c>
      <c r="J25" s="178">
        <v>4</v>
      </c>
      <c r="K25" s="178">
        <f t="shared" si="14"/>
        <v>2464</v>
      </c>
      <c r="L25" s="178">
        <f t="shared" ref="L25" si="15">K25*J25</f>
        <v>9856</v>
      </c>
      <c r="M25" s="179" t="s">
        <v>18</v>
      </c>
    </row>
    <row r="26" spans="1:13" hidden="1" x14ac:dyDescent="0.25">
      <c r="A26" s="176" t="s">
        <v>399</v>
      </c>
      <c r="B26" s="197" t="s">
        <v>320</v>
      </c>
      <c r="C26" s="204" t="s">
        <v>321</v>
      </c>
      <c r="D26" s="182" t="s">
        <v>322</v>
      </c>
      <c r="E26" s="198" t="s">
        <v>21</v>
      </c>
      <c r="F26" s="178"/>
      <c r="G26" s="181"/>
      <c r="H26" s="178"/>
      <c r="I26" s="178"/>
      <c r="J26" s="178"/>
      <c r="K26" s="178">
        <v>3100</v>
      </c>
      <c r="L26" s="178">
        <f t="shared" ref="L26:L31" si="16">K26</f>
        <v>3100</v>
      </c>
      <c r="M26" s="179" t="s">
        <v>332</v>
      </c>
    </row>
    <row r="27" spans="1:13" hidden="1" x14ac:dyDescent="0.25">
      <c r="A27" s="176" t="s">
        <v>399</v>
      </c>
      <c r="B27" s="197" t="s">
        <v>320</v>
      </c>
      <c r="C27" s="204" t="s">
        <v>321</v>
      </c>
      <c r="D27" s="182" t="s">
        <v>322</v>
      </c>
      <c r="E27" s="200" t="s">
        <v>35</v>
      </c>
      <c r="F27" s="178"/>
      <c r="G27" s="181"/>
      <c r="H27" s="178"/>
      <c r="I27" s="178"/>
      <c r="J27" s="178"/>
      <c r="K27" s="178">
        <v>2250</v>
      </c>
      <c r="L27" s="178">
        <f t="shared" si="16"/>
        <v>2250</v>
      </c>
      <c r="M27" s="179" t="s">
        <v>26</v>
      </c>
    </row>
    <row r="28" spans="1:13" hidden="1" x14ac:dyDescent="0.25">
      <c r="A28" s="176" t="s">
        <v>399</v>
      </c>
      <c r="B28" s="197" t="s">
        <v>320</v>
      </c>
      <c r="C28" s="204" t="s">
        <v>321</v>
      </c>
      <c r="D28" s="182" t="s">
        <v>322</v>
      </c>
      <c r="E28" s="201" t="s">
        <v>39</v>
      </c>
      <c r="F28" s="178"/>
      <c r="G28" s="181"/>
      <c r="H28" s="178"/>
      <c r="I28" s="178"/>
      <c r="J28" s="178"/>
      <c r="K28" s="178">
        <v>1600</v>
      </c>
      <c r="L28" s="178">
        <f t="shared" si="16"/>
        <v>1600</v>
      </c>
      <c r="M28" s="179" t="s">
        <v>333</v>
      </c>
    </row>
    <row r="29" spans="1:13" hidden="1" x14ac:dyDescent="0.25">
      <c r="A29" s="176" t="s">
        <v>399</v>
      </c>
      <c r="B29" s="196" t="s">
        <v>23</v>
      </c>
      <c r="C29" s="178">
        <v>66772</v>
      </c>
      <c r="D29" s="177" t="s">
        <v>34</v>
      </c>
      <c r="E29" s="201" t="s">
        <v>35</v>
      </c>
      <c r="F29" s="178"/>
      <c r="G29" s="181" t="s">
        <v>77</v>
      </c>
      <c r="H29" s="178"/>
      <c r="I29" s="178"/>
      <c r="J29" s="178"/>
      <c r="K29" s="178">
        <v>7200</v>
      </c>
      <c r="L29" s="178">
        <f t="shared" si="16"/>
        <v>7200</v>
      </c>
      <c r="M29" s="179" t="s">
        <v>179</v>
      </c>
    </row>
    <row r="30" spans="1:13" hidden="1" x14ac:dyDescent="0.25">
      <c r="A30" s="176" t="s">
        <v>399</v>
      </c>
      <c r="B30" s="196" t="s">
        <v>23</v>
      </c>
      <c r="C30" s="178">
        <v>66772</v>
      </c>
      <c r="D30" s="177" t="s">
        <v>34</v>
      </c>
      <c r="E30" s="177" t="s">
        <v>39</v>
      </c>
      <c r="F30" s="178"/>
      <c r="G30" s="181" t="s">
        <v>36</v>
      </c>
      <c r="H30" s="178"/>
      <c r="I30" s="178"/>
      <c r="J30" s="178"/>
      <c r="K30" s="178">
        <v>7000</v>
      </c>
      <c r="L30" s="178">
        <f t="shared" si="16"/>
        <v>7000</v>
      </c>
      <c r="M30" s="179" t="s">
        <v>277</v>
      </c>
    </row>
    <row r="31" spans="1:13" hidden="1" x14ac:dyDescent="0.25">
      <c r="A31" s="176" t="s">
        <v>399</v>
      </c>
      <c r="B31" s="196" t="s">
        <v>23</v>
      </c>
      <c r="C31" s="178">
        <v>66772</v>
      </c>
      <c r="D31" s="177" t="s">
        <v>34</v>
      </c>
      <c r="E31" s="204" t="s">
        <v>30</v>
      </c>
      <c r="F31" s="178"/>
      <c r="G31" s="181" t="s">
        <v>78</v>
      </c>
      <c r="H31" s="178"/>
      <c r="I31" s="178"/>
      <c r="J31" s="178"/>
      <c r="K31" s="178">
        <v>4200</v>
      </c>
      <c r="L31" s="178">
        <f t="shared" si="16"/>
        <v>4200</v>
      </c>
      <c r="M31" s="179" t="s">
        <v>180</v>
      </c>
    </row>
    <row r="32" spans="1:13" hidden="1" x14ac:dyDescent="0.25">
      <c r="A32" s="176" t="s">
        <v>399</v>
      </c>
      <c r="B32" s="177" t="s">
        <v>14</v>
      </c>
      <c r="C32" s="178" t="s">
        <v>89</v>
      </c>
      <c r="D32" s="177" t="s">
        <v>90</v>
      </c>
      <c r="E32" s="177" t="s">
        <v>21</v>
      </c>
      <c r="F32" s="178">
        <v>30</v>
      </c>
      <c r="G32" s="178">
        <v>0.13500000000000001</v>
      </c>
      <c r="H32" s="178">
        <f t="shared" ref="H32" si="17">F32*G32</f>
        <v>4.0500000000000007</v>
      </c>
      <c r="I32" s="178">
        <v>77</v>
      </c>
      <c r="J32" s="178">
        <v>1</v>
      </c>
      <c r="K32" s="178">
        <f t="shared" ref="K32" si="18">F32*I32</f>
        <v>2310</v>
      </c>
      <c r="L32" s="178">
        <f t="shared" ref="L32" si="19">K32*J32</f>
        <v>2310</v>
      </c>
      <c r="M32" s="179" t="s">
        <v>181</v>
      </c>
    </row>
    <row r="33" spans="1:13" hidden="1" x14ac:dyDescent="0.25">
      <c r="A33" s="176" t="s">
        <v>399</v>
      </c>
      <c r="B33" s="177" t="s">
        <v>14</v>
      </c>
      <c r="C33" s="178" t="s">
        <v>89</v>
      </c>
      <c r="D33" s="177" t="s">
        <v>90</v>
      </c>
      <c r="E33" s="177" t="s">
        <v>25</v>
      </c>
      <c r="F33" s="178"/>
      <c r="G33" s="178"/>
      <c r="H33" s="178"/>
      <c r="I33" s="178"/>
      <c r="J33" s="178"/>
      <c r="K33" s="178">
        <v>4500</v>
      </c>
      <c r="L33" s="178">
        <f>K33</f>
        <v>4500</v>
      </c>
      <c r="M33" s="179" t="s">
        <v>22</v>
      </c>
    </row>
    <row r="34" spans="1:13" hidden="1" x14ac:dyDescent="0.25">
      <c r="A34" s="176" t="s">
        <v>399</v>
      </c>
      <c r="B34" s="177" t="s">
        <v>14</v>
      </c>
      <c r="C34" s="178">
        <v>5036</v>
      </c>
      <c r="D34" s="177" t="s">
        <v>16</v>
      </c>
      <c r="E34" s="177" t="s">
        <v>17</v>
      </c>
      <c r="F34" s="178">
        <v>52</v>
      </c>
      <c r="G34" s="178">
        <v>0.32500000000000001</v>
      </c>
      <c r="H34" s="178">
        <f t="shared" ref="H34" si="20">F34*G34</f>
        <v>16.900000000000002</v>
      </c>
      <c r="I34" s="178">
        <v>62</v>
      </c>
      <c r="J34" s="178">
        <v>4</v>
      </c>
      <c r="K34" s="178">
        <f t="shared" ref="K34" si="21">F34*I34</f>
        <v>3224</v>
      </c>
      <c r="L34" s="178">
        <f>K34*J34</f>
        <v>12896</v>
      </c>
      <c r="M34" s="179" t="s">
        <v>22</v>
      </c>
    </row>
    <row r="35" spans="1:13" hidden="1" x14ac:dyDescent="0.25">
      <c r="A35" s="176" t="s">
        <v>400</v>
      </c>
      <c r="B35" s="197" t="s">
        <v>320</v>
      </c>
      <c r="C35" s="204" t="s">
        <v>321</v>
      </c>
      <c r="D35" s="182" t="s">
        <v>322</v>
      </c>
      <c r="E35" s="198" t="s">
        <v>21</v>
      </c>
      <c r="F35" s="178"/>
      <c r="G35" s="181"/>
      <c r="H35" s="178"/>
      <c r="I35" s="178"/>
      <c r="J35" s="178"/>
      <c r="K35" s="178">
        <v>4760</v>
      </c>
      <c r="L35" s="178">
        <f t="shared" ref="L35:L40" si="22">K35</f>
        <v>4760</v>
      </c>
      <c r="M35" s="179" t="s">
        <v>332</v>
      </c>
    </row>
    <row r="36" spans="1:13" hidden="1" x14ac:dyDescent="0.25">
      <c r="A36" s="176" t="s">
        <v>400</v>
      </c>
      <c r="B36" s="197" t="s">
        <v>320</v>
      </c>
      <c r="C36" s="204" t="s">
        <v>321</v>
      </c>
      <c r="D36" s="182" t="s">
        <v>322</v>
      </c>
      <c r="E36" s="200" t="s">
        <v>35</v>
      </c>
      <c r="F36" s="178"/>
      <c r="G36" s="181"/>
      <c r="H36" s="178"/>
      <c r="I36" s="178"/>
      <c r="J36" s="178"/>
      <c r="K36" s="178">
        <v>5550</v>
      </c>
      <c r="L36" s="178">
        <f t="shared" si="22"/>
        <v>5550</v>
      </c>
      <c r="M36" s="179" t="s">
        <v>26</v>
      </c>
    </row>
    <row r="37" spans="1:13" hidden="1" x14ac:dyDescent="0.25">
      <c r="A37" s="176" t="s">
        <v>400</v>
      </c>
      <c r="B37" s="197" t="s">
        <v>320</v>
      </c>
      <c r="C37" s="204" t="s">
        <v>321</v>
      </c>
      <c r="D37" s="182" t="s">
        <v>322</v>
      </c>
      <c r="E37" s="201" t="s">
        <v>39</v>
      </c>
      <c r="F37" s="178"/>
      <c r="G37" s="181"/>
      <c r="H37" s="178"/>
      <c r="I37" s="178"/>
      <c r="J37" s="178"/>
      <c r="K37" s="178">
        <v>5600</v>
      </c>
      <c r="L37" s="178">
        <f t="shared" si="22"/>
        <v>5600</v>
      </c>
      <c r="M37" s="179" t="s">
        <v>333</v>
      </c>
    </row>
    <row r="38" spans="1:13" hidden="1" x14ac:dyDescent="0.25">
      <c r="A38" s="176" t="s">
        <v>400</v>
      </c>
      <c r="B38" s="196" t="s">
        <v>23</v>
      </c>
      <c r="C38" s="178">
        <v>66772</v>
      </c>
      <c r="D38" s="177" t="s">
        <v>34</v>
      </c>
      <c r="E38" s="201" t="s">
        <v>35</v>
      </c>
      <c r="F38" s="178"/>
      <c r="G38" s="181" t="s">
        <v>77</v>
      </c>
      <c r="H38" s="178"/>
      <c r="I38" s="178"/>
      <c r="J38" s="178"/>
      <c r="K38" s="178">
        <v>5500</v>
      </c>
      <c r="L38" s="178">
        <f t="shared" si="22"/>
        <v>5500</v>
      </c>
      <c r="M38" s="179" t="s">
        <v>179</v>
      </c>
    </row>
    <row r="39" spans="1:13" hidden="1" x14ac:dyDescent="0.25">
      <c r="A39" s="176" t="s">
        <v>400</v>
      </c>
      <c r="B39" s="196" t="s">
        <v>23</v>
      </c>
      <c r="C39" s="178">
        <v>66772</v>
      </c>
      <c r="D39" s="177" t="s">
        <v>34</v>
      </c>
      <c r="E39" s="177" t="s">
        <v>39</v>
      </c>
      <c r="F39" s="178"/>
      <c r="G39" s="181" t="s">
        <v>36</v>
      </c>
      <c r="H39" s="178"/>
      <c r="I39" s="178"/>
      <c r="J39" s="178"/>
      <c r="K39" s="178">
        <v>6000</v>
      </c>
      <c r="L39" s="178">
        <f t="shared" si="22"/>
        <v>6000</v>
      </c>
      <c r="M39" s="179" t="s">
        <v>277</v>
      </c>
    </row>
    <row r="40" spans="1:13" hidden="1" x14ac:dyDescent="0.25">
      <c r="A40" s="176" t="s">
        <v>400</v>
      </c>
      <c r="B40" s="196" t="s">
        <v>23</v>
      </c>
      <c r="C40" s="178">
        <v>66772</v>
      </c>
      <c r="D40" s="177" t="s">
        <v>34</v>
      </c>
      <c r="E40" s="204" t="s">
        <v>30</v>
      </c>
      <c r="F40" s="178"/>
      <c r="G40" s="181" t="s">
        <v>78</v>
      </c>
      <c r="H40" s="178"/>
      <c r="I40" s="178"/>
      <c r="J40" s="178"/>
      <c r="K40" s="178">
        <v>6650</v>
      </c>
      <c r="L40" s="178">
        <f t="shared" si="22"/>
        <v>6650</v>
      </c>
      <c r="M40" s="179" t="s">
        <v>180</v>
      </c>
    </row>
    <row r="41" spans="1:13" hidden="1" x14ac:dyDescent="0.25">
      <c r="A41" s="176" t="s">
        <v>400</v>
      </c>
      <c r="B41" s="191" t="s">
        <v>41</v>
      </c>
      <c r="C41" s="192" t="s">
        <v>42</v>
      </c>
      <c r="D41" s="193" t="s">
        <v>93</v>
      </c>
      <c r="E41" s="199" t="s">
        <v>21</v>
      </c>
      <c r="F41" s="192">
        <v>15</v>
      </c>
      <c r="G41" s="192">
        <v>0</v>
      </c>
      <c r="H41" s="192">
        <f>G41*F41</f>
        <v>0</v>
      </c>
      <c r="I41" s="192">
        <v>42</v>
      </c>
      <c r="J41" s="192">
        <v>4</v>
      </c>
      <c r="K41" s="192">
        <f>F41*I41</f>
        <v>630</v>
      </c>
      <c r="L41" s="192">
        <f>K41*J41</f>
        <v>2520</v>
      </c>
      <c r="M41" s="194" t="s">
        <v>91</v>
      </c>
    </row>
    <row r="42" spans="1:13" hidden="1" x14ac:dyDescent="0.25">
      <c r="A42" s="176" t="s">
        <v>401</v>
      </c>
      <c r="B42" s="197" t="s">
        <v>320</v>
      </c>
      <c r="C42" s="204" t="s">
        <v>321</v>
      </c>
      <c r="D42" s="182" t="s">
        <v>322</v>
      </c>
      <c r="E42" s="198" t="s">
        <v>21</v>
      </c>
      <c r="F42" s="178"/>
      <c r="G42" s="181"/>
      <c r="H42" s="178"/>
      <c r="I42" s="178"/>
      <c r="J42" s="178"/>
      <c r="K42" s="178">
        <v>2076</v>
      </c>
      <c r="L42" s="178">
        <f t="shared" ref="L42:L47" si="23">K42</f>
        <v>2076</v>
      </c>
      <c r="M42" s="179" t="s">
        <v>332</v>
      </c>
    </row>
    <row r="43" spans="1:13" hidden="1" x14ac:dyDescent="0.25">
      <c r="A43" s="176" t="s">
        <v>401</v>
      </c>
      <c r="B43" s="197" t="s">
        <v>320</v>
      </c>
      <c r="C43" s="204" t="s">
        <v>321</v>
      </c>
      <c r="D43" s="182" t="s">
        <v>322</v>
      </c>
      <c r="E43" s="200" t="s">
        <v>35</v>
      </c>
      <c r="F43" s="178"/>
      <c r="G43" s="181"/>
      <c r="H43" s="178"/>
      <c r="I43" s="178"/>
      <c r="J43" s="178"/>
      <c r="K43" s="178">
        <v>2136</v>
      </c>
      <c r="L43" s="178">
        <f t="shared" si="23"/>
        <v>2136</v>
      </c>
      <c r="M43" s="179" t="s">
        <v>26</v>
      </c>
    </row>
    <row r="44" spans="1:13" hidden="1" x14ac:dyDescent="0.25">
      <c r="A44" s="176" t="s">
        <v>401</v>
      </c>
      <c r="B44" s="197" t="s">
        <v>320</v>
      </c>
      <c r="C44" s="204" t="s">
        <v>321</v>
      </c>
      <c r="D44" s="182" t="s">
        <v>322</v>
      </c>
      <c r="E44" s="201" t="s">
        <v>39</v>
      </c>
      <c r="F44" s="178"/>
      <c r="G44" s="181"/>
      <c r="H44" s="178"/>
      <c r="I44" s="178"/>
      <c r="J44" s="178"/>
      <c r="K44" s="178">
        <v>2736</v>
      </c>
      <c r="L44" s="178">
        <f t="shared" si="23"/>
        <v>2736</v>
      </c>
      <c r="M44" s="179" t="s">
        <v>333</v>
      </c>
    </row>
    <row r="45" spans="1:13" hidden="1" x14ac:dyDescent="0.25">
      <c r="A45" s="176" t="s">
        <v>401</v>
      </c>
      <c r="B45" s="196" t="s">
        <v>23</v>
      </c>
      <c r="C45" s="178">
        <v>66772</v>
      </c>
      <c r="D45" s="177" t="s">
        <v>34</v>
      </c>
      <c r="E45" s="201" t="s">
        <v>35</v>
      </c>
      <c r="F45" s="178"/>
      <c r="G45" s="181" t="s">
        <v>77</v>
      </c>
      <c r="H45" s="178"/>
      <c r="I45" s="178"/>
      <c r="J45" s="178"/>
      <c r="K45" s="178">
        <v>6800</v>
      </c>
      <c r="L45" s="178">
        <f t="shared" si="23"/>
        <v>6800</v>
      </c>
      <c r="M45" s="179" t="s">
        <v>179</v>
      </c>
    </row>
    <row r="46" spans="1:13" hidden="1" x14ac:dyDescent="0.25">
      <c r="A46" s="176" t="s">
        <v>401</v>
      </c>
      <c r="B46" s="196" t="s">
        <v>23</v>
      </c>
      <c r="C46" s="178">
        <v>66772</v>
      </c>
      <c r="D46" s="177" t="s">
        <v>34</v>
      </c>
      <c r="E46" s="177" t="s">
        <v>39</v>
      </c>
      <c r="F46" s="178"/>
      <c r="G46" s="181" t="s">
        <v>36</v>
      </c>
      <c r="H46" s="178"/>
      <c r="I46" s="178"/>
      <c r="J46" s="178"/>
      <c r="K46" s="178">
        <v>6500</v>
      </c>
      <c r="L46" s="178">
        <f t="shared" si="23"/>
        <v>6500</v>
      </c>
      <c r="M46" s="179" t="s">
        <v>277</v>
      </c>
    </row>
    <row r="47" spans="1:13" hidden="1" x14ac:dyDescent="0.25">
      <c r="A47" s="176" t="s">
        <v>401</v>
      </c>
      <c r="B47" s="196" t="s">
        <v>23</v>
      </c>
      <c r="C47" s="178">
        <v>66772</v>
      </c>
      <c r="D47" s="177" t="s">
        <v>34</v>
      </c>
      <c r="E47" s="204" t="s">
        <v>30</v>
      </c>
      <c r="F47" s="178"/>
      <c r="G47" s="181" t="s">
        <v>78</v>
      </c>
      <c r="H47" s="178"/>
      <c r="I47" s="178"/>
      <c r="J47" s="178"/>
      <c r="K47" s="178">
        <v>8170</v>
      </c>
      <c r="L47" s="178">
        <f t="shared" si="23"/>
        <v>8170</v>
      </c>
      <c r="M47" s="179" t="s">
        <v>180</v>
      </c>
    </row>
    <row r="48" spans="1:13" hidden="1" x14ac:dyDescent="0.25">
      <c r="A48" s="176" t="s">
        <v>401</v>
      </c>
      <c r="B48" s="191" t="s">
        <v>41</v>
      </c>
      <c r="C48" s="192" t="s">
        <v>42</v>
      </c>
      <c r="D48" s="193" t="s">
        <v>93</v>
      </c>
      <c r="E48" s="199" t="s">
        <v>21</v>
      </c>
      <c r="F48" s="192">
        <v>60</v>
      </c>
      <c r="G48" s="192">
        <v>0</v>
      </c>
      <c r="H48" s="192">
        <f>G48*F48</f>
        <v>0</v>
      </c>
      <c r="I48" s="192">
        <v>42</v>
      </c>
      <c r="J48" s="192">
        <v>4</v>
      </c>
      <c r="K48" s="192">
        <f>F48*I48</f>
        <v>2520</v>
      </c>
      <c r="L48" s="192">
        <f>K48*J48</f>
        <v>10080</v>
      </c>
      <c r="M48" s="194" t="s">
        <v>91</v>
      </c>
    </row>
    <row r="49" spans="1:13" hidden="1" x14ac:dyDescent="0.25">
      <c r="A49" s="176" t="s">
        <v>401</v>
      </c>
      <c r="B49" s="177" t="s">
        <v>14</v>
      </c>
      <c r="C49" s="178">
        <v>2576</v>
      </c>
      <c r="D49" s="177" t="s">
        <v>346</v>
      </c>
      <c r="E49" s="177" t="s">
        <v>25</v>
      </c>
      <c r="F49" s="178"/>
      <c r="G49" s="178"/>
      <c r="H49" s="178"/>
      <c r="I49" s="178"/>
      <c r="J49" s="178"/>
      <c r="K49" s="178">
        <v>3600</v>
      </c>
      <c r="L49" s="178">
        <f>K49</f>
        <v>3600</v>
      </c>
      <c r="M49" s="179" t="s">
        <v>37</v>
      </c>
    </row>
    <row r="50" spans="1:13" x14ac:dyDescent="0.25">
      <c r="A50" s="176" t="s">
        <v>401</v>
      </c>
      <c r="B50" s="177" t="s">
        <v>14</v>
      </c>
      <c r="C50" s="178" t="s">
        <v>192</v>
      </c>
      <c r="D50" s="177" t="s">
        <v>84</v>
      </c>
      <c r="E50" s="177" t="s">
        <v>25</v>
      </c>
      <c r="F50" s="178"/>
      <c r="G50" s="178"/>
      <c r="H50" s="178"/>
      <c r="I50" s="178"/>
      <c r="J50" s="178"/>
      <c r="K50" s="178">
        <v>3600</v>
      </c>
      <c r="L50" s="178">
        <f t="shared" ref="L50:L53" si="24">K50</f>
        <v>3600</v>
      </c>
      <c r="M50" s="179" t="s">
        <v>37</v>
      </c>
    </row>
    <row r="51" spans="1:13" hidden="1" x14ac:dyDescent="0.25">
      <c r="A51" s="176" t="s">
        <v>402</v>
      </c>
      <c r="B51" s="197" t="s">
        <v>320</v>
      </c>
      <c r="C51" s="204" t="s">
        <v>321</v>
      </c>
      <c r="D51" s="182" t="s">
        <v>322</v>
      </c>
      <c r="E51" s="198" t="s">
        <v>21</v>
      </c>
      <c r="F51" s="178"/>
      <c r="G51" s="181"/>
      <c r="H51" s="178"/>
      <c r="I51" s="178"/>
      <c r="J51" s="178"/>
      <c r="K51" s="178">
        <v>6800</v>
      </c>
      <c r="L51" s="178">
        <f t="shared" si="24"/>
        <v>6800</v>
      </c>
      <c r="M51" s="179" t="s">
        <v>332</v>
      </c>
    </row>
    <row r="52" spans="1:13" hidden="1" x14ac:dyDescent="0.25">
      <c r="A52" s="176" t="s">
        <v>402</v>
      </c>
      <c r="B52" s="197" t="s">
        <v>320</v>
      </c>
      <c r="C52" s="204" t="s">
        <v>321</v>
      </c>
      <c r="D52" s="182" t="s">
        <v>322</v>
      </c>
      <c r="E52" s="200" t="s">
        <v>35</v>
      </c>
      <c r="F52" s="178"/>
      <c r="G52" s="181"/>
      <c r="H52" s="178"/>
      <c r="I52" s="178"/>
      <c r="J52" s="178"/>
      <c r="K52" s="178">
        <v>7000</v>
      </c>
      <c r="L52" s="178">
        <f t="shared" si="24"/>
        <v>7000</v>
      </c>
      <c r="M52" s="179" t="s">
        <v>26</v>
      </c>
    </row>
    <row r="53" spans="1:13" hidden="1" x14ac:dyDescent="0.25">
      <c r="A53" s="176" t="s">
        <v>402</v>
      </c>
      <c r="B53" s="197" t="s">
        <v>320</v>
      </c>
      <c r="C53" s="204" t="s">
        <v>321</v>
      </c>
      <c r="D53" s="182" t="s">
        <v>322</v>
      </c>
      <c r="E53" s="201" t="s">
        <v>39</v>
      </c>
      <c r="F53" s="178"/>
      <c r="G53" s="181"/>
      <c r="H53" s="178"/>
      <c r="I53" s="178"/>
      <c r="J53" s="178"/>
      <c r="K53" s="178">
        <v>8000</v>
      </c>
      <c r="L53" s="178">
        <f t="shared" si="24"/>
        <v>8000</v>
      </c>
      <c r="M53" s="179" t="s">
        <v>333</v>
      </c>
    </row>
    <row r="54" spans="1:13" hidden="1" x14ac:dyDescent="0.25">
      <c r="A54" s="176" t="s">
        <v>402</v>
      </c>
      <c r="B54" s="177" t="s">
        <v>14</v>
      </c>
      <c r="C54" s="178">
        <v>2576</v>
      </c>
      <c r="D54" s="177" t="s">
        <v>346</v>
      </c>
      <c r="E54" s="177" t="s">
        <v>25</v>
      </c>
      <c r="F54" s="178"/>
      <c r="G54" s="178"/>
      <c r="H54" s="178"/>
      <c r="I54" s="178"/>
      <c r="J54" s="178"/>
      <c r="K54" s="178">
        <v>2000</v>
      </c>
      <c r="L54" s="178">
        <f>K54</f>
        <v>2000</v>
      </c>
      <c r="M54" s="179" t="s">
        <v>37</v>
      </c>
    </row>
    <row r="55" spans="1:13" ht="16.5" hidden="1" x14ac:dyDescent="0.25">
      <c r="A55" s="176" t="s">
        <v>421</v>
      </c>
      <c r="B55" s="177" t="s">
        <v>14</v>
      </c>
      <c r="C55" s="178">
        <v>6086</v>
      </c>
      <c r="D55" s="177" t="s">
        <v>16</v>
      </c>
      <c r="E55" s="177" t="s">
        <v>17</v>
      </c>
      <c r="F55" s="178">
        <v>28</v>
      </c>
      <c r="G55" s="222">
        <v>0.7629999999999999</v>
      </c>
      <c r="H55" s="178">
        <f t="shared" ref="H55" si="25">F55*G55</f>
        <v>21.363999999999997</v>
      </c>
      <c r="I55" s="178">
        <v>42</v>
      </c>
      <c r="J55" s="178">
        <v>2</v>
      </c>
      <c r="K55" s="178">
        <f t="shared" ref="K55:K61" si="26">F55*I55</f>
        <v>1176</v>
      </c>
      <c r="L55" s="178">
        <f t="shared" ref="L55:L61" si="27">K55*J55</f>
        <v>2352</v>
      </c>
      <c r="M55" s="179" t="s">
        <v>22</v>
      </c>
    </row>
    <row r="56" spans="1:13" ht="16.5" hidden="1" x14ac:dyDescent="0.25">
      <c r="A56" s="176" t="s">
        <v>422</v>
      </c>
      <c r="B56" s="177" t="s">
        <v>14</v>
      </c>
      <c r="C56" s="178">
        <v>6086</v>
      </c>
      <c r="D56" s="177" t="s">
        <v>16</v>
      </c>
      <c r="E56" s="177" t="s">
        <v>17</v>
      </c>
      <c r="F56" s="178">
        <v>130</v>
      </c>
      <c r="G56" s="222">
        <v>0.7629999999999999</v>
      </c>
      <c r="H56" s="178">
        <f t="shared" ref="H56" si="28">F56*G56</f>
        <v>99.189999999999984</v>
      </c>
      <c r="I56" s="178">
        <v>42</v>
      </c>
      <c r="J56" s="178">
        <v>2</v>
      </c>
      <c r="K56" s="178">
        <f t="shared" si="26"/>
        <v>5460</v>
      </c>
      <c r="L56" s="178">
        <f t="shared" si="27"/>
        <v>10920</v>
      </c>
      <c r="M56" s="179" t="s">
        <v>22</v>
      </c>
    </row>
    <row r="57" spans="1:13" ht="16.5" hidden="1" x14ac:dyDescent="0.25">
      <c r="A57" s="176" t="s">
        <v>423</v>
      </c>
      <c r="B57" s="177" t="s">
        <v>14</v>
      </c>
      <c r="C57" s="178">
        <v>6086</v>
      </c>
      <c r="D57" s="177" t="s">
        <v>16</v>
      </c>
      <c r="E57" s="177" t="s">
        <v>17</v>
      </c>
      <c r="F57" s="178">
        <v>190</v>
      </c>
      <c r="G57" s="222">
        <v>0.7629999999999999</v>
      </c>
      <c r="H57" s="178">
        <f t="shared" ref="H57" si="29">F57*G57</f>
        <v>144.96999999999997</v>
      </c>
      <c r="I57" s="178">
        <v>42</v>
      </c>
      <c r="J57" s="178">
        <v>2</v>
      </c>
      <c r="K57" s="178">
        <f t="shared" si="26"/>
        <v>7980</v>
      </c>
      <c r="L57" s="178">
        <f t="shared" si="27"/>
        <v>15960</v>
      </c>
      <c r="M57" s="179" t="s">
        <v>22</v>
      </c>
    </row>
    <row r="58" spans="1:13" ht="16.5" hidden="1" x14ac:dyDescent="0.25">
      <c r="A58" s="176" t="s">
        <v>424</v>
      </c>
      <c r="B58" s="177" t="s">
        <v>14</v>
      </c>
      <c r="C58" s="178">
        <v>6086</v>
      </c>
      <c r="D58" s="177" t="s">
        <v>16</v>
      </c>
      <c r="E58" s="177" t="s">
        <v>17</v>
      </c>
      <c r="F58" s="178">
        <f>149+21</f>
        <v>170</v>
      </c>
      <c r="G58" s="222">
        <v>0.7629999999999999</v>
      </c>
      <c r="H58" s="178">
        <f t="shared" ref="H58" si="30">F58*G58</f>
        <v>129.70999999999998</v>
      </c>
      <c r="I58" s="178">
        <v>42</v>
      </c>
      <c r="J58" s="178">
        <v>2</v>
      </c>
      <c r="K58" s="178">
        <f t="shared" si="26"/>
        <v>7140</v>
      </c>
      <c r="L58" s="178">
        <f t="shared" si="27"/>
        <v>14280</v>
      </c>
      <c r="M58" s="179" t="s">
        <v>22</v>
      </c>
    </row>
    <row r="59" spans="1:13" ht="16.5" hidden="1" x14ac:dyDescent="0.25">
      <c r="A59" s="176" t="s">
        <v>425</v>
      </c>
      <c r="B59" s="177" t="s">
        <v>14</v>
      </c>
      <c r="C59" s="178">
        <v>6086</v>
      </c>
      <c r="D59" s="177" t="s">
        <v>16</v>
      </c>
      <c r="E59" s="177" t="s">
        <v>17</v>
      </c>
      <c r="F59" s="178">
        <f>149+21</f>
        <v>170</v>
      </c>
      <c r="G59" s="222">
        <v>0.7629999999999999</v>
      </c>
      <c r="H59" s="178">
        <f t="shared" ref="H59" si="31">F59*G59</f>
        <v>129.70999999999998</v>
      </c>
      <c r="I59" s="178">
        <v>42</v>
      </c>
      <c r="J59" s="178">
        <v>2</v>
      </c>
      <c r="K59" s="178">
        <f t="shared" si="26"/>
        <v>7140</v>
      </c>
      <c r="L59" s="178">
        <f t="shared" si="27"/>
        <v>14280</v>
      </c>
      <c r="M59" s="179" t="s">
        <v>22</v>
      </c>
    </row>
    <row r="60" spans="1:13" ht="16.5" hidden="1" x14ac:dyDescent="0.25">
      <c r="A60" s="176" t="s">
        <v>426</v>
      </c>
      <c r="B60" s="177" t="s">
        <v>14</v>
      </c>
      <c r="C60" s="178">
        <v>6086</v>
      </c>
      <c r="D60" s="177" t="s">
        <v>16</v>
      </c>
      <c r="E60" s="177" t="s">
        <v>17</v>
      </c>
      <c r="F60" s="178">
        <v>182</v>
      </c>
      <c r="G60" s="222">
        <v>0.7629999999999999</v>
      </c>
      <c r="H60" s="178">
        <f t="shared" ref="H60" si="32">F60*G60</f>
        <v>138.86599999999999</v>
      </c>
      <c r="I60" s="178">
        <v>42</v>
      </c>
      <c r="J60" s="178">
        <v>2</v>
      </c>
      <c r="K60" s="178">
        <f t="shared" si="26"/>
        <v>7644</v>
      </c>
      <c r="L60" s="178">
        <f t="shared" si="27"/>
        <v>15288</v>
      </c>
      <c r="M60" s="179" t="s">
        <v>22</v>
      </c>
    </row>
    <row r="61" spans="1:13" ht="16.5" hidden="1" x14ac:dyDescent="0.25">
      <c r="A61" s="176" t="s">
        <v>426</v>
      </c>
      <c r="B61" s="177" t="s">
        <v>14</v>
      </c>
      <c r="C61" s="178" t="s">
        <v>417</v>
      </c>
      <c r="D61" s="177"/>
      <c r="E61" s="177" t="s">
        <v>21</v>
      </c>
      <c r="F61" s="178">
        <v>97</v>
      </c>
      <c r="G61" s="221">
        <v>0.63541875000000003</v>
      </c>
      <c r="H61" s="178">
        <f>G61*F61</f>
        <v>61.635618750000006</v>
      </c>
      <c r="I61" s="178">
        <v>31</v>
      </c>
      <c r="J61" s="178">
        <v>1</v>
      </c>
      <c r="K61" s="178">
        <f t="shared" si="26"/>
        <v>3007</v>
      </c>
      <c r="L61" s="178">
        <f t="shared" si="27"/>
        <v>3007</v>
      </c>
      <c r="M61" s="179" t="s">
        <v>277</v>
      </c>
    </row>
    <row r="62" spans="1:13" hidden="1" x14ac:dyDescent="0.25">
      <c r="A62" s="176" t="s">
        <v>426</v>
      </c>
      <c r="B62" s="177" t="s">
        <v>14</v>
      </c>
      <c r="C62" s="178" t="s">
        <v>417</v>
      </c>
      <c r="D62" s="177"/>
      <c r="E62" s="177" t="s">
        <v>25</v>
      </c>
      <c r="F62" s="178"/>
      <c r="G62" s="178"/>
      <c r="H62" s="178"/>
      <c r="I62" s="178"/>
      <c r="J62" s="178"/>
      <c r="K62" s="178">
        <v>1180</v>
      </c>
      <c r="L62" s="178">
        <f>K62</f>
        <v>1180</v>
      </c>
      <c r="M62" s="179" t="s">
        <v>418</v>
      </c>
    </row>
    <row r="63" spans="1:13" ht="16.5" hidden="1" x14ac:dyDescent="0.25">
      <c r="A63" s="176" t="s">
        <v>427</v>
      </c>
      <c r="B63" s="177" t="s">
        <v>14</v>
      </c>
      <c r="C63" s="178">
        <v>6086</v>
      </c>
      <c r="D63" s="177" t="s">
        <v>16</v>
      </c>
      <c r="E63" s="177" t="s">
        <v>17</v>
      </c>
      <c r="F63" s="178">
        <v>155</v>
      </c>
      <c r="G63" s="222">
        <v>0.7629999999999999</v>
      </c>
      <c r="H63" s="178">
        <f t="shared" ref="H63" si="33">F63*G63</f>
        <v>118.26499999999999</v>
      </c>
      <c r="I63" s="178">
        <v>42</v>
      </c>
      <c r="J63" s="178">
        <v>2</v>
      </c>
      <c r="K63" s="178">
        <f>F63*I63</f>
        <v>6510</v>
      </c>
      <c r="L63" s="178">
        <f>K63*J63</f>
        <v>13020</v>
      </c>
      <c r="M63" s="179" t="s">
        <v>22</v>
      </c>
    </row>
    <row r="64" spans="1:13" ht="16.5" hidden="1" x14ac:dyDescent="0.25">
      <c r="A64" s="176" t="s">
        <v>427</v>
      </c>
      <c r="B64" s="177" t="s">
        <v>14</v>
      </c>
      <c r="C64" s="178" t="s">
        <v>417</v>
      </c>
      <c r="D64" s="177"/>
      <c r="E64" s="177" t="s">
        <v>21</v>
      </c>
      <c r="F64" s="178">
        <v>195</v>
      </c>
      <c r="G64" s="221">
        <v>0.63541875000000003</v>
      </c>
      <c r="H64" s="178">
        <f>G64*F64</f>
        <v>123.90665625000001</v>
      </c>
      <c r="I64" s="178">
        <v>31</v>
      </c>
      <c r="J64" s="178">
        <v>1</v>
      </c>
      <c r="K64" s="178">
        <f>F64*I64</f>
        <v>6045</v>
      </c>
      <c r="L64" s="178">
        <f>K64*J64</f>
        <v>6045</v>
      </c>
      <c r="M64" s="179" t="s">
        <v>277</v>
      </c>
    </row>
    <row r="65" spans="1:14" hidden="1" x14ac:dyDescent="0.25">
      <c r="A65" s="176" t="s">
        <v>427</v>
      </c>
      <c r="B65" s="177" t="s">
        <v>14</v>
      </c>
      <c r="C65" s="178" t="s">
        <v>417</v>
      </c>
      <c r="D65" s="177"/>
      <c r="E65" s="177" t="s">
        <v>25</v>
      </c>
      <c r="F65" s="178"/>
      <c r="G65" s="178"/>
      <c r="H65" s="178"/>
      <c r="I65" s="178"/>
      <c r="J65" s="178"/>
      <c r="K65" s="178">
        <v>2120</v>
      </c>
      <c r="L65" s="178">
        <f>K65</f>
        <v>2120</v>
      </c>
      <c r="M65" s="179" t="s">
        <v>418</v>
      </c>
    </row>
    <row r="66" spans="1:14" ht="16.5" hidden="1" x14ac:dyDescent="0.25">
      <c r="A66" s="176" t="s">
        <v>427</v>
      </c>
      <c r="B66" s="177" t="s">
        <v>14</v>
      </c>
      <c r="C66" s="178" t="s">
        <v>407</v>
      </c>
      <c r="D66" s="177"/>
      <c r="E66" s="177" t="s">
        <v>21</v>
      </c>
      <c r="F66" s="178">
        <v>62</v>
      </c>
      <c r="G66" s="221">
        <v>0.48962500000000003</v>
      </c>
      <c r="H66" s="178">
        <f>G66*F66</f>
        <v>30.356750000000002</v>
      </c>
      <c r="I66" s="178">
        <v>17</v>
      </c>
      <c r="J66" s="178">
        <v>1</v>
      </c>
      <c r="K66" s="178">
        <f>F66*I66</f>
        <v>1054</v>
      </c>
      <c r="L66" s="178">
        <f>K66*J66</f>
        <v>1054</v>
      </c>
      <c r="M66" s="179" t="s">
        <v>277</v>
      </c>
    </row>
    <row r="67" spans="1:14" ht="16.5" hidden="1" x14ac:dyDescent="0.25">
      <c r="A67" s="176" t="s">
        <v>428</v>
      </c>
      <c r="B67" s="177" t="s">
        <v>14</v>
      </c>
      <c r="C67" s="178">
        <v>6086</v>
      </c>
      <c r="D67" s="177" t="s">
        <v>16</v>
      </c>
      <c r="E67" s="177" t="s">
        <v>17</v>
      </c>
      <c r="F67" s="178">
        <v>150</v>
      </c>
      <c r="G67" s="222">
        <v>0.7629999999999999</v>
      </c>
      <c r="H67" s="178">
        <f t="shared" ref="H67" si="34">F67*G67</f>
        <v>114.44999999999999</v>
      </c>
      <c r="I67" s="178">
        <v>42</v>
      </c>
      <c r="J67" s="178">
        <v>2</v>
      </c>
      <c r="K67" s="178">
        <f>F67*I67</f>
        <v>6300</v>
      </c>
      <c r="L67" s="178">
        <f>K67*J67</f>
        <v>12600</v>
      </c>
      <c r="M67" s="179" t="s">
        <v>22</v>
      </c>
    </row>
    <row r="68" spans="1:14" ht="16.5" hidden="1" x14ac:dyDescent="0.25">
      <c r="A68" s="176" t="s">
        <v>428</v>
      </c>
      <c r="B68" s="177" t="s">
        <v>14</v>
      </c>
      <c r="C68" s="178" t="s">
        <v>417</v>
      </c>
      <c r="D68" s="177"/>
      <c r="E68" s="177" t="s">
        <v>21</v>
      </c>
      <c r="F68" s="178">
        <v>243</v>
      </c>
      <c r="G68" s="221">
        <v>0.63541875000000003</v>
      </c>
      <c r="H68" s="178">
        <f>G68*F68</f>
        <v>154.40675625</v>
      </c>
      <c r="I68" s="178">
        <v>31</v>
      </c>
      <c r="J68" s="178">
        <v>1</v>
      </c>
      <c r="K68" s="178">
        <f>F68*I68</f>
        <v>7533</v>
      </c>
      <c r="L68" s="178">
        <f>K68*J68</f>
        <v>7533</v>
      </c>
      <c r="M68" s="179" t="s">
        <v>277</v>
      </c>
    </row>
    <row r="69" spans="1:14" hidden="1" x14ac:dyDescent="0.25">
      <c r="A69" s="176" t="s">
        <v>428</v>
      </c>
      <c r="B69" s="177" t="s">
        <v>14</v>
      </c>
      <c r="C69" s="178" t="s">
        <v>417</v>
      </c>
      <c r="D69" s="177"/>
      <c r="E69" s="177" t="s">
        <v>25</v>
      </c>
      <c r="F69" s="178"/>
      <c r="G69" s="178"/>
      <c r="H69" s="178"/>
      <c r="I69" s="178"/>
      <c r="J69" s="178"/>
      <c r="K69" s="178">
        <v>2600</v>
      </c>
      <c r="L69" s="178">
        <f>K69</f>
        <v>2600</v>
      </c>
      <c r="M69" s="179" t="s">
        <v>418</v>
      </c>
    </row>
    <row r="70" spans="1:14" ht="16.5" hidden="1" x14ac:dyDescent="0.25">
      <c r="A70" s="176" t="s">
        <v>428</v>
      </c>
      <c r="B70" s="177" t="s">
        <v>14</v>
      </c>
      <c r="C70" s="178" t="s">
        <v>407</v>
      </c>
      <c r="D70" s="177"/>
      <c r="E70" s="177" t="s">
        <v>21</v>
      </c>
      <c r="F70" s="178">
        <v>467</v>
      </c>
      <c r="G70" s="221">
        <v>0.48962500000000003</v>
      </c>
      <c r="H70" s="178">
        <f>G70*F70</f>
        <v>228.654875</v>
      </c>
      <c r="I70" s="178">
        <v>17</v>
      </c>
      <c r="J70" s="178">
        <v>1</v>
      </c>
      <c r="K70" s="178">
        <f>F70*I70</f>
        <v>7939</v>
      </c>
      <c r="L70" s="178">
        <f>K70*J70</f>
        <v>7939</v>
      </c>
      <c r="M70" s="179" t="s">
        <v>277</v>
      </c>
    </row>
    <row r="71" spans="1:14" hidden="1" x14ac:dyDescent="0.25">
      <c r="A71" s="176" t="s">
        <v>428</v>
      </c>
      <c r="B71" s="177" t="s">
        <v>14</v>
      </c>
      <c r="C71" s="178" t="s">
        <v>407</v>
      </c>
      <c r="D71" s="177"/>
      <c r="E71" s="177" t="s">
        <v>25</v>
      </c>
      <c r="F71" s="178"/>
      <c r="G71" s="178"/>
      <c r="H71" s="178"/>
      <c r="I71" s="178"/>
      <c r="J71" s="178"/>
      <c r="K71" s="178">
        <v>2370</v>
      </c>
      <c r="L71" s="178">
        <f>K71</f>
        <v>2370</v>
      </c>
      <c r="M71" s="179" t="s">
        <v>405</v>
      </c>
    </row>
    <row r="72" spans="1:14" ht="16.5" hidden="1" x14ac:dyDescent="0.25">
      <c r="A72" s="176" t="s">
        <v>429</v>
      </c>
      <c r="B72" s="177" t="s">
        <v>14</v>
      </c>
      <c r="C72" s="178" t="s">
        <v>417</v>
      </c>
      <c r="D72" s="177"/>
      <c r="E72" s="177" t="s">
        <v>21</v>
      </c>
      <c r="F72" s="178">
        <v>297</v>
      </c>
      <c r="G72" s="221">
        <v>0.63541875000000003</v>
      </c>
      <c r="H72" s="178">
        <f>G72*F72</f>
        <v>188.71936875</v>
      </c>
      <c r="I72" s="178">
        <v>31</v>
      </c>
      <c r="J72" s="178">
        <v>1</v>
      </c>
      <c r="K72" s="178">
        <f>F72*I72</f>
        <v>9207</v>
      </c>
      <c r="L72" s="178">
        <f>K72*J72</f>
        <v>9207</v>
      </c>
      <c r="M72" s="179" t="s">
        <v>277</v>
      </c>
    </row>
    <row r="73" spans="1:14" hidden="1" x14ac:dyDescent="0.25">
      <c r="A73" s="176" t="s">
        <v>429</v>
      </c>
      <c r="B73" s="177" t="s">
        <v>14</v>
      </c>
      <c r="C73" s="178" t="s">
        <v>417</v>
      </c>
      <c r="D73" s="177"/>
      <c r="E73" s="177" t="s">
        <v>25</v>
      </c>
      <c r="F73" s="178"/>
      <c r="G73" s="178"/>
      <c r="H73" s="178"/>
      <c r="I73" s="178"/>
      <c r="J73" s="178"/>
      <c r="K73" s="178">
        <v>2350</v>
      </c>
      <c r="L73" s="178">
        <f>K73</f>
        <v>2350</v>
      </c>
      <c r="M73" s="179" t="s">
        <v>418</v>
      </c>
    </row>
    <row r="74" spans="1:14" hidden="1" x14ac:dyDescent="0.25">
      <c r="A74" s="176" t="s">
        <v>429</v>
      </c>
      <c r="B74" s="177" t="s">
        <v>14</v>
      </c>
      <c r="C74" s="178" t="s">
        <v>417</v>
      </c>
      <c r="D74" s="177"/>
      <c r="E74" s="177" t="s">
        <v>25</v>
      </c>
      <c r="F74" s="178"/>
      <c r="G74" s="178"/>
      <c r="H74" s="178"/>
      <c r="I74" s="178"/>
      <c r="J74" s="178"/>
      <c r="K74" s="178">
        <v>270</v>
      </c>
      <c r="L74" s="178">
        <f>K74</f>
        <v>270</v>
      </c>
      <c r="M74" s="179" t="s">
        <v>418</v>
      </c>
      <c r="N74" t="s">
        <v>115</v>
      </c>
    </row>
    <row r="75" spans="1:14" ht="16.5" hidden="1" x14ac:dyDescent="0.25">
      <c r="A75" s="176" t="s">
        <v>429</v>
      </c>
      <c r="B75" s="177" t="s">
        <v>14</v>
      </c>
      <c r="C75" s="178" t="s">
        <v>407</v>
      </c>
      <c r="D75" s="177"/>
      <c r="E75" s="177" t="s">
        <v>21</v>
      </c>
      <c r="F75" s="178">
        <v>101</v>
      </c>
      <c r="G75" s="221">
        <v>0.48962500000000003</v>
      </c>
      <c r="H75" s="178">
        <f>G75*F75</f>
        <v>49.452125000000002</v>
      </c>
      <c r="I75" s="178">
        <v>17</v>
      </c>
      <c r="J75" s="178">
        <v>1</v>
      </c>
      <c r="K75" s="178">
        <f>F75*I75</f>
        <v>1717</v>
      </c>
      <c r="L75" s="178">
        <f>K75*J75</f>
        <v>1717</v>
      </c>
      <c r="M75" s="179" t="s">
        <v>277</v>
      </c>
    </row>
    <row r="76" spans="1:14" hidden="1" x14ac:dyDescent="0.25">
      <c r="A76" s="176" t="s">
        <v>429</v>
      </c>
      <c r="B76" s="177" t="s">
        <v>14</v>
      </c>
      <c r="C76" s="178" t="s">
        <v>407</v>
      </c>
      <c r="D76" s="177"/>
      <c r="E76" s="177" t="s">
        <v>25</v>
      </c>
      <c r="F76" s="178"/>
      <c r="G76" s="178"/>
      <c r="H76" s="178"/>
      <c r="I76" s="178"/>
      <c r="J76" s="178"/>
      <c r="K76" s="178">
        <v>2480</v>
      </c>
      <c r="L76" s="178">
        <f>K76</f>
        <v>2480</v>
      </c>
      <c r="M76" s="179" t="s">
        <v>405</v>
      </c>
    </row>
    <row r="77" spans="1:14" ht="16.5" hidden="1" x14ac:dyDescent="0.25">
      <c r="A77" s="176" t="s">
        <v>430</v>
      </c>
      <c r="B77" s="177" t="s">
        <v>14</v>
      </c>
      <c r="C77" s="178" t="s">
        <v>417</v>
      </c>
      <c r="D77" s="177"/>
      <c r="E77" s="177" t="s">
        <v>21</v>
      </c>
      <c r="F77" s="178">
        <v>184</v>
      </c>
      <c r="G77" s="221">
        <v>0.63541875000000003</v>
      </c>
      <c r="H77" s="178">
        <f>G77*F77</f>
        <v>116.91705</v>
      </c>
      <c r="I77" s="178">
        <v>31</v>
      </c>
      <c r="J77" s="178">
        <v>1</v>
      </c>
      <c r="K77" s="178">
        <f>F77*I77</f>
        <v>5704</v>
      </c>
      <c r="L77" s="178">
        <f>K77*J77</f>
        <v>5704</v>
      </c>
      <c r="M77" s="179" t="s">
        <v>277</v>
      </c>
    </row>
    <row r="78" spans="1:14" hidden="1" x14ac:dyDescent="0.25">
      <c r="A78" s="176" t="s">
        <v>430</v>
      </c>
      <c r="B78" s="177" t="s">
        <v>14</v>
      </c>
      <c r="C78" s="178" t="s">
        <v>417</v>
      </c>
      <c r="D78" s="177"/>
      <c r="E78" s="177" t="s">
        <v>25</v>
      </c>
      <c r="F78" s="178"/>
      <c r="G78" s="178"/>
      <c r="H78" s="178"/>
      <c r="I78" s="178"/>
      <c r="J78" s="178"/>
      <c r="K78" s="178">
        <v>3230</v>
      </c>
      <c r="L78" s="178">
        <f>K78</f>
        <v>3230</v>
      </c>
      <c r="M78" s="179" t="s">
        <v>418</v>
      </c>
    </row>
    <row r="79" spans="1:14" ht="16.5" hidden="1" x14ac:dyDescent="0.25">
      <c r="A79" s="176" t="s">
        <v>430</v>
      </c>
      <c r="B79" s="177" t="s">
        <v>14</v>
      </c>
      <c r="C79" s="178" t="s">
        <v>407</v>
      </c>
      <c r="D79" s="177"/>
      <c r="E79" s="177" t="s">
        <v>21</v>
      </c>
      <c r="F79" s="178">
        <v>112</v>
      </c>
      <c r="G79" s="221">
        <v>0.48962500000000003</v>
      </c>
      <c r="H79" s="178">
        <f>G79*F79</f>
        <v>54.838000000000001</v>
      </c>
      <c r="I79" s="178">
        <v>17</v>
      </c>
      <c r="J79" s="178">
        <v>1</v>
      </c>
      <c r="K79" s="178">
        <f>F79*I79</f>
        <v>1904</v>
      </c>
      <c r="L79" s="178">
        <f>K79*J79</f>
        <v>1904</v>
      </c>
      <c r="M79" s="179" t="s">
        <v>277</v>
      </c>
    </row>
    <row r="80" spans="1:14" hidden="1" x14ac:dyDescent="0.25">
      <c r="A80" s="176" t="s">
        <v>430</v>
      </c>
      <c r="B80" s="177" t="s">
        <v>14</v>
      </c>
      <c r="C80" s="178" t="s">
        <v>407</v>
      </c>
      <c r="D80" s="177"/>
      <c r="E80" s="177" t="s">
        <v>25</v>
      </c>
      <c r="F80" s="178"/>
      <c r="G80" s="178"/>
      <c r="H80" s="178"/>
      <c r="I80" s="178"/>
      <c r="J80" s="178"/>
      <c r="K80" s="178">
        <v>750</v>
      </c>
      <c r="L80" s="178">
        <f>K80</f>
        <v>750</v>
      </c>
      <c r="M80" s="179" t="s">
        <v>405</v>
      </c>
    </row>
    <row r="81" spans="1:15" hidden="1" x14ac:dyDescent="0.25">
      <c r="A81" s="176" t="s">
        <v>430</v>
      </c>
      <c r="B81" s="177" t="s">
        <v>14</v>
      </c>
      <c r="C81" s="178" t="s">
        <v>407</v>
      </c>
      <c r="D81" s="177"/>
      <c r="E81" s="177" t="s">
        <v>25</v>
      </c>
      <c r="F81" s="178"/>
      <c r="G81" s="178"/>
      <c r="H81" s="178"/>
      <c r="I81" s="178"/>
      <c r="J81" s="178"/>
      <c r="K81" s="178">
        <v>620</v>
      </c>
      <c r="L81" s="178">
        <f>K81</f>
        <v>620</v>
      </c>
      <c r="M81" s="179" t="s">
        <v>405</v>
      </c>
      <c r="N81" t="s">
        <v>115</v>
      </c>
    </row>
    <row r="82" spans="1:15" hidden="1" x14ac:dyDescent="0.25">
      <c r="A82" s="176" t="s">
        <v>431</v>
      </c>
      <c r="B82" s="177" t="s">
        <v>14</v>
      </c>
      <c r="C82" s="178" t="s">
        <v>417</v>
      </c>
      <c r="D82" s="177"/>
      <c r="E82" s="177" t="s">
        <v>25</v>
      </c>
      <c r="F82" s="178"/>
      <c r="G82" s="178"/>
      <c r="H82" s="178"/>
      <c r="I82" s="178"/>
      <c r="J82" s="178"/>
      <c r="K82" s="178">
        <v>3200</v>
      </c>
      <c r="L82" s="178">
        <f>K82</f>
        <v>3200</v>
      </c>
      <c r="M82" s="179" t="s">
        <v>418</v>
      </c>
    </row>
    <row r="83" spans="1:15" ht="16.5" hidden="1" x14ac:dyDescent="0.25">
      <c r="A83" s="176" t="s">
        <v>431</v>
      </c>
      <c r="B83" s="177" t="s">
        <v>14</v>
      </c>
      <c r="C83" s="178" t="s">
        <v>407</v>
      </c>
      <c r="D83" s="177"/>
      <c r="E83" s="177" t="s">
        <v>21</v>
      </c>
      <c r="F83" s="178">
        <v>395</v>
      </c>
      <c r="G83" s="221">
        <v>0.48962500000000003</v>
      </c>
      <c r="H83" s="178">
        <f>G83*F83</f>
        <v>193.40187500000002</v>
      </c>
      <c r="I83" s="178">
        <v>17</v>
      </c>
      <c r="J83" s="178">
        <v>1</v>
      </c>
      <c r="K83" s="178">
        <f>F83*I83</f>
        <v>6715</v>
      </c>
      <c r="L83" s="178">
        <f>K83*J83</f>
        <v>6715</v>
      </c>
      <c r="M83" s="179" t="s">
        <v>277</v>
      </c>
    </row>
    <row r="84" spans="1:15" hidden="1" x14ac:dyDescent="0.25">
      <c r="A84" s="176" t="s">
        <v>431</v>
      </c>
      <c r="B84" s="177" t="s">
        <v>14</v>
      </c>
      <c r="C84" s="178" t="s">
        <v>407</v>
      </c>
      <c r="D84" s="177"/>
      <c r="E84" s="177" t="s">
        <v>25</v>
      </c>
      <c r="F84" s="178"/>
      <c r="G84" s="178"/>
      <c r="H84" s="178"/>
      <c r="I84" s="178"/>
      <c r="J84" s="178"/>
      <c r="K84" s="178">
        <v>3130</v>
      </c>
      <c r="L84" s="178">
        <f>K84</f>
        <v>3130</v>
      </c>
      <c r="M84" s="179" t="s">
        <v>405</v>
      </c>
    </row>
    <row r="85" spans="1:15" hidden="1" x14ac:dyDescent="0.25">
      <c r="A85" s="176" t="s">
        <v>432</v>
      </c>
      <c r="B85" s="177" t="s">
        <v>14</v>
      </c>
      <c r="C85" s="178" t="s">
        <v>407</v>
      </c>
      <c r="D85" s="177"/>
      <c r="E85" s="177" t="s">
        <v>25</v>
      </c>
      <c r="F85" s="178"/>
      <c r="G85" s="178"/>
      <c r="H85" s="178"/>
      <c r="I85" s="178"/>
      <c r="J85" s="178"/>
      <c r="K85" s="178">
        <f>7408-3750</f>
        <v>3658</v>
      </c>
      <c r="L85" s="178">
        <f>K85</f>
        <v>3658</v>
      </c>
      <c r="M85" s="179" t="s">
        <v>405</v>
      </c>
    </row>
    <row r="86" spans="1:15" ht="16.5" hidden="1" x14ac:dyDescent="0.25">
      <c r="A86" s="176" t="s">
        <v>432</v>
      </c>
      <c r="B86" s="177" t="s">
        <v>14</v>
      </c>
      <c r="C86" s="178" t="s">
        <v>407</v>
      </c>
      <c r="D86" s="177"/>
      <c r="E86" s="177" t="s">
        <v>21</v>
      </c>
      <c r="F86" s="178">
        <v>59</v>
      </c>
      <c r="G86" s="221">
        <v>0.48962500000000003</v>
      </c>
      <c r="H86" s="178">
        <f>G86*F86</f>
        <v>28.887875000000001</v>
      </c>
      <c r="I86" s="178">
        <v>17</v>
      </c>
      <c r="J86" s="178">
        <v>1</v>
      </c>
      <c r="K86" s="178">
        <f>F86*I86</f>
        <v>1003</v>
      </c>
      <c r="L86" s="178">
        <f>K86*J86</f>
        <v>1003</v>
      </c>
      <c r="M86" s="179" t="s">
        <v>277</v>
      </c>
      <c r="N86" t="s">
        <v>115</v>
      </c>
    </row>
    <row r="87" spans="1:15" ht="16.5" hidden="1" x14ac:dyDescent="0.25">
      <c r="A87" s="176" t="s">
        <v>433</v>
      </c>
      <c r="B87" s="177" t="s">
        <v>14</v>
      </c>
      <c r="C87" s="178" t="s">
        <v>417</v>
      </c>
      <c r="D87" s="177"/>
      <c r="E87" s="177" t="s">
        <v>21</v>
      </c>
      <c r="F87" s="178">
        <v>261</v>
      </c>
      <c r="G87" s="221">
        <v>0.63541875000000003</v>
      </c>
      <c r="H87" s="178">
        <f>G87*F87</f>
        <v>165.84429375000002</v>
      </c>
      <c r="I87" s="178">
        <v>31</v>
      </c>
      <c r="J87" s="178">
        <v>1</v>
      </c>
      <c r="K87" s="178">
        <f>F87*I87</f>
        <v>8091</v>
      </c>
      <c r="L87" s="178">
        <f>K87*J87</f>
        <v>8091</v>
      </c>
      <c r="M87" s="179" t="s">
        <v>277</v>
      </c>
    </row>
    <row r="88" spans="1:15" hidden="1" x14ac:dyDescent="0.25">
      <c r="A88" s="176" t="s">
        <v>433</v>
      </c>
      <c r="B88" s="177" t="s">
        <v>14</v>
      </c>
      <c r="C88" s="178" t="s">
        <v>417</v>
      </c>
      <c r="D88" s="177"/>
      <c r="E88" s="177" t="s">
        <v>25</v>
      </c>
      <c r="F88" s="178"/>
      <c r="G88" s="178"/>
      <c r="H88" s="178"/>
      <c r="I88" s="178"/>
      <c r="J88" s="178"/>
      <c r="K88" s="178">
        <v>2500</v>
      </c>
      <c r="L88" s="178">
        <f>K88</f>
        <v>2500</v>
      </c>
      <c r="M88" s="179" t="s">
        <v>418</v>
      </c>
    </row>
    <row r="89" spans="1:15" ht="16.5" hidden="1" x14ac:dyDescent="0.25">
      <c r="A89" s="176" t="s">
        <v>433</v>
      </c>
      <c r="B89" s="177" t="s">
        <v>14</v>
      </c>
      <c r="C89" s="178" t="s">
        <v>407</v>
      </c>
      <c r="D89" s="177"/>
      <c r="E89" s="177" t="s">
        <v>21</v>
      </c>
      <c r="F89" s="178">
        <v>437</v>
      </c>
      <c r="G89" s="221">
        <v>0.48962500000000003</v>
      </c>
      <c r="H89" s="178">
        <f>G89*F89</f>
        <v>213.96612500000001</v>
      </c>
      <c r="I89" s="178">
        <v>17</v>
      </c>
      <c r="J89" s="178">
        <v>1</v>
      </c>
      <c r="K89" s="178">
        <f>F89*I89</f>
        <v>7429</v>
      </c>
      <c r="L89" s="178">
        <f>K89*J89</f>
        <v>7429</v>
      </c>
      <c r="M89" s="179" t="s">
        <v>277</v>
      </c>
    </row>
    <row r="90" spans="1:15" hidden="1" x14ac:dyDescent="0.25">
      <c r="A90" s="176" t="s">
        <v>433</v>
      </c>
      <c r="B90" s="177" t="s">
        <v>14</v>
      </c>
      <c r="C90" s="178" t="s">
        <v>407</v>
      </c>
      <c r="D90" s="177"/>
      <c r="E90" s="177" t="s">
        <v>25</v>
      </c>
      <c r="F90" s="178"/>
      <c r="G90" s="178"/>
      <c r="H90" s="178"/>
      <c r="I90" s="178"/>
      <c r="J90" s="178"/>
      <c r="K90" s="178">
        <v>3100</v>
      </c>
      <c r="L90" s="178">
        <f>K90</f>
        <v>3100</v>
      </c>
      <c r="M90" s="179" t="s">
        <v>405</v>
      </c>
    </row>
    <row r="91" spans="1:15" ht="16.5" hidden="1" x14ac:dyDescent="0.25">
      <c r="A91" s="176" t="s">
        <v>433</v>
      </c>
      <c r="B91" s="177" t="s">
        <v>14</v>
      </c>
      <c r="C91" s="178">
        <v>141</v>
      </c>
      <c r="D91" s="177" t="s">
        <v>414</v>
      </c>
      <c r="E91" s="177" t="s">
        <v>21</v>
      </c>
      <c r="F91" s="178">
        <v>75</v>
      </c>
      <c r="G91" s="221">
        <v>1.1297187499999997</v>
      </c>
      <c r="H91" s="178">
        <f>G91*F91</f>
        <v>84.72890624999998</v>
      </c>
      <c r="I91" s="178">
        <v>20</v>
      </c>
      <c r="J91" s="178">
        <v>1</v>
      </c>
      <c r="K91" s="178">
        <f>F91*I91</f>
        <v>1500</v>
      </c>
      <c r="L91" s="178">
        <f>K91*J91</f>
        <v>1500</v>
      </c>
      <c r="M91" s="179" t="s">
        <v>413</v>
      </c>
      <c r="N91" t="s">
        <v>435</v>
      </c>
    </row>
    <row r="92" spans="1:15" ht="16.5" hidden="1" x14ac:dyDescent="0.25">
      <c r="A92" s="176" t="s">
        <v>434</v>
      </c>
      <c r="B92" s="177" t="s">
        <v>14</v>
      </c>
      <c r="C92" s="178" t="s">
        <v>417</v>
      </c>
      <c r="D92" s="177"/>
      <c r="E92" s="177" t="s">
        <v>21</v>
      </c>
      <c r="F92" s="178">
        <v>220</v>
      </c>
      <c r="G92" s="221">
        <v>0.63541875000000003</v>
      </c>
      <c r="H92" s="178">
        <f>G92*F92</f>
        <v>139.792125</v>
      </c>
      <c r="I92" s="178">
        <v>31</v>
      </c>
      <c r="J92" s="178">
        <v>1</v>
      </c>
      <c r="K92" s="178">
        <f>F92*I92</f>
        <v>6820</v>
      </c>
      <c r="L92" s="178">
        <f>K92*J92</f>
        <v>6820</v>
      </c>
      <c r="M92" s="179" t="s">
        <v>277</v>
      </c>
    </row>
    <row r="93" spans="1:15" hidden="1" x14ac:dyDescent="0.25">
      <c r="A93" s="176" t="s">
        <v>434</v>
      </c>
      <c r="B93" s="177" t="s">
        <v>14</v>
      </c>
      <c r="C93" s="178" t="s">
        <v>417</v>
      </c>
      <c r="D93" s="177"/>
      <c r="E93" s="177" t="s">
        <v>25</v>
      </c>
      <c r="F93" s="178"/>
      <c r="G93" s="178"/>
      <c r="H93" s="178"/>
      <c r="I93" s="178"/>
      <c r="J93" s="178"/>
      <c r="K93" s="178">
        <v>4000</v>
      </c>
      <c r="L93" s="178">
        <f>K93</f>
        <v>4000</v>
      </c>
      <c r="M93" s="179" t="s">
        <v>418</v>
      </c>
    </row>
    <row r="94" spans="1:15" hidden="1" x14ac:dyDescent="0.25">
      <c r="A94" s="176" t="s">
        <v>434</v>
      </c>
      <c r="B94" s="177" t="s">
        <v>14</v>
      </c>
      <c r="C94" s="178" t="s">
        <v>407</v>
      </c>
      <c r="D94" s="177"/>
      <c r="E94" s="177" t="s">
        <v>25</v>
      </c>
      <c r="F94" s="178"/>
      <c r="G94" s="178"/>
      <c r="H94" s="178"/>
      <c r="I94" s="178"/>
      <c r="J94" s="178"/>
      <c r="K94" s="178">
        <v>3684</v>
      </c>
      <c r="L94" s="178">
        <f>K94</f>
        <v>3684</v>
      </c>
      <c r="M94" s="179" t="s">
        <v>405</v>
      </c>
    </row>
    <row r="95" spans="1:15" ht="16.5" hidden="1" x14ac:dyDescent="0.25">
      <c r="A95" s="176" t="s">
        <v>434</v>
      </c>
      <c r="B95" s="177" t="s">
        <v>14</v>
      </c>
      <c r="C95" s="178">
        <v>141</v>
      </c>
      <c r="D95" s="177" t="s">
        <v>414</v>
      </c>
      <c r="E95" s="177" t="s">
        <v>21</v>
      </c>
      <c r="F95" s="178">
        <v>80</v>
      </c>
      <c r="G95" s="221">
        <v>1.1297187499999997</v>
      </c>
      <c r="H95" s="178">
        <f>G95*F95</f>
        <v>90.377499999999969</v>
      </c>
      <c r="I95" s="178">
        <v>20</v>
      </c>
      <c r="J95" s="178">
        <v>1</v>
      </c>
      <c r="K95" s="178">
        <f>F95*I95</f>
        <v>1600</v>
      </c>
      <c r="L95" s="178">
        <f>K95*J95</f>
        <v>1600</v>
      </c>
      <c r="M95" s="179" t="s">
        <v>413</v>
      </c>
      <c r="N95" t="s">
        <v>435</v>
      </c>
      <c r="O95" t="s">
        <v>438</v>
      </c>
    </row>
    <row r="96" spans="1:15" hidden="1" x14ac:dyDescent="0.25">
      <c r="A96" s="176" t="s">
        <v>436</v>
      </c>
      <c r="B96" s="177" t="s">
        <v>14</v>
      </c>
      <c r="C96" s="178" t="s">
        <v>417</v>
      </c>
      <c r="D96" s="177"/>
      <c r="E96" s="177" t="s">
        <v>25</v>
      </c>
      <c r="F96" s="178"/>
      <c r="G96" s="178"/>
      <c r="H96" s="178"/>
      <c r="I96" s="178"/>
      <c r="J96" s="178"/>
      <c r="K96" s="178">
        <v>600</v>
      </c>
      <c r="L96" s="178">
        <f>K96</f>
        <v>600</v>
      </c>
      <c r="M96" s="179" t="s">
        <v>418</v>
      </c>
    </row>
    <row r="97" spans="1:15" ht="16.5" hidden="1" x14ac:dyDescent="0.25">
      <c r="A97" s="176" t="s">
        <v>436</v>
      </c>
      <c r="B97" s="177" t="s">
        <v>14</v>
      </c>
      <c r="C97" s="178">
        <v>6086</v>
      </c>
      <c r="D97" s="177" t="s">
        <v>16</v>
      </c>
      <c r="E97" s="177" t="s">
        <v>17</v>
      </c>
      <c r="F97" s="178">
        <v>124</v>
      </c>
      <c r="G97" s="222">
        <v>0.7629999999999999</v>
      </c>
      <c r="H97" s="178">
        <f t="shared" ref="H97" si="35">F97*G97</f>
        <v>94.611999999999995</v>
      </c>
      <c r="I97" s="178">
        <v>42</v>
      </c>
      <c r="J97" s="178">
        <v>2</v>
      </c>
      <c r="K97" s="178">
        <f>F97*I97</f>
        <v>5208</v>
      </c>
      <c r="L97" s="178">
        <f>K97*J97</f>
        <v>10416</v>
      </c>
      <c r="M97" s="179" t="s">
        <v>22</v>
      </c>
    </row>
    <row r="98" spans="1:15" ht="16.5" hidden="1" x14ac:dyDescent="0.25">
      <c r="A98" s="176" t="s">
        <v>437</v>
      </c>
      <c r="B98" s="177" t="s">
        <v>14</v>
      </c>
      <c r="C98" s="178">
        <v>6086</v>
      </c>
      <c r="D98" s="177" t="s">
        <v>16</v>
      </c>
      <c r="E98" s="177" t="s">
        <v>17</v>
      </c>
      <c r="F98" s="178">
        <v>59</v>
      </c>
      <c r="G98" s="222">
        <v>0.7629999999999999</v>
      </c>
      <c r="H98" s="178">
        <f t="shared" ref="H98" si="36">F98*G98</f>
        <v>45.016999999999996</v>
      </c>
      <c r="I98" s="178">
        <v>42</v>
      </c>
      <c r="J98" s="178">
        <v>2</v>
      </c>
      <c r="K98" s="178">
        <f>F98*I98</f>
        <v>2478</v>
      </c>
      <c r="L98" s="178">
        <f>K98*J98</f>
        <v>4956</v>
      </c>
      <c r="M98" s="179" t="s">
        <v>22</v>
      </c>
    </row>
    <row r="99" spans="1:15" ht="16.5" hidden="1" x14ac:dyDescent="0.25">
      <c r="A99" s="176" t="s">
        <v>434</v>
      </c>
      <c r="B99" s="177" t="s">
        <v>14</v>
      </c>
      <c r="C99" s="178">
        <v>141</v>
      </c>
      <c r="D99" s="177" t="s">
        <v>414</v>
      </c>
      <c r="E99" s="177" t="s">
        <v>21</v>
      </c>
      <c r="F99" s="178">
        <v>41</v>
      </c>
      <c r="G99" s="221">
        <v>1.1297187499999997</v>
      </c>
      <c r="H99" s="178">
        <f>G99*F99</f>
        <v>46.318468749999987</v>
      </c>
      <c r="I99" s="178">
        <v>20</v>
      </c>
      <c r="J99" s="178">
        <v>1</v>
      </c>
      <c r="K99" s="178">
        <f>F99*I99</f>
        <v>820</v>
      </c>
      <c r="L99" s="178">
        <f>K99*J99</f>
        <v>820</v>
      </c>
      <c r="M99" s="179" t="s">
        <v>413</v>
      </c>
      <c r="N99" t="s">
        <v>435</v>
      </c>
      <c r="O99" t="s">
        <v>439</v>
      </c>
    </row>
    <row r="100" spans="1:15" ht="16.5" hidden="1" x14ac:dyDescent="0.25">
      <c r="A100" s="176" t="s">
        <v>436</v>
      </c>
      <c r="B100" s="177" t="s">
        <v>14</v>
      </c>
      <c r="C100" s="178">
        <v>141</v>
      </c>
      <c r="D100" s="177" t="s">
        <v>414</v>
      </c>
      <c r="E100" s="177" t="s">
        <v>21</v>
      </c>
      <c r="F100" s="178">
        <v>78</v>
      </c>
      <c r="G100" s="221">
        <v>1.1297187499999997</v>
      </c>
      <c r="H100" s="178">
        <f>G100*F100</f>
        <v>88.118062499999979</v>
      </c>
      <c r="I100" s="178">
        <v>20</v>
      </c>
      <c r="J100" s="178">
        <v>1</v>
      </c>
      <c r="K100" s="178">
        <f>F100*I100</f>
        <v>1560</v>
      </c>
      <c r="L100" s="178">
        <f>K100*J100</f>
        <v>1560</v>
      </c>
      <c r="M100" s="179" t="s">
        <v>413</v>
      </c>
      <c r="N100" t="s">
        <v>435</v>
      </c>
      <c r="O100" t="s">
        <v>439</v>
      </c>
    </row>
    <row r="101" spans="1:15" ht="16.5" hidden="1" x14ac:dyDescent="0.25">
      <c r="A101" s="176" t="s">
        <v>440</v>
      </c>
      <c r="B101" s="177" t="s">
        <v>14</v>
      </c>
      <c r="C101" s="178">
        <v>141</v>
      </c>
      <c r="D101" s="177" t="s">
        <v>414</v>
      </c>
      <c r="E101" s="177" t="s">
        <v>21</v>
      </c>
      <c r="F101" s="178">
        <v>28</v>
      </c>
      <c r="G101" s="221">
        <v>1.1297187499999997</v>
      </c>
      <c r="H101" s="178">
        <f>G101*F101</f>
        <v>31.632124999999991</v>
      </c>
      <c r="I101" s="178">
        <v>29</v>
      </c>
      <c r="J101" s="178">
        <v>1</v>
      </c>
      <c r="K101" s="178">
        <f>F101*I101</f>
        <v>812</v>
      </c>
      <c r="L101" s="178">
        <f>K101*J101</f>
        <v>812</v>
      </c>
      <c r="M101" s="179" t="s">
        <v>413</v>
      </c>
      <c r="N101" t="s">
        <v>441</v>
      </c>
      <c r="O101" t="s">
        <v>438</v>
      </c>
    </row>
    <row r="102" spans="1:15" x14ac:dyDescent="0.25">
      <c r="A102" s="176"/>
      <c r="B102" s="177"/>
      <c r="C102" s="178"/>
      <c r="D102" s="177"/>
      <c r="E102" s="177"/>
      <c r="F102" s="178"/>
      <c r="G102" s="178"/>
      <c r="H102" s="178"/>
      <c r="I102" s="178"/>
      <c r="J102" s="178"/>
      <c r="K102" s="178"/>
      <c r="L102" s="178"/>
      <c r="M102" s="179"/>
    </row>
    <row r="103" spans="1:15" x14ac:dyDescent="0.25">
      <c r="A103" s="176"/>
      <c r="B103" s="177"/>
      <c r="C103" s="178"/>
      <c r="D103" s="177"/>
      <c r="E103" s="177"/>
      <c r="F103" s="178"/>
      <c r="G103" s="178"/>
      <c r="H103" s="178"/>
      <c r="I103" s="178"/>
      <c r="J103" s="178"/>
      <c r="K103" s="178"/>
      <c r="L103" s="178"/>
      <c r="M103" s="179"/>
    </row>
    <row r="104" spans="1:15" x14ac:dyDescent="0.25">
      <c r="A104" s="176"/>
      <c r="B104" s="177"/>
      <c r="C104" s="178"/>
      <c r="D104" s="177"/>
      <c r="E104" s="177"/>
      <c r="F104" s="178"/>
      <c r="G104" s="178"/>
      <c r="H104" s="178"/>
      <c r="I104" s="178"/>
      <c r="J104" s="178"/>
      <c r="K104" s="178"/>
      <c r="L104" s="178"/>
      <c r="M104" s="179"/>
    </row>
    <row r="105" spans="1:15" x14ac:dyDescent="0.25">
      <c r="A105" s="176"/>
      <c r="B105" s="177"/>
      <c r="C105" s="178"/>
      <c r="D105" s="177"/>
      <c r="E105" s="177"/>
      <c r="F105" s="178"/>
      <c r="G105" s="178"/>
      <c r="H105" s="178"/>
      <c r="I105" s="178"/>
      <c r="J105" s="178"/>
      <c r="K105" s="178"/>
      <c r="L105" s="178"/>
      <c r="M105" s="179"/>
    </row>
    <row r="106" spans="1:15" x14ac:dyDescent="0.25">
      <c r="A106" s="176"/>
      <c r="B106" s="177"/>
      <c r="C106" s="178"/>
      <c r="D106" s="177"/>
      <c r="E106" s="177"/>
      <c r="F106" s="178"/>
      <c r="G106" s="178"/>
      <c r="H106" s="178"/>
      <c r="I106" s="178"/>
      <c r="J106" s="178"/>
      <c r="K106" s="178"/>
      <c r="L106" s="178"/>
      <c r="M106" s="179"/>
    </row>
    <row r="107" spans="1:15" x14ac:dyDescent="0.25">
      <c r="A107" s="176"/>
      <c r="B107" s="177"/>
      <c r="C107" s="178"/>
      <c r="D107" s="177"/>
      <c r="E107" s="177"/>
      <c r="F107" s="178"/>
      <c r="G107" s="178"/>
      <c r="H107" s="178"/>
      <c r="I107" s="178"/>
      <c r="J107" s="178"/>
      <c r="K107" s="178"/>
      <c r="L107" s="178"/>
      <c r="M107" s="179"/>
    </row>
    <row r="108" spans="1:15" x14ac:dyDescent="0.25">
      <c r="A108" s="176"/>
      <c r="B108" s="197"/>
      <c r="C108" s="206"/>
      <c r="D108" s="182"/>
      <c r="E108" s="202"/>
      <c r="F108" s="178"/>
      <c r="G108" s="178"/>
      <c r="H108" s="178"/>
      <c r="I108" s="178"/>
      <c r="J108" s="178"/>
      <c r="K108" s="178"/>
      <c r="L108" s="178"/>
      <c r="M108" s="179"/>
    </row>
    <row r="109" spans="1:15" ht="27" customHeight="1" x14ac:dyDescent="0.25">
      <c r="A109" s="300" t="s">
        <v>373</v>
      </c>
      <c r="B109" s="301"/>
      <c r="C109" s="301"/>
      <c r="D109" s="301"/>
      <c r="E109" s="302"/>
      <c r="F109" s="210">
        <f>SUM(F3:F108)</f>
        <v>5319</v>
      </c>
      <c r="G109" s="210"/>
      <c r="H109" s="210">
        <f>SUM(H3:H108)</f>
        <v>3282.13855625</v>
      </c>
      <c r="I109" s="210"/>
      <c r="J109" s="210"/>
      <c r="K109" s="210">
        <f>SUM(K3:K108)</f>
        <v>415794</v>
      </c>
      <c r="L109" s="210">
        <f>SUM(L3:L108)</f>
        <v>528170</v>
      </c>
      <c r="M109" s="211"/>
    </row>
  </sheetData>
  <autoFilter ref="A2:M101">
    <filterColumn colId="2">
      <filters>
        <filter val="138K"/>
      </filters>
    </filterColumn>
  </autoFilter>
  <mergeCells count="2">
    <mergeCell ref="A1:M1"/>
    <mergeCell ref="A109:E109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2"/>
  <sheetViews>
    <sheetView topLeftCell="A194" workbookViewId="0">
      <selection activeCell="A213" sqref="A213:M213"/>
    </sheetView>
  </sheetViews>
  <sheetFormatPr defaultRowHeight="15" x14ac:dyDescent="0.25"/>
  <cols>
    <col min="4" max="4" width="12.85546875" customWidth="1"/>
    <col min="5" max="5" width="10.7109375" customWidth="1"/>
    <col min="11" max="11" width="11" bestFit="1" customWidth="1"/>
    <col min="12" max="12" width="11" customWidth="1"/>
  </cols>
  <sheetData>
    <row r="1" spans="1:13" ht="33" customHeight="1" x14ac:dyDescent="0.25">
      <c r="A1" s="304" t="s">
        <v>403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</row>
    <row r="2" spans="1:13" ht="26.25" customHeight="1" x14ac:dyDescent="0.25">
      <c r="A2" s="214" t="s">
        <v>0</v>
      </c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4" t="s">
        <v>6</v>
      </c>
      <c r="H2" s="214" t="s">
        <v>7</v>
      </c>
      <c r="I2" s="214" t="s">
        <v>8</v>
      </c>
      <c r="J2" s="214" t="s">
        <v>9</v>
      </c>
      <c r="K2" s="214" t="s">
        <v>10</v>
      </c>
      <c r="L2" s="214" t="s">
        <v>11</v>
      </c>
      <c r="M2" s="214" t="s">
        <v>12</v>
      </c>
    </row>
    <row r="3" spans="1:13" ht="14.1" customHeight="1" x14ac:dyDescent="0.25">
      <c r="A3" s="176" t="s">
        <v>420</v>
      </c>
      <c r="B3" s="177" t="s">
        <v>14</v>
      </c>
      <c r="C3" s="178">
        <v>5036</v>
      </c>
      <c r="D3" s="177" t="s">
        <v>16</v>
      </c>
      <c r="E3" s="177" t="s">
        <v>17</v>
      </c>
      <c r="F3" s="178">
        <v>103</v>
      </c>
      <c r="G3" s="178">
        <v>0.32500000000000001</v>
      </c>
      <c r="H3" s="178">
        <f t="shared" ref="H3" si="0">F3*G3</f>
        <v>33.475000000000001</v>
      </c>
      <c r="I3" s="178">
        <v>62</v>
      </c>
      <c r="J3" s="178">
        <v>4</v>
      </c>
      <c r="K3" s="178">
        <f t="shared" ref="K3" si="1">F3*I3</f>
        <v>6386</v>
      </c>
      <c r="L3" s="178">
        <f>K3*J3</f>
        <v>25544</v>
      </c>
      <c r="M3" s="179" t="s">
        <v>22</v>
      </c>
    </row>
    <row r="4" spans="1:13" ht="14.1" customHeight="1" x14ac:dyDescent="0.25">
      <c r="A4" s="176" t="s">
        <v>420</v>
      </c>
      <c r="B4" s="177" t="s">
        <v>14</v>
      </c>
      <c r="C4" s="178">
        <v>2576</v>
      </c>
      <c r="D4" s="177" t="s">
        <v>84</v>
      </c>
      <c r="E4" s="177" t="s">
        <v>17</v>
      </c>
      <c r="F4" s="178">
        <v>330</v>
      </c>
      <c r="G4" s="178">
        <v>0.1</v>
      </c>
      <c r="H4" s="178">
        <v>18.100000000000001</v>
      </c>
      <c r="I4" s="178">
        <v>17</v>
      </c>
      <c r="J4" s="178">
        <v>1</v>
      </c>
      <c r="K4" s="178">
        <f t="shared" ref="K4" si="2">F4*I4</f>
        <v>5610</v>
      </c>
      <c r="L4" s="178">
        <f>K4*J4</f>
        <v>5610</v>
      </c>
      <c r="M4" s="179" t="s">
        <v>22</v>
      </c>
    </row>
    <row r="5" spans="1:13" ht="14.1" customHeight="1" x14ac:dyDescent="0.25">
      <c r="A5" s="176" t="s">
        <v>420</v>
      </c>
      <c r="B5" s="177" t="s">
        <v>14</v>
      </c>
      <c r="C5" s="178">
        <v>2576</v>
      </c>
      <c r="D5" s="177" t="s">
        <v>346</v>
      </c>
      <c r="E5" s="177" t="s">
        <v>25</v>
      </c>
      <c r="F5" s="178"/>
      <c r="G5" s="178"/>
      <c r="H5" s="178"/>
      <c r="I5" s="178"/>
      <c r="J5" s="178"/>
      <c r="K5" s="178">
        <v>2560</v>
      </c>
      <c r="L5" s="178">
        <f>K5</f>
        <v>2560</v>
      </c>
      <c r="M5" s="179" t="s">
        <v>37</v>
      </c>
    </row>
    <row r="6" spans="1:13" ht="14.1" customHeight="1" x14ac:dyDescent="0.25">
      <c r="A6" s="176" t="s">
        <v>420</v>
      </c>
      <c r="B6" s="177" t="s">
        <v>14</v>
      </c>
      <c r="C6" s="178" t="s">
        <v>51</v>
      </c>
      <c r="D6" s="208" t="s">
        <v>52</v>
      </c>
      <c r="E6" s="177" t="s">
        <v>17</v>
      </c>
      <c r="F6" s="178">
        <v>55</v>
      </c>
      <c r="G6" s="178">
        <v>0.20499999999999999</v>
      </c>
      <c r="H6" s="178">
        <f t="shared" ref="H6" si="3">F6*G6</f>
        <v>11.274999999999999</v>
      </c>
      <c r="I6" s="178">
        <v>28</v>
      </c>
      <c r="J6" s="178">
        <v>4</v>
      </c>
      <c r="K6" s="178">
        <f>F6*I6</f>
        <v>1540</v>
      </c>
      <c r="L6" s="178">
        <f t="shared" ref="L6" si="4">K6*J6</f>
        <v>6160</v>
      </c>
      <c r="M6" s="179" t="s">
        <v>18</v>
      </c>
    </row>
    <row r="7" spans="1:13" ht="14.1" customHeight="1" x14ac:dyDescent="0.25">
      <c r="A7" s="176" t="s">
        <v>420</v>
      </c>
      <c r="B7" s="177" t="s">
        <v>14</v>
      </c>
      <c r="C7" s="178">
        <v>1411</v>
      </c>
      <c r="D7" s="177" t="s">
        <v>414</v>
      </c>
      <c r="E7" s="177" t="s">
        <v>21</v>
      </c>
      <c r="F7" s="178">
        <v>107</v>
      </c>
      <c r="G7" s="221">
        <v>1.1297187499999997</v>
      </c>
      <c r="H7" s="178">
        <f>G7*F7</f>
        <v>120.87990624999996</v>
      </c>
      <c r="I7" s="178">
        <v>29</v>
      </c>
      <c r="J7" s="178">
        <v>1</v>
      </c>
      <c r="K7" s="178">
        <f>F7*I7</f>
        <v>3103</v>
      </c>
      <c r="L7" s="178">
        <f>K7*J7</f>
        <v>3103</v>
      </c>
      <c r="M7" s="179" t="s">
        <v>413</v>
      </c>
    </row>
    <row r="8" spans="1:13" ht="14.1" customHeight="1" x14ac:dyDescent="0.25">
      <c r="A8" s="176" t="s">
        <v>420</v>
      </c>
      <c r="B8" s="177" t="s">
        <v>14</v>
      </c>
      <c r="C8" s="178" t="s">
        <v>71</v>
      </c>
      <c r="D8" s="177" t="s">
        <v>72</v>
      </c>
      <c r="E8" s="177" t="s">
        <v>21</v>
      </c>
      <c r="F8" s="178">
        <v>17</v>
      </c>
      <c r="G8" s="178">
        <v>1.095</v>
      </c>
      <c r="H8" s="178">
        <f>F8*G8</f>
        <v>18.614999999999998</v>
      </c>
      <c r="I8" s="178">
        <v>58</v>
      </c>
      <c r="J8" s="178">
        <v>1</v>
      </c>
      <c r="K8" s="178">
        <f t="shared" ref="K8" si="5">F8*I8</f>
        <v>986</v>
      </c>
      <c r="L8" s="178">
        <f t="shared" ref="L8" si="6">K8*J8</f>
        <v>986</v>
      </c>
      <c r="M8" s="179" t="s">
        <v>179</v>
      </c>
    </row>
    <row r="9" spans="1:13" ht="14.1" customHeight="1" x14ac:dyDescent="0.25">
      <c r="A9" s="176" t="s">
        <v>419</v>
      </c>
      <c r="B9" s="177" t="s">
        <v>14</v>
      </c>
      <c r="C9" s="178" t="s">
        <v>71</v>
      </c>
      <c r="D9" s="177" t="s">
        <v>72</v>
      </c>
      <c r="E9" s="177" t="s">
        <v>21</v>
      </c>
      <c r="F9" s="178">
        <v>121</v>
      </c>
      <c r="G9" s="178">
        <v>1.095</v>
      </c>
      <c r="H9" s="178">
        <f>F9*G9</f>
        <v>132.495</v>
      </c>
      <c r="I9" s="178">
        <v>58</v>
      </c>
      <c r="J9" s="178">
        <v>1</v>
      </c>
      <c r="K9" s="178">
        <f t="shared" ref="K9" si="7">F9*I9</f>
        <v>7018</v>
      </c>
      <c r="L9" s="178">
        <f t="shared" ref="L9" si="8">K9*J9</f>
        <v>7018</v>
      </c>
      <c r="M9" s="179" t="s">
        <v>179</v>
      </c>
    </row>
    <row r="10" spans="1:13" ht="14.1" customHeight="1" x14ac:dyDescent="0.25">
      <c r="A10" s="176" t="s">
        <v>419</v>
      </c>
      <c r="B10" s="177" t="s">
        <v>14</v>
      </c>
      <c r="C10" s="178">
        <v>2576</v>
      </c>
      <c r="D10" s="177" t="s">
        <v>84</v>
      </c>
      <c r="E10" s="177" t="s">
        <v>17</v>
      </c>
      <c r="F10" s="178">
        <v>440</v>
      </c>
      <c r="G10" s="178">
        <v>0.1</v>
      </c>
      <c r="H10" s="178">
        <v>18.100000000000001</v>
      </c>
      <c r="I10" s="178">
        <v>17</v>
      </c>
      <c r="J10" s="178">
        <v>1</v>
      </c>
      <c r="K10" s="178">
        <v>8789</v>
      </c>
      <c r="L10" s="178">
        <v>8789</v>
      </c>
      <c r="M10" s="179" t="s">
        <v>22</v>
      </c>
    </row>
    <row r="11" spans="1:13" ht="14.1" customHeight="1" x14ac:dyDescent="0.25">
      <c r="A11" s="176" t="s">
        <v>419</v>
      </c>
      <c r="B11" s="177" t="s">
        <v>14</v>
      </c>
      <c r="C11" s="178">
        <v>2576</v>
      </c>
      <c r="D11" s="177" t="s">
        <v>346</v>
      </c>
      <c r="E11" s="177" t="s">
        <v>25</v>
      </c>
      <c r="F11" s="178"/>
      <c r="G11" s="178"/>
      <c r="H11" s="178"/>
      <c r="I11" s="178"/>
      <c r="J11" s="178"/>
      <c r="K11" s="178">
        <f>7130-2560</f>
        <v>4570</v>
      </c>
      <c r="L11" s="178">
        <f>K11</f>
        <v>4570</v>
      </c>
      <c r="M11" s="179" t="s">
        <v>37</v>
      </c>
    </row>
    <row r="12" spans="1:13" ht="14.1" customHeight="1" x14ac:dyDescent="0.25">
      <c r="A12" s="176" t="s">
        <v>419</v>
      </c>
      <c r="B12" s="177" t="s">
        <v>14</v>
      </c>
      <c r="C12" s="178">
        <v>7479</v>
      </c>
      <c r="D12" s="177" t="s">
        <v>20</v>
      </c>
      <c r="E12" s="177" t="s">
        <v>21</v>
      </c>
      <c r="F12" s="178">
        <v>56</v>
      </c>
      <c r="G12" s="178">
        <v>0.15</v>
      </c>
      <c r="H12" s="178">
        <f>G12*F12</f>
        <v>8.4</v>
      </c>
      <c r="I12" s="178">
        <v>80</v>
      </c>
      <c r="J12" s="178">
        <v>1</v>
      </c>
      <c r="K12" s="178">
        <f>F12*I12</f>
        <v>4480</v>
      </c>
      <c r="L12" s="178">
        <f>K12*J12</f>
        <v>4480</v>
      </c>
      <c r="M12" s="179" t="s">
        <v>37</v>
      </c>
    </row>
    <row r="13" spans="1:13" ht="14.1" customHeight="1" x14ac:dyDescent="0.25">
      <c r="A13" s="176" t="s">
        <v>419</v>
      </c>
      <c r="B13" s="177" t="s">
        <v>14</v>
      </c>
      <c r="C13" s="178">
        <v>7479</v>
      </c>
      <c r="D13" s="177" t="s">
        <v>20</v>
      </c>
      <c r="E13" s="177" t="s">
        <v>25</v>
      </c>
      <c r="F13" s="178"/>
      <c r="G13" s="178"/>
      <c r="H13" s="178"/>
      <c r="I13" s="178"/>
      <c r="J13" s="178"/>
      <c r="K13" s="178">
        <v>3500</v>
      </c>
      <c r="L13" s="178">
        <f t="shared" ref="L13" si="9">K13</f>
        <v>3500</v>
      </c>
      <c r="M13" s="179" t="s">
        <v>181</v>
      </c>
    </row>
    <row r="14" spans="1:13" ht="14.1" customHeight="1" x14ac:dyDescent="0.25">
      <c r="A14" s="176" t="s">
        <v>419</v>
      </c>
      <c r="B14" s="177" t="s">
        <v>14</v>
      </c>
      <c r="C14" s="178">
        <v>1411</v>
      </c>
      <c r="D14" s="177" t="s">
        <v>414</v>
      </c>
      <c r="E14" s="177" t="s">
        <v>21</v>
      </c>
      <c r="F14" s="178">
        <v>110</v>
      </c>
      <c r="G14" s="221">
        <v>1.1297187499999997</v>
      </c>
      <c r="H14" s="178">
        <f>G14*F14</f>
        <v>124.26906249999996</v>
      </c>
      <c r="I14" s="178">
        <v>29</v>
      </c>
      <c r="J14" s="178">
        <v>1</v>
      </c>
      <c r="K14" s="178">
        <f>F14*I14</f>
        <v>3190</v>
      </c>
      <c r="L14" s="178">
        <f>K14*J14</f>
        <v>3190</v>
      </c>
      <c r="M14" s="179" t="s">
        <v>413</v>
      </c>
    </row>
    <row r="15" spans="1:13" ht="14.1" customHeight="1" x14ac:dyDescent="0.25">
      <c r="A15" s="176" t="s">
        <v>419</v>
      </c>
      <c r="B15" s="177" t="s">
        <v>14</v>
      </c>
      <c r="C15" s="178">
        <v>8200</v>
      </c>
      <c r="D15" s="177" t="s">
        <v>16</v>
      </c>
      <c r="E15" s="177" t="s">
        <v>17</v>
      </c>
      <c r="F15" s="178">
        <v>50</v>
      </c>
      <c r="G15" s="221">
        <v>0.7125999999999999</v>
      </c>
      <c r="H15" s="178">
        <f t="shared" ref="H15" si="10">F15*G15</f>
        <v>35.629999999999995</v>
      </c>
      <c r="I15" s="178">
        <v>60</v>
      </c>
      <c r="J15" s="178">
        <v>4</v>
      </c>
      <c r="K15" s="178">
        <f>F15*I15</f>
        <v>3000</v>
      </c>
      <c r="L15" s="178">
        <f>K15*J15</f>
        <v>12000</v>
      </c>
      <c r="M15" s="179" t="s">
        <v>277</v>
      </c>
    </row>
    <row r="16" spans="1:13" ht="14.1" customHeight="1" x14ac:dyDescent="0.25">
      <c r="A16" s="176" t="s">
        <v>412</v>
      </c>
      <c r="B16" s="177" t="s">
        <v>14</v>
      </c>
      <c r="C16" s="178">
        <v>2576</v>
      </c>
      <c r="D16" s="177" t="s">
        <v>387</v>
      </c>
      <c r="E16" s="177" t="s">
        <v>17</v>
      </c>
      <c r="F16" s="178">
        <v>205</v>
      </c>
      <c r="G16" s="178">
        <v>0.1</v>
      </c>
      <c r="H16" s="178">
        <v>18.100000000000001</v>
      </c>
      <c r="I16" s="178">
        <v>18</v>
      </c>
      <c r="J16" s="178">
        <v>1</v>
      </c>
      <c r="K16" s="178">
        <f>F16*I16</f>
        <v>3690</v>
      </c>
      <c r="L16" s="178">
        <f>K16*J16</f>
        <v>3690</v>
      </c>
      <c r="M16" s="179" t="s">
        <v>22</v>
      </c>
    </row>
    <row r="17" spans="1:13" ht="14.1" customHeight="1" x14ac:dyDescent="0.25">
      <c r="A17" s="176" t="s">
        <v>412</v>
      </c>
      <c r="B17" s="177" t="s">
        <v>14</v>
      </c>
      <c r="C17" s="178">
        <v>2576</v>
      </c>
      <c r="D17" s="177" t="s">
        <v>387</v>
      </c>
      <c r="E17" s="177" t="s">
        <v>25</v>
      </c>
      <c r="F17" s="178"/>
      <c r="G17" s="178"/>
      <c r="H17" s="178"/>
      <c r="I17" s="178"/>
      <c r="J17" s="178"/>
      <c r="K17" s="178">
        <v>5525</v>
      </c>
      <c r="L17" s="178">
        <f>K17</f>
        <v>5525</v>
      </c>
      <c r="M17" s="179" t="s">
        <v>180</v>
      </c>
    </row>
    <row r="18" spans="1:13" ht="14.1" customHeight="1" x14ac:dyDescent="0.25">
      <c r="A18" s="176" t="s">
        <v>412</v>
      </c>
      <c r="B18" s="177" t="s">
        <v>14</v>
      </c>
      <c r="C18" s="178">
        <v>7479</v>
      </c>
      <c r="D18" s="177" t="s">
        <v>20</v>
      </c>
      <c r="E18" s="177" t="s">
        <v>21</v>
      </c>
      <c r="F18" s="178">
        <v>135</v>
      </c>
      <c r="G18" s="178">
        <v>0.15</v>
      </c>
      <c r="H18" s="178">
        <f>G18*F18</f>
        <v>20.25</v>
      </c>
      <c r="I18" s="178">
        <v>80</v>
      </c>
      <c r="J18" s="178">
        <v>1</v>
      </c>
      <c r="K18" s="178">
        <f>F18*I18</f>
        <v>10800</v>
      </c>
      <c r="L18" s="178">
        <f>K18*J18</f>
        <v>10800</v>
      </c>
      <c r="M18" s="179" t="s">
        <v>37</v>
      </c>
    </row>
    <row r="19" spans="1:13" ht="14.1" customHeight="1" x14ac:dyDescent="0.25">
      <c r="A19" s="176" t="s">
        <v>412</v>
      </c>
      <c r="B19" s="177" t="s">
        <v>14</v>
      </c>
      <c r="C19" s="178">
        <v>7479</v>
      </c>
      <c r="D19" s="177" t="s">
        <v>20</v>
      </c>
      <c r="E19" s="177" t="s">
        <v>25</v>
      </c>
      <c r="F19" s="178"/>
      <c r="G19" s="178"/>
      <c r="H19" s="178"/>
      <c r="I19" s="178"/>
      <c r="J19" s="178"/>
      <c r="K19" s="178">
        <v>5700</v>
      </c>
      <c r="L19" s="178">
        <f t="shared" ref="L19" si="11">K19</f>
        <v>5700</v>
      </c>
      <c r="M19" s="179" t="s">
        <v>181</v>
      </c>
    </row>
    <row r="20" spans="1:13" ht="14.1" customHeight="1" x14ac:dyDescent="0.25">
      <c r="A20" s="176" t="s">
        <v>412</v>
      </c>
      <c r="B20" s="177" t="s">
        <v>14</v>
      </c>
      <c r="C20" s="178">
        <v>8200</v>
      </c>
      <c r="D20" s="177" t="s">
        <v>16</v>
      </c>
      <c r="E20" s="177" t="s">
        <v>17</v>
      </c>
      <c r="F20" s="178">
        <v>129</v>
      </c>
      <c r="G20" s="221">
        <v>0.7125999999999999</v>
      </c>
      <c r="H20" s="178">
        <f t="shared" ref="H20" si="12">F20*G20</f>
        <v>91.925399999999982</v>
      </c>
      <c r="I20" s="178">
        <v>60</v>
      </c>
      <c r="J20" s="178">
        <v>4</v>
      </c>
      <c r="K20" s="178">
        <f>F20*I20</f>
        <v>7740</v>
      </c>
      <c r="L20" s="178">
        <f>K20*J20</f>
        <v>30960</v>
      </c>
      <c r="M20" s="179" t="s">
        <v>277</v>
      </c>
    </row>
    <row r="21" spans="1:13" ht="14.1" customHeight="1" x14ac:dyDescent="0.25">
      <c r="A21" s="176" t="s">
        <v>412</v>
      </c>
      <c r="B21" s="177" t="s">
        <v>14</v>
      </c>
      <c r="C21" s="178">
        <v>1411</v>
      </c>
      <c r="D21" s="177" t="s">
        <v>414</v>
      </c>
      <c r="E21" s="177" t="s">
        <v>21</v>
      </c>
      <c r="F21" s="178">
        <v>5</v>
      </c>
      <c r="G21" s="221">
        <v>1.1297187499999997</v>
      </c>
      <c r="H21" s="178">
        <f>G21*F21</f>
        <v>5.6485937499999981</v>
      </c>
      <c r="I21" s="178">
        <v>29</v>
      </c>
      <c r="J21" s="178">
        <v>1</v>
      </c>
      <c r="K21" s="178">
        <f>F21*I21</f>
        <v>145</v>
      </c>
      <c r="L21" s="178">
        <f>K21*J21</f>
        <v>145</v>
      </c>
      <c r="M21" s="179" t="s">
        <v>413</v>
      </c>
    </row>
    <row r="22" spans="1:13" ht="14.1" customHeight="1" x14ac:dyDescent="0.25">
      <c r="A22" s="176" t="s">
        <v>412</v>
      </c>
      <c r="B22" s="177" t="s">
        <v>14</v>
      </c>
      <c r="C22" s="178" t="s">
        <v>452</v>
      </c>
      <c r="D22" s="177"/>
      <c r="E22" s="177" t="s">
        <v>21</v>
      </c>
      <c r="F22" s="178">
        <v>65</v>
      </c>
      <c r="G22" s="221">
        <v>0.34062500000000001</v>
      </c>
      <c r="H22" s="178">
        <f t="shared" ref="H22" si="13">F22*G22</f>
        <v>22.140625</v>
      </c>
      <c r="I22" s="178">
        <v>23</v>
      </c>
      <c r="J22" s="178">
        <v>1</v>
      </c>
      <c r="K22" s="178">
        <f t="shared" ref="K22" si="14">F22*I22</f>
        <v>1495</v>
      </c>
      <c r="L22" s="178">
        <f t="shared" ref="L22" si="15">K22*J22</f>
        <v>1495</v>
      </c>
      <c r="M22" s="179" t="s">
        <v>405</v>
      </c>
    </row>
    <row r="23" spans="1:13" ht="14.1" customHeight="1" x14ac:dyDescent="0.25">
      <c r="A23" s="176" t="s">
        <v>412</v>
      </c>
      <c r="B23" s="177" t="s">
        <v>14</v>
      </c>
      <c r="C23" s="178">
        <v>6380</v>
      </c>
      <c r="D23" s="177" t="s">
        <v>16</v>
      </c>
      <c r="E23" s="177" t="s">
        <v>17</v>
      </c>
      <c r="F23" s="178">
        <v>39</v>
      </c>
      <c r="G23" s="151">
        <v>0.42499999999999999</v>
      </c>
      <c r="H23" s="178">
        <f t="shared" ref="H23" si="16">F23*G23</f>
        <v>16.574999999999999</v>
      </c>
      <c r="I23" s="178">
        <v>45</v>
      </c>
      <c r="J23" s="178">
        <v>4</v>
      </c>
      <c r="K23" s="178">
        <f>F23*I23</f>
        <v>1755</v>
      </c>
      <c r="L23" s="178">
        <f>K23*J23</f>
        <v>7020</v>
      </c>
      <c r="M23" s="179" t="s">
        <v>22</v>
      </c>
    </row>
    <row r="24" spans="1:13" ht="14.1" customHeight="1" x14ac:dyDescent="0.25">
      <c r="A24" s="176" t="s">
        <v>412</v>
      </c>
      <c r="B24" s="177" t="s">
        <v>14</v>
      </c>
      <c r="C24" s="178" t="s">
        <v>410</v>
      </c>
      <c r="D24" s="177"/>
      <c r="E24" s="177" t="s">
        <v>21</v>
      </c>
      <c r="F24" s="178">
        <v>46</v>
      </c>
      <c r="G24" s="221">
        <v>0.74674999999999991</v>
      </c>
      <c r="H24" s="178">
        <f>G24*F24</f>
        <v>34.350499999999997</v>
      </c>
      <c r="I24" s="178">
        <v>35</v>
      </c>
      <c r="J24" s="178">
        <v>1</v>
      </c>
      <c r="K24" s="178">
        <f>F24*I24</f>
        <v>1610</v>
      </c>
      <c r="L24" s="178">
        <f>K24*J24</f>
        <v>1610</v>
      </c>
      <c r="M24" s="179" t="s">
        <v>413</v>
      </c>
    </row>
    <row r="25" spans="1:13" ht="14.1" customHeight="1" x14ac:dyDescent="0.25">
      <c r="A25" s="176" t="s">
        <v>412</v>
      </c>
      <c r="B25" s="212" t="s">
        <v>23</v>
      </c>
      <c r="C25" s="178">
        <v>66772</v>
      </c>
      <c r="D25" s="177" t="s">
        <v>34</v>
      </c>
      <c r="E25" s="201" t="s">
        <v>35</v>
      </c>
      <c r="F25" s="178"/>
      <c r="G25" s="181" t="s">
        <v>77</v>
      </c>
      <c r="H25" s="178"/>
      <c r="I25" s="178"/>
      <c r="J25" s="178"/>
      <c r="K25" s="178">
        <v>1375</v>
      </c>
      <c r="L25" s="178">
        <f t="shared" ref="L25" si="17">K25</f>
        <v>1375</v>
      </c>
      <c r="M25" s="179" t="s">
        <v>179</v>
      </c>
    </row>
    <row r="26" spans="1:13" ht="14.1" customHeight="1" x14ac:dyDescent="0.25">
      <c r="A26" s="176" t="s">
        <v>411</v>
      </c>
      <c r="B26" s="212" t="s">
        <v>23</v>
      </c>
      <c r="C26" s="178">
        <v>66772</v>
      </c>
      <c r="D26" s="177" t="s">
        <v>34</v>
      </c>
      <c r="E26" s="201" t="s">
        <v>35</v>
      </c>
      <c r="F26" s="178"/>
      <c r="G26" s="181" t="s">
        <v>77</v>
      </c>
      <c r="H26" s="178"/>
      <c r="I26" s="178"/>
      <c r="J26" s="178"/>
      <c r="K26" s="178">
        <v>6775</v>
      </c>
      <c r="L26" s="178">
        <f t="shared" ref="L26:L27" si="18">K26</f>
        <v>6775</v>
      </c>
      <c r="M26" s="179" t="s">
        <v>179</v>
      </c>
    </row>
    <row r="27" spans="1:13" ht="14.1" customHeight="1" x14ac:dyDescent="0.25">
      <c r="A27" s="176" t="s">
        <v>411</v>
      </c>
      <c r="B27" s="212" t="s">
        <v>23</v>
      </c>
      <c r="C27" s="178">
        <v>66772</v>
      </c>
      <c r="D27" s="177" t="s">
        <v>34</v>
      </c>
      <c r="E27" s="177" t="s">
        <v>39</v>
      </c>
      <c r="F27" s="178"/>
      <c r="G27" s="181" t="s">
        <v>36</v>
      </c>
      <c r="H27" s="178"/>
      <c r="I27" s="178"/>
      <c r="J27" s="178"/>
      <c r="K27" s="178">
        <v>5000</v>
      </c>
      <c r="L27" s="178">
        <f t="shared" si="18"/>
        <v>5000</v>
      </c>
      <c r="M27" s="179" t="s">
        <v>277</v>
      </c>
    </row>
    <row r="28" spans="1:13" ht="14.1" customHeight="1" x14ac:dyDescent="0.25">
      <c r="A28" s="176" t="s">
        <v>411</v>
      </c>
      <c r="B28" s="212" t="s">
        <v>23</v>
      </c>
      <c r="C28" s="178">
        <v>66772</v>
      </c>
      <c r="D28" s="177" t="s">
        <v>34</v>
      </c>
      <c r="E28" s="204" t="s">
        <v>30</v>
      </c>
      <c r="F28" s="178"/>
      <c r="G28" s="181" t="s">
        <v>78</v>
      </c>
      <c r="H28" s="178"/>
      <c r="I28" s="178"/>
      <c r="J28" s="178"/>
      <c r="K28" s="178">
        <v>3400</v>
      </c>
      <c r="L28" s="178">
        <f>K28</f>
        <v>3400</v>
      </c>
      <c r="M28" s="179" t="s">
        <v>180</v>
      </c>
    </row>
    <row r="29" spans="1:13" ht="14.1" customHeight="1" x14ac:dyDescent="0.25">
      <c r="A29" s="176" t="s">
        <v>411</v>
      </c>
      <c r="B29" s="177" t="s">
        <v>14</v>
      </c>
      <c r="C29" s="178">
        <v>2576</v>
      </c>
      <c r="D29" s="177" t="s">
        <v>387</v>
      </c>
      <c r="E29" s="177" t="s">
        <v>25</v>
      </c>
      <c r="F29" s="178"/>
      <c r="G29" s="178"/>
      <c r="H29" s="178"/>
      <c r="I29" s="178"/>
      <c r="J29" s="178"/>
      <c r="K29" s="178">
        <v>900</v>
      </c>
      <c r="L29" s="178">
        <f>K29</f>
        <v>900</v>
      </c>
      <c r="M29" s="179" t="s">
        <v>180</v>
      </c>
    </row>
    <row r="30" spans="1:13" ht="14.1" customHeight="1" x14ac:dyDescent="0.25">
      <c r="A30" s="176" t="s">
        <v>411</v>
      </c>
      <c r="B30" s="177" t="s">
        <v>14</v>
      </c>
      <c r="C30" s="178">
        <v>7479</v>
      </c>
      <c r="D30" s="177" t="s">
        <v>20</v>
      </c>
      <c r="E30" s="177" t="s">
        <v>25</v>
      </c>
      <c r="F30" s="178"/>
      <c r="G30" s="178"/>
      <c r="H30" s="178"/>
      <c r="I30" s="178"/>
      <c r="J30" s="178"/>
      <c r="K30" s="178">
        <v>5800</v>
      </c>
      <c r="L30" s="178">
        <f t="shared" ref="L30" si="19">K30</f>
        <v>5800</v>
      </c>
      <c r="M30" s="179" t="s">
        <v>181</v>
      </c>
    </row>
    <row r="31" spans="1:13" ht="14.1" customHeight="1" x14ac:dyDescent="0.25">
      <c r="A31" s="176" t="s">
        <v>411</v>
      </c>
      <c r="B31" s="177" t="s">
        <v>14</v>
      </c>
      <c r="C31" s="178" t="s">
        <v>410</v>
      </c>
      <c r="D31" s="177"/>
      <c r="E31" s="177" t="s">
        <v>21</v>
      </c>
      <c r="F31" s="178">
        <v>19</v>
      </c>
      <c r="G31" s="221">
        <v>0.74674999999999991</v>
      </c>
      <c r="H31" s="178">
        <f>G31*F31</f>
        <v>14.188249999999998</v>
      </c>
      <c r="I31" s="178">
        <v>35</v>
      </c>
      <c r="J31" s="178">
        <v>1</v>
      </c>
      <c r="K31" s="178">
        <f>F31*I31</f>
        <v>665</v>
      </c>
      <c r="L31" s="178">
        <f>K31*J31</f>
        <v>665</v>
      </c>
      <c r="M31" s="179" t="s">
        <v>413</v>
      </c>
    </row>
    <row r="32" spans="1:13" ht="14.1" customHeight="1" x14ac:dyDescent="0.25">
      <c r="A32" s="176" t="s">
        <v>411</v>
      </c>
      <c r="B32" s="177" t="s">
        <v>14</v>
      </c>
      <c r="C32" s="178" t="s">
        <v>452</v>
      </c>
      <c r="D32" s="177"/>
      <c r="E32" s="177" t="s">
        <v>21</v>
      </c>
      <c r="F32" s="178">
        <v>44</v>
      </c>
      <c r="G32" s="221">
        <v>0.34062500000000001</v>
      </c>
      <c r="H32" s="178">
        <f t="shared" ref="H32" si="20">F32*G32</f>
        <v>14.987500000000001</v>
      </c>
      <c r="I32" s="178">
        <v>23</v>
      </c>
      <c r="J32" s="178">
        <v>1</v>
      </c>
      <c r="K32" s="178">
        <f t="shared" ref="K32" si="21">F32*I32</f>
        <v>1012</v>
      </c>
      <c r="L32" s="178">
        <f t="shared" ref="L32" si="22">K32*J32</f>
        <v>1012</v>
      </c>
      <c r="M32" s="179" t="s">
        <v>405</v>
      </c>
    </row>
    <row r="33" spans="1:13" ht="14.1" customHeight="1" x14ac:dyDescent="0.25">
      <c r="A33" s="176" t="s">
        <v>411</v>
      </c>
      <c r="B33" s="177" t="s">
        <v>14</v>
      </c>
      <c r="C33" s="178" t="s">
        <v>448</v>
      </c>
      <c r="D33" s="177" t="s">
        <v>406</v>
      </c>
      <c r="E33" s="177" t="s">
        <v>21</v>
      </c>
      <c r="F33" s="178">
        <v>30</v>
      </c>
      <c r="G33" s="221">
        <v>0.23839999999999995</v>
      </c>
      <c r="H33" s="178">
        <f>G33*F33</f>
        <v>7.1519999999999984</v>
      </c>
      <c r="I33" s="201">
        <v>45</v>
      </c>
      <c r="J33" s="178">
        <v>1</v>
      </c>
      <c r="K33" s="178">
        <f>F33*I33</f>
        <v>1350</v>
      </c>
      <c r="L33" s="178">
        <f>K33*J33</f>
        <v>1350</v>
      </c>
      <c r="M33" s="179" t="s">
        <v>37</v>
      </c>
    </row>
    <row r="34" spans="1:13" ht="14.1" customHeight="1" x14ac:dyDescent="0.25">
      <c r="A34" s="176" t="s">
        <v>411</v>
      </c>
      <c r="B34" s="177" t="s">
        <v>14</v>
      </c>
      <c r="C34" s="178">
        <v>8200</v>
      </c>
      <c r="D34" s="177" t="s">
        <v>16</v>
      </c>
      <c r="E34" s="177" t="s">
        <v>17</v>
      </c>
      <c r="F34" s="178">
        <v>78</v>
      </c>
      <c r="G34" s="221">
        <v>0.7125999999999999</v>
      </c>
      <c r="H34" s="178">
        <f t="shared" ref="H34" si="23">F34*G34</f>
        <v>55.582799999999992</v>
      </c>
      <c r="I34" s="178">
        <v>60</v>
      </c>
      <c r="J34" s="178">
        <v>4</v>
      </c>
      <c r="K34" s="178">
        <f>F34*I34</f>
        <v>4680</v>
      </c>
      <c r="L34" s="178">
        <f>K34*J34</f>
        <v>18720</v>
      </c>
      <c r="M34" s="179" t="s">
        <v>277</v>
      </c>
    </row>
    <row r="35" spans="1:13" ht="14.1" customHeight="1" x14ac:dyDescent="0.25">
      <c r="A35" s="176" t="s">
        <v>411</v>
      </c>
      <c r="B35" s="177" t="s">
        <v>14</v>
      </c>
      <c r="C35" s="178">
        <v>6086</v>
      </c>
      <c r="D35" s="177" t="s">
        <v>16</v>
      </c>
      <c r="E35" s="177" t="s">
        <v>17</v>
      </c>
      <c r="F35" s="178">
        <v>124</v>
      </c>
      <c r="G35" s="222">
        <v>0.7629999999999999</v>
      </c>
      <c r="H35" s="178">
        <f t="shared" ref="H35" si="24">F35*G35</f>
        <v>94.611999999999995</v>
      </c>
      <c r="I35" s="178">
        <v>42</v>
      </c>
      <c r="J35" s="178">
        <v>2</v>
      </c>
      <c r="K35" s="178">
        <f>F35*I35</f>
        <v>5208</v>
      </c>
      <c r="L35" s="178">
        <f>K35*J35</f>
        <v>10416</v>
      </c>
      <c r="M35" s="179" t="s">
        <v>22</v>
      </c>
    </row>
    <row r="36" spans="1:13" ht="14.1" customHeight="1" x14ac:dyDescent="0.25">
      <c r="A36" s="176" t="s">
        <v>411</v>
      </c>
      <c r="B36" s="177" t="s">
        <v>14</v>
      </c>
      <c r="C36" s="178">
        <v>6871</v>
      </c>
      <c r="D36" s="177" t="s">
        <v>16</v>
      </c>
      <c r="E36" s="177" t="s">
        <v>17</v>
      </c>
      <c r="F36" s="178">
        <v>6</v>
      </c>
      <c r="G36" s="178">
        <v>0.64</v>
      </c>
      <c r="H36" s="178">
        <f>G36*F36</f>
        <v>3.84</v>
      </c>
      <c r="I36" s="178">
        <v>70</v>
      </c>
      <c r="J36" s="178">
        <v>2</v>
      </c>
      <c r="K36" s="178">
        <f t="shared" ref="K36" si="25">F36*I36</f>
        <v>420</v>
      </c>
      <c r="L36" s="178">
        <f t="shared" ref="L36" si="26">K36*J36</f>
        <v>840</v>
      </c>
      <c r="M36" s="179" t="s">
        <v>22</v>
      </c>
    </row>
    <row r="37" spans="1:13" ht="14.1" customHeight="1" x14ac:dyDescent="0.25">
      <c r="A37" s="176" t="s">
        <v>411</v>
      </c>
      <c r="B37" s="177" t="s">
        <v>14</v>
      </c>
      <c r="C37" s="178" t="s">
        <v>407</v>
      </c>
      <c r="D37" s="177"/>
      <c r="E37" s="177" t="s">
        <v>21</v>
      </c>
      <c r="F37" s="178">
        <v>120</v>
      </c>
      <c r="G37" s="221">
        <v>0.48962500000000003</v>
      </c>
      <c r="H37" s="178">
        <f>G37*F37</f>
        <v>58.755000000000003</v>
      </c>
      <c r="I37" s="178">
        <v>17</v>
      </c>
      <c r="J37" s="178">
        <v>1</v>
      </c>
      <c r="K37" s="178">
        <f>F37*I37</f>
        <v>2040</v>
      </c>
      <c r="L37" s="178">
        <f>K37*J37</f>
        <v>2040</v>
      </c>
      <c r="M37" s="179" t="s">
        <v>277</v>
      </c>
    </row>
    <row r="38" spans="1:13" ht="14.1" customHeight="1" x14ac:dyDescent="0.25">
      <c r="A38" s="176" t="s">
        <v>404</v>
      </c>
      <c r="B38" s="212" t="s">
        <v>23</v>
      </c>
      <c r="C38" s="178">
        <v>66772</v>
      </c>
      <c r="D38" s="177" t="s">
        <v>34</v>
      </c>
      <c r="E38" s="201" t="s">
        <v>35</v>
      </c>
      <c r="F38" s="178"/>
      <c r="G38" s="181" t="s">
        <v>77</v>
      </c>
      <c r="H38" s="178"/>
      <c r="I38" s="178"/>
      <c r="J38" s="178"/>
      <c r="K38" s="178">
        <v>4500</v>
      </c>
      <c r="L38" s="178">
        <f t="shared" ref="L38:L39" si="27">K38</f>
        <v>4500</v>
      </c>
      <c r="M38" s="179" t="s">
        <v>179</v>
      </c>
    </row>
    <row r="39" spans="1:13" ht="14.1" customHeight="1" x14ac:dyDescent="0.25">
      <c r="A39" s="176" t="s">
        <v>404</v>
      </c>
      <c r="B39" s="212" t="s">
        <v>23</v>
      </c>
      <c r="C39" s="178">
        <v>66772</v>
      </c>
      <c r="D39" s="177" t="s">
        <v>34</v>
      </c>
      <c r="E39" s="177" t="s">
        <v>39</v>
      </c>
      <c r="F39" s="178"/>
      <c r="G39" s="181" t="s">
        <v>36</v>
      </c>
      <c r="H39" s="178"/>
      <c r="I39" s="178"/>
      <c r="J39" s="178"/>
      <c r="K39" s="178">
        <v>5000</v>
      </c>
      <c r="L39" s="178">
        <f t="shared" si="27"/>
        <v>5000</v>
      </c>
      <c r="M39" s="179" t="s">
        <v>277</v>
      </c>
    </row>
    <row r="40" spans="1:13" ht="14.1" customHeight="1" x14ac:dyDescent="0.25">
      <c r="A40" s="176" t="s">
        <v>404</v>
      </c>
      <c r="B40" s="212" t="s">
        <v>23</v>
      </c>
      <c r="C40" s="178">
        <v>66772</v>
      </c>
      <c r="D40" s="177" t="s">
        <v>34</v>
      </c>
      <c r="E40" s="204" t="s">
        <v>30</v>
      </c>
      <c r="F40" s="178"/>
      <c r="G40" s="181" t="s">
        <v>78</v>
      </c>
      <c r="H40" s="178"/>
      <c r="I40" s="178"/>
      <c r="J40" s="178"/>
      <c r="K40" s="178">
        <v>6100</v>
      </c>
      <c r="L40" s="178">
        <f>K40</f>
        <v>6100</v>
      </c>
      <c r="M40" s="179" t="s">
        <v>180</v>
      </c>
    </row>
    <row r="41" spans="1:13" ht="14.1" customHeight="1" x14ac:dyDescent="0.25">
      <c r="A41" s="176" t="s">
        <v>404</v>
      </c>
      <c r="B41" s="177" t="s">
        <v>14</v>
      </c>
      <c r="C41" s="178" t="s">
        <v>452</v>
      </c>
      <c r="D41" s="177"/>
      <c r="E41" s="177" t="s">
        <v>21</v>
      </c>
      <c r="F41" s="178">
        <v>43</v>
      </c>
      <c r="G41" s="221">
        <v>0.34062500000000001</v>
      </c>
      <c r="H41" s="178">
        <f t="shared" ref="H41" si="28">F41*G41</f>
        <v>14.646875</v>
      </c>
      <c r="I41" s="178">
        <v>23</v>
      </c>
      <c r="J41" s="178">
        <v>1</v>
      </c>
      <c r="K41" s="178">
        <f t="shared" ref="K41" si="29">F41*I41</f>
        <v>989</v>
      </c>
      <c r="L41" s="178">
        <f t="shared" ref="L41" si="30">K41*J41</f>
        <v>989</v>
      </c>
      <c r="M41" s="179" t="s">
        <v>405</v>
      </c>
    </row>
    <row r="42" spans="1:13" ht="14.1" customHeight="1" x14ac:dyDescent="0.25">
      <c r="A42" s="176" t="s">
        <v>404</v>
      </c>
      <c r="B42" s="177" t="s">
        <v>14</v>
      </c>
      <c r="C42" s="178" t="s">
        <v>448</v>
      </c>
      <c r="D42" s="177" t="s">
        <v>406</v>
      </c>
      <c r="E42" s="177" t="s">
        <v>25</v>
      </c>
      <c r="F42" s="178"/>
      <c r="G42" s="178"/>
      <c r="H42" s="178"/>
      <c r="I42" s="178"/>
      <c r="J42" s="178"/>
      <c r="K42" s="178">
        <v>1000</v>
      </c>
      <c r="L42" s="178">
        <f>K42</f>
        <v>1000</v>
      </c>
      <c r="M42" s="179" t="s">
        <v>37</v>
      </c>
    </row>
    <row r="43" spans="1:13" ht="14.1" customHeight="1" x14ac:dyDescent="0.25">
      <c r="A43" s="176" t="s">
        <v>404</v>
      </c>
      <c r="B43" s="177" t="s">
        <v>14</v>
      </c>
      <c r="C43" s="178" t="s">
        <v>407</v>
      </c>
      <c r="D43" s="177"/>
      <c r="E43" s="177" t="s">
        <v>21</v>
      </c>
      <c r="F43" s="178">
        <f>275+317</f>
        <v>592</v>
      </c>
      <c r="G43" s="221">
        <v>0.48962500000000003</v>
      </c>
      <c r="H43" s="178">
        <f>G43*F43</f>
        <v>289.858</v>
      </c>
      <c r="I43" s="178">
        <v>17</v>
      </c>
      <c r="J43" s="178">
        <v>1</v>
      </c>
      <c r="K43" s="178">
        <f>F43*I43</f>
        <v>10064</v>
      </c>
      <c r="L43" s="178">
        <f>K43*J43</f>
        <v>10064</v>
      </c>
      <c r="M43" s="179" t="s">
        <v>277</v>
      </c>
    </row>
    <row r="44" spans="1:13" ht="14.1" customHeight="1" x14ac:dyDescent="0.25">
      <c r="A44" s="176" t="s">
        <v>404</v>
      </c>
      <c r="B44" s="177" t="s">
        <v>14</v>
      </c>
      <c r="C44" s="178" t="s">
        <v>83</v>
      </c>
      <c r="D44" s="177" t="s">
        <v>84</v>
      </c>
      <c r="E44" s="177" t="s">
        <v>17</v>
      </c>
      <c r="F44" s="178">
        <v>83</v>
      </c>
      <c r="G44" s="178">
        <v>0.44</v>
      </c>
      <c r="H44" s="178">
        <v>22</v>
      </c>
      <c r="I44" s="178">
        <v>50</v>
      </c>
      <c r="J44" s="178">
        <v>1</v>
      </c>
      <c r="K44" s="178">
        <f t="shared" ref="K44" si="31">F44*I44</f>
        <v>4150</v>
      </c>
      <c r="L44" s="178">
        <f t="shared" ref="L44" si="32">K44*J44</f>
        <v>4150</v>
      </c>
      <c r="M44" s="179" t="s">
        <v>22</v>
      </c>
    </row>
    <row r="45" spans="1:13" ht="14.1" customHeight="1" x14ac:dyDescent="0.25">
      <c r="A45" s="176" t="s">
        <v>404</v>
      </c>
      <c r="B45" s="177" t="s">
        <v>14</v>
      </c>
      <c r="C45" s="178" t="s">
        <v>408</v>
      </c>
      <c r="D45" s="177" t="s">
        <v>409</v>
      </c>
      <c r="E45" s="177" t="s">
        <v>21</v>
      </c>
      <c r="F45" s="178">
        <v>57</v>
      </c>
      <c r="G45" s="221">
        <v>0.77037500000000014</v>
      </c>
      <c r="H45" s="178">
        <f>G45*F45</f>
        <v>43.911375000000007</v>
      </c>
      <c r="I45" s="178">
        <v>30</v>
      </c>
      <c r="J45" s="178">
        <v>1</v>
      </c>
      <c r="K45" s="178">
        <f>F45*I45</f>
        <v>1710</v>
      </c>
      <c r="L45" s="178">
        <f>K45*J45</f>
        <v>1710</v>
      </c>
      <c r="M45" s="179" t="s">
        <v>405</v>
      </c>
    </row>
    <row r="46" spans="1:13" ht="14.1" customHeight="1" x14ac:dyDescent="0.25">
      <c r="A46" s="176" t="s">
        <v>404</v>
      </c>
      <c r="B46" s="177" t="s">
        <v>14</v>
      </c>
      <c r="C46" s="178" t="s">
        <v>408</v>
      </c>
      <c r="D46" s="177" t="s">
        <v>409</v>
      </c>
      <c r="E46" s="177" t="s">
        <v>25</v>
      </c>
      <c r="F46" s="178"/>
      <c r="G46" s="178"/>
      <c r="H46" s="178"/>
      <c r="I46" s="178"/>
      <c r="J46" s="178"/>
      <c r="K46" s="178">
        <v>750</v>
      </c>
      <c r="L46" s="178">
        <f>K46</f>
        <v>750</v>
      </c>
      <c r="M46" s="179" t="s">
        <v>37</v>
      </c>
    </row>
    <row r="47" spans="1:13" ht="14.1" customHeight="1" x14ac:dyDescent="0.25">
      <c r="A47" s="176" t="s">
        <v>404</v>
      </c>
      <c r="B47" s="177" t="s">
        <v>14</v>
      </c>
      <c r="C47" s="178" t="s">
        <v>410</v>
      </c>
      <c r="D47" s="177"/>
      <c r="E47" s="177" t="s">
        <v>21</v>
      </c>
      <c r="F47" s="178">
        <v>50</v>
      </c>
      <c r="G47" s="221">
        <v>0.74674999999999991</v>
      </c>
      <c r="H47" s="178">
        <f>G47*F47</f>
        <v>37.337499999999999</v>
      </c>
      <c r="I47" s="178">
        <v>35</v>
      </c>
      <c r="J47" s="178">
        <v>1</v>
      </c>
      <c r="K47" s="178">
        <f>F47*I47</f>
        <v>1750</v>
      </c>
      <c r="L47" s="178">
        <f>K47*J47</f>
        <v>1750</v>
      </c>
      <c r="M47" s="179" t="s">
        <v>413</v>
      </c>
    </row>
    <row r="48" spans="1:13" ht="14.1" customHeight="1" x14ac:dyDescent="0.25">
      <c r="A48" s="176" t="s">
        <v>415</v>
      </c>
      <c r="B48" s="177" t="s">
        <v>14</v>
      </c>
      <c r="C48" s="178" t="s">
        <v>410</v>
      </c>
      <c r="D48" s="177"/>
      <c r="E48" s="177" t="s">
        <v>21</v>
      </c>
      <c r="F48" s="178">
        <v>125</v>
      </c>
      <c r="G48" s="221">
        <v>0.74674999999999991</v>
      </c>
      <c r="H48" s="178">
        <f>G48*F48</f>
        <v>93.343749999999986</v>
      </c>
      <c r="I48" s="178">
        <v>35</v>
      </c>
      <c r="J48" s="178">
        <v>1</v>
      </c>
      <c r="K48" s="178">
        <f>F48*I48</f>
        <v>4375</v>
      </c>
      <c r="L48" s="178">
        <f>K48*J48</f>
        <v>4375</v>
      </c>
      <c r="M48" s="179" t="s">
        <v>413</v>
      </c>
    </row>
    <row r="49" spans="1:13" ht="14.1" customHeight="1" x14ac:dyDescent="0.25">
      <c r="A49" s="176" t="s">
        <v>415</v>
      </c>
      <c r="B49" s="177" t="s">
        <v>14</v>
      </c>
      <c r="C49" s="178" t="s">
        <v>408</v>
      </c>
      <c r="D49" s="177" t="s">
        <v>409</v>
      </c>
      <c r="E49" s="177" t="s">
        <v>21</v>
      </c>
      <c r="F49" s="178">
        <v>190</v>
      </c>
      <c r="G49" s="221">
        <v>0.77037500000000014</v>
      </c>
      <c r="H49" s="178">
        <f>G49*F49</f>
        <v>146.37125000000003</v>
      </c>
      <c r="I49" s="178">
        <v>30</v>
      </c>
      <c r="J49" s="178">
        <v>1</v>
      </c>
      <c r="K49" s="178">
        <f>F49*I49</f>
        <v>5700</v>
      </c>
      <c r="L49" s="178">
        <f>K49*J49</f>
        <v>5700</v>
      </c>
      <c r="M49" s="179" t="s">
        <v>405</v>
      </c>
    </row>
    <row r="50" spans="1:13" ht="14.1" customHeight="1" x14ac:dyDescent="0.25">
      <c r="A50" s="176" t="s">
        <v>415</v>
      </c>
      <c r="B50" s="177" t="s">
        <v>14</v>
      </c>
      <c r="C50" s="178" t="s">
        <v>408</v>
      </c>
      <c r="D50" s="177" t="s">
        <v>409</v>
      </c>
      <c r="E50" s="177" t="s">
        <v>25</v>
      </c>
      <c r="F50" s="178"/>
      <c r="G50" s="178"/>
      <c r="H50" s="178"/>
      <c r="I50" s="178"/>
      <c r="J50" s="178"/>
      <c r="K50" s="178">
        <v>4250</v>
      </c>
      <c r="L50" s="178">
        <f>K50</f>
        <v>4250</v>
      </c>
      <c r="M50" s="179" t="s">
        <v>37</v>
      </c>
    </row>
    <row r="51" spans="1:13" ht="14.1" customHeight="1" x14ac:dyDescent="0.25">
      <c r="A51" s="176" t="s">
        <v>415</v>
      </c>
      <c r="B51" s="212" t="s">
        <v>23</v>
      </c>
      <c r="C51" s="178">
        <v>66772</v>
      </c>
      <c r="D51" s="177" t="s">
        <v>34</v>
      </c>
      <c r="E51" s="201" t="s">
        <v>35</v>
      </c>
      <c r="F51" s="178"/>
      <c r="G51" s="181" t="s">
        <v>77</v>
      </c>
      <c r="H51" s="178"/>
      <c r="I51" s="178"/>
      <c r="J51" s="178"/>
      <c r="K51" s="178">
        <v>7000</v>
      </c>
      <c r="L51" s="178">
        <f t="shared" ref="L51:L52" si="33">K51</f>
        <v>7000</v>
      </c>
      <c r="M51" s="179" t="s">
        <v>179</v>
      </c>
    </row>
    <row r="52" spans="1:13" ht="14.1" customHeight="1" x14ac:dyDescent="0.25">
      <c r="A52" s="176" t="s">
        <v>415</v>
      </c>
      <c r="B52" s="212" t="s">
        <v>23</v>
      </c>
      <c r="C52" s="178">
        <v>66772</v>
      </c>
      <c r="D52" s="177" t="s">
        <v>34</v>
      </c>
      <c r="E52" s="177" t="s">
        <v>39</v>
      </c>
      <c r="F52" s="178"/>
      <c r="G52" s="181" t="s">
        <v>36</v>
      </c>
      <c r="H52" s="178"/>
      <c r="I52" s="178"/>
      <c r="J52" s="178"/>
      <c r="K52" s="178">
        <v>6600</v>
      </c>
      <c r="L52" s="178">
        <f t="shared" si="33"/>
        <v>6600</v>
      </c>
      <c r="M52" s="179" t="s">
        <v>277</v>
      </c>
    </row>
    <row r="53" spans="1:13" ht="14.1" customHeight="1" x14ac:dyDescent="0.25">
      <c r="A53" s="176" t="s">
        <v>415</v>
      </c>
      <c r="B53" s="212" t="s">
        <v>23</v>
      </c>
      <c r="C53" s="178">
        <v>66772</v>
      </c>
      <c r="D53" s="177" t="s">
        <v>34</v>
      </c>
      <c r="E53" s="204" t="s">
        <v>30</v>
      </c>
      <c r="F53" s="178"/>
      <c r="G53" s="181" t="s">
        <v>78</v>
      </c>
      <c r="H53" s="178"/>
      <c r="I53" s="178"/>
      <c r="J53" s="178"/>
      <c r="K53" s="178">
        <v>6400</v>
      </c>
      <c r="L53" s="178">
        <f>K53</f>
        <v>6400</v>
      </c>
      <c r="M53" s="179" t="s">
        <v>180</v>
      </c>
    </row>
    <row r="54" spans="1:13" ht="14.1" customHeight="1" x14ac:dyDescent="0.25">
      <c r="A54" s="176" t="s">
        <v>415</v>
      </c>
      <c r="B54" s="177" t="s">
        <v>14</v>
      </c>
      <c r="C54" s="178">
        <v>8200</v>
      </c>
      <c r="D54" s="177" t="s">
        <v>16</v>
      </c>
      <c r="E54" s="177" t="s">
        <v>17</v>
      </c>
      <c r="F54" s="178">
        <v>130</v>
      </c>
      <c r="G54" s="221">
        <v>0.7125999999999999</v>
      </c>
      <c r="H54" s="178">
        <f t="shared" ref="H54" si="34">F54*G54</f>
        <v>92.637999999999991</v>
      </c>
      <c r="I54" s="178">
        <v>60</v>
      </c>
      <c r="J54" s="178">
        <v>4</v>
      </c>
      <c r="K54" s="178">
        <f>F54*I54</f>
        <v>7800</v>
      </c>
      <c r="L54" s="178">
        <f>K54*J54</f>
        <v>31200</v>
      </c>
      <c r="M54" s="179" t="s">
        <v>277</v>
      </c>
    </row>
    <row r="55" spans="1:13" ht="14.1" customHeight="1" x14ac:dyDescent="0.25">
      <c r="A55" s="176" t="s">
        <v>415</v>
      </c>
      <c r="B55" s="177" t="s">
        <v>14</v>
      </c>
      <c r="C55" s="178" t="s">
        <v>83</v>
      </c>
      <c r="D55" s="177" t="s">
        <v>84</v>
      </c>
      <c r="E55" s="177" t="s">
        <v>17</v>
      </c>
      <c r="F55" s="178">
        <v>62</v>
      </c>
      <c r="G55" s="178">
        <v>0.44</v>
      </c>
      <c r="H55" s="178">
        <v>22</v>
      </c>
      <c r="I55" s="178">
        <v>50</v>
      </c>
      <c r="J55" s="178">
        <v>1</v>
      </c>
      <c r="K55" s="178">
        <f t="shared" ref="K55" si="35">F55*I55</f>
        <v>3100</v>
      </c>
      <c r="L55" s="178">
        <f t="shared" ref="L55" si="36">K55*J55</f>
        <v>3100</v>
      </c>
      <c r="M55" s="179" t="s">
        <v>22</v>
      </c>
    </row>
    <row r="56" spans="1:13" ht="14.1" customHeight="1" x14ac:dyDescent="0.25">
      <c r="A56" s="176" t="s">
        <v>416</v>
      </c>
      <c r="B56" s="177" t="s">
        <v>14</v>
      </c>
      <c r="C56" s="178">
        <v>8200</v>
      </c>
      <c r="D56" s="177" t="s">
        <v>16</v>
      </c>
      <c r="E56" s="177" t="s">
        <v>17</v>
      </c>
      <c r="F56" s="178">
        <v>34</v>
      </c>
      <c r="G56" s="221">
        <v>0.7125999999999999</v>
      </c>
      <c r="H56" s="178">
        <f t="shared" ref="H56" si="37">F56*G56</f>
        <v>24.228399999999997</v>
      </c>
      <c r="I56" s="178">
        <v>60</v>
      </c>
      <c r="J56" s="178">
        <v>4</v>
      </c>
      <c r="K56" s="178">
        <f>F56*I56</f>
        <v>2040</v>
      </c>
      <c r="L56" s="178">
        <f>K56*J56</f>
        <v>8160</v>
      </c>
      <c r="M56" s="179" t="s">
        <v>277</v>
      </c>
    </row>
    <row r="57" spans="1:13" ht="14.1" customHeight="1" x14ac:dyDescent="0.25">
      <c r="A57" s="176" t="s">
        <v>416</v>
      </c>
      <c r="B57" s="177" t="s">
        <v>14</v>
      </c>
      <c r="C57" s="178" t="s">
        <v>83</v>
      </c>
      <c r="D57" s="177" t="s">
        <v>84</v>
      </c>
      <c r="E57" s="177" t="s">
        <v>17</v>
      </c>
      <c r="F57" s="178">
        <v>29</v>
      </c>
      <c r="G57" s="178">
        <v>0.44</v>
      </c>
      <c r="H57" s="178">
        <v>22</v>
      </c>
      <c r="I57" s="178">
        <v>50</v>
      </c>
      <c r="J57" s="178">
        <v>1</v>
      </c>
      <c r="K57" s="178">
        <f t="shared" ref="K57" si="38">F57*I57</f>
        <v>1450</v>
      </c>
      <c r="L57" s="178">
        <f t="shared" ref="L57" si="39">K57*J57</f>
        <v>1450</v>
      </c>
      <c r="M57" s="179" t="s">
        <v>22</v>
      </c>
    </row>
    <row r="58" spans="1:13" ht="14.1" customHeight="1" x14ac:dyDescent="0.25">
      <c r="A58" s="176" t="s">
        <v>416</v>
      </c>
      <c r="B58" s="177" t="s">
        <v>14</v>
      </c>
      <c r="C58" s="178" t="s">
        <v>417</v>
      </c>
      <c r="D58" s="177"/>
      <c r="E58" s="177" t="s">
        <v>21</v>
      </c>
      <c r="F58" s="178">
        <v>110</v>
      </c>
      <c r="G58" s="221">
        <v>0.63541875000000003</v>
      </c>
      <c r="H58" s="178">
        <f>G58*F58</f>
        <v>69.896062499999999</v>
      </c>
      <c r="I58" s="178">
        <v>31</v>
      </c>
      <c r="J58" s="178">
        <v>1</v>
      </c>
      <c r="K58" s="178">
        <f t="shared" ref="K58" si="40">F58*I58</f>
        <v>3410</v>
      </c>
      <c r="L58" s="178">
        <f t="shared" ref="L58" si="41">K58*J58</f>
        <v>3410</v>
      </c>
      <c r="M58" s="179" t="s">
        <v>277</v>
      </c>
    </row>
    <row r="59" spans="1:13" ht="14.1" customHeight="1" x14ac:dyDescent="0.25">
      <c r="A59" s="176" t="s">
        <v>416</v>
      </c>
      <c r="B59" s="177" t="s">
        <v>14</v>
      </c>
      <c r="C59" s="178" t="s">
        <v>417</v>
      </c>
      <c r="D59" s="177"/>
      <c r="E59" s="177" t="s">
        <v>25</v>
      </c>
      <c r="F59" s="178"/>
      <c r="G59" s="178"/>
      <c r="H59" s="178"/>
      <c r="I59" s="178"/>
      <c r="J59" s="178"/>
      <c r="K59" s="178">
        <v>330</v>
      </c>
      <c r="L59" s="178">
        <f t="shared" ref="L59:L61" si="42">K59</f>
        <v>330</v>
      </c>
      <c r="M59" s="179" t="s">
        <v>418</v>
      </c>
    </row>
    <row r="60" spans="1:13" ht="14.1" customHeight="1" x14ac:dyDescent="0.25">
      <c r="A60" s="176" t="s">
        <v>416</v>
      </c>
      <c r="B60" s="177" t="s">
        <v>14</v>
      </c>
      <c r="C60" s="178" t="s">
        <v>407</v>
      </c>
      <c r="D60" s="177"/>
      <c r="E60" s="177" t="s">
        <v>25</v>
      </c>
      <c r="F60" s="178"/>
      <c r="G60" s="178"/>
      <c r="H60" s="178"/>
      <c r="I60" s="178"/>
      <c r="J60" s="178"/>
      <c r="K60" s="178">
        <v>1350</v>
      </c>
      <c r="L60" s="178">
        <f t="shared" si="42"/>
        <v>1350</v>
      </c>
      <c r="M60" s="179" t="s">
        <v>405</v>
      </c>
    </row>
    <row r="61" spans="1:13" ht="14.1" customHeight="1" x14ac:dyDescent="0.25">
      <c r="A61" s="176" t="s">
        <v>416</v>
      </c>
      <c r="B61" s="212" t="s">
        <v>23</v>
      </c>
      <c r="C61" s="178">
        <v>66772</v>
      </c>
      <c r="D61" s="177" t="s">
        <v>34</v>
      </c>
      <c r="E61" s="177" t="s">
        <v>39</v>
      </c>
      <c r="F61" s="178"/>
      <c r="G61" s="181" t="s">
        <v>36</v>
      </c>
      <c r="H61" s="178"/>
      <c r="I61" s="178"/>
      <c r="J61" s="178"/>
      <c r="K61" s="178">
        <v>3400</v>
      </c>
      <c r="L61" s="178">
        <f t="shared" si="42"/>
        <v>3400</v>
      </c>
      <c r="M61" s="179" t="s">
        <v>277</v>
      </c>
    </row>
    <row r="62" spans="1:13" ht="14.1" customHeight="1" x14ac:dyDescent="0.25">
      <c r="A62" s="176" t="s">
        <v>416</v>
      </c>
      <c r="B62" s="212" t="s">
        <v>23</v>
      </c>
      <c r="C62" s="178">
        <v>66772</v>
      </c>
      <c r="D62" s="177" t="s">
        <v>34</v>
      </c>
      <c r="E62" s="204" t="s">
        <v>30</v>
      </c>
      <c r="F62" s="178"/>
      <c r="G62" s="181" t="s">
        <v>78</v>
      </c>
      <c r="H62" s="178"/>
      <c r="I62" s="178"/>
      <c r="J62" s="178"/>
      <c r="K62" s="178">
        <v>2100</v>
      </c>
      <c r="L62" s="178">
        <f>K62</f>
        <v>2100</v>
      </c>
      <c r="M62" s="179" t="s">
        <v>180</v>
      </c>
    </row>
    <row r="63" spans="1:13" ht="14.1" customHeight="1" x14ac:dyDescent="0.25">
      <c r="A63" s="176" t="s">
        <v>416</v>
      </c>
      <c r="B63" s="177" t="s">
        <v>14</v>
      </c>
      <c r="C63" s="178" t="s">
        <v>408</v>
      </c>
      <c r="D63" s="177" t="s">
        <v>409</v>
      </c>
      <c r="E63" s="177" t="s">
        <v>25</v>
      </c>
      <c r="F63" s="178"/>
      <c r="G63" s="178"/>
      <c r="H63" s="178"/>
      <c r="I63" s="178"/>
      <c r="J63" s="178"/>
      <c r="K63" s="178">
        <v>2410</v>
      </c>
      <c r="L63" s="178">
        <f>K63</f>
        <v>2410</v>
      </c>
      <c r="M63" s="179" t="s">
        <v>37</v>
      </c>
    </row>
    <row r="64" spans="1:13" ht="14.1" customHeight="1" x14ac:dyDescent="0.25">
      <c r="A64" s="176" t="s">
        <v>442</v>
      </c>
      <c r="B64" s="212" t="s">
        <v>23</v>
      </c>
      <c r="C64" s="178">
        <v>66772</v>
      </c>
      <c r="D64" s="177" t="s">
        <v>34</v>
      </c>
      <c r="E64" s="204" t="s">
        <v>30</v>
      </c>
      <c r="F64" s="178"/>
      <c r="G64" s="181" t="s">
        <v>78</v>
      </c>
      <c r="H64" s="178"/>
      <c r="I64" s="178"/>
      <c r="J64" s="178"/>
      <c r="K64" s="178">
        <v>2000</v>
      </c>
      <c r="L64" s="178">
        <f>K64</f>
        <v>2000</v>
      </c>
      <c r="M64" s="179" t="s">
        <v>180</v>
      </c>
    </row>
    <row r="65" spans="1:13" ht="14.1" customHeight="1" x14ac:dyDescent="0.25">
      <c r="A65" s="176" t="s">
        <v>442</v>
      </c>
      <c r="B65" s="177" t="s">
        <v>14</v>
      </c>
      <c r="C65" s="178" t="s">
        <v>417</v>
      </c>
      <c r="D65" s="177"/>
      <c r="E65" s="177" t="s">
        <v>21</v>
      </c>
      <c r="F65" s="178">
        <v>285</v>
      </c>
      <c r="G65" s="221">
        <v>0.63541875000000003</v>
      </c>
      <c r="H65" s="178">
        <f>G65*F65</f>
        <v>181.09434375000001</v>
      </c>
      <c r="I65" s="178">
        <v>31</v>
      </c>
      <c r="J65" s="178">
        <v>1</v>
      </c>
      <c r="K65" s="178">
        <f t="shared" ref="K65" si="43">F65*I65</f>
        <v>8835</v>
      </c>
      <c r="L65" s="178">
        <f t="shared" ref="L65" si="44">K65*J65</f>
        <v>8835</v>
      </c>
      <c r="M65" s="179" t="s">
        <v>277</v>
      </c>
    </row>
    <row r="66" spans="1:13" ht="14.1" customHeight="1" x14ac:dyDescent="0.25">
      <c r="A66" s="176" t="s">
        <v>442</v>
      </c>
      <c r="B66" s="177" t="s">
        <v>14</v>
      </c>
      <c r="C66" s="178" t="s">
        <v>417</v>
      </c>
      <c r="D66" s="177"/>
      <c r="E66" s="177" t="s">
        <v>25</v>
      </c>
      <c r="F66" s="178"/>
      <c r="G66" s="178"/>
      <c r="H66" s="178"/>
      <c r="I66" s="178"/>
      <c r="J66" s="178"/>
      <c r="K66" s="178">
        <v>3370</v>
      </c>
      <c r="L66" s="178">
        <f t="shared" ref="L66:L67" si="45">K66</f>
        <v>3370</v>
      </c>
      <c r="M66" s="179" t="s">
        <v>418</v>
      </c>
    </row>
    <row r="67" spans="1:13" ht="14.1" customHeight="1" x14ac:dyDescent="0.25">
      <c r="A67" s="176" t="s">
        <v>442</v>
      </c>
      <c r="B67" s="177" t="s">
        <v>14</v>
      </c>
      <c r="C67" s="178" t="s">
        <v>407</v>
      </c>
      <c r="D67" s="177"/>
      <c r="E67" s="177" t="s">
        <v>25</v>
      </c>
      <c r="F67" s="178"/>
      <c r="G67" s="178"/>
      <c r="H67" s="178"/>
      <c r="I67" s="178"/>
      <c r="J67" s="178"/>
      <c r="K67" s="178">
        <v>2750</v>
      </c>
      <c r="L67" s="178">
        <f t="shared" si="45"/>
        <v>2750</v>
      </c>
      <c r="M67" s="179" t="s">
        <v>405</v>
      </c>
    </row>
    <row r="68" spans="1:13" ht="14.1" customHeight="1" x14ac:dyDescent="0.25">
      <c r="A68" s="176" t="s">
        <v>442</v>
      </c>
      <c r="B68" s="177" t="s">
        <v>14</v>
      </c>
      <c r="C68" s="178" t="s">
        <v>443</v>
      </c>
      <c r="D68" s="177"/>
      <c r="E68" s="177" t="s">
        <v>21</v>
      </c>
      <c r="F68" s="178">
        <v>126</v>
      </c>
      <c r="G68" s="221">
        <v>0.98261249999999978</v>
      </c>
      <c r="H68" s="178">
        <f>G68*F68</f>
        <v>123.80917499999997</v>
      </c>
      <c r="I68" s="178">
        <v>28</v>
      </c>
      <c r="J68" s="178">
        <v>1</v>
      </c>
      <c r="K68" s="178">
        <f t="shared" ref="K68" si="46">F68*I68</f>
        <v>3528</v>
      </c>
      <c r="L68" s="178">
        <f t="shared" ref="L68" si="47">K68*J68</f>
        <v>3528</v>
      </c>
      <c r="M68" s="179" t="s">
        <v>277</v>
      </c>
    </row>
    <row r="69" spans="1:13" ht="14.1" customHeight="1" x14ac:dyDescent="0.25">
      <c r="A69" s="176" t="s">
        <v>442</v>
      </c>
      <c r="B69" s="177" t="s">
        <v>14</v>
      </c>
      <c r="C69" s="178" t="s">
        <v>443</v>
      </c>
      <c r="D69" s="177"/>
      <c r="E69" s="177" t="s">
        <v>25</v>
      </c>
      <c r="F69" s="178"/>
      <c r="G69" s="178"/>
      <c r="H69" s="178"/>
      <c r="I69" s="178"/>
      <c r="J69" s="178"/>
      <c r="K69" s="178">
        <v>1200</v>
      </c>
      <c r="L69" s="178">
        <f t="shared" ref="L69" si="48">K69</f>
        <v>1200</v>
      </c>
      <c r="M69" s="179" t="s">
        <v>418</v>
      </c>
    </row>
    <row r="70" spans="1:13" ht="14.1" customHeight="1" x14ac:dyDescent="0.25">
      <c r="A70" s="176" t="s">
        <v>442</v>
      </c>
      <c r="B70" s="177" t="s">
        <v>14</v>
      </c>
      <c r="C70" s="178">
        <v>7479</v>
      </c>
      <c r="D70" s="177" t="s">
        <v>20</v>
      </c>
      <c r="E70" s="177" t="s">
        <v>21</v>
      </c>
      <c r="F70" s="178">
        <v>44</v>
      </c>
      <c r="G70" s="178">
        <v>0.15</v>
      </c>
      <c r="H70" s="178">
        <f>G70*F70</f>
        <v>6.6</v>
      </c>
      <c r="I70" s="178">
        <v>80</v>
      </c>
      <c r="J70" s="178">
        <v>1</v>
      </c>
      <c r="K70" s="178">
        <f>F70*I70</f>
        <v>3520</v>
      </c>
      <c r="L70" s="178">
        <f>K70*J70</f>
        <v>3520</v>
      </c>
      <c r="M70" s="179" t="s">
        <v>37</v>
      </c>
    </row>
    <row r="71" spans="1:13" ht="14.1" customHeight="1" x14ac:dyDescent="0.25">
      <c r="A71" s="176" t="s">
        <v>442</v>
      </c>
      <c r="B71" s="177" t="s">
        <v>14</v>
      </c>
      <c r="C71" s="178">
        <v>7479</v>
      </c>
      <c r="D71" s="177" t="s">
        <v>20</v>
      </c>
      <c r="E71" s="177" t="s">
        <v>25</v>
      </c>
      <c r="F71" s="178"/>
      <c r="G71" s="178"/>
      <c r="H71" s="178"/>
      <c r="I71" s="178"/>
      <c r="J71" s="178"/>
      <c r="K71" s="178">
        <v>2000</v>
      </c>
      <c r="L71" s="178">
        <f t="shared" ref="L71" si="49">K71</f>
        <v>2000</v>
      </c>
      <c r="M71" s="179" t="s">
        <v>181</v>
      </c>
    </row>
    <row r="72" spans="1:13" ht="14.1" customHeight="1" x14ac:dyDescent="0.25">
      <c r="A72" s="176" t="s">
        <v>442</v>
      </c>
      <c r="B72" s="177" t="s">
        <v>14</v>
      </c>
      <c r="C72" s="178" t="s">
        <v>51</v>
      </c>
      <c r="D72" s="208" t="s">
        <v>52</v>
      </c>
      <c r="E72" s="177" t="s">
        <v>17</v>
      </c>
      <c r="F72" s="178">
        <v>85</v>
      </c>
      <c r="G72" s="178">
        <v>0.20499999999999999</v>
      </c>
      <c r="H72" s="178">
        <f t="shared" ref="H72" si="50">F72*G72</f>
        <v>17.425000000000001</v>
      </c>
      <c r="I72" s="178">
        <v>28</v>
      </c>
      <c r="J72" s="178">
        <v>4</v>
      </c>
      <c r="K72" s="178">
        <f>F72*I72</f>
        <v>2380</v>
      </c>
      <c r="L72" s="178">
        <f t="shared" ref="L72" si="51">K72*J72</f>
        <v>9520</v>
      </c>
      <c r="M72" s="179" t="s">
        <v>37</v>
      </c>
    </row>
    <row r="73" spans="1:13" ht="14.1" customHeight="1" x14ac:dyDescent="0.25">
      <c r="A73" s="176" t="s">
        <v>442</v>
      </c>
      <c r="B73" s="177" t="s">
        <v>14</v>
      </c>
      <c r="C73" s="178" t="s">
        <v>83</v>
      </c>
      <c r="D73" s="177" t="s">
        <v>84</v>
      </c>
      <c r="E73" s="177" t="s">
        <v>25</v>
      </c>
      <c r="F73" s="178"/>
      <c r="G73" s="178"/>
      <c r="H73" s="178"/>
      <c r="I73" s="178"/>
      <c r="J73" s="178"/>
      <c r="K73" s="178">
        <v>5000</v>
      </c>
      <c r="L73" s="178">
        <f t="shared" ref="L73" si="52">K73</f>
        <v>5000</v>
      </c>
      <c r="M73" s="179" t="s">
        <v>22</v>
      </c>
    </row>
    <row r="74" spans="1:13" ht="14.1" customHeight="1" x14ac:dyDescent="0.25">
      <c r="A74" s="176" t="s">
        <v>444</v>
      </c>
      <c r="B74" s="177" t="s">
        <v>14</v>
      </c>
      <c r="C74" s="178" t="s">
        <v>443</v>
      </c>
      <c r="D74" s="177"/>
      <c r="E74" s="177" t="s">
        <v>21</v>
      </c>
      <c r="F74" s="178">
        <v>14</v>
      </c>
      <c r="G74" s="221">
        <v>0.98261249999999978</v>
      </c>
      <c r="H74" s="178">
        <f>G74*F74</f>
        <v>13.756574999999996</v>
      </c>
      <c r="I74" s="178">
        <v>28</v>
      </c>
      <c r="J74" s="178">
        <v>1</v>
      </c>
      <c r="K74" s="178">
        <f t="shared" ref="K74" si="53">F74*I74</f>
        <v>392</v>
      </c>
      <c r="L74" s="178">
        <f t="shared" ref="L74" si="54">K74*J74</f>
        <v>392</v>
      </c>
      <c r="M74" s="179" t="s">
        <v>277</v>
      </c>
    </row>
    <row r="75" spans="1:13" ht="14.1" customHeight="1" x14ac:dyDescent="0.25">
      <c r="A75" s="176" t="s">
        <v>444</v>
      </c>
      <c r="B75" s="177" t="s">
        <v>14</v>
      </c>
      <c r="C75" s="178" t="s">
        <v>443</v>
      </c>
      <c r="D75" s="177"/>
      <c r="E75" s="177" t="s">
        <v>25</v>
      </c>
      <c r="F75" s="178"/>
      <c r="G75" s="178"/>
      <c r="H75" s="178"/>
      <c r="I75" s="178"/>
      <c r="J75" s="178"/>
      <c r="K75" s="178">
        <v>760</v>
      </c>
      <c r="L75" s="178">
        <f t="shared" ref="L75" si="55">K75</f>
        <v>760</v>
      </c>
      <c r="M75" s="179" t="s">
        <v>418</v>
      </c>
    </row>
    <row r="76" spans="1:13" ht="14.1" customHeight="1" x14ac:dyDescent="0.25">
      <c r="A76" s="176" t="s">
        <v>444</v>
      </c>
      <c r="B76" s="177" t="s">
        <v>14</v>
      </c>
      <c r="C76" s="178" t="s">
        <v>417</v>
      </c>
      <c r="D76" s="177"/>
      <c r="E76" s="177" t="s">
        <v>21</v>
      </c>
      <c r="F76" s="178">
        <v>93</v>
      </c>
      <c r="G76" s="221">
        <v>0.63541875000000003</v>
      </c>
      <c r="H76" s="178">
        <f>G76*F76</f>
        <v>59.093943750000001</v>
      </c>
      <c r="I76" s="178">
        <v>31</v>
      </c>
      <c r="J76" s="178">
        <v>1</v>
      </c>
      <c r="K76" s="178">
        <f t="shared" ref="K76" si="56">F76*I76</f>
        <v>2883</v>
      </c>
      <c r="L76" s="178">
        <f t="shared" ref="L76" si="57">K76*J76</f>
        <v>2883</v>
      </c>
      <c r="M76" s="179" t="s">
        <v>277</v>
      </c>
    </row>
    <row r="77" spans="1:13" ht="14.1" customHeight="1" x14ac:dyDescent="0.25">
      <c r="A77" s="176" t="s">
        <v>444</v>
      </c>
      <c r="B77" s="177" t="s">
        <v>14</v>
      </c>
      <c r="C77" s="178" t="s">
        <v>417</v>
      </c>
      <c r="D77" s="177"/>
      <c r="E77" s="177" t="s">
        <v>25</v>
      </c>
      <c r="F77" s="178"/>
      <c r="G77" s="178"/>
      <c r="H77" s="178"/>
      <c r="I77" s="178"/>
      <c r="J77" s="178"/>
      <c r="K77" s="178">
        <v>3300</v>
      </c>
      <c r="L77" s="178">
        <f t="shared" ref="L77:L79" si="58">K77</f>
        <v>3300</v>
      </c>
      <c r="M77" s="179" t="s">
        <v>418</v>
      </c>
    </row>
    <row r="78" spans="1:13" ht="14.1" customHeight="1" x14ac:dyDescent="0.25">
      <c r="A78" s="176" t="s">
        <v>444</v>
      </c>
      <c r="B78" s="177" t="s">
        <v>14</v>
      </c>
      <c r="C78" s="178" t="s">
        <v>407</v>
      </c>
      <c r="D78" s="177"/>
      <c r="E78" s="177" t="s">
        <v>25</v>
      </c>
      <c r="F78" s="178"/>
      <c r="G78" s="178"/>
      <c r="H78" s="178"/>
      <c r="I78" s="178"/>
      <c r="J78" s="178"/>
      <c r="K78" s="178">
        <v>1917</v>
      </c>
      <c r="L78" s="178">
        <f t="shared" si="58"/>
        <v>1917</v>
      </c>
      <c r="M78" s="179" t="s">
        <v>405</v>
      </c>
    </row>
    <row r="79" spans="1:13" ht="14.1" customHeight="1" x14ac:dyDescent="0.25">
      <c r="A79" s="176" t="s">
        <v>444</v>
      </c>
      <c r="B79" s="177" t="s">
        <v>14</v>
      </c>
      <c r="C79" s="178" t="s">
        <v>83</v>
      </c>
      <c r="D79" s="177" t="s">
        <v>84</v>
      </c>
      <c r="E79" s="177" t="s">
        <v>25</v>
      </c>
      <c r="F79" s="178"/>
      <c r="G79" s="178"/>
      <c r="H79" s="178"/>
      <c r="I79" s="178"/>
      <c r="J79" s="178"/>
      <c r="K79" s="178">
        <v>3000</v>
      </c>
      <c r="L79" s="178">
        <f t="shared" si="58"/>
        <v>3000</v>
      </c>
      <c r="M79" s="179" t="s">
        <v>22</v>
      </c>
    </row>
    <row r="80" spans="1:13" ht="14.1" customHeight="1" x14ac:dyDescent="0.25">
      <c r="A80" s="176" t="s">
        <v>444</v>
      </c>
      <c r="B80" s="177" t="s">
        <v>14</v>
      </c>
      <c r="C80" s="178">
        <v>7479</v>
      </c>
      <c r="D80" s="177" t="s">
        <v>20</v>
      </c>
      <c r="E80" s="177" t="s">
        <v>21</v>
      </c>
      <c r="F80" s="178">
        <v>142</v>
      </c>
      <c r="G80" s="178">
        <v>0.15</v>
      </c>
      <c r="H80" s="178">
        <f>G80*F80</f>
        <v>21.3</v>
      </c>
      <c r="I80" s="178">
        <v>80</v>
      </c>
      <c r="J80" s="178">
        <v>1</v>
      </c>
      <c r="K80" s="178">
        <f>F80*I80</f>
        <v>11360</v>
      </c>
      <c r="L80" s="178">
        <f>K80*J80</f>
        <v>11360</v>
      </c>
      <c r="M80" s="179" t="s">
        <v>37</v>
      </c>
    </row>
    <row r="81" spans="1:13" ht="14.1" customHeight="1" x14ac:dyDescent="0.25">
      <c r="A81" s="176" t="s">
        <v>444</v>
      </c>
      <c r="B81" s="177" t="s">
        <v>14</v>
      </c>
      <c r="C81" s="178">
        <v>7479</v>
      </c>
      <c r="D81" s="177" t="s">
        <v>20</v>
      </c>
      <c r="E81" s="177" t="s">
        <v>25</v>
      </c>
      <c r="F81" s="178"/>
      <c r="G81" s="178"/>
      <c r="H81" s="178"/>
      <c r="I81" s="178"/>
      <c r="J81" s="178"/>
      <c r="K81" s="178">
        <v>5000</v>
      </c>
      <c r="L81" s="178">
        <f t="shared" ref="L81" si="59">K81</f>
        <v>5000</v>
      </c>
      <c r="M81" s="179" t="s">
        <v>181</v>
      </c>
    </row>
    <row r="82" spans="1:13" x14ac:dyDescent="0.25">
      <c r="A82" s="176" t="s">
        <v>444</v>
      </c>
      <c r="B82" s="177" t="s">
        <v>14</v>
      </c>
      <c r="C82" s="178" t="s">
        <v>51</v>
      </c>
      <c r="D82" s="208" t="s">
        <v>52</v>
      </c>
      <c r="E82" s="177" t="s">
        <v>17</v>
      </c>
      <c r="F82" s="178">
        <v>180</v>
      </c>
      <c r="G82" s="178">
        <v>0.20499999999999999</v>
      </c>
      <c r="H82" s="178">
        <f t="shared" ref="H82" si="60">F82*G82</f>
        <v>36.9</v>
      </c>
      <c r="I82" s="178">
        <v>28</v>
      </c>
      <c r="J82" s="178">
        <v>4</v>
      </c>
      <c r="K82" s="178">
        <f>F82*I82</f>
        <v>5040</v>
      </c>
      <c r="L82" s="178">
        <f t="shared" ref="L82" si="61">K82*J82</f>
        <v>20160</v>
      </c>
      <c r="M82" s="179" t="s">
        <v>37</v>
      </c>
    </row>
    <row r="83" spans="1:13" x14ac:dyDescent="0.25">
      <c r="A83" s="176" t="s">
        <v>444</v>
      </c>
      <c r="B83" s="177" t="s">
        <v>14</v>
      </c>
      <c r="C83" s="178">
        <v>2576</v>
      </c>
      <c r="D83" s="177" t="s">
        <v>346</v>
      </c>
      <c r="E83" s="177" t="s">
        <v>25</v>
      </c>
      <c r="F83" s="178"/>
      <c r="G83" s="178"/>
      <c r="H83" s="178"/>
      <c r="I83" s="178"/>
      <c r="J83" s="178"/>
      <c r="K83" s="178">
        <v>2000</v>
      </c>
      <c r="L83" s="178">
        <f>K83</f>
        <v>2000</v>
      </c>
      <c r="M83" s="179" t="s">
        <v>37</v>
      </c>
    </row>
    <row r="84" spans="1:13" ht="16.5" x14ac:dyDescent="0.25">
      <c r="A84" s="176" t="s">
        <v>444</v>
      </c>
      <c r="B84" s="177" t="s">
        <v>14</v>
      </c>
      <c r="C84" s="178">
        <v>8200</v>
      </c>
      <c r="D84" s="177" t="s">
        <v>16</v>
      </c>
      <c r="E84" s="177" t="s">
        <v>17</v>
      </c>
      <c r="F84" s="178">
        <v>62</v>
      </c>
      <c r="G84" s="221">
        <v>0.7125999999999999</v>
      </c>
      <c r="H84" s="178">
        <f t="shared" ref="H84" si="62">F84*G84</f>
        <v>44.181199999999997</v>
      </c>
      <c r="I84" s="178">
        <v>60</v>
      </c>
      <c r="J84" s="178">
        <v>4</v>
      </c>
      <c r="K84" s="178">
        <f>F84*I84</f>
        <v>3720</v>
      </c>
      <c r="L84" s="178">
        <f>K84*J84</f>
        <v>14880</v>
      </c>
      <c r="M84" s="179" t="s">
        <v>277</v>
      </c>
    </row>
    <row r="85" spans="1:13" x14ac:dyDescent="0.25">
      <c r="A85" s="176" t="s">
        <v>445</v>
      </c>
      <c r="B85" s="177" t="s">
        <v>14</v>
      </c>
      <c r="C85" s="178" t="s">
        <v>417</v>
      </c>
      <c r="D85" s="177"/>
      <c r="E85" s="177" t="s">
        <v>25</v>
      </c>
      <c r="F85" s="178"/>
      <c r="G85" s="178"/>
      <c r="H85" s="178"/>
      <c r="I85" s="178"/>
      <c r="J85" s="178"/>
      <c r="K85" s="178">
        <v>500</v>
      </c>
      <c r="L85" s="178">
        <f t="shared" ref="L85" si="63">K85</f>
        <v>500</v>
      </c>
      <c r="M85" s="179" t="s">
        <v>418</v>
      </c>
    </row>
    <row r="86" spans="1:13" x14ac:dyDescent="0.25">
      <c r="A86" s="176" t="s">
        <v>445</v>
      </c>
      <c r="B86" s="177" t="s">
        <v>14</v>
      </c>
      <c r="C86" s="178">
        <v>2576</v>
      </c>
      <c r="D86" s="177" t="s">
        <v>346</v>
      </c>
      <c r="E86" s="177" t="s">
        <v>25</v>
      </c>
      <c r="F86" s="178"/>
      <c r="G86" s="178"/>
      <c r="H86" s="178"/>
      <c r="I86" s="178"/>
      <c r="J86" s="178"/>
      <c r="K86" s="178">
        <v>2000</v>
      </c>
      <c r="L86" s="178">
        <f>K86</f>
        <v>2000</v>
      </c>
      <c r="M86" s="179" t="s">
        <v>180</v>
      </c>
    </row>
    <row r="87" spans="1:13" x14ac:dyDescent="0.25">
      <c r="A87" s="176" t="s">
        <v>445</v>
      </c>
      <c r="B87" s="177" t="s">
        <v>14</v>
      </c>
      <c r="C87" s="178" t="s">
        <v>83</v>
      </c>
      <c r="D87" s="177" t="s">
        <v>84</v>
      </c>
      <c r="E87" s="177" t="s">
        <v>25</v>
      </c>
      <c r="F87" s="178"/>
      <c r="G87" s="178"/>
      <c r="H87" s="178"/>
      <c r="I87" s="178"/>
      <c r="J87" s="178"/>
      <c r="K87" s="178">
        <v>700</v>
      </c>
      <c r="L87" s="178">
        <f t="shared" ref="L87" si="64">K87</f>
        <v>700</v>
      </c>
      <c r="M87" s="179" t="s">
        <v>22</v>
      </c>
    </row>
    <row r="88" spans="1:13" x14ac:dyDescent="0.25">
      <c r="A88" s="176" t="s">
        <v>445</v>
      </c>
      <c r="B88" s="177" t="s">
        <v>14</v>
      </c>
      <c r="C88" s="178">
        <v>7479</v>
      </c>
      <c r="D88" s="177" t="s">
        <v>20</v>
      </c>
      <c r="E88" s="177" t="s">
        <v>21</v>
      </c>
      <c r="F88" s="178">
        <v>71</v>
      </c>
      <c r="G88" s="178">
        <v>0.15</v>
      </c>
      <c r="H88" s="178">
        <f>G88*F88</f>
        <v>10.65</v>
      </c>
      <c r="I88" s="178">
        <v>80</v>
      </c>
      <c r="J88" s="178">
        <v>1</v>
      </c>
      <c r="K88" s="178">
        <f>F88*I88</f>
        <v>5680</v>
      </c>
      <c r="L88" s="178">
        <f>K88*J88</f>
        <v>5680</v>
      </c>
      <c r="M88" s="179" t="s">
        <v>37</v>
      </c>
    </row>
    <row r="89" spans="1:13" x14ac:dyDescent="0.25">
      <c r="A89" s="176" t="s">
        <v>445</v>
      </c>
      <c r="B89" s="177" t="s">
        <v>14</v>
      </c>
      <c r="C89" s="178">
        <v>7479</v>
      </c>
      <c r="D89" s="177" t="s">
        <v>20</v>
      </c>
      <c r="E89" s="177" t="s">
        <v>25</v>
      </c>
      <c r="F89" s="178"/>
      <c r="G89" s="178"/>
      <c r="H89" s="178"/>
      <c r="I89" s="178"/>
      <c r="J89" s="178"/>
      <c r="K89" s="178">
        <v>7000</v>
      </c>
      <c r="L89" s="178">
        <f t="shared" ref="L89" si="65">K89</f>
        <v>7000</v>
      </c>
      <c r="M89" s="179" t="s">
        <v>181</v>
      </c>
    </row>
    <row r="90" spans="1:13" ht="16.5" x14ac:dyDescent="0.25">
      <c r="A90" s="176" t="s">
        <v>445</v>
      </c>
      <c r="B90" s="177" t="s">
        <v>14</v>
      </c>
      <c r="C90" s="178">
        <v>8200</v>
      </c>
      <c r="D90" s="177" t="s">
        <v>16</v>
      </c>
      <c r="E90" s="177" t="s">
        <v>17</v>
      </c>
      <c r="F90" s="178">
        <v>95</v>
      </c>
      <c r="G90" s="221">
        <v>0.7125999999999999</v>
      </c>
      <c r="H90" s="178">
        <f t="shared" ref="H90:H91" si="66">F90*G90</f>
        <v>67.696999999999989</v>
      </c>
      <c r="I90" s="178">
        <v>60</v>
      </c>
      <c r="J90" s="178">
        <v>4</v>
      </c>
      <c r="K90" s="178">
        <f>F90*I90</f>
        <v>5700</v>
      </c>
      <c r="L90" s="178">
        <f>K90*J90</f>
        <v>22800</v>
      </c>
      <c r="M90" s="179" t="s">
        <v>277</v>
      </c>
    </row>
    <row r="91" spans="1:13" x14ac:dyDescent="0.25">
      <c r="A91" s="176" t="s">
        <v>445</v>
      </c>
      <c r="B91" s="177" t="s">
        <v>14</v>
      </c>
      <c r="C91" s="178" t="s">
        <v>51</v>
      </c>
      <c r="D91" s="208" t="s">
        <v>52</v>
      </c>
      <c r="E91" s="177" t="s">
        <v>17</v>
      </c>
      <c r="F91" s="178">
        <v>170</v>
      </c>
      <c r="G91" s="178">
        <v>0.20499999999999999</v>
      </c>
      <c r="H91" s="178">
        <f t="shared" si="66"/>
        <v>34.85</v>
      </c>
      <c r="I91" s="178">
        <v>28</v>
      </c>
      <c r="J91" s="178">
        <v>4</v>
      </c>
      <c r="K91" s="178">
        <f>F91*I91</f>
        <v>4760</v>
      </c>
      <c r="L91" s="178">
        <f t="shared" ref="L91" si="67">K91*J91</f>
        <v>19040</v>
      </c>
      <c r="M91" s="179" t="s">
        <v>37</v>
      </c>
    </row>
    <row r="92" spans="1:13" x14ac:dyDescent="0.25">
      <c r="A92" s="176" t="s">
        <v>445</v>
      </c>
      <c r="B92" s="212" t="s">
        <v>23</v>
      </c>
      <c r="C92" s="178">
        <v>66772</v>
      </c>
      <c r="D92" s="177" t="s">
        <v>34</v>
      </c>
      <c r="E92" s="201" t="s">
        <v>35</v>
      </c>
      <c r="F92" s="178"/>
      <c r="G92" s="181" t="s">
        <v>77</v>
      </c>
      <c r="H92" s="178"/>
      <c r="I92" s="178"/>
      <c r="J92" s="178"/>
      <c r="K92" s="178">
        <v>5300</v>
      </c>
      <c r="L92" s="178">
        <f t="shared" ref="L92:L93" si="68">K92</f>
        <v>5300</v>
      </c>
      <c r="M92" s="179" t="s">
        <v>179</v>
      </c>
    </row>
    <row r="93" spans="1:13" x14ac:dyDescent="0.25">
      <c r="A93" s="176" t="s">
        <v>445</v>
      </c>
      <c r="B93" s="212" t="s">
        <v>23</v>
      </c>
      <c r="C93" s="178">
        <v>66772</v>
      </c>
      <c r="D93" s="177" t="s">
        <v>34</v>
      </c>
      <c r="E93" s="177" t="s">
        <v>39</v>
      </c>
      <c r="F93" s="178"/>
      <c r="G93" s="181" t="s">
        <v>36</v>
      </c>
      <c r="H93" s="178"/>
      <c r="I93" s="178"/>
      <c r="J93" s="178"/>
      <c r="K93" s="178">
        <v>4250</v>
      </c>
      <c r="L93" s="178">
        <f t="shared" si="68"/>
        <v>4250</v>
      </c>
      <c r="M93" s="179" t="s">
        <v>277</v>
      </c>
    </row>
    <row r="94" spans="1:13" x14ac:dyDescent="0.25">
      <c r="A94" s="176" t="s">
        <v>445</v>
      </c>
      <c r="B94" s="212" t="s">
        <v>23</v>
      </c>
      <c r="C94" s="178">
        <v>66772</v>
      </c>
      <c r="D94" s="177" t="s">
        <v>34</v>
      </c>
      <c r="E94" s="204" t="s">
        <v>30</v>
      </c>
      <c r="F94" s="178"/>
      <c r="G94" s="181" t="s">
        <v>78</v>
      </c>
      <c r="H94" s="178"/>
      <c r="I94" s="178"/>
      <c r="J94" s="178"/>
      <c r="K94" s="178">
        <v>3100</v>
      </c>
      <c r="L94" s="178">
        <f>K94</f>
        <v>3100</v>
      </c>
      <c r="M94" s="179" t="s">
        <v>180</v>
      </c>
    </row>
    <row r="95" spans="1:13" ht="16.5" x14ac:dyDescent="0.25">
      <c r="A95" s="176" t="s">
        <v>445</v>
      </c>
      <c r="B95" s="177" t="s">
        <v>14</v>
      </c>
      <c r="C95" s="178" t="s">
        <v>408</v>
      </c>
      <c r="D95" s="177" t="s">
        <v>409</v>
      </c>
      <c r="E95" s="177" t="s">
        <v>21</v>
      </c>
      <c r="F95" s="178">
        <v>19</v>
      </c>
      <c r="G95" s="221">
        <v>0.77037500000000014</v>
      </c>
      <c r="H95" s="178">
        <f>G95*F95</f>
        <v>14.637125000000003</v>
      </c>
      <c r="I95" s="178">
        <v>30</v>
      </c>
      <c r="J95" s="178">
        <v>1</v>
      </c>
      <c r="K95" s="178">
        <f>F95*I95</f>
        <v>570</v>
      </c>
      <c r="L95" s="178">
        <f>K95*J95</f>
        <v>570</v>
      </c>
      <c r="M95" s="179" t="s">
        <v>405</v>
      </c>
    </row>
    <row r="96" spans="1:13" ht="16.5" x14ac:dyDescent="0.25">
      <c r="A96" s="176" t="s">
        <v>445</v>
      </c>
      <c r="B96" s="177" t="s">
        <v>14</v>
      </c>
      <c r="C96" s="178" t="s">
        <v>410</v>
      </c>
      <c r="D96" s="177"/>
      <c r="E96" s="177" t="s">
        <v>21</v>
      </c>
      <c r="F96" s="178">
        <v>50</v>
      </c>
      <c r="G96" s="221">
        <v>0.74674999999999991</v>
      </c>
      <c r="H96" s="178">
        <f>G96*F96</f>
        <v>37.337499999999999</v>
      </c>
      <c r="I96" s="178">
        <v>35</v>
      </c>
      <c r="J96" s="178">
        <v>1</v>
      </c>
      <c r="K96" s="178">
        <f>F96*I96</f>
        <v>1750</v>
      </c>
      <c r="L96" s="178">
        <f>K96*J96</f>
        <v>1750</v>
      </c>
      <c r="M96" s="179" t="s">
        <v>413</v>
      </c>
    </row>
    <row r="97" spans="1:15" x14ac:dyDescent="0.25">
      <c r="A97" s="176" t="s">
        <v>446</v>
      </c>
      <c r="B97" s="212" t="s">
        <v>23</v>
      </c>
      <c r="C97" s="178">
        <v>66772</v>
      </c>
      <c r="D97" s="177" t="s">
        <v>34</v>
      </c>
      <c r="E97" s="201" t="s">
        <v>35</v>
      </c>
      <c r="F97" s="178"/>
      <c r="G97" s="181" t="s">
        <v>77</v>
      </c>
      <c r="H97" s="178"/>
      <c r="I97" s="178"/>
      <c r="J97" s="178"/>
      <c r="K97" s="178">
        <v>5400</v>
      </c>
      <c r="L97" s="178">
        <f t="shared" ref="L97:L98" si="69">K97</f>
        <v>5400</v>
      </c>
      <c r="M97" s="179" t="s">
        <v>179</v>
      </c>
    </row>
    <row r="98" spans="1:15" x14ac:dyDescent="0.25">
      <c r="A98" s="176" t="s">
        <v>446</v>
      </c>
      <c r="B98" s="212" t="s">
        <v>23</v>
      </c>
      <c r="C98" s="178">
        <v>66772</v>
      </c>
      <c r="D98" s="177" t="s">
        <v>34</v>
      </c>
      <c r="E98" s="177" t="s">
        <v>39</v>
      </c>
      <c r="F98" s="178"/>
      <c r="G98" s="181" t="s">
        <v>36</v>
      </c>
      <c r="H98" s="178"/>
      <c r="I98" s="178"/>
      <c r="J98" s="178"/>
      <c r="K98" s="178">
        <v>5450</v>
      </c>
      <c r="L98" s="178">
        <f t="shared" si="69"/>
        <v>5450</v>
      </c>
      <c r="M98" s="179" t="s">
        <v>277</v>
      </c>
    </row>
    <row r="99" spans="1:15" x14ac:dyDescent="0.25">
      <c r="A99" s="176" t="s">
        <v>446</v>
      </c>
      <c r="B99" s="212" t="s">
        <v>23</v>
      </c>
      <c r="C99" s="178">
        <v>66772</v>
      </c>
      <c r="D99" s="177" t="s">
        <v>34</v>
      </c>
      <c r="E99" s="204" t="s">
        <v>30</v>
      </c>
      <c r="F99" s="178"/>
      <c r="G99" s="181" t="s">
        <v>78</v>
      </c>
      <c r="H99" s="178"/>
      <c r="I99" s="178"/>
      <c r="J99" s="178"/>
      <c r="K99" s="178">
        <v>6100</v>
      </c>
      <c r="L99" s="178">
        <f>K99</f>
        <v>6100</v>
      </c>
      <c r="M99" s="179" t="s">
        <v>180</v>
      </c>
    </row>
    <row r="100" spans="1:15" ht="16.5" x14ac:dyDescent="0.25">
      <c r="A100" s="176" t="s">
        <v>446</v>
      </c>
      <c r="B100" s="177" t="s">
        <v>14</v>
      </c>
      <c r="C100" s="178" t="s">
        <v>410</v>
      </c>
      <c r="D100" s="177"/>
      <c r="E100" s="177" t="s">
        <v>21</v>
      </c>
      <c r="F100" s="178">
        <v>85</v>
      </c>
      <c r="G100" s="221">
        <v>0.74674999999999991</v>
      </c>
      <c r="H100" s="178">
        <f>G100*F100</f>
        <v>63.473749999999995</v>
      </c>
      <c r="I100" s="178">
        <v>35</v>
      </c>
      <c r="J100" s="178">
        <v>1</v>
      </c>
      <c r="K100" s="178">
        <f>F100*I100</f>
        <v>2975</v>
      </c>
      <c r="L100" s="178">
        <f>K100*J100</f>
        <v>2975</v>
      </c>
      <c r="M100" s="179" t="s">
        <v>413</v>
      </c>
    </row>
    <row r="101" spans="1:15" ht="16.5" x14ac:dyDescent="0.25">
      <c r="A101" s="176" t="s">
        <v>446</v>
      </c>
      <c r="B101" s="177" t="s">
        <v>14</v>
      </c>
      <c r="C101" s="178" t="s">
        <v>408</v>
      </c>
      <c r="D101" s="177" t="s">
        <v>409</v>
      </c>
      <c r="E101" s="177" t="s">
        <v>21</v>
      </c>
      <c r="F101" s="178">
        <v>175</v>
      </c>
      <c r="G101" s="221">
        <v>0.77037500000000014</v>
      </c>
      <c r="H101" s="178">
        <f>G101*F101</f>
        <v>134.81562500000001</v>
      </c>
      <c r="I101" s="178">
        <v>30</v>
      </c>
      <c r="J101" s="178">
        <v>1</v>
      </c>
      <c r="K101" s="178">
        <f>F101*I101</f>
        <v>5250</v>
      </c>
      <c r="L101" s="178">
        <f>K101*J101</f>
        <v>5250</v>
      </c>
      <c r="M101" s="179" t="s">
        <v>405</v>
      </c>
    </row>
    <row r="102" spans="1:15" x14ac:dyDescent="0.25">
      <c r="A102" s="176" t="s">
        <v>446</v>
      </c>
      <c r="B102" s="177" t="s">
        <v>14</v>
      </c>
      <c r="C102" s="178" t="s">
        <v>408</v>
      </c>
      <c r="D102" s="177" t="s">
        <v>409</v>
      </c>
      <c r="E102" s="177" t="s">
        <v>25</v>
      </c>
      <c r="F102" s="178"/>
      <c r="G102" s="178"/>
      <c r="H102" s="178"/>
      <c r="I102" s="178"/>
      <c r="J102" s="178"/>
      <c r="K102" s="178">
        <v>4000</v>
      </c>
      <c r="L102" s="178">
        <f>K102</f>
        <v>4000</v>
      </c>
      <c r="M102" s="179" t="s">
        <v>37</v>
      </c>
    </row>
    <row r="103" spans="1:15" x14ac:dyDescent="0.25">
      <c r="A103" s="176" t="s">
        <v>446</v>
      </c>
      <c r="B103" s="177" t="s">
        <v>14</v>
      </c>
      <c r="C103" s="178">
        <v>7479</v>
      </c>
      <c r="D103" s="177" t="s">
        <v>20</v>
      </c>
      <c r="E103" s="177" t="s">
        <v>25</v>
      </c>
      <c r="F103" s="178"/>
      <c r="G103" s="178"/>
      <c r="H103" s="178"/>
      <c r="I103" s="178"/>
      <c r="J103" s="178"/>
      <c r="K103" s="178">
        <v>7000</v>
      </c>
      <c r="L103" s="178">
        <f t="shared" ref="L103" si="70">K103</f>
        <v>7000</v>
      </c>
      <c r="M103" s="179" t="s">
        <v>181</v>
      </c>
    </row>
    <row r="104" spans="1:15" ht="16.5" x14ac:dyDescent="0.25">
      <c r="A104" s="176" t="s">
        <v>446</v>
      </c>
      <c r="B104" s="177" t="s">
        <v>14</v>
      </c>
      <c r="C104" s="178">
        <v>1411</v>
      </c>
      <c r="D104" s="177" t="s">
        <v>414</v>
      </c>
      <c r="E104" s="177" t="s">
        <v>21</v>
      </c>
      <c r="F104" s="178">
        <v>68</v>
      </c>
      <c r="G104" s="221">
        <v>1.1297187499999997</v>
      </c>
      <c r="H104" s="178">
        <f>G104*F104</f>
        <v>76.820874999999972</v>
      </c>
      <c r="I104" s="178">
        <v>20</v>
      </c>
      <c r="J104" s="178">
        <v>1</v>
      </c>
      <c r="K104" s="178">
        <f>F104*I104</f>
        <v>1360</v>
      </c>
      <c r="L104" s="178">
        <f>K104*J104</f>
        <v>1360</v>
      </c>
      <c r="M104" s="179" t="s">
        <v>413</v>
      </c>
      <c r="N104" t="s">
        <v>435</v>
      </c>
      <c r="O104" t="s">
        <v>439</v>
      </c>
    </row>
    <row r="105" spans="1:15" ht="15" customHeight="1" x14ac:dyDescent="0.25">
      <c r="A105" s="176" t="s">
        <v>447</v>
      </c>
      <c r="B105" s="212" t="s">
        <v>23</v>
      </c>
      <c r="C105" s="178">
        <v>66772</v>
      </c>
      <c r="D105" s="177" t="s">
        <v>34</v>
      </c>
      <c r="E105" s="201" t="s">
        <v>35</v>
      </c>
      <c r="F105" s="178"/>
      <c r="G105" s="181" t="s">
        <v>77</v>
      </c>
      <c r="H105" s="178"/>
      <c r="I105" s="178"/>
      <c r="J105" s="178"/>
      <c r="K105" s="178">
        <v>7300</v>
      </c>
      <c r="L105" s="178">
        <f t="shared" ref="L105:L106" si="71">K105</f>
        <v>7300</v>
      </c>
      <c r="M105" s="179" t="s">
        <v>179</v>
      </c>
    </row>
    <row r="106" spans="1:15" ht="15" customHeight="1" x14ac:dyDescent="0.25">
      <c r="A106" s="176" t="s">
        <v>447</v>
      </c>
      <c r="B106" s="212" t="s">
        <v>23</v>
      </c>
      <c r="C106" s="178">
        <v>66772</v>
      </c>
      <c r="D106" s="177" t="s">
        <v>34</v>
      </c>
      <c r="E106" s="177" t="s">
        <v>39</v>
      </c>
      <c r="F106" s="178"/>
      <c r="G106" s="181" t="s">
        <v>36</v>
      </c>
      <c r="H106" s="178"/>
      <c r="I106" s="178"/>
      <c r="J106" s="178"/>
      <c r="K106" s="178">
        <v>5400</v>
      </c>
      <c r="L106" s="178">
        <f t="shared" si="71"/>
        <v>5400</v>
      </c>
      <c r="M106" s="179" t="s">
        <v>277</v>
      </c>
    </row>
    <row r="107" spans="1:15" ht="15" customHeight="1" x14ac:dyDescent="0.25">
      <c r="A107" s="176" t="s">
        <v>447</v>
      </c>
      <c r="B107" s="212" t="s">
        <v>23</v>
      </c>
      <c r="C107" s="178">
        <v>66772</v>
      </c>
      <c r="D107" s="177" t="s">
        <v>34</v>
      </c>
      <c r="E107" s="204" t="s">
        <v>30</v>
      </c>
      <c r="F107" s="178"/>
      <c r="G107" s="181" t="s">
        <v>78</v>
      </c>
      <c r="H107" s="178"/>
      <c r="I107" s="178"/>
      <c r="J107" s="178"/>
      <c r="K107" s="178">
        <v>5500</v>
      </c>
      <c r="L107" s="178">
        <f>K107</f>
        <v>5500</v>
      </c>
      <c r="M107" s="179" t="s">
        <v>405</v>
      </c>
    </row>
    <row r="108" spans="1:15" ht="15" customHeight="1" x14ac:dyDescent="0.25">
      <c r="A108" s="176" t="s">
        <v>447</v>
      </c>
      <c r="B108" s="177" t="s">
        <v>14</v>
      </c>
      <c r="C108" s="178">
        <v>1411</v>
      </c>
      <c r="D108" s="177" t="s">
        <v>414</v>
      </c>
      <c r="E108" s="177" t="s">
        <v>21</v>
      </c>
      <c r="F108" s="178">
        <v>70</v>
      </c>
      <c r="G108" s="221">
        <v>1.1297187499999997</v>
      </c>
      <c r="H108" s="178">
        <f>G108*F108</f>
        <v>79.080312499999977</v>
      </c>
      <c r="I108" s="178">
        <v>20</v>
      </c>
      <c r="J108" s="178">
        <v>1</v>
      </c>
      <c r="K108" s="178">
        <f>F108*I108</f>
        <v>1400</v>
      </c>
      <c r="L108" s="178">
        <f>K108*J108</f>
        <v>1400</v>
      </c>
      <c r="M108" s="179" t="s">
        <v>413</v>
      </c>
      <c r="N108" t="s">
        <v>435</v>
      </c>
      <c r="O108" t="s">
        <v>439</v>
      </c>
    </row>
    <row r="109" spans="1:15" ht="15" customHeight="1" x14ac:dyDescent="0.25">
      <c r="A109" s="176" t="s">
        <v>447</v>
      </c>
      <c r="B109" s="177" t="s">
        <v>14</v>
      </c>
      <c r="C109" s="178">
        <v>1411</v>
      </c>
      <c r="D109" s="177" t="s">
        <v>414</v>
      </c>
      <c r="E109" s="177" t="s">
        <v>21</v>
      </c>
      <c r="F109" s="178">
        <v>90</v>
      </c>
      <c r="G109" s="221">
        <v>1.1297187499999997</v>
      </c>
      <c r="H109" s="178">
        <f>G109*F109</f>
        <v>101.67468749999998</v>
      </c>
      <c r="I109" s="178">
        <v>20</v>
      </c>
      <c r="J109" s="178">
        <v>1</v>
      </c>
      <c r="K109" s="178">
        <f>F109*I109</f>
        <v>1800</v>
      </c>
      <c r="L109" s="178">
        <f>K109*J109</f>
        <v>1800</v>
      </c>
      <c r="M109" s="179" t="s">
        <v>413</v>
      </c>
      <c r="N109" t="s">
        <v>435</v>
      </c>
      <c r="O109" t="s">
        <v>113</v>
      </c>
    </row>
    <row r="110" spans="1:15" ht="15" customHeight="1" x14ac:dyDescent="0.25">
      <c r="A110" s="176" t="s">
        <v>447</v>
      </c>
      <c r="B110" s="177" t="s">
        <v>14</v>
      </c>
      <c r="C110" s="178" t="s">
        <v>448</v>
      </c>
      <c r="D110" s="177" t="s">
        <v>406</v>
      </c>
      <c r="E110" s="177" t="s">
        <v>21</v>
      </c>
      <c r="F110" s="178">
        <v>38</v>
      </c>
      <c r="G110" s="221">
        <v>0.23839999999999995</v>
      </c>
      <c r="H110" s="178">
        <f>G110*F110</f>
        <v>9.059199999999997</v>
      </c>
      <c r="I110" s="201">
        <v>45</v>
      </c>
      <c r="J110" s="178">
        <v>1</v>
      </c>
      <c r="K110" s="178">
        <f>F110*I110</f>
        <v>1710</v>
      </c>
      <c r="L110" s="178">
        <f>K110*J110</f>
        <v>1710</v>
      </c>
      <c r="M110" s="179" t="s">
        <v>37</v>
      </c>
    </row>
    <row r="111" spans="1:15" ht="15" customHeight="1" x14ac:dyDescent="0.25">
      <c r="A111" s="176" t="s">
        <v>447</v>
      </c>
      <c r="B111" s="177" t="s">
        <v>14</v>
      </c>
      <c r="C111" s="178" t="s">
        <v>448</v>
      </c>
      <c r="D111" s="177" t="s">
        <v>406</v>
      </c>
      <c r="E111" s="177" t="s">
        <v>25</v>
      </c>
      <c r="F111" s="178"/>
      <c r="G111" s="178"/>
      <c r="H111" s="178"/>
      <c r="I111" s="178"/>
      <c r="J111" s="178"/>
      <c r="K111" s="178">
        <v>1350</v>
      </c>
      <c r="L111" s="178">
        <f>K111</f>
        <v>1350</v>
      </c>
      <c r="M111" s="179" t="s">
        <v>37</v>
      </c>
    </row>
    <row r="112" spans="1:15" ht="15" customHeight="1" x14ac:dyDescent="0.25">
      <c r="A112" s="176" t="s">
        <v>447</v>
      </c>
      <c r="B112" s="177" t="s">
        <v>14</v>
      </c>
      <c r="C112" s="178" t="s">
        <v>408</v>
      </c>
      <c r="D112" s="177" t="s">
        <v>409</v>
      </c>
      <c r="E112" s="177" t="s">
        <v>21</v>
      </c>
      <c r="F112" s="178">
        <v>120</v>
      </c>
      <c r="G112" s="221">
        <v>0.77037500000000014</v>
      </c>
      <c r="H112" s="178">
        <f>G112*F112</f>
        <v>92.445000000000022</v>
      </c>
      <c r="I112" s="178">
        <v>30</v>
      </c>
      <c r="J112" s="178">
        <v>1</v>
      </c>
      <c r="K112" s="178">
        <f>F112*I112</f>
        <v>3600</v>
      </c>
      <c r="L112" s="178">
        <f>K112*J112</f>
        <v>3600</v>
      </c>
      <c r="M112" s="179" t="s">
        <v>405</v>
      </c>
    </row>
    <row r="113" spans="1:13" ht="15" customHeight="1" x14ac:dyDescent="0.25">
      <c r="A113" s="176" t="s">
        <v>447</v>
      </c>
      <c r="B113" s="177" t="s">
        <v>14</v>
      </c>
      <c r="C113" s="178" t="s">
        <v>408</v>
      </c>
      <c r="D113" s="177" t="s">
        <v>409</v>
      </c>
      <c r="E113" s="177" t="s">
        <v>25</v>
      </c>
      <c r="F113" s="178"/>
      <c r="G113" s="178"/>
      <c r="H113" s="178"/>
      <c r="I113" s="178"/>
      <c r="J113" s="178"/>
      <c r="K113" s="178">
        <v>3000</v>
      </c>
      <c r="L113" s="178">
        <f>K113</f>
        <v>3000</v>
      </c>
      <c r="M113" s="179" t="s">
        <v>22</v>
      </c>
    </row>
    <row r="114" spans="1:13" ht="15" customHeight="1" x14ac:dyDescent="0.25">
      <c r="A114" s="176" t="s">
        <v>447</v>
      </c>
      <c r="B114" s="177" t="s">
        <v>14</v>
      </c>
      <c r="C114" s="178" t="s">
        <v>407</v>
      </c>
      <c r="D114" s="177"/>
      <c r="E114" s="177" t="s">
        <v>21</v>
      </c>
      <c r="F114" s="178">
        <v>50</v>
      </c>
      <c r="G114" s="221">
        <v>0.48962500000000003</v>
      </c>
      <c r="H114" s="178">
        <f>G114*F114</f>
        <v>24.481250000000003</v>
      </c>
      <c r="I114" s="178">
        <v>17</v>
      </c>
      <c r="J114" s="178">
        <v>1</v>
      </c>
      <c r="K114" s="178">
        <f>F114*I114</f>
        <v>850</v>
      </c>
      <c r="L114" s="178">
        <f>K114*J114</f>
        <v>850</v>
      </c>
      <c r="M114" s="179" t="s">
        <v>277</v>
      </c>
    </row>
    <row r="115" spans="1:13" ht="15" customHeight="1" x14ac:dyDescent="0.25">
      <c r="A115" s="176" t="s">
        <v>449</v>
      </c>
      <c r="B115" s="212" t="s">
        <v>23</v>
      </c>
      <c r="C115" s="178">
        <v>66772</v>
      </c>
      <c r="D115" s="177" t="s">
        <v>34</v>
      </c>
      <c r="E115" s="201" t="s">
        <v>35</v>
      </c>
      <c r="F115" s="178"/>
      <c r="G115" s="181" t="s">
        <v>77</v>
      </c>
      <c r="H115" s="178"/>
      <c r="I115" s="178"/>
      <c r="J115" s="178"/>
      <c r="K115" s="178">
        <v>2000</v>
      </c>
      <c r="L115" s="178">
        <f t="shared" ref="L115:L116" si="72">K115</f>
        <v>2000</v>
      </c>
      <c r="M115" s="179" t="s">
        <v>179</v>
      </c>
    </row>
    <row r="116" spans="1:13" ht="15" customHeight="1" x14ac:dyDescent="0.25">
      <c r="A116" s="176" t="s">
        <v>449</v>
      </c>
      <c r="B116" s="212" t="s">
        <v>23</v>
      </c>
      <c r="C116" s="178">
        <v>66772</v>
      </c>
      <c r="D116" s="177" t="s">
        <v>34</v>
      </c>
      <c r="E116" s="177" t="s">
        <v>39</v>
      </c>
      <c r="F116" s="178"/>
      <c r="G116" s="181" t="s">
        <v>36</v>
      </c>
      <c r="H116" s="178"/>
      <c r="I116" s="178"/>
      <c r="J116" s="178"/>
      <c r="K116" s="178">
        <v>4500</v>
      </c>
      <c r="L116" s="178">
        <f t="shared" si="72"/>
        <v>4500</v>
      </c>
      <c r="M116" s="179" t="s">
        <v>277</v>
      </c>
    </row>
    <row r="117" spans="1:13" ht="15" customHeight="1" x14ac:dyDescent="0.25">
      <c r="A117" s="176" t="s">
        <v>449</v>
      </c>
      <c r="B117" s="212" t="s">
        <v>23</v>
      </c>
      <c r="C117" s="178">
        <v>66772</v>
      </c>
      <c r="D117" s="177" t="s">
        <v>34</v>
      </c>
      <c r="E117" s="204" t="s">
        <v>30</v>
      </c>
      <c r="F117" s="178"/>
      <c r="G117" s="181" t="s">
        <v>78</v>
      </c>
      <c r="H117" s="178"/>
      <c r="I117" s="178"/>
      <c r="J117" s="178"/>
      <c r="K117" s="178">
        <v>4500</v>
      </c>
      <c r="L117" s="178">
        <f>K117</f>
        <v>4500</v>
      </c>
      <c r="M117" s="179" t="s">
        <v>405</v>
      </c>
    </row>
    <row r="118" spans="1:13" ht="15" customHeight="1" x14ac:dyDescent="0.25">
      <c r="A118" s="176" t="s">
        <v>449</v>
      </c>
      <c r="B118" s="177" t="s">
        <v>14</v>
      </c>
      <c r="C118" s="178" t="s">
        <v>448</v>
      </c>
      <c r="D118" s="177" t="s">
        <v>406</v>
      </c>
      <c r="E118" s="177" t="s">
        <v>21</v>
      </c>
      <c r="F118" s="178">
        <v>82</v>
      </c>
      <c r="G118" s="221">
        <v>0.23839999999999995</v>
      </c>
      <c r="H118" s="178">
        <f>G118*F118</f>
        <v>19.548799999999996</v>
      </c>
      <c r="I118" s="201">
        <v>45</v>
      </c>
      <c r="J118" s="178">
        <v>1</v>
      </c>
      <c r="K118" s="178">
        <f>F118*I118</f>
        <v>3690</v>
      </c>
      <c r="L118" s="178">
        <f>K118*J118</f>
        <v>3690</v>
      </c>
      <c r="M118" s="179" t="s">
        <v>37</v>
      </c>
    </row>
    <row r="119" spans="1:13" ht="15" customHeight="1" x14ac:dyDescent="0.25">
      <c r="A119" s="176" t="s">
        <v>449</v>
      </c>
      <c r="B119" s="177" t="s">
        <v>14</v>
      </c>
      <c r="C119" s="178" t="s">
        <v>448</v>
      </c>
      <c r="D119" s="177" t="s">
        <v>406</v>
      </c>
      <c r="E119" s="177" t="s">
        <v>25</v>
      </c>
      <c r="F119" s="178"/>
      <c r="G119" s="178"/>
      <c r="H119" s="178"/>
      <c r="I119" s="178"/>
      <c r="J119" s="178"/>
      <c r="K119" s="178">
        <v>3700</v>
      </c>
      <c r="L119" s="178">
        <f>K119</f>
        <v>3700</v>
      </c>
      <c r="M119" s="179" t="s">
        <v>181</v>
      </c>
    </row>
    <row r="120" spans="1:13" ht="15" customHeight="1" x14ac:dyDescent="0.25">
      <c r="A120" s="176" t="s">
        <v>449</v>
      </c>
      <c r="B120" s="177" t="s">
        <v>14</v>
      </c>
      <c r="C120" s="178" t="s">
        <v>408</v>
      </c>
      <c r="D120" s="177" t="s">
        <v>409</v>
      </c>
      <c r="E120" s="177" t="s">
        <v>25</v>
      </c>
      <c r="F120" s="178"/>
      <c r="G120" s="178"/>
      <c r="H120" s="178"/>
      <c r="I120" s="178"/>
      <c r="J120" s="178"/>
      <c r="K120" s="178">
        <v>2300</v>
      </c>
      <c r="L120" s="178">
        <f>K120</f>
        <v>2300</v>
      </c>
      <c r="M120" s="179" t="s">
        <v>22</v>
      </c>
    </row>
    <row r="121" spans="1:13" ht="15" customHeight="1" x14ac:dyDescent="0.25">
      <c r="A121" s="176" t="s">
        <v>449</v>
      </c>
      <c r="B121" s="177" t="s">
        <v>14</v>
      </c>
      <c r="C121" s="178" t="s">
        <v>417</v>
      </c>
      <c r="D121" s="177"/>
      <c r="E121" s="177" t="s">
        <v>21</v>
      </c>
      <c r="F121" s="178">
        <v>84</v>
      </c>
      <c r="G121" s="221">
        <v>0.63541875000000003</v>
      </c>
      <c r="H121" s="178">
        <f>G121*F121</f>
        <v>53.375175000000006</v>
      </c>
      <c r="I121" s="178">
        <v>31</v>
      </c>
      <c r="J121" s="178">
        <v>1</v>
      </c>
      <c r="K121" s="178">
        <f t="shared" ref="K121" si="73">F121*I121</f>
        <v>2604</v>
      </c>
      <c r="L121" s="178">
        <f t="shared" ref="L121" si="74">K121*J121</f>
        <v>2604</v>
      </c>
      <c r="M121" s="179" t="s">
        <v>277</v>
      </c>
    </row>
    <row r="122" spans="1:13" ht="15" customHeight="1" x14ac:dyDescent="0.25">
      <c r="A122" s="176" t="s">
        <v>449</v>
      </c>
      <c r="B122" s="177" t="s">
        <v>14</v>
      </c>
      <c r="C122" s="178" t="s">
        <v>417</v>
      </c>
      <c r="D122" s="177"/>
      <c r="E122" s="177" t="s">
        <v>25</v>
      </c>
      <c r="F122" s="178"/>
      <c r="G122" s="178"/>
      <c r="H122" s="178"/>
      <c r="I122" s="178"/>
      <c r="J122" s="178"/>
      <c r="K122" s="178">
        <v>250</v>
      </c>
      <c r="L122" s="178">
        <f t="shared" ref="L122" si="75">K122</f>
        <v>250</v>
      </c>
      <c r="M122" s="179" t="s">
        <v>418</v>
      </c>
    </row>
    <row r="123" spans="1:13" ht="15" customHeight="1" x14ac:dyDescent="0.25">
      <c r="A123" s="176" t="s">
        <v>449</v>
      </c>
      <c r="B123" s="177" t="s">
        <v>14</v>
      </c>
      <c r="C123" s="178" t="s">
        <v>407</v>
      </c>
      <c r="D123" s="177"/>
      <c r="E123" s="177" t="s">
        <v>21</v>
      </c>
      <c r="F123" s="178">
        <v>300</v>
      </c>
      <c r="G123" s="221">
        <v>0.48962500000000003</v>
      </c>
      <c r="H123" s="178">
        <f>G123*F123</f>
        <v>146.88750000000002</v>
      </c>
      <c r="I123" s="178">
        <v>17</v>
      </c>
      <c r="J123" s="178">
        <v>1</v>
      </c>
      <c r="K123" s="178">
        <f>F123*I123</f>
        <v>5100</v>
      </c>
      <c r="L123" s="178">
        <f>K123*J123</f>
        <v>5100</v>
      </c>
      <c r="M123" s="179" t="s">
        <v>277</v>
      </c>
    </row>
    <row r="124" spans="1:13" ht="15" customHeight="1" x14ac:dyDescent="0.25">
      <c r="A124" s="176" t="s">
        <v>449</v>
      </c>
      <c r="B124" s="177" t="s">
        <v>14</v>
      </c>
      <c r="C124" s="178" t="s">
        <v>89</v>
      </c>
      <c r="D124" s="177" t="s">
        <v>90</v>
      </c>
      <c r="E124" s="177" t="s">
        <v>21</v>
      </c>
      <c r="F124" s="178">
        <v>17</v>
      </c>
      <c r="G124" s="178">
        <v>0.13500000000000001</v>
      </c>
      <c r="H124" s="178">
        <f t="shared" ref="H124" si="76">F124*G124</f>
        <v>2.2949999999999999</v>
      </c>
      <c r="I124" s="178">
        <v>77</v>
      </c>
      <c r="J124" s="178">
        <v>1</v>
      </c>
      <c r="K124" s="178">
        <f t="shared" ref="K124" si="77">F124*I124</f>
        <v>1309</v>
      </c>
      <c r="L124" s="178">
        <f t="shared" ref="L124" si="78">K124*J124</f>
        <v>1309</v>
      </c>
      <c r="M124" s="179" t="s">
        <v>181</v>
      </c>
    </row>
    <row r="125" spans="1:13" ht="15" customHeight="1" x14ac:dyDescent="0.25">
      <c r="A125" s="176" t="s">
        <v>449</v>
      </c>
      <c r="B125" s="177" t="s">
        <v>14</v>
      </c>
      <c r="C125" s="178" t="s">
        <v>89</v>
      </c>
      <c r="D125" s="177" t="s">
        <v>90</v>
      </c>
      <c r="E125" s="177" t="s">
        <v>25</v>
      </c>
      <c r="F125" s="178"/>
      <c r="G125" s="178"/>
      <c r="H125" s="178"/>
      <c r="I125" s="178"/>
      <c r="J125" s="178"/>
      <c r="K125" s="178">
        <v>1100</v>
      </c>
      <c r="L125" s="178">
        <f>K125</f>
        <v>1100</v>
      </c>
      <c r="M125" s="179" t="s">
        <v>22</v>
      </c>
    </row>
    <row r="126" spans="1:13" ht="15" customHeight="1" x14ac:dyDescent="0.25">
      <c r="A126" s="176" t="s">
        <v>449</v>
      </c>
      <c r="B126" s="177" t="s">
        <v>14</v>
      </c>
      <c r="C126" s="178" t="s">
        <v>452</v>
      </c>
      <c r="D126" s="177"/>
      <c r="E126" s="177" t="s">
        <v>21</v>
      </c>
      <c r="F126" s="178">
        <v>26</v>
      </c>
      <c r="G126" s="221">
        <v>0.34062500000000001</v>
      </c>
      <c r="H126" s="178">
        <f t="shared" ref="H126:H127" si="79">F126*G126</f>
        <v>8.8562500000000011</v>
      </c>
      <c r="I126" s="178">
        <v>23</v>
      </c>
      <c r="J126" s="178">
        <v>1</v>
      </c>
      <c r="K126" s="178">
        <f t="shared" ref="K126:K127" si="80">F126*I126</f>
        <v>598</v>
      </c>
      <c r="L126" s="178">
        <f t="shared" ref="L126:L127" si="81">K126*J126</f>
        <v>598</v>
      </c>
      <c r="M126" s="179" t="s">
        <v>179</v>
      </c>
    </row>
    <row r="127" spans="1:13" ht="15" customHeight="1" x14ac:dyDescent="0.25">
      <c r="A127" s="176" t="s">
        <v>450</v>
      </c>
      <c r="B127" s="177" t="s">
        <v>14</v>
      </c>
      <c r="C127" s="178" t="s">
        <v>89</v>
      </c>
      <c r="D127" s="177" t="s">
        <v>90</v>
      </c>
      <c r="E127" s="177" t="s">
        <v>21</v>
      </c>
      <c r="F127" s="178">
        <v>60</v>
      </c>
      <c r="G127" s="178">
        <v>0.13500000000000001</v>
      </c>
      <c r="H127" s="178">
        <f t="shared" si="79"/>
        <v>8.1000000000000014</v>
      </c>
      <c r="I127" s="178">
        <v>77</v>
      </c>
      <c r="J127" s="178">
        <v>1</v>
      </c>
      <c r="K127" s="178">
        <f t="shared" si="80"/>
        <v>4620</v>
      </c>
      <c r="L127" s="178">
        <f t="shared" si="81"/>
        <v>4620</v>
      </c>
      <c r="M127" s="179" t="s">
        <v>181</v>
      </c>
    </row>
    <row r="128" spans="1:13" ht="15" customHeight="1" x14ac:dyDescent="0.25">
      <c r="A128" s="176" t="s">
        <v>450</v>
      </c>
      <c r="B128" s="177" t="s">
        <v>14</v>
      </c>
      <c r="C128" s="178" t="s">
        <v>89</v>
      </c>
      <c r="D128" s="177" t="s">
        <v>90</v>
      </c>
      <c r="E128" s="177" t="s">
        <v>25</v>
      </c>
      <c r="F128" s="178"/>
      <c r="G128" s="178"/>
      <c r="H128" s="178"/>
      <c r="I128" s="178"/>
      <c r="J128" s="178"/>
      <c r="K128" s="178">
        <v>3500</v>
      </c>
      <c r="L128" s="178">
        <f>K128</f>
        <v>3500</v>
      </c>
      <c r="M128" s="179" t="s">
        <v>22</v>
      </c>
    </row>
    <row r="129" spans="1:13" ht="15" customHeight="1" x14ac:dyDescent="0.25">
      <c r="A129" s="176" t="s">
        <v>450</v>
      </c>
      <c r="B129" s="177" t="s">
        <v>14</v>
      </c>
      <c r="C129" s="178" t="s">
        <v>448</v>
      </c>
      <c r="D129" s="177" t="s">
        <v>406</v>
      </c>
      <c r="E129" s="177" t="s">
        <v>21</v>
      </c>
      <c r="F129" s="178">
        <v>70</v>
      </c>
      <c r="G129" s="221">
        <v>0.23839999999999995</v>
      </c>
      <c r="H129" s="178">
        <f>G129*F129</f>
        <v>16.687999999999995</v>
      </c>
      <c r="I129" s="201">
        <v>45</v>
      </c>
      <c r="J129" s="178">
        <v>1</v>
      </c>
      <c r="K129" s="178">
        <f>F129*I129</f>
        <v>3150</v>
      </c>
      <c r="L129" s="178">
        <f>K129*J129</f>
        <v>3150</v>
      </c>
      <c r="M129" s="179" t="s">
        <v>37</v>
      </c>
    </row>
    <row r="130" spans="1:13" ht="15" customHeight="1" x14ac:dyDescent="0.25">
      <c r="A130" s="176" t="s">
        <v>450</v>
      </c>
      <c r="B130" s="177" t="s">
        <v>14</v>
      </c>
      <c r="C130" s="178" t="s">
        <v>448</v>
      </c>
      <c r="D130" s="177" t="s">
        <v>406</v>
      </c>
      <c r="E130" s="177" t="s">
        <v>25</v>
      </c>
      <c r="F130" s="178"/>
      <c r="G130" s="178"/>
      <c r="H130" s="178"/>
      <c r="I130" s="178"/>
      <c r="J130" s="178"/>
      <c r="K130" s="178">
        <v>2680</v>
      </c>
      <c r="L130" s="178">
        <f>K130</f>
        <v>2680</v>
      </c>
      <c r="M130" s="179" t="s">
        <v>181</v>
      </c>
    </row>
    <row r="131" spans="1:13" ht="15" customHeight="1" x14ac:dyDescent="0.25">
      <c r="A131" s="176" t="s">
        <v>450</v>
      </c>
      <c r="B131" s="177" t="s">
        <v>14</v>
      </c>
      <c r="C131" s="178" t="s">
        <v>452</v>
      </c>
      <c r="D131" s="177"/>
      <c r="E131" s="177" t="s">
        <v>21</v>
      </c>
      <c r="F131" s="178">
        <v>97</v>
      </c>
      <c r="G131" s="221">
        <v>0.34062500000000001</v>
      </c>
      <c r="H131" s="178">
        <f>F131*G131</f>
        <v>33.040624999999999</v>
      </c>
      <c r="I131" s="178">
        <v>23</v>
      </c>
      <c r="J131" s="178">
        <v>1</v>
      </c>
      <c r="K131" s="178">
        <f>F131*I131</f>
        <v>2231</v>
      </c>
      <c r="L131" s="178">
        <f t="shared" ref="L131" si="82">K131*J131</f>
        <v>2231</v>
      </c>
      <c r="M131" s="179" t="s">
        <v>179</v>
      </c>
    </row>
    <row r="132" spans="1:13" ht="15" customHeight="1" x14ac:dyDescent="0.25">
      <c r="A132" s="176" t="s">
        <v>450</v>
      </c>
      <c r="B132" s="177" t="s">
        <v>14</v>
      </c>
      <c r="C132" s="178" t="s">
        <v>417</v>
      </c>
      <c r="D132" s="177"/>
      <c r="E132" s="177" t="s">
        <v>25</v>
      </c>
      <c r="F132" s="178"/>
      <c r="G132" s="178"/>
      <c r="H132" s="178"/>
      <c r="I132" s="178"/>
      <c r="J132" s="178"/>
      <c r="K132" s="178">
        <v>1350</v>
      </c>
      <c r="L132" s="178">
        <f t="shared" ref="L132:L133" si="83">K132</f>
        <v>1350</v>
      </c>
      <c r="M132" s="179" t="s">
        <v>418</v>
      </c>
    </row>
    <row r="133" spans="1:13" ht="15" customHeight="1" x14ac:dyDescent="0.25">
      <c r="A133" s="176" t="s">
        <v>450</v>
      </c>
      <c r="B133" s="177" t="s">
        <v>14</v>
      </c>
      <c r="C133" s="178" t="s">
        <v>407</v>
      </c>
      <c r="D133" s="177"/>
      <c r="E133" s="177" t="s">
        <v>25</v>
      </c>
      <c r="F133" s="178"/>
      <c r="G133" s="178"/>
      <c r="H133" s="178"/>
      <c r="I133" s="178"/>
      <c r="J133" s="178"/>
      <c r="K133" s="178">
        <v>1370</v>
      </c>
      <c r="L133" s="178">
        <f t="shared" si="83"/>
        <v>1370</v>
      </c>
      <c r="M133" s="179" t="s">
        <v>405</v>
      </c>
    </row>
    <row r="134" spans="1:13" ht="15" customHeight="1" x14ac:dyDescent="0.25">
      <c r="A134" s="176" t="s">
        <v>450</v>
      </c>
      <c r="B134" s="191" t="s">
        <v>41</v>
      </c>
      <c r="C134" s="192" t="s">
        <v>42</v>
      </c>
      <c r="D134" s="193" t="s">
        <v>93</v>
      </c>
      <c r="E134" s="199" t="s">
        <v>21</v>
      </c>
      <c r="F134" s="192">
        <v>65</v>
      </c>
      <c r="G134" s="192">
        <v>0</v>
      </c>
      <c r="H134" s="192">
        <f>G134*F134</f>
        <v>0</v>
      </c>
      <c r="I134" s="192">
        <v>42</v>
      </c>
      <c r="J134" s="192">
        <v>4</v>
      </c>
      <c r="K134" s="192">
        <f>F134*I134</f>
        <v>2730</v>
      </c>
      <c r="L134" s="192">
        <f>K134*J134</f>
        <v>10920</v>
      </c>
      <c r="M134" s="194" t="s">
        <v>91</v>
      </c>
    </row>
    <row r="135" spans="1:13" ht="15" customHeight="1" x14ac:dyDescent="0.25">
      <c r="A135" s="176" t="s">
        <v>451</v>
      </c>
      <c r="B135" s="177" t="s">
        <v>14</v>
      </c>
      <c r="C135" s="178" t="s">
        <v>89</v>
      </c>
      <c r="D135" s="177" t="s">
        <v>90</v>
      </c>
      <c r="E135" s="177" t="s">
        <v>21</v>
      </c>
      <c r="F135" s="178">
        <v>94</v>
      </c>
      <c r="G135" s="178">
        <v>0.13500000000000001</v>
      </c>
      <c r="H135" s="178">
        <f t="shared" ref="H135" si="84">F135*G135</f>
        <v>12.690000000000001</v>
      </c>
      <c r="I135" s="178">
        <v>77</v>
      </c>
      <c r="J135" s="178">
        <v>1</v>
      </c>
      <c r="K135" s="178">
        <f t="shared" ref="K135" si="85">F135*I135</f>
        <v>7238</v>
      </c>
      <c r="L135" s="178">
        <f t="shared" ref="L135" si="86">K135*J135</f>
        <v>7238</v>
      </c>
      <c r="M135" s="179" t="s">
        <v>181</v>
      </c>
    </row>
    <row r="136" spans="1:13" ht="15" customHeight="1" x14ac:dyDescent="0.25">
      <c r="A136" s="176" t="s">
        <v>451</v>
      </c>
      <c r="B136" s="177" t="s">
        <v>14</v>
      </c>
      <c r="C136" s="178" t="s">
        <v>89</v>
      </c>
      <c r="D136" s="177" t="s">
        <v>90</v>
      </c>
      <c r="E136" s="177" t="s">
        <v>25</v>
      </c>
      <c r="F136" s="178"/>
      <c r="G136" s="178"/>
      <c r="H136" s="178"/>
      <c r="I136" s="178"/>
      <c r="J136" s="178"/>
      <c r="K136" s="178">
        <v>6200</v>
      </c>
      <c r="L136" s="178">
        <f>K136</f>
        <v>6200</v>
      </c>
      <c r="M136" s="179" t="s">
        <v>22</v>
      </c>
    </row>
    <row r="137" spans="1:13" ht="15" customHeight="1" x14ac:dyDescent="0.25">
      <c r="A137" s="176" t="s">
        <v>451</v>
      </c>
      <c r="B137" s="177" t="s">
        <v>14</v>
      </c>
      <c r="C137" s="178" t="s">
        <v>448</v>
      </c>
      <c r="D137" s="177" t="s">
        <v>406</v>
      </c>
      <c r="E137" s="177" t="s">
        <v>21</v>
      </c>
      <c r="F137" s="178">
        <v>122</v>
      </c>
      <c r="G137" s="221">
        <v>0.23839999999999995</v>
      </c>
      <c r="H137" s="178">
        <f>G137*F137</f>
        <v>29.084799999999994</v>
      </c>
      <c r="I137" s="201">
        <v>45</v>
      </c>
      <c r="J137" s="178">
        <v>1</v>
      </c>
      <c r="K137" s="178">
        <f>F137*I137</f>
        <v>5490</v>
      </c>
      <c r="L137" s="178">
        <f>K137*J137</f>
        <v>5490</v>
      </c>
      <c r="M137" s="179" t="s">
        <v>37</v>
      </c>
    </row>
    <row r="138" spans="1:13" ht="15" customHeight="1" x14ac:dyDescent="0.25">
      <c r="A138" s="176" t="s">
        <v>451</v>
      </c>
      <c r="B138" s="177" t="s">
        <v>14</v>
      </c>
      <c r="C138" s="178" t="s">
        <v>448</v>
      </c>
      <c r="D138" s="177" t="s">
        <v>406</v>
      </c>
      <c r="E138" s="177" t="s">
        <v>25</v>
      </c>
      <c r="F138" s="178"/>
      <c r="G138" s="178"/>
      <c r="H138" s="178"/>
      <c r="I138" s="178"/>
      <c r="J138" s="178"/>
      <c r="K138" s="178">
        <v>4100</v>
      </c>
      <c r="L138" s="178">
        <f>K138</f>
        <v>4100</v>
      </c>
      <c r="M138" s="179" t="s">
        <v>181</v>
      </c>
    </row>
    <row r="139" spans="1:13" ht="15" customHeight="1" x14ac:dyDescent="0.25">
      <c r="A139" s="176" t="s">
        <v>451</v>
      </c>
      <c r="B139" s="177" t="s">
        <v>14</v>
      </c>
      <c r="C139" s="178" t="s">
        <v>417</v>
      </c>
      <c r="D139" s="177"/>
      <c r="E139" s="177" t="s">
        <v>21</v>
      </c>
      <c r="F139" s="178">
        <v>295</v>
      </c>
      <c r="G139" s="221">
        <v>0.63541875000000003</v>
      </c>
      <c r="H139" s="178">
        <f>G139*F139</f>
        <v>187.44853125</v>
      </c>
      <c r="I139" s="178">
        <v>31</v>
      </c>
      <c r="J139" s="178">
        <v>1</v>
      </c>
      <c r="K139" s="178">
        <f t="shared" ref="K139" si="87">F139*I139</f>
        <v>9145</v>
      </c>
      <c r="L139" s="178">
        <f t="shared" ref="L139" si="88">K139*J139</f>
        <v>9145</v>
      </c>
      <c r="M139" s="179" t="s">
        <v>277</v>
      </c>
    </row>
    <row r="140" spans="1:13" ht="15" customHeight="1" x14ac:dyDescent="0.25">
      <c r="A140" s="176" t="s">
        <v>451</v>
      </c>
      <c r="B140" s="177" t="s">
        <v>14</v>
      </c>
      <c r="C140" s="178" t="s">
        <v>417</v>
      </c>
      <c r="D140" s="177"/>
      <c r="E140" s="177" t="s">
        <v>25</v>
      </c>
      <c r="F140" s="178"/>
      <c r="G140" s="178"/>
      <c r="H140" s="178"/>
      <c r="I140" s="178"/>
      <c r="J140" s="178"/>
      <c r="K140" s="178">
        <v>3700</v>
      </c>
      <c r="L140" s="178">
        <f t="shared" ref="L140" si="89">K140</f>
        <v>3700</v>
      </c>
      <c r="M140" s="179" t="s">
        <v>418</v>
      </c>
    </row>
    <row r="141" spans="1:13" ht="15" customHeight="1" x14ac:dyDescent="0.25">
      <c r="A141" s="176" t="s">
        <v>451</v>
      </c>
      <c r="B141" s="177" t="s">
        <v>14</v>
      </c>
      <c r="C141" s="178" t="s">
        <v>407</v>
      </c>
      <c r="D141" s="177"/>
      <c r="E141" s="177" t="s">
        <v>21</v>
      </c>
      <c r="F141" s="178">
        <v>131</v>
      </c>
      <c r="G141" s="221">
        <v>0.48962500000000003</v>
      </c>
      <c r="H141" s="178">
        <f>G141*F141</f>
        <v>64.140875000000008</v>
      </c>
      <c r="I141" s="178">
        <v>17</v>
      </c>
      <c r="J141" s="178">
        <v>1</v>
      </c>
      <c r="K141" s="178">
        <f>F141*I141</f>
        <v>2227</v>
      </c>
      <c r="L141" s="178">
        <f>K141*J141</f>
        <v>2227</v>
      </c>
      <c r="M141" s="179" t="s">
        <v>277</v>
      </c>
    </row>
    <row r="142" spans="1:13" ht="15" customHeight="1" x14ac:dyDescent="0.25">
      <c r="A142" s="176" t="s">
        <v>451</v>
      </c>
      <c r="B142" s="177" t="s">
        <v>14</v>
      </c>
      <c r="C142" s="178" t="s">
        <v>407</v>
      </c>
      <c r="D142" s="177"/>
      <c r="E142" s="177" t="s">
        <v>25</v>
      </c>
      <c r="F142" s="178"/>
      <c r="G142" s="178"/>
      <c r="H142" s="178"/>
      <c r="I142" s="178"/>
      <c r="J142" s="178"/>
      <c r="K142" s="178">
        <v>2250</v>
      </c>
      <c r="L142" s="178">
        <f t="shared" ref="L142" si="90">K142</f>
        <v>2250</v>
      </c>
      <c r="M142" s="179" t="s">
        <v>405</v>
      </c>
    </row>
    <row r="143" spans="1:13" ht="15" customHeight="1" x14ac:dyDescent="0.25">
      <c r="A143" s="176" t="s">
        <v>451</v>
      </c>
      <c r="B143" s="177" t="s">
        <v>14</v>
      </c>
      <c r="C143" s="178" t="s">
        <v>452</v>
      </c>
      <c r="D143" s="177"/>
      <c r="E143" s="177" t="s">
        <v>21</v>
      </c>
      <c r="F143" s="178">
        <v>17</v>
      </c>
      <c r="G143" s="221">
        <v>0.34062500000000001</v>
      </c>
      <c r="H143" s="178">
        <f>F143*G143</f>
        <v>5.7906250000000004</v>
      </c>
      <c r="I143" s="178">
        <v>23</v>
      </c>
      <c r="J143" s="178">
        <v>1</v>
      </c>
      <c r="K143" s="178">
        <f>F143*I143</f>
        <v>391</v>
      </c>
      <c r="L143" s="178">
        <f t="shared" ref="L143" si="91">K143*J143</f>
        <v>391</v>
      </c>
      <c r="M143" s="179" t="s">
        <v>179</v>
      </c>
    </row>
    <row r="144" spans="1:13" ht="15" customHeight="1" x14ac:dyDescent="0.25">
      <c r="A144" s="176" t="s">
        <v>451</v>
      </c>
      <c r="B144" s="177" t="s">
        <v>14</v>
      </c>
      <c r="C144" s="178">
        <v>6871</v>
      </c>
      <c r="D144" s="177" t="s">
        <v>16</v>
      </c>
      <c r="E144" s="177" t="s">
        <v>17</v>
      </c>
      <c r="F144" s="178">
        <v>32</v>
      </c>
      <c r="G144" s="178">
        <v>0.64</v>
      </c>
      <c r="H144" s="178">
        <f>G144*F144</f>
        <v>20.48</v>
      </c>
      <c r="I144" s="178">
        <v>70</v>
      </c>
      <c r="J144" s="178">
        <v>2</v>
      </c>
      <c r="K144" s="178">
        <f t="shared" ref="K144" si="92">F144*I144</f>
        <v>2240</v>
      </c>
      <c r="L144" s="178">
        <f t="shared" ref="L144" si="93">K144*J144</f>
        <v>4480</v>
      </c>
      <c r="M144" s="179" t="s">
        <v>22</v>
      </c>
    </row>
    <row r="145" spans="1:13" ht="15" customHeight="1" x14ac:dyDescent="0.25">
      <c r="A145" s="176" t="s">
        <v>453</v>
      </c>
      <c r="B145" s="177" t="s">
        <v>14</v>
      </c>
      <c r="C145" s="178" t="s">
        <v>417</v>
      </c>
      <c r="D145" s="177"/>
      <c r="E145" s="177" t="s">
        <v>25</v>
      </c>
      <c r="F145" s="178"/>
      <c r="G145" s="178"/>
      <c r="H145" s="178"/>
      <c r="I145" s="178"/>
      <c r="J145" s="178"/>
      <c r="K145" s="178">
        <v>2950</v>
      </c>
      <c r="L145" s="178">
        <f t="shared" ref="L145:L146" si="94">K145</f>
        <v>2950</v>
      </c>
      <c r="M145" s="179" t="s">
        <v>418</v>
      </c>
    </row>
    <row r="146" spans="1:13" ht="15" customHeight="1" x14ac:dyDescent="0.25">
      <c r="A146" s="176" t="s">
        <v>453</v>
      </c>
      <c r="B146" s="177" t="s">
        <v>14</v>
      </c>
      <c r="C146" s="178" t="s">
        <v>407</v>
      </c>
      <c r="D146" s="177"/>
      <c r="E146" s="177" t="s">
        <v>25</v>
      </c>
      <c r="F146" s="178"/>
      <c r="G146" s="178"/>
      <c r="H146" s="178"/>
      <c r="I146" s="178"/>
      <c r="J146" s="178"/>
      <c r="K146" s="178">
        <v>1140</v>
      </c>
      <c r="L146" s="178">
        <f t="shared" si="94"/>
        <v>1140</v>
      </c>
      <c r="M146" s="179" t="s">
        <v>405</v>
      </c>
    </row>
    <row r="147" spans="1:13" ht="15" customHeight="1" x14ac:dyDescent="0.25">
      <c r="A147" s="176" t="s">
        <v>453</v>
      </c>
      <c r="B147" s="177" t="s">
        <v>14</v>
      </c>
      <c r="C147" s="178" t="s">
        <v>89</v>
      </c>
      <c r="D147" s="177" t="s">
        <v>90</v>
      </c>
      <c r="E147" s="177" t="s">
        <v>21</v>
      </c>
      <c r="F147" s="178">
        <v>94</v>
      </c>
      <c r="G147" s="178">
        <v>0.13500000000000001</v>
      </c>
      <c r="H147" s="178">
        <f t="shared" ref="H147" si="95">F147*G147</f>
        <v>12.690000000000001</v>
      </c>
      <c r="I147" s="178">
        <v>77</v>
      </c>
      <c r="J147" s="178">
        <v>1</v>
      </c>
      <c r="K147" s="178">
        <f t="shared" ref="K147" si="96">F147*I147</f>
        <v>7238</v>
      </c>
      <c r="L147" s="178">
        <f t="shared" ref="L147" si="97">K147*J147</f>
        <v>7238</v>
      </c>
      <c r="M147" s="179" t="s">
        <v>181</v>
      </c>
    </row>
    <row r="148" spans="1:13" ht="15" customHeight="1" x14ac:dyDescent="0.25">
      <c r="A148" s="176" t="s">
        <v>453</v>
      </c>
      <c r="B148" s="177" t="s">
        <v>14</v>
      </c>
      <c r="C148" s="178" t="s">
        <v>89</v>
      </c>
      <c r="D148" s="177" t="s">
        <v>90</v>
      </c>
      <c r="E148" s="177" t="s">
        <v>25</v>
      </c>
      <c r="F148" s="178"/>
      <c r="G148" s="178"/>
      <c r="H148" s="178"/>
      <c r="I148" s="178"/>
      <c r="J148" s="178"/>
      <c r="K148" s="178">
        <v>5300</v>
      </c>
      <c r="L148" s="178">
        <f>K148</f>
        <v>5300</v>
      </c>
      <c r="M148" s="179" t="s">
        <v>22</v>
      </c>
    </row>
    <row r="149" spans="1:13" ht="15" customHeight="1" x14ac:dyDescent="0.25">
      <c r="A149" s="176" t="s">
        <v>453</v>
      </c>
      <c r="B149" s="177" t="s">
        <v>14</v>
      </c>
      <c r="C149" s="178" t="s">
        <v>448</v>
      </c>
      <c r="D149" s="177" t="s">
        <v>406</v>
      </c>
      <c r="E149" s="177" t="s">
        <v>21</v>
      </c>
      <c r="F149" s="178">
        <v>33</v>
      </c>
      <c r="G149" s="221">
        <v>0.23839999999999995</v>
      </c>
      <c r="H149" s="178">
        <f>G149*F149</f>
        <v>7.8671999999999986</v>
      </c>
      <c r="I149" s="201">
        <v>45</v>
      </c>
      <c r="J149" s="178">
        <v>1</v>
      </c>
      <c r="K149" s="178">
        <f>F149*I149</f>
        <v>1485</v>
      </c>
      <c r="L149" s="178">
        <f>K149*J149</f>
        <v>1485</v>
      </c>
      <c r="M149" s="179" t="s">
        <v>37</v>
      </c>
    </row>
    <row r="150" spans="1:13" ht="15" customHeight="1" x14ac:dyDescent="0.25">
      <c r="A150" s="176" t="s">
        <v>453</v>
      </c>
      <c r="B150" s="177" t="s">
        <v>14</v>
      </c>
      <c r="C150" s="178" t="s">
        <v>448</v>
      </c>
      <c r="D150" s="177" t="s">
        <v>406</v>
      </c>
      <c r="E150" s="177" t="s">
        <v>25</v>
      </c>
      <c r="F150" s="178"/>
      <c r="G150" s="178"/>
      <c r="H150" s="178"/>
      <c r="I150" s="178"/>
      <c r="J150" s="178"/>
      <c r="K150" s="178">
        <v>3500</v>
      </c>
      <c r="L150" s="178">
        <f>K150</f>
        <v>3500</v>
      </c>
      <c r="M150" s="179" t="s">
        <v>181</v>
      </c>
    </row>
    <row r="151" spans="1:13" ht="15" customHeight="1" x14ac:dyDescent="0.25">
      <c r="A151" s="176" t="s">
        <v>453</v>
      </c>
      <c r="B151" s="177" t="s">
        <v>14</v>
      </c>
      <c r="C151" s="178">
        <v>8200</v>
      </c>
      <c r="D151" s="177" t="s">
        <v>16</v>
      </c>
      <c r="E151" s="177" t="s">
        <v>17</v>
      </c>
      <c r="F151" s="178">
        <v>40</v>
      </c>
      <c r="G151" s="221">
        <v>0.7125999999999999</v>
      </c>
      <c r="H151" s="178">
        <f t="shared" ref="H151" si="98">F151*G151</f>
        <v>28.503999999999998</v>
      </c>
      <c r="I151" s="178">
        <v>60</v>
      </c>
      <c r="J151" s="178">
        <v>4</v>
      </c>
      <c r="K151" s="178">
        <f>F151*I151</f>
        <v>2400</v>
      </c>
      <c r="L151" s="178">
        <f>K151*J151</f>
        <v>9600</v>
      </c>
      <c r="M151" s="179" t="s">
        <v>277</v>
      </c>
    </row>
    <row r="152" spans="1:13" ht="15" customHeight="1" x14ac:dyDescent="0.25">
      <c r="A152" s="176" t="s">
        <v>453</v>
      </c>
      <c r="B152" s="177" t="s">
        <v>14</v>
      </c>
      <c r="C152" s="178">
        <v>6871</v>
      </c>
      <c r="D152" s="177" t="s">
        <v>16</v>
      </c>
      <c r="E152" s="177" t="s">
        <v>17</v>
      </c>
      <c r="F152" s="178">
        <v>122</v>
      </c>
      <c r="G152" s="178">
        <v>0.64</v>
      </c>
      <c r="H152" s="178">
        <f>G152*F152</f>
        <v>78.08</v>
      </c>
      <c r="I152" s="178">
        <v>70</v>
      </c>
      <c r="J152" s="178">
        <v>2</v>
      </c>
      <c r="K152" s="178">
        <f t="shared" ref="K152" si="99">F152*I152</f>
        <v>8540</v>
      </c>
      <c r="L152" s="178">
        <f t="shared" ref="L152" si="100">K152*J152</f>
        <v>17080</v>
      </c>
      <c r="M152" s="179" t="s">
        <v>22</v>
      </c>
    </row>
    <row r="153" spans="1:13" ht="15" customHeight="1" x14ac:dyDescent="0.25">
      <c r="A153" s="176" t="s">
        <v>453</v>
      </c>
      <c r="B153" s="177" t="s">
        <v>14</v>
      </c>
      <c r="C153" s="178">
        <v>7479</v>
      </c>
      <c r="D153" s="177" t="s">
        <v>20</v>
      </c>
      <c r="E153" s="177" t="s">
        <v>21</v>
      </c>
      <c r="F153" s="178">
        <v>43</v>
      </c>
      <c r="G153" s="178">
        <v>0.15</v>
      </c>
      <c r="H153" s="178">
        <f>G153*F153</f>
        <v>6.45</v>
      </c>
      <c r="I153" s="178">
        <v>80</v>
      </c>
      <c r="J153" s="178">
        <v>1</v>
      </c>
      <c r="K153" s="178">
        <f>F153*I153</f>
        <v>3440</v>
      </c>
      <c r="L153" s="178">
        <f>K153*J153</f>
        <v>3440</v>
      </c>
      <c r="M153" s="179" t="s">
        <v>37</v>
      </c>
    </row>
    <row r="154" spans="1:13" ht="15" customHeight="1" x14ac:dyDescent="0.25">
      <c r="A154" s="176" t="s">
        <v>453</v>
      </c>
      <c r="B154" s="177" t="s">
        <v>14</v>
      </c>
      <c r="C154" s="178">
        <v>7479</v>
      </c>
      <c r="D154" s="177" t="s">
        <v>20</v>
      </c>
      <c r="E154" s="177" t="s">
        <v>25</v>
      </c>
      <c r="F154" s="178"/>
      <c r="G154" s="178"/>
      <c r="H154" s="178"/>
      <c r="I154" s="178"/>
      <c r="J154" s="178"/>
      <c r="K154" s="178">
        <v>250</v>
      </c>
      <c r="L154" s="178">
        <f t="shared" ref="L154" si="101">K154</f>
        <v>250</v>
      </c>
      <c r="M154" s="179" t="s">
        <v>181</v>
      </c>
    </row>
    <row r="155" spans="1:13" ht="15" customHeight="1" x14ac:dyDescent="0.25">
      <c r="A155" s="176" t="s">
        <v>453</v>
      </c>
      <c r="B155" s="177" t="s">
        <v>14</v>
      </c>
      <c r="C155" s="178" t="s">
        <v>410</v>
      </c>
      <c r="D155" s="177"/>
      <c r="E155" s="177" t="s">
        <v>21</v>
      </c>
      <c r="F155" s="178">
        <v>49</v>
      </c>
      <c r="G155" s="221">
        <v>0.74674999999999991</v>
      </c>
      <c r="H155" s="178">
        <f>G155*F155</f>
        <v>36.590749999999993</v>
      </c>
      <c r="I155" s="178">
        <v>35</v>
      </c>
      <c r="J155" s="178">
        <v>1</v>
      </c>
      <c r="K155" s="178">
        <f>F155*I155</f>
        <v>1715</v>
      </c>
      <c r="L155" s="178">
        <f>K155*J155</f>
        <v>1715</v>
      </c>
      <c r="M155" s="179" t="s">
        <v>413</v>
      </c>
    </row>
    <row r="156" spans="1:13" ht="15" customHeight="1" x14ac:dyDescent="0.25">
      <c r="A156" s="176" t="s">
        <v>454</v>
      </c>
      <c r="B156" s="177" t="s">
        <v>14</v>
      </c>
      <c r="C156" s="178" t="s">
        <v>407</v>
      </c>
      <c r="D156" s="177"/>
      <c r="E156" s="177" t="s">
        <v>21</v>
      </c>
      <c r="F156" s="178">
        <v>517</v>
      </c>
      <c r="G156" s="221">
        <v>0.48962500000000003</v>
      </c>
      <c r="H156" s="178">
        <f>G156*F156</f>
        <v>253.13612500000002</v>
      </c>
      <c r="I156" s="178">
        <v>17</v>
      </c>
      <c r="J156" s="178">
        <v>1</v>
      </c>
      <c r="K156" s="178">
        <f>F156*I156</f>
        <v>8789</v>
      </c>
      <c r="L156" s="178">
        <f>K156*J156</f>
        <v>8789</v>
      </c>
      <c r="M156" s="179" t="s">
        <v>277</v>
      </c>
    </row>
    <row r="157" spans="1:13" ht="15" customHeight="1" x14ac:dyDescent="0.25">
      <c r="A157" s="176" t="s">
        <v>454</v>
      </c>
      <c r="B157" s="177" t="s">
        <v>14</v>
      </c>
      <c r="C157" s="178" t="s">
        <v>407</v>
      </c>
      <c r="D157" s="177"/>
      <c r="E157" s="177" t="s">
        <v>25</v>
      </c>
      <c r="F157" s="178"/>
      <c r="G157" s="178"/>
      <c r="H157" s="178"/>
      <c r="I157" s="178"/>
      <c r="J157" s="178"/>
      <c r="K157" s="178">
        <v>2600</v>
      </c>
      <c r="L157" s="178">
        <f t="shared" ref="L157" si="102">K157</f>
        <v>2600</v>
      </c>
      <c r="M157" s="179" t="s">
        <v>405</v>
      </c>
    </row>
    <row r="158" spans="1:13" ht="15" customHeight="1" x14ac:dyDescent="0.25">
      <c r="A158" s="176" t="s">
        <v>454</v>
      </c>
      <c r="B158" s="177" t="s">
        <v>14</v>
      </c>
      <c r="C158" s="178" t="s">
        <v>410</v>
      </c>
      <c r="D158" s="177"/>
      <c r="E158" s="177" t="s">
        <v>21</v>
      </c>
      <c r="F158" s="178">
        <v>60</v>
      </c>
      <c r="G158" s="221">
        <v>0.74674999999999991</v>
      </c>
      <c r="H158" s="178">
        <f>G158*F158</f>
        <v>44.804999999999993</v>
      </c>
      <c r="I158" s="178">
        <v>35</v>
      </c>
      <c r="J158" s="178">
        <v>1</v>
      </c>
      <c r="K158" s="178">
        <f>F158*I158</f>
        <v>2100</v>
      </c>
      <c r="L158" s="178">
        <f>K158*J158</f>
        <v>2100</v>
      </c>
      <c r="M158" s="179" t="s">
        <v>413</v>
      </c>
    </row>
    <row r="159" spans="1:13" ht="15" customHeight="1" x14ac:dyDescent="0.25">
      <c r="A159" s="176" t="s">
        <v>454</v>
      </c>
      <c r="B159" s="177" t="s">
        <v>14</v>
      </c>
      <c r="C159" s="178">
        <v>8200</v>
      </c>
      <c r="D159" s="177" t="s">
        <v>16</v>
      </c>
      <c r="E159" s="177" t="s">
        <v>17</v>
      </c>
      <c r="F159" s="178">
        <v>51</v>
      </c>
      <c r="G159" s="221">
        <v>0.7125999999999999</v>
      </c>
      <c r="H159" s="178">
        <f t="shared" ref="H159" si="103">F159*G159</f>
        <v>36.342599999999997</v>
      </c>
      <c r="I159" s="178">
        <v>60</v>
      </c>
      <c r="J159" s="178">
        <v>4</v>
      </c>
      <c r="K159" s="178">
        <f>F159*I159</f>
        <v>3060</v>
      </c>
      <c r="L159" s="178">
        <f>K159*J159</f>
        <v>12240</v>
      </c>
      <c r="M159" s="179" t="s">
        <v>277</v>
      </c>
    </row>
    <row r="160" spans="1:13" ht="15" customHeight="1" x14ac:dyDescent="0.25">
      <c r="A160" s="176" t="s">
        <v>454</v>
      </c>
      <c r="B160" s="177" t="s">
        <v>14</v>
      </c>
      <c r="C160" s="178">
        <v>7479</v>
      </c>
      <c r="D160" s="177" t="s">
        <v>20</v>
      </c>
      <c r="E160" s="177" t="s">
        <v>21</v>
      </c>
      <c r="F160" s="178">
        <v>25</v>
      </c>
      <c r="G160" s="178">
        <v>0.15</v>
      </c>
      <c r="H160" s="178">
        <f>G160*F160</f>
        <v>3.75</v>
      </c>
      <c r="I160" s="178">
        <v>80</v>
      </c>
      <c r="J160" s="178">
        <v>1</v>
      </c>
      <c r="K160" s="178">
        <f>F160*I160</f>
        <v>2000</v>
      </c>
      <c r="L160" s="178">
        <f>K160*J160</f>
        <v>2000</v>
      </c>
      <c r="M160" s="179" t="s">
        <v>37</v>
      </c>
    </row>
    <row r="161" spans="1:13" ht="15" customHeight="1" x14ac:dyDescent="0.25">
      <c r="A161" s="176" t="s">
        <v>454</v>
      </c>
      <c r="B161" s="177" t="s">
        <v>14</v>
      </c>
      <c r="C161" s="178">
        <v>7479</v>
      </c>
      <c r="D161" s="177" t="s">
        <v>20</v>
      </c>
      <c r="E161" s="177" t="s">
        <v>25</v>
      </c>
      <c r="F161" s="178"/>
      <c r="G161" s="178"/>
      <c r="H161" s="178"/>
      <c r="I161" s="178"/>
      <c r="J161" s="178"/>
      <c r="K161" s="178">
        <v>5250</v>
      </c>
      <c r="L161" s="178">
        <f t="shared" ref="L161" si="104">K161</f>
        <v>5250</v>
      </c>
      <c r="M161" s="179" t="s">
        <v>181</v>
      </c>
    </row>
    <row r="162" spans="1:13" ht="15" customHeight="1" x14ac:dyDescent="0.25">
      <c r="A162" s="176" t="s">
        <v>454</v>
      </c>
      <c r="B162" s="177" t="s">
        <v>14</v>
      </c>
      <c r="C162" s="178" t="s">
        <v>89</v>
      </c>
      <c r="D162" s="177" t="s">
        <v>90</v>
      </c>
      <c r="E162" s="177" t="s">
        <v>25</v>
      </c>
      <c r="F162" s="178"/>
      <c r="G162" s="178"/>
      <c r="H162" s="178"/>
      <c r="I162" s="178"/>
      <c r="J162" s="178"/>
      <c r="K162" s="178">
        <v>4000</v>
      </c>
      <c r="L162" s="178">
        <f>K162</f>
        <v>4000</v>
      </c>
      <c r="M162" s="179" t="s">
        <v>22</v>
      </c>
    </row>
    <row r="163" spans="1:13" ht="15" customHeight="1" x14ac:dyDescent="0.25">
      <c r="A163" s="176" t="s">
        <v>454</v>
      </c>
      <c r="B163" s="191" t="s">
        <v>41</v>
      </c>
      <c r="C163" s="192" t="s">
        <v>42</v>
      </c>
      <c r="D163" s="193" t="s">
        <v>93</v>
      </c>
      <c r="E163" s="199" t="s">
        <v>21</v>
      </c>
      <c r="F163" s="192">
        <v>10</v>
      </c>
      <c r="G163" s="192">
        <v>0</v>
      </c>
      <c r="H163" s="192">
        <f>G163*F163</f>
        <v>0</v>
      </c>
      <c r="I163" s="192">
        <v>42</v>
      </c>
      <c r="J163" s="192">
        <v>4</v>
      </c>
      <c r="K163" s="192">
        <f>F163*I163</f>
        <v>420</v>
      </c>
      <c r="L163" s="192">
        <f>K163*J163</f>
        <v>1680</v>
      </c>
      <c r="M163" s="194" t="s">
        <v>91</v>
      </c>
    </row>
    <row r="164" spans="1:13" ht="15" customHeight="1" x14ac:dyDescent="0.25">
      <c r="A164" s="176" t="s">
        <v>454</v>
      </c>
      <c r="B164" s="177" t="s">
        <v>14</v>
      </c>
      <c r="C164" s="178" t="s">
        <v>452</v>
      </c>
      <c r="D164" s="177"/>
      <c r="E164" s="177" t="s">
        <v>21</v>
      </c>
      <c r="F164" s="178">
        <v>79</v>
      </c>
      <c r="G164" s="221">
        <v>0.34062500000000001</v>
      </c>
      <c r="H164" s="178">
        <f>F164*G164</f>
        <v>26.909375000000001</v>
      </c>
      <c r="I164" s="178">
        <v>23</v>
      </c>
      <c r="J164" s="178">
        <v>1</v>
      </c>
      <c r="K164" s="178">
        <f>F164*I164</f>
        <v>1817</v>
      </c>
      <c r="L164" s="178">
        <f t="shared" ref="L164" si="105">K164*J164</f>
        <v>1817</v>
      </c>
      <c r="M164" s="179" t="s">
        <v>179</v>
      </c>
    </row>
    <row r="165" spans="1:13" ht="15" customHeight="1" x14ac:dyDescent="0.25">
      <c r="A165" s="176" t="s">
        <v>454</v>
      </c>
      <c r="B165" s="177" t="s">
        <v>14</v>
      </c>
      <c r="C165" s="178">
        <v>1411</v>
      </c>
      <c r="D165" s="177" t="s">
        <v>414</v>
      </c>
      <c r="E165" s="177" t="s">
        <v>21</v>
      </c>
      <c r="F165" s="178">
        <v>125</v>
      </c>
      <c r="G165" s="221">
        <v>1.1297187499999997</v>
      </c>
      <c r="H165" s="178">
        <f>G165*F165</f>
        <v>141.21484374999997</v>
      </c>
      <c r="I165" s="178">
        <v>20</v>
      </c>
      <c r="J165" s="178">
        <v>1</v>
      </c>
      <c r="K165" s="178">
        <f>F165*I165</f>
        <v>2500</v>
      </c>
      <c r="L165" s="178">
        <f>K165*J165</f>
        <v>2500</v>
      </c>
      <c r="M165" s="179" t="s">
        <v>413</v>
      </c>
    </row>
    <row r="166" spans="1:13" ht="15" customHeight="1" x14ac:dyDescent="0.25">
      <c r="A166" s="176" t="s">
        <v>454</v>
      </c>
      <c r="B166" s="177" t="s">
        <v>14</v>
      </c>
      <c r="C166" s="178">
        <v>6086</v>
      </c>
      <c r="D166" s="177" t="s">
        <v>16</v>
      </c>
      <c r="E166" s="177" t="s">
        <v>17</v>
      </c>
      <c r="F166" s="178">
        <v>21</v>
      </c>
      <c r="G166" s="222">
        <v>0.7629999999999999</v>
      </c>
      <c r="H166" s="178">
        <f t="shared" ref="H166" si="106">F166*G166</f>
        <v>16.022999999999996</v>
      </c>
      <c r="I166" s="178">
        <v>42</v>
      </c>
      <c r="J166" s="178">
        <v>2</v>
      </c>
      <c r="K166" s="178">
        <f>F166*I166</f>
        <v>882</v>
      </c>
      <c r="L166" s="178">
        <f>K166*J166</f>
        <v>1764</v>
      </c>
      <c r="M166" s="179" t="s">
        <v>22</v>
      </c>
    </row>
    <row r="167" spans="1:13" ht="15" customHeight="1" x14ac:dyDescent="0.25">
      <c r="A167" s="176" t="s">
        <v>455</v>
      </c>
      <c r="B167" s="177" t="s">
        <v>14</v>
      </c>
      <c r="C167" s="178" t="s">
        <v>407</v>
      </c>
      <c r="D167" s="177"/>
      <c r="E167" s="177" t="s">
        <v>25</v>
      </c>
      <c r="F167" s="178"/>
      <c r="G167" s="178"/>
      <c r="H167" s="178"/>
      <c r="I167" s="178"/>
      <c r="J167" s="178"/>
      <c r="K167" s="178">
        <v>1750</v>
      </c>
      <c r="L167" s="178">
        <f t="shared" ref="L167" si="107">K167</f>
        <v>1750</v>
      </c>
      <c r="M167" s="179" t="s">
        <v>405</v>
      </c>
    </row>
    <row r="168" spans="1:13" ht="15" customHeight="1" x14ac:dyDescent="0.25">
      <c r="A168" s="176" t="s">
        <v>455</v>
      </c>
      <c r="B168" s="177" t="s">
        <v>14</v>
      </c>
      <c r="C168" s="178">
        <v>1411</v>
      </c>
      <c r="D168" s="177" t="s">
        <v>414</v>
      </c>
      <c r="E168" s="177" t="s">
        <v>21</v>
      </c>
      <c r="F168" s="178">
        <v>76</v>
      </c>
      <c r="G168" s="221">
        <v>1.1297187499999997</v>
      </c>
      <c r="H168" s="178">
        <f>G168*F168</f>
        <v>85.858624999999975</v>
      </c>
      <c r="I168" s="178">
        <v>20</v>
      </c>
      <c r="J168" s="178">
        <v>1</v>
      </c>
      <c r="K168" s="178">
        <f>F168*I168</f>
        <v>1520</v>
      </c>
      <c r="L168" s="178">
        <f>K168*J168</f>
        <v>1520</v>
      </c>
      <c r="M168" s="179" t="s">
        <v>413</v>
      </c>
    </row>
    <row r="169" spans="1:13" ht="15" customHeight="1" x14ac:dyDescent="0.25">
      <c r="A169" s="176" t="s">
        <v>455</v>
      </c>
      <c r="B169" s="177" t="s">
        <v>14</v>
      </c>
      <c r="C169" s="178">
        <v>7479</v>
      </c>
      <c r="D169" s="177" t="s">
        <v>20</v>
      </c>
      <c r="E169" s="177" t="s">
        <v>25</v>
      </c>
      <c r="F169" s="178"/>
      <c r="G169" s="178"/>
      <c r="H169" s="178"/>
      <c r="I169" s="178"/>
      <c r="J169" s="178"/>
      <c r="K169" s="178">
        <v>6000</v>
      </c>
      <c r="L169" s="178">
        <f t="shared" ref="L169" si="108">K169</f>
        <v>6000</v>
      </c>
      <c r="M169" s="179" t="s">
        <v>181</v>
      </c>
    </row>
    <row r="170" spans="1:13" ht="15" customHeight="1" x14ac:dyDescent="0.25">
      <c r="A170" s="176" t="s">
        <v>455</v>
      </c>
      <c r="B170" s="177" t="s">
        <v>14</v>
      </c>
      <c r="C170" s="178">
        <v>6086</v>
      </c>
      <c r="D170" s="177" t="s">
        <v>16</v>
      </c>
      <c r="E170" s="177" t="s">
        <v>17</v>
      </c>
      <c r="F170" s="178">
        <v>145</v>
      </c>
      <c r="G170" s="222">
        <v>0.7629999999999999</v>
      </c>
      <c r="H170" s="178">
        <f t="shared" ref="H170" si="109">F170*G170</f>
        <v>110.63499999999999</v>
      </c>
      <c r="I170" s="178">
        <v>42</v>
      </c>
      <c r="J170" s="178">
        <v>2</v>
      </c>
      <c r="K170" s="178">
        <f>F170*I170</f>
        <v>6090</v>
      </c>
      <c r="L170" s="178">
        <f>K170*J170</f>
        <v>12180</v>
      </c>
      <c r="M170" s="179" t="s">
        <v>22</v>
      </c>
    </row>
    <row r="171" spans="1:13" ht="15" customHeight="1" x14ac:dyDescent="0.25">
      <c r="A171" s="176" t="s">
        <v>455</v>
      </c>
      <c r="B171" s="177" t="s">
        <v>14</v>
      </c>
      <c r="C171" s="178" t="s">
        <v>408</v>
      </c>
      <c r="D171" s="177" t="s">
        <v>409</v>
      </c>
      <c r="E171" s="177" t="s">
        <v>21</v>
      </c>
      <c r="F171" s="178">
        <v>247</v>
      </c>
      <c r="G171" s="221">
        <v>0.77037500000000014</v>
      </c>
      <c r="H171" s="178">
        <f>G171*F171</f>
        <v>190.28262500000002</v>
      </c>
      <c r="I171" s="178">
        <v>30</v>
      </c>
      <c r="J171" s="178">
        <v>1</v>
      </c>
      <c r="K171" s="178">
        <f>F171*I171</f>
        <v>7410</v>
      </c>
      <c r="L171" s="178">
        <f>K171*J171</f>
        <v>7410</v>
      </c>
      <c r="M171" s="179" t="s">
        <v>405</v>
      </c>
    </row>
    <row r="172" spans="1:13" ht="15" customHeight="1" x14ac:dyDescent="0.25">
      <c r="A172" s="176" t="s">
        <v>455</v>
      </c>
      <c r="B172" s="177" t="s">
        <v>14</v>
      </c>
      <c r="C172" s="178" t="s">
        <v>408</v>
      </c>
      <c r="D172" s="177" t="s">
        <v>409</v>
      </c>
      <c r="E172" s="177" t="s">
        <v>25</v>
      </c>
      <c r="F172" s="178"/>
      <c r="G172" s="178"/>
      <c r="H172" s="178"/>
      <c r="I172" s="178"/>
      <c r="J172" s="178"/>
      <c r="K172" s="178">
        <v>3200</v>
      </c>
      <c r="L172" s="178">
        <f>K172</f>
        <v>3200</v>
      </c>
      <c r="M172" s="179" t="s">
        <v>37</v>
      </c>
    </row>
    <row r="173" spans="1:13" ht="15" customHeight="1" x14ac:dyDescent="0.25">
      <c r="A173" s="176" t="s">
        <v>455</v>
      </c>
      <c r="B173" s="177" t="s">
        <v>14</v>
      </c>
      <c r="C173" s="178" t="s">
        <v>452</v>
      </c>
      <c r="D173" s="177"/>
      <c r="E173" s="177" t="s">
        <v>21</v>
      </c>
      <c r="F173" s="178">
        <v>53</v>
      </c>
      <c r="G173" s="221">
        <v>0.34062500000000001</v>
      </c>
      <c r="H173" s="178">
        <f>F173*G173</f>
        <v>18.053125000000001</v>
      </c>
      <c r="I173" s="178">
        <v>23</v>
      </c>
      <c r="J173" s="178">
        <v>1</v>
      </c>
      <c r="K173" s="178">
        <f>F173*I173</f>
        <v>1219</v>
      </c>
      <c r="L173" s="178">
        <f t="shared" ref="L173" si="110">K173*J173</f>
        <v>1219</v>
      </c>
      <c r="M173" s="179" t="s">
        <v>179</v>
      </c>
    </row>
    <row r="174" spans="1:13" ht="15" customHeight="1" x14ac:dyDescent="0.25">
      <c r="A174" s="176" t="s">
        <v>455</v>
      </c>
      <c r="B174" s="177" t="s">
        <v>14</v>
      </c>
      <c r="C174" s="178" t="s">
        <v>410</v>
      </c>
      <c r="D174" s="177"/>
      <c r="E174" s="177" t="s">
        <v>21</v>
      </c>
      <c r="F174" s="178">
        <v>73</v>
      </c>
      <c r="G174" s="221">
        <v>0.74674999999999991</v>
      </c>
      <c r="H174" s="178">
        <f>G174*F174</f>
        <v>54.512749999999997</v>
      </c>
      <c r="I174" s="178">
        <v>35</v>
      </c>
      <c r="J174" s="178">
        <v>1</v>
      </c>
      <c r="K174" s="178">
        <f>F174*I174</f>
        <v>2555</v>
      </c>
      <c r="L174" s="178">
        <f>K174*J174</f>
        <v>2555</v>
      </c>
      <c r="M174" s="179" t="s">
        <v>413</v>
      </c>
    </row>
    <row r="175" spans="1:13" ht="15" customHeight="1" x14ac:dyDescent="0.25">
      <c r="A175" s="176" t="s">
        <v>455</v>
      </c>
      <c r="B175" s="177" t="s">
        <v>14</v>
      </c>
      <c r="C175" s="178">
        <v>8200</v>
      </c>
      <c r="D175" s="177" t="s">
        <v>16</v>
      </c>
      <c r="E175" s="177" t="s">
        <v>17</v>
      </c>
      <c r="F175" s="178">
        <v>18</v>
      </c>
      <c r="G175" s="221">
        <v>0.7125999999999999</v>
      </c>
      <c r="H175" s="178">
        <f t="shared" ref="H175" si="111">F175*G175</f>
        <v>12.826799999999999</v>
      </c>
      <c r="I175" s="178">
        <v>60</v>
      </c>
      <c r="J175" s="178">
        <v>4</v>
      </c>
      <c r="K175" s="178">
        <f>F175*I175</f>
        <v>1080</v>
      </c>
      <c r="L175" s="178">
        <f>K175*J175</f>
        <v>4320</v>
      </c>
      <c r="M175" s="179" t="s">
        <v>277</v>
      </c>
    </row>
    <row r="176" spans="1:13" ht="15" customHeight="1" x14ac:dyDescent="0.25">
      <c r="A176" s="176" t="s">
        <v>456</v>
      </c>
      <c r="B176" s="177" t="s">
        <v>14</v>
      </c>
      <c r="C176" s="178">
        <v>8200</v>
      </c>
      <c r="D176" s="177" t="s">
        <v>16</v>
      </c>
      <c r="E176" s="177" t="s">
        <v>17</v>
      </c>
      <c r="F176" s="178">
        <v>58</v>
      </c>
      <c r="G176" s="221">
        <v>0.7125999999999999</v>
      </c>
      <c r="H176" s="178">
        <f t="shared" ref="H176:H177" si="112">F176*G176</f>
        <v>41.330799999999996</v>
      </c>
      <c r="I176" s="178">
        <v>60</v>
      </c>
      <c r="J176" s="178">
        <v>4</v>
      </c>
      <c r="K176" s="178">
        <f>F176*I176</f>
        <v>3480</v>
      </c>
      <c r="L176" s="178">
        <f>K176*J176</f>
        <v>13920</v>
      </c>
      <c r="M176" s="179" t="s">
        <v>277</v>
      </c>
    </row>
    <row r="177" spans="1:13" ht="15" customHeight="1" x14ac:dyDescent="0.25">
      <c r="A177" s="176" t="s">
        <v>456</v>
      </c>
      <c r="B177" s="177" t="s">
        <v>14</v>
      </c>
      <c r="C177" s="178">
        <v>6086</v>
      </c>
      <c r="D177" s="177" t="s">
        <v>16</v>
      </c>
      <c r="E177" s="177" t="s">
        <v>17</v>
      </c>
      <c r="F177" s="178">
        <v>174</v>
      </c>
      <c r="G177" s="222">
        <v>0.7629999999999999</v>
      </c>
      <c r="H177" s="178">
        <f t="shared" si="112"/>
        <v>132.76199999999997</v>
      </c>
      <c r="I177" s="178">
        <v>42</v>
      </c>
      <c r="J177" s="178">
        <v>2</v>
      </c>
      <c r="K177" s="178">
        <f>F177*I177</f>
        <v>7308</v>
      </c>
      <c r="L177" s="178">
        <f>K177*J177</f>
        <v>14616</v>
      </c>
      <c r="M177" s="179" t="s">
        <v>22</v>
      </c>
    </row>
    <row r="178" spans="1:13" ht="15" customHeight="1" x14ac:dyDescent="0.25">
      <c r="A178" s="176" t="s">
        <v>456</v>
      </c>
      <c r="B178" s="177" t="s">
        <v>14</v>
      </c>
      <c r="C178" s="178" t="s">
        <v>443</v>
      </c>
      <c r="D178" s="177"/>
      <c r="E178" s="177" t="s">
        <v>21</v>
      </c>
      <c r="F178" s="178">
        <v>125</v>
      </c>
      <c r="G178" s="221">
        <v>0.98261249999999978</v>
      </c>
      <c r="H178" s="178">
        <f>G178*F178</f>
        <v>122.82656249999997</v>
      </c>
      <c r="I178" s="178">
        <v>28</v>
      </c>
      <c r="J178" s="178">
        <v>1</v>
      </c>
      <c r="K178" s="178">
        <f t="shared" ref="K178" si="113">F178*I178</f>
        <v>3500</v>
      </c>
      <c r="L178" s="178">
        <f t="shared" ref="L178" si="114">K178*J178</f>
        <v>3500</v>
      </c>
      <c r="M178" s="179" t="s">
        <v>277</v>
      </c>
    </row>
    <row r="179" spans="1:13" ht="15" customHeight="1" x14ac:dyDescent="0.25">
      <c r="A179" s="176" t="s">
        <v>456</v>
      </c>
      <c r="B179" s="177" t="s">
        <v>14</v>
      </c>
      <c r="C179" s="178" t="s">
        <v>443</v>
      </c>
      <c r="D179" s="177"/>
      <c r="E179" s="177" t="s">
        <v>25</v>
      </c>
      <c r="F179" s="178"/>
      <c r="G179" s="178"/>
      <c r="H179" s="178"/>
      <c r="I179" s="178"/>
      <c r="J179" s="178"/>
      <c r="K179" s="178">
        <v>1000</v>
      </c>
      <c r="L179" s="178">
        <f t="shared" ref="L179" si="115">K179</f>
        <v>1000</v>
      </c>
      <c r="M179" s="179" t="s">
        <v>418</v>
      </c>
    </row>
    <row r="180" spans="1:13" ht="15" customHeight="1" x14ac:dyDescent="0.25">
      <c r="A180" s="176" t="s">
        <v>456</v>
      </c>
      <c r="B180" s="177" t="s">
        <v>14</v>
      </c>
      <c r="C180" s="178" t="s">
        <v>408</v>
      </c>
      <c r="D180" s="177" t="s">
        <v>409</v>
      </c>
      <c r="E180" s="177" t="s">
        <v>25</v>
      </c>
      <c r="F180" s="178"/>
      <c r="G180" s="178"/>
      <c r="H180" s="178"/>
      <c r="I180" s="178"/>
      <c r="J180" s="178"/>
      <c r="K180" s="178">
        <v>3600</v>
      </c>
      <c r="L180" s="178">
        <f>K180</f>
        <v>3600</v>
      </c>
      <c r="M180" s="179" t="s">
        <v>37</v>
      </c>
    </row>
    <row r="181" spans="1:13" ht="15" customHeight="1" x14ac:dyDescent="0.25">
      <c r="A181" s="176" t="s">
        <v>456</v>
      </c>
      <c r="B181" s="177" t="s">
        <v>14</v>
      </c>
      <c r="C181" s="178" t="s">
        <v>410</v>
      </c>
      <c r="D181" s="177"/>
      <c r="E181" s="177" t="s">
        <v>21</v>
      </c>
      <c r="F181" s="178">
        <v>143</v>
      </c>
      <c r="G181" s="221">
        <v>0.74674999999999991</v>
      </c>
      <c r="H181" s="178">
        <f>G181*F181</f>
        <v>106.78524999999999</v>
      </c>
      <c r="I181" s="178">
        <v>35</v>
      </c>
      <c r="J181" s="178">
        <v>1</v>
      </c>
      <c r="K181" s="178">
        <f>F181*I181</f>
        <v>5005</v>
      </c>
      <c r="L181" s="178">
        <f>K181*J181</f>
        <v>5005</v>
      </c>
      <c r="M181" s="179" t="s">
        <v>413</v>
      </c>
    </row>
    <row r="182" spans="1:13" ht="15" customHeight="1" x14ac:dyDescent="0.25">
      <c r="A182" s="176" t="s">
        <v>456</v>
      </c>
      <c r="B182" s="212" t="s">
        <v>23</v>
      </c>
      <c r="C182" s="178">
        <v>66772</v>
      </c>
      <c r="D182" s="177" t="s">
        <v>34</v>
      </c>
      <c r="E182" s="201" t="s">
        <v>35</v>
      </c>
      <c r="F182" s="178"/>
      <c r="G182" s="181" t="s">
        <v>77</v>
      </c>
      <c r="H182" s="178"/>
      <c r="I182" s="178"/>
      <c r="J182" s="178"/>
      <c r="K182" s="178">
        <v>7100</v>
      </c>
      <c r="L182" s="178">
        <f t="shared" ref="L182:L183" si="116">K182</f>
        <v>7100</v>
      </c>
      <c r="M182" s="179" t="s">
        <v>179</v>
      </c>
    </row>
    <row r="183" spans="1:13" ht="15" customHeight="1" x14ac:dyDescent="0.25">
      <c r="A183" s="176" t="s">
        <v>456</v>
      </c>
      <c r="B183" s="212" t="s">
        <v>23</v>
      </c>
      <c r="C183" s="178">
        <v>66772</v>
      </c>
      <c r="D183" s="177" t="s">
        <v>34</v>
      </c>
      <c r="E183" s="177" t="s">
        <v>39</v>
      </c>
      <c r="F183" s="178"/>
      <c r="G183" s="181" t="s">
        <v>36</v>
      </c>
      <c r="H183" s="178"/>
      <c r="I183" s="178"/>
      <c r="J183" s="178"/>
      <c r="K183" s="178">
        <v>2375</v>
      </c>
      <c r="L183" s="178">
        <f t="shared" si="116"/>
        <v>2375</v>
      </c>
      <c r="M183" s="179" t="s">
        <v>277</v>
      </c>
    </row>
    <row r="184" spans="1:13" ht="15" customHeight="1" x14ac:dyDescent="0.25">
      <c r="A184" s="176" t="s">
        <v>456</v>
      </c>
      <c r="B184" s="212" t="s">
        <v>23</v>
      </c>
      <c r="C184" s="178">
        <v>66772</v>
      </c>
      <c r="D184" s="177" t="s">
        <v>34</v>
      </c>
      <c r="E184" s="204" t="s">
        <v>30</v>
      </c>
      <c r="F184" s="178"/>
      <c r="G184" s="181" t="s">
        <v>78</v>
      </c>
      <c r="H184" s="178"/>
      <c r="I184" s="178"/>
      <c r="J184" s="178"/>
      <c r="K184" s="178">
        <v>1050</v>
      </c>
      <c r="L184" s="178">
        <f>K184</f>
        <v>1050</v>
      </c>
      <c r="M184" s="179" t="s">
        <v>405</v>
      </c>
    </row>
    <row r="185" spans="1:13" ht="15" customHeight="1" x14ac:dyDescent="0.25">
      <c r="A185" s="176" t="s">
        <v>457</v>
      </c>
      <c r="B185" s="212" t="s">
        <v>23</v>
      </c>
      <c r="C185" s="178">
        <v>66772</v>
      </c>
      <c r="D185" s="177" t="s">
        <v>34</v>
      </c>
      <c r="E185" s="201" t="s">
        <v>35</v>
      </c>
      <c r="F185" s="178"/>
      <c r="G185" s="181" t="s">
        <v>77</v>
      </c>
      <c r="H185" s="178"/>
      <c r="I185" s="178"/>
      <c r="J185" s="178"/>
      <c r="K185" s="178">
        <v>6300</v>
      </c>
      <c r="L185" s="178">
        <f t="shared" ref="L185:L186" si="117">K185</f>
        <v>6300</v>
      </c>
      <c r="M185" s="179" t="s">
        <v>179</v>
      </c>
    </row>
    <row r="186" spans="1:13" ht="15" customHeight="1" x14ac:dyDescent="0.25">
      <c r="A186" s="176" t="s">
        <v>457</v>
      </c>
      <c r="B186" s="212" t="s">
        <v>23</v>
      </c>
      <c r="C186" s="178">
        <v>66772</v>
      </c>
      <c r="D186" s="177" t="s">
        <v>34</v>
      </c>
      <c r="E186" s="177" t="s">
        <v>39</v>
      </c>
      <c r="F186" s="178"/>
      <c r="G186" s="181" t="s">
        <v>36</v>
      </c>
      <c r="H186" s="178"/>
      <c r="I186" s="178"/>
      <c r="J186" s="178"/>
      <c r="K186" s="178">
        <v>6675</v>
      </c>
      <c r="L186" s="178">
        <f t="shared" si="117"/>
        <v>6675</v>
      </c>
      <c r="M186" s="179" t="s">
        <v>277</v>
      </c>
    </row>
    <row r="187" spans="1:13" ht="15" customHeight="1" x14ac:dyDescent="0.25">
      <c r="A187" s="176" t="s">
        <v>457</v>
      </c>
      <c r="B187" s="212" t="s">
        <v>23</v>
      </c>
      <c r="C187" s="178">
        <v>66772</v>
      </c>
      <c r="D187" s="177" t="s">
        <v>34</v>
      </c>
      <c r="E187" s="204" t="s">
        <v>30</v>
      </c>
      <c r="F187" s="178"/>
      <c r="G187" s="181" t="s">
        <v>78</v>
      </c>
      <c r="H187" s="178"/>
      <c r="I187" s="178"/>
      <c r="J187" s="178"/>
      <c r="K187" s="178">
        <v>6000</v>
      </c>
      <c r="L187" s="178">
        <f>K187</f>
        <v>6000</v>
      </c>
      <c r="M187" s="179" t="s">
        <v>405</v>
      </c>
    </row>
    <row r="188" spans="1:13" ht="15" customHeight="1" x14ac:dyDescent="0.25">
      <c r="A188" s="176" t="s">
        <v>457</v>
      </c>
      <c r="B188" s="177" t="s">
        <v>14</v>
      </c>
      <c r="C188" s="178" t="s">
        <v>410</v>
      </c>
      <c r="D188" s="177"/>
      <c r="E188" s="177" t="s">
        <v>21</v>
      </c>
      <c r="F188" s="178">
        <v>193</v>
      </c>
      <c r="G188" s="221">
        <v>0.74674999999999991</v>
      </c>
      <c r="H188" s="178">
        <f>G188*F188</f>
        <v>144.12275</v>
      </c>
      <c r="I188" s="178">
        <v>35</v>
      </c>
      <c r="J188" s="178">
        <v>1</v>
      </c>
      <c r="K188" s="178">
        <f>F188*I188</f>
        <v>6755</v>
      </c>
      <c r="L188" s="178">
        <f>K188*J188</f>
        <v>6755</v>
      </c>
      <c r="M188" s="179" t="s">
        <v>413</v>
      </c>
    </row>
    <row r="189" spans="1:13" ht="15" customHeight="1" x14ac:dyDescent="0.25">
      <c r="A189" s="176" t="s">
        <v>457</v>
      </c>
      <c r="B189" s="177" t="s">
        <v>14</v>
      </c>
      <c r="C189" s="178" t="s">
        <v>443</v>
      </c>
      <c r="D189" s="177"/>
      <c r="E189" s="177" t="s">
        <v>21</v>
      </c>
      <c r="F189" s="178">
        <v>154</v>
      </c>
      <c r="G189" s="221">
        <v>0.98261249999999978</v>
      </c>
      <c r="H189" s="178">
        <f>G189*F189</f>
        <v>151.32232499999998</v>
      </c>
      <c r="I189" s="178">
        <v>28</v>
      </c>
      <c r="J189" s="178">
        <v>1</v>
      </c>
      <c r="K189" s="178">
        <f t="shared" ref="K189" si="118">F189*I189</f>
        <v>4312</v>
      </c>
      <c r="L189" s="178">
        <f t="shared" ref="L189" si="119">K189*J189</f>
        <v>4312</v>
      </c>
      <c r="M189" s="179" t="s">
        <v>277</v>
      </c>
    </row>
    <row r="190" spans="1:13" ht="15" customHeight="1" x14ac:dyDescent="0.25">
      <c r="A190" s="176" t="s">
        <v>457</v>
      </c>
      <c r="B190" s="177" t="s">
        <v>14</v>
      </c>
      <c r="C190" s="178" t="s">
        <v>443</v>
      </c>
      <c r="D190" s="177"/>
      <c r="E190" s="177" t="s">
        <v>25</v>
      </c>
      <c r="F190" s="178"/>
      <c r="G190" s="178"/>
      <c r="H190" s="178"/>
      <c r="I190" s="178"/>
      <c r="J190" s="178"/>
      <c r="K190" s="178">
        <v>3000</v>
      </c>
      <c r="L190" s="178">
        <f t="shared" ref="L190" si="120">K190</f>
        <v>3000</v>
      </c>
      <c r="M190" s="179" t="s">
        <v>418</v>
      </c>
    </row>
    <row r="191" spans="1:13" ht="15" customHeight="1" x14ac:dyDescent="0.25">
      <c r="A191" s="176" t="s">
        <v>457</v>
      </c>
      <c r="B191" s="177" t="s">
        <v>14</v>
      </c>
      <c r="C191" s="178">
        <v>6086</v>
      </c>
      <c r="D191" s="177" t="s">
        <v>16</v>
      </c>
      <c r="E191" s="177" t="s">
        <v>17</v>
      </c>
      <c r="F191" s="178">
        <v>42</v>
      </c>
      <c r="G191" s="222">
        <v>0.7629999999999999</v>
      </c>
      <c r="H191" s="178">
        <f t="shared" ref="H191" si="121">F191*G191</f>
        <v>32.045999999999992</v>
      </c>
      <c r="I191" s="178">
        <v>42</v>
      </c>
      <c r="J191" s="178">
        <v>2</v>
      </c>
      <c r="K191" s="178">
        <f>F191*I191</f>
        <v>1764</v>
      </c>
      <c r="L191" s="178">
        <f>K191*J191</f>
        <v>3528</v>
      </c>
      <c r="M191" s="179" t="s">
        <v>22</v>
      </c>
    </row>
    <row r="192" spans="1:13" ht="15" customHeight="1" x14ac:dyDescent="0.25">
      <c r="A192" s="176" t="s">
        <v>457</v>
      </c>
      <c r="B192" s="177" t="s">
        <v>14</v>
      </c>
      <c r="C192" s="178" t="s">
        <v>408</v>
      </c>
      <c r="D192" s="177" t="s">
        <v>409</v>
      </c>
      <c r="E192" s="177" t="s">
        <v>25</v>
      </c>
      <c r="F192" s="178"/>
      <c r="G192" s="178"/>
      <c r="H192" s="178"/>
      <c r="I192" s="178"/>
      <c r="J192" s="178"/>
      <c r="K192" s="178">
        <v>3600</v>
      </c>
      <c r="L192" s="178">
        <f>K192</f>
        <v>3600</v>
      </c>
      <c r="M192" s="179" t="s">
        <v>37</v>
      </c>
    </row>
    <row r="193" spans="1:13" ht="15" customHeight="1" x14ac:dyDescent="0.25">
      <c r="A193" s="176" t="s">
        <v>457</v>
      </c>
      <c r="B193" s="177" t="s">
        <v>14</v>
      </c>
      <c r="C193" s="178">
        <v>7479</v>
      </c>
      <c r="D193" s="177" t="s">
        <v>20</v>
      </c>
      <c r="E193" s="177" t="s">
        <v>25</v>
      </c>
      <c r="F193" s="178"/>
      <c r="G193" s="178"/>
      <c r="H193" s="178"/>
      <c r="I193" s="178"/>
      <c r="J193" s="178"/>
      <c r="K193" s="178">
        <v>5000</v>
      </c>
      <c r="L193" s="178">
        <f t="shared" ref="L193" si="122">K193</f>
        <v>5000</v>
      </c>
      <c r="M193" s="179" t="s">
        <v>181</v>
      </c>
    </row>
    <row r="194" spans="1:13" ht="15" customHeight="1" x14ac:dyDescent="0.25">
      <c r="A194" s="176" t="s">
        <v>457</v>
      </c>
      <c r="B194" s="177" t="s">
        <v>14</v>
      </c>
      <c r="C194" s="178">
        <v>8283</v>
      </c>
      <c r="D194" s="177" t="s">
        <v>344</v>
      </c>
      <c r="E194" s="177" t="s">
        <v>25</v>
      </c>
      <c r="F194" s="178"/>
      <c r="G194" s="178"/>
      <c r="H194" s="178"/>
      <c r="I194" s="178"/>
      <c r="J194" s="178"/>
      <c r="K194" s="178">
        <v>1500</v>
      </c>
      <c r="L194" s="178">
        <f>K194</f>
        <v>1500</v>
      </c>
      <c r="M194" s="179" t="s">
        <v>179</v>
      </c>
    </row>
    <row r="195" spans="1:13" ht="15" customHeight="1" x14ac:dyDescent="0.25">
      <c r="A195" s="176" t="s">
        <v>457</v>
      </c>
      <c r="B195" s="177" t="s">
        <v>14</v>
      </c>
      <c r="C195" s="178" t="s">
        <v>417</v>
      </c>
      <c r="D195" s="177"/>
      <c r="E195" s="177" t="s">
        <v>21</v>
      </c>
      <c r="F195" s="178">
        <v>81</v>
      </c>
      <c r="G195" s="221">
        <v>0.63541875000000003</v>
      </c>
      <c r="H195" s="178">
        <f>G195*F195</f>
        <v>51.46891875</v>
      </c>
      <c r="I195" s="178">
        <v>31</v>
      </c>
      <c r="J195" s="178">
        <v>1</v>
      </c>
      <c r="K195" s="178">
        <f t="shared" ref="K195" si="123">F195*I195</f>
        <v>2511</v>
      </c>
      <c r="L195" s="178">
        <f t="shared" ref="L195" si="124">K195*J195</f>
        <v>2511</v>
      </c>
      <c r="M195" s="179" t="s">
        <v>277</v>
      </c>
    </row>
    <row r="196" spans="1:13" ht="15" customHeight="1" x14ac:dyDescent="0.25">
      <c r="A196" s="176" t="s">
        <v>458</v>
      </c>
      <c r="B196" s="212" t="s">
        <v>23</v>
      </c>
      <c r="C196" s="178">
        <v>66772</v>
      </c>
      <c r="D196" s="177" t="s">
        <v>34</v>
      </c>
      <c r="E196" s="201" t="s">
        <v>35</v>
      </c>
      <c r="F196" s="178"/>
      <c r="G196" s="181" t="s">
        <v>77</v>
      </c>
      <c r="H196" s="178"/>
      <c r="I196" s="178"/>
      <c r="J196" s="178"/>
      <c r="K196" s="178">
        <v>1800</v>
      </c>
      <c r="L196" s="178">
        <f t="shared" ref="L196:L197" si="125">K196</f>
        <v>1800</v>
      </c>
      <c r="M196" s="179" t="s">
        <v>179</v>
      </c>
    </row>
    <row r="197" spans="1:13" ht="15" customHeight="1" x14ac:dyDescent="0.25">
      <c r="A197" s="176" t="s">
        <v>458</v>
      </c>
      <c r="B197" s="212" t="s">
        <v>23</v>
      </c>
      <c r="C197" s="178">
        <v>66772</v>
      </c>
      <c r="D197" s="177" t="s">
        <v>34</v>
      </c>
      <c r="E197" s="177" t="s">
        <v>39</v>
      </c>
      <c r="F197" s="178"/>
      <c r="G197" s="181" t="s">
        <v>36</v>
      </c>
      <c r="H197" s="178"/>
      <c r="I197" s="178"/>
      <c r="J197" s="178"/>
      <c r="K197" s="178">
        <v>5200</v>
      </c>
      <c r="L197" s="178">
        <f t="shared" si="125"/>
        <v>5200</v>
      </c>
      <c r="M197" s="179" t="s">
        <v>277</v>
      </c>
    </row>
    <row r="198" spans="1:13" ht="15" customHeight="1" x14ac:dyDescent="0.25">
      <c r="A198" s="176" t="s">
        <v>458</v>
      </c>
      <c r="B198" s="212" t="s">
        <v>23</v>
      </c>
      <c r="C198" s="178">
        <v>66772</v>
      </c>
      <c r="D198" s="177" t="s">
        <v>34</v>
      </c>
      <c r="E198" s="204" t="s">
        <v>30</v>
      </c>
      <c r="F198" s="178"/>
      <c r="G198" s="181" t="s">
        <v>78</v>
      </c>
      <c r="H198" s="178"/>
      <c r="I198" s="178"/>
      <c r="J198" s="178"/>
      <c r="K198" s="178">
        <v>5800</v>
      </c>
      <c r="L198" s="178">
        <f>K198</f>
        <v>5800</v>
      </c>
      <c r="M198" s="179" t="s">
        <v>405</v>
      </c>
    </row>
    <row r="199" spans="1:13" ht="15" customHeight="1" x14ac:dyDescent="0.25">
      <c r="A199" s="176" t="s">
        <v>458</v>
      </c>
      <c r="B199" s="177" t="s">
        <v>14</v>
      </c>
      <c r="C199" s="178" t="s">
        <v>410</v>
      </c>
      <c r="D199" s="177"/>
      <c r="E199" s="177" t="s">
        <v>21</v>
      </c>
      <c r="F199" s="178">
        <v>133</v>
      </c>
      <c r="G199" s="221">
        <v>0.74674999999999991</v>
      </c>
      <c r="H199" s="178">
        <f>G199*F199</f>
        <v>99.31774999999999</v>
      </c>
      <c r="I199" s="178">
        <v>35</v>
      </c>
      <c r="J199" s="178">
        <v>1</v>
      </c>
      <c r="K199" s="178">
        <f>F199*I199</f>
        <v>4655</v>
      </c>
      <c r="L199" s="178">
        <f>K199*J199</f>
        <v>4655</v>
      </c>
      <c r="M199" s="179" t="s">
        <v>413</v>
      </c>
    </row>
    <row r="200" spans="1:13" ht="15" customHeight="1" x14ac:dyDescent="0.25">
      <c r="A200" s="176" t="s">
        <v>458</v>
      </c>
      <c r="B200" s="177" t="s">
        <v>14</v>
      </c>
      <c r="C200" s="178">
        <v>8283</v>
      </c>
      <c r="D200" s="177" t="s">
        <v>344</v>
      </c>
      <c r="E200" s="177" t="s">
        <v>25</v>
      </c>
      <c r="F200" s="178"/>
      <c r="G200" s="178"/>
      <c r="H200" s="178"/>
      <c r="I200" s="178"/>
      <c r="J200" s="178"/>
      <c r="K200" s="178">
        <v>6000</v>
      </c>
      <c r="L200" s="178">
        <f>K200</f>
        <v>6000</v>
      </c>
      <c r="M200" s="179" t="s">
        <v>179</v>
      </c>
    </row>
    <row r="201" spans="1:13" ht="15" customHeight="1" x14ac:dyDescent="0.25">
      <c r="A201" s="176" t="s">
        <v>458</v>
      </c>
      <c r="B201" s="177" t="s">
        <v>14</v>
      </c>
      <c r="C201" s="178" t="s">
        <v>417</v>
      </c>
      <c r="D201" s="177"/>
      <c r="E201" s="177" t="s">
        <v>21</v>
      </c>
      <c r="F201" s="178">
        <v>161</v>
      </c>
      <c r="G201" s="221">
        <v>0.63541875000000003</v>
      </c>
      <c r="H201" s="178">
        <f>G201*F201</f>
        <v>102.30241875</v>
      </c>
      <c r="I201" s="178">
        <v>31</v>
      </c>
      <c r="J201" s="178">
        <v>1</v>
      </c>
      <c r="K201" s="178">
        <f t="shared" ref="K201" si="126">F201*I201</f>
        <v>4991</v>
      </c>
      <c r="L201" s="178">
        <f t="shared" ref="L201" si="127">K201*J201</f>
        <v>4991</v>
      </c>
      <c r="M201" s="179" t="s">
        <v>277</v>
      </c>
    </row>
    <row r="202" spans="1:13" ht="15" customHeight="1" x14ac:dyDescent="0.25">
      <c r="A202" s="176" t="s">
        <v>458</v>
      </c>
      <c r="B202" s="177" t="s">
        <v>14</v>
      </c>
      <c r="C202" s="178" t="s">
        <v>407</v>
      </c>
      <c r="D202" s="177"/>
      <c r="E202" s="177" t="s">
        <v>21</v>
      </c>
      <c r="F202" s="178">
        <v>152</v>
      </c>
      <c r="G202" s="221">
        <v>0.48962500000000003</v>
      </c>
      <c r="H202" s="178">
        <f>G202*F202</f>
        <v>74.423000000000002</v>
      </c>
      <c r="I202" s="178">
        <v>17</v>
      </c>
      <c r="J202" s="178">
        <v>1</v>
      </c>
      <c r="K202" s="178">
        <f>F202*I202</f>
        <v>2584</v>
      </c>
      <c r="L202" s="178">
        <f>K202*J202</f>
        <v>2584</v>
      </c>
      <c r="M202" s="179" t="s">
        <v>277</v>
      </c>
    </row>
    <row r="203" spans="1:13" ht="15" customHeight="1" x14ac:dyDescent="0.25">
      <c r="A203" s="176" t="s">
        <v>458</v>
      </c>
      <c r="B203" s="177" t="s">
        <v>14</v>
      </c>
      <c r="C203" s="178" t="s">
        <v>407</v>
      </c>
      <c r="D203" s="177"/>
      <c r="E203" s="177" t="s">
        <v>25</v>
      </c>
      <c r="F203" s="178"/>
      <c r="G203" s="178"/>
      <c r="H203" s="178"/>
      <c r="I203" s="178"/>
      <c r="J203" s="178"/>
      <c r="K203" s="178">
        <v>2250</v>
      </c>
      <c r="L203" s="178">
        <f t="shared" ref="L203" si="128">K203</f>
        <v>2250</v>
      </c>
      <c r="M203" s="179" t="s">
        <v>405</v>
      </c>
    </row>
    <row r="204" spans="1:13" ht="15" customHeight="1" x14ac:dyDescent="0.25">
      <c r="A204" s="176" t="s">
        <v>458</v>
      </c>
      <c r="B204" s="177" t="s">
        <v>14</v>
      </c>
      <c r="C204" s="178">
        <v>7479</v>
      </c>
      <c r="D204" s="177" t="s">
        <v>20</v>
      </c>
      <c r="E204" s="177" t="s">
        <v>25</v>
      </c>
      <c r="F204" s="178"/>
      <c r="G204" s="178"/>
      <c r="H204" s="178"/>
      <c r="I204" s="178"/>
      <c r="J204" s="178"/>
      <c r="K204" s="178">
        <v>500</v>
      </c>
      <c r="L204" s="178">
        <f t="shared" ref="L204" si="129">K204</f>
        <v>500</v>
      </c>
      <c r="M204" s="179" t="s">
        <v>181</v>
      </c>
    </row>
    <row r="205" spans="1:13" ht="15" customHeight="1" x14ac:dyDescent="0.25">
      <c r="A205" s="176" t="s">
        <v>459</v>
      </c>
      <c r="B205" s="177" t="s">
        <v>14</v>
      </c>
      <c r="C205" s="178" t="s">
        <v>407</v>
      </c>
      <c r="D205" s="177"/>
      <c r="E205" s="177" t="s">
        <v>21</v>
      </c>
      <c r="F205" s="178">
        <v>500</v>
      </c>
      <c r="G205" s="221">
        <v>0.48962500000000003</v>
      </c>
      <c r="H205" s="178">
        <f>G205*F205</f>
        <v>244.81250000000003</v>
      </c>
      <c r="I205" s="178">
        <v>17</v>
      </c>
      <c r="J205" s="178">
        <v>1</v>
      </c>
      <c r="K205" s="178">
        <f>F205*I205</f>
        <v>8500</v>
      </c>
      <c r="L205" s="178">
        <f>K205*J205</f>
        <v>8500</v>
      </c>
      <c r="M205" s="179" t="s">
        <v>277</v>
      </c>
    </row>
    <row r="206" spans="1:13" ht="15" customHeight="1" x14ac:dyDescent="0.25">
      <c r="A206" s="176" t="s">
        <v>459</v>
      </c>
      <c r="B206" s="177" t="s">
        <v>14</v>
      </c>
      <c r="C206" s="178" t="s">
        <v>407</v>
      </c>
      <c r="D206" s="177"/>
      <c r="E206" s="177" t="s">
        <v>25</v>
      </c>
      <c r="F206" s="178"/>
      <c r="G206" s="178"/>
      <c r="H206" s="178"/>
      <c r="I206" s="178"/>
      <c r="J206" s="178"/>
      <c r="K206" s="178">
        <v>2300</v>
      </c>
      <c r="L206" s="178">
        <f t="shared" ref="L206:L208" si="130">K206</f>
        <v>2300</v>
      </c>
      <c r="M206" s="179" t="s">
        <v>405</v>
      </c>
    </row>
    <row r="207" spans="1:13" ht="15" customHeight="1" x14ac:dyDescent="0.25">
      <c r="A207" s="176" t="s">
        <v>459</v>
      </c>
      <c r="B207" s="177" t="s">
        <v>14</v>
      </c>
      <c r="C207" s="178" t="s">
        <v>417</v>
      </c>
      <c r="D207" s="177"/>
      <c r="E207" s="177" t="s">
        <v>25</v>
      </c>
      <c r="F207" s="178"/>
      <c r="G207" s="178"/>
      <c r="H207" s="178"/>
      <c r="I207" s="178"/>
      <c r="J207" s="178"/>
      <c r="K207" s="178">
        <v>2370</v>
      </c>
      <c r="L207" s="178">
        <f t="shared" si="130"/>
        <v>2370</v>
      </c>
      <c r="M207" s="179" t="s">
        <v>418</v>
      </c>
    </row>
    <row r="208" spans="1:13" ht="15" customHeight="1" x14ac:dyDescent="0.25">
      <c r="A208" s="176" t="s">
        <v>459</v>
      </c>
      <c r="B208" s="212" t="s">
        <v>23</v>
      </c>
      <c r="C208" s="178">
        <v>66772</v>
      </c>
      <c r="D208" s="177" t="s">
        <v>34</v>
      </c>
      <c r="E208" s="177" t="s">
        <v>39</v>
      </c>
      <c r="F208" s="178"/>
      <c r="G208" s="181" t="s">
        <v>36</v>
      </c>
      <c r="H208" s="178"/>
      <c r="I208" s="178"/>
      <c r="J208" s="178"/>
      <c r="K208" s="178">
        <v>1000</v>
      </c>
      <c r="L208" s="178">
        <f t="shared" si="130"/>
        <v>1000</v>
      </c>
      <c r="M208" s="179" t="s">
        <v>277</v>
      </c>
    </row>
    <row r="209" spans="1:13" ht="15" customHeight="1" x14ac:dyDescent="0.25">
      <c r="A209" s="176" t="s">
        <v>459</v>
      </c>
      <c r="B209" s="212" t="s">
        <v>23</v>
      </c>
      <c r="C209" s="178">
        <v>66772</v>
      </c>
      <c r="D209" s="177" t="s">
        <v>34</v>
      </c>
      <c r="E209" s="204" t="s">
        <v>30</v>
      </c>
      <c r="F209" s="178"/>
      <c r="G209" s="181" t="s">
        <v>78</v>
      </c>
      <c r="H209" s="178"/>
      <c r="I209" s="178"/>
      <c r="J209" s="178"/>
      <c r="K209" s="178">
        <v>2200</v>
      </c>
      <c r="L209" s="178">
        <f>K209</f>
        <v>2200</v>
      </c>
      <c r="M209" s="179" t="s">
        <v>405</v>
      </c>
    </row>
    <row r="210" spans="1:13" ht="15" customHeight="1" x14ac:dyDescent="0.25">
      <c r="A210" s="176" t="s">
        <v>459</v>
      </c>
      <c r="B210" s="177" t="s">
        <v>14</v>
      </c>
      <c r="C210" s="178" t="s">
        <v>443</v>
      </c>
      <c r="D210" s="177"/>
      <c r="E210" s="177" t="s">
        <v>25</v>
      </c>
      <c r="F210" s="178"/>
      <c r="G210" s="178"/>
      <c r="H210" s="178"/>
      <c r="I210" s="178"/>
      <c r="J210" s="178"/>
      <c r="K210" s="178">
        <v>1600</v>
      </c>
      <c r="L210" s="178">
        <f t="shared" ref="L210" si="131">K210</f>
        <v>1600</v>
      </c>
      <c r="M210" s="179" t="s">
        <v>418</v>
      </c>
    </row>
    <row r="211" spans="1:13" ht="15" customHeight="1" x14ac:dyDescent="0.25">
      <c r="A211" s="176" t="s">
        <v>459</v>
      </c>
      <c r="B211" s="177" t="s">
        <v>14</v>
      </c>
      <c r="C211" s="178" t="s">
        <v>410</v>
      </c>
      <c r="D211" s="177"/>
      <c r="E211" s="177" t="s">
        <v>21</v>
      </c>
      <c r="F211" s="178">
        <v>202</v>
      </c>
      <c r="G211" s="221">
        <v>0.74674999999999991</v>
      </c>
      <c r="H211" s="178">
        <f>G211*F211</f>
        <v>150.84349999999998</v>
      </c>
      <c r="I211" s="178">
        <v>35</v>
      </c>
      <c r="J211" s="178">
        <v>1</v>
      </c>
      <c r="K211" s="178">
        <f>F211*I211</f>
        <v>7070</v>
      </c>
      <c r="L211" s="178">
        <f>K211*J211</f>
        <v>7070</v>
      </c>
      <c r="M211" s="179" t="s">
        <v>413</v>
      </c>
    </row>
    <row r="212" spans="1:13" ht="15" customHeight="1" x14ac:dyDescent="0.25">
      <c r="A212" s="176" t="s">
        <v>459</v>
      </c>
      <c r="B212" s="177" t="s">
        <v>14</v>
      </c>
      <c r="C212" s="178" t="s">
        <v>71</v>
      </c>
      <c r="D212" s="177" t="s">
        <v>72</v>
      </c>
      <c r="E212" s="177" t="s">
        <v>21</v>
      </c>
      <c r="F212" s="178">
        <v>28</v>
      </c>
      <c r="G212" s="178">
        <v>1.095</v>
      </c>
      <c r="H212" s="178">
        <f>F212*G212</f>
        <v>30.66</v>
      </c>
      <c r="I212" s="178">
        <v>58</v>
      </c>
      <c r="J212" s="178">
        <v>1</v>
      </c>
      <c r="K212" s="178">
        <f t="shared" ref="K212" si="132">F212*I212</f>
        <v>1624</v>
      </c>
      <c r="L212" s="178">
        <f t="shared" ref="L212" si="133">K212*J212</f>
        <v>1624</v>
      </c>
      <c r="M212" s="179" t="s">
        <v>179</v>
      </c>
    </row>
    <row r="213" spans="1:13" ht="15" customHeight="1" x14ac:dyDescent="0.25">
      <c r="A213" s="176" t="s">
        <v>460</v>
      </c>
      <c r="B213" s="177" t="s">
        <v>14</v>
      </c>
      <c r="C213" s="178" t="s">
        <v>417</v>
      </c>
      <c r="D213" s="177"/>
      <c r="E213" s="177" t="s">
        <v>25</v>
      </c>
      <c r="F213" s="178"/>
      <c r="G213" s="178"/>
      <c r="H213" s="178"/>
      <c r="I213" s="178"/>
      <c r="J213" s="178"/>
      <c r="K213" s="178">
        <v>1365</v>
      </c>
      <c r="L213" s="178">
        <f t="shared" ref="L213:L214" si="134">K213</f>
        <v>1365</v>
      </c>
      <c r="M213" s="179" t="s">
        <v>418</v>
      </c>
    </row>
    <row r="214" spans="1:13" ht="15" customHeight="1" x14ac:dyDescent="0.25">
      <c r="A214" s="176" t="s">
        <v>460</v>
      </c>
      <c r="B214" s="177" t="s">
        <v>14</v>
      </c>
      <c r="C214" s="178" t="s">
        <v>407</v>
      </c>
      <c r="D214" s="177"/>
      <c r="E214" s="177" t="s">
        <v>25</v>
      </c>
      <c r="F214" s="178"/>
      <c r="G214" s="178"/>
      <c r="H214" s="178"/>
      <c r="I214" s="178"/>
      <c r="J214" s="178"/>
      <c r="K214" s="178">
        <v>1000</v>
      </c>
      <c r="L214" s="178">
        <f t="shared" si="134"/>
        <v>1000</v>
      </c>
      <c r="M214" s="179" t="s">
        <v>405</v>
      </c>
    </row>
    <row r="215" spans="1:13" ht="15" customHeight="1" x14ac:dyDescent="0.25">
      <c r="A215" s="176" t="s">
        <v>460</v>
      </c>
      <c r="B215" s="177" t="s">
        <v>14</v>
      </c>
      <c r="C215" s="178" t="s">
        <v>71</v>
      </c>
      <c r="D215" s="177" t="s">
        <v>72</v>
      </c>
      <c r="E215" s="177" t="s">
        <v>21</v>
      </c>
      <c r="F215" s="178">
        <v>96</v>
      </c>
      <c r="G215" s="178">
        <v>1.095</v>
      </c>
      <c r="H215" s="178">
        <f>F215*G215</f>
        <v>105.12</v>
      </c>
      <c r="I215" s="178">
        <v>58</v>
      </c>
      <c r="J215" s="178">
        <v>1</v>
      </c>
      <c r="K215" s="178">
        <f t="shared" ref="K215" si="135">F215*I215</f>
        <v>5568</v>
      </c>
      <c r="L215" s="178">
        <f t="shared" ref="L215" si="136">K215*J215</f>
        <v>5568</v>
      </c>
      <c r="M215" s="179" t="s">
        <v>179</v>
      </c>
    </row>
    <row r="216" spans="1:13" ht="15" customHeight="1" x14ac:dyDescent="0.25">
      <c r="A216" s="176" t="s">
        <v>460</v>
      </c>
      <c r="B216" s="177" t="s">
        <v>14</v>
      </c>
      <c r="C216" s="178">
        <v>8283</v>
      </c>
      <c r="D216" s="177" t="s">
        <v>344</v>
      </c>
      <c r="E216" s="177" t="s">
        <v>25</v>
      </c>
      <c r="F216" s="178"/>
      <c r="G216" s="178"/>
      <c r="H216" s="178"/>
      <c r="I216" s="178"/>
      <c r="J216" s="178"/>
      <c r="K216" s="178">
        <v>6000</v>
      </c>
      <c r="L216" s="178">
        <f>K216</f>
        <v>6000</v>
      </c>
      <c r="M216" s="179" t="s">
        <v>179</v>
      </c>
    </row>
    <row r="217" spans="1:13" ht="15" customHeight="1" x14ac:dyDescent="0.25">
      <c r="A217" s="176" t="s">
        <v>460</v>
      </c>
      <c r="B217" s="212" t="s">
        <v>23</v>
      </c>
      <c r="C217" s="178">
        <v>66772</v>
      </c>
      <c r="D217" s="177" t="s">
        <v>34</v>
      </c>
      <c r="E217" s="201" t="s">
        <v>35</v>
      </c>
      <c r="F217" s="178"/>
      <c r="G217" s="181" t="s">
        <v>77</v>
      </c>
      <c r="H217" s="178"/>
      <c r="I217" s="178"/>
      <c r="J217" s="178"/>
      <c r="K217" s="178">
        <v>3400</v>
      </c>
      <c r="L217" s="178">
        <f t="shared" ref="L217:L218" si="137">K217</f>
        <v>3400</v>
      </c>
      <c r="M217" s="179" t="s">
        <v>179</v>
      </c>
    </row>
    <row r="218" spans="1:13" ht="15" customHeight="1" x14ac:dyDescent="0.25">
      <c r="A218" s="176" t="s">
        <v>460</v>
      </c>
      <c r="B218" s="212" t="s">
        <v>23</v>
      </c>
      <c r="C218" s="178">
        <v>66772</v>
      </c>
      <c r="D218" s="177" t="s">
        <v>34</v>
      </c>
      <c r="E218" s="177" t="s">
        <v>39</v>
      </c>
      <c r="F218" s="178"/>
      <c r="G218" s="181" t="s">
        <v>36</v>
      </c>
      <c r="H218" s="178"/>
      <c r="I218" s="178"/>
      <c r="J218" s="178"/>
      <c r="K218" s="178">
        <v>3000</v>
      </c>
      <c r="L218" s="178">
        <f t="shared" si="137"/>
        <v>3000</v>
      </c>
      <c r="M218" s="179" t="s">
        <v>277</v>
      </c>
    </row>
    <row r="219" spans="1:13" ht="15" customHeight="1" x14ac:dyDescent="0.25">
      <c r="A219" s="176" t="s">
        <v>460</v>
      </c>
      <c r="B219" s="212" t="s">
        <v>23</v>
      </c>
      <c r="C219" s="178">
        <v>66772</v>
      </c>
      <c r="D219" s="177" t="s">
        <v>34</v>
      </c>
      <c r="E219" s="204" t="s">
        <v>30</v>
      </c>
      <c r="F219" s="178"/>
      <c r="G219" s="181" t="s">
        <v>78</v>
      </c>
      <c r="H219" s="178"/>
      <c r="I219" s="178"/>
      <c r="J219" s="178"/>
      <c r="K219" s="178">
        <v>1660</v>
      </c>
      <c r="L219" s="178">
        <f>K219</f>
        <v>1660</v>
      </c>
      <c r="M219" s="179" t="s">
        <v>405</v>
      </c>
    </row>
    <row r="220" spans="1:13" ht="15" customHeight="1" x14ac:dyDescent="0.25">
      <c r="A220" s="176" t="s">
        <v>460</v>
      </c>
      <c r="B220" s="177" t="s">
        <v>14</v>
      </c>
      <c r="C220" s="178" t="s">
        <v>408</v>
      </c>
      <c r="D220" s="177" t="s">
        <v>409</v>
      </c>
      <c r="E220" s="177" t="s">
        <v>21</v>
      </c>
      <c r="F220" s="178">
        <v>120</v>
      </c>
      <c r="G220" s="221">
        <v>0.77037500000000014</v>
      </c>
      <c r="H220" s="178">
        <f>G220*F220</f>
        <v>92.445000000000022</v>
      </c>
      <c r="I220" s="178">
        <v>30</v>
      </c>
      <c r="J220" s="178">
        <v>1</v>
      </c>
      <c r="K220" s="178">
        <f>F220*I220</f>
        <v>3600</v>
      </c>
      <c r="L220" s="178">
        <f>K220*J220</f>
        <v>3600</v>
      </c>
      <c r="M220" s="179" t="s">
        <v>405</v>
      </c>
    </row>
    <row r="221" spans="1:13" ht="15" customHeight="1" x14ac:dyDescent="0.25">
      <c r="A221" s="176" t="s">
        <v>460</v>
      </c>
      <c r="B221" s="177" t="s">
        <v>14</v>
      </c>
      <c r="C221" s="178">
        <v>1411</v>
      </c>
      <c r="D221" s="177" t="s">
        <v>414</v>
      </c>
      <c r="E221" s="177" t="s">
        <v>21</v>
      </c>
      <c r="F221" s="178">
        <v>110</v>
      </c>
      <c r="G221" s="221">
        <v>1.1297187499999997</v>
      </c>
      <c r="H221" s="178">
        <f>G221*F221</f>
        <v>124.26906249999996</v>
      </c>
      <c r="I221" s="178">
        <v>20</v>
      </c>
      <c r="J221" s="178">
        <v>1</v>
      </c>
      <c r="K221" s="178">
        <f>F221*I221</f>
        <v>2200</v>
      </c>
      <c r="L221" s="178">
        <f>K221*J221</f>
        <v>2200</v>
      </c>
      <c r="M221" s="179" t="s">
        <v>413</v>
      </c>
    </row>
    <row r="222" spans="1:13" ht="15" customHeight="1" x14ac:dyDescent="0.25">
      <c r="A222" s="176" t="s">
        <v>460</v>
      </c>
      <c r="B222" s="177" t="s">
        <v>14</v>
      </c>
      <c r="C222" s="178">
        <v>7479</v>
      </c>
      <c r="D222" s="177" t="s">
        <v>20</v>
      </c>
      <c r="E222" s="177" t="s">
        <v>21</v>
      </c>
      <c r="F222" s="178">
        <v>42</v>
      </c>
      <c r="G222" s="178">
        <v>0.15</v>
      </c>
      <c r="H222" s="178">
        <f>G222*F222</f>
        <v>6.3</v>
      </c>
      <c r="I222" s="178">
        <v>80</v>
      </c>
      <c r="J222" s="178">
        <v>1</v>
      </c>
      <c r="K222" s="178">
        <f>F222*I222</f>
        <v>3360</v>
      </c>
      <c r="L222" s="178">
        <f>K222*J222</f>
        <v>3360</v>
      </c>
      <c r="M222" s="179" t="s">
        <v>37</v>
      </c>
    </row>
    <row r="223" spans="1:13" ht="15" customHeight="1" x14ac:dyDescent="0.25">
      <c r="A223" s="176" t="s">
        <v>460</v>
      </c>
      <c r="B223" s="177" t="s">
        <v>14</v>
      </c>
      <c r="C223" s="178">
        <v>7479</v>
      </c>
      <c r="D223" s="177" t="s">
        <v>20</v>
      </c>
      <c r="E223" s="177" t="s">
        <v>25</v>
      </c>
      <c r="F223" s="178"/>
      <c r="G223" s="178"/>
      <c r="H223" s="178"/>
      <c r="I223" s="178"/>
      <c r="J223" s="178"/>
      <c r="K223" s="178">
        <v>665</v>
      </c>
      <c r="L223" s="178">
        <f t="shared" ref="L223:L225" si="138">K223</f>
        <v>665</v>
      </c>
      <c r="M223" s="179" t="s">
        <v>181</v>
      </c>
    </row>
    <row r="224" spans="1:13" ht="15" customHeight="1" x14ac:dyDescent="0.25">
      <c r="A224" s="176" t="s">
        <v>461</v>
      </c>
      <c r="B224" s="212" t="s">
        <v>23</v>
      </c>
      <c r="C224" s="178">
        <v>66772</v>
      </c>
      <c r="D224" s="177" t="s">
        <v>34</v>
      </c>
      <c r="E224" s="201" t="s">
        <v>35</v>
      </c>
      <c r="F224" s="178"/>
      <c r="G224" s="181" t="s">
        <v>77</v>
      </c>
      <c r="H224" s="178"/>
      <c r="I224" s="178"/>
      <c r="J224" s="178"/>
      <c r="K224" s="178">
        <v>7000</v>
      </c>
      <c r="L224" s="178">
        <f t="shared" si="138"/>
        <v>7000</v>
      </c>
      <c r="M224" s="179" t="s">
        <v>179</v>
      </c>
    </row>
    <row r="225" spans="1:13" ht="15" customHeight="1" x14ac:dyDescent="0.25">
      <c r="A225" s="176" t="s">
        <v>461</v>
      </c>
      <c r="B225" s="212" t="s">
        <v>23</v>
      </c>
      <c r="C225" s="178">
        <v>66772</v>
      </c>
      <c r="D225" s="177" t="s">
        <v>34</v>
      </c>
      <c r="E225" s="177" t="s">
        <v>39</v>
      </c>
      <c r="F225" s="178"/>
      <c r="G225" s="181" t="s">
        <v>36</v>
      </c>
      <c r="H225" s="178"/>
      <c r="I225" s="178"/>
      <c r="J225" s="178"/>
      <c r="K225" s="178">
        <v>6075</v>
      </c>
      <c r="L225" s="178">
        <f t="shared" si="138"/>
        <v>6075</v>
      </c>
      <c r="M225" s="179" t="s">
        <v>277</v>
      </c>
    </row>
    <row r="226" spans="1:13" ht="15" customHeight="1" x14ac:dyDescent="0.25">
      <c r="A226" s="176" t="s">
        <v>461</v>
      </c>
      <c r="B226" s="212" t="s">
        <v>23</v>
      </c>
      <c r="C226" s="178">
        <v>66772</v>
      </c>
      <c r="D226" s="177" t="s">
        <v>34</v>
      </c>
      <c r="E226" s="204" t="s">
        <v>30</v>
      </c>
      <c r="F226" s="178"/>
      <c r="G226" s="181" t="s">
        <v>78</v>
      </c>
      <c r="H226" s="178"/>
      <c r="I226" s="178"/>
      <c r="J226" s="178"/>
      <c r="K226" s="178">
        <v>6340</v>
      </c>
      <c r="L226" s="178">
        <f>K226</f>
        <v>6340</v>
      </c>
      <c r="M226" s="179" t="s">
        <v>405</v>
      </c>
    </row>
    <row r="227" spans="1:13" ht="15" customHeight="1" x14ac:dyDescent="0.25">
      <c r="A227" s="176" t="s">
        <v>461</v>
      </c>
      <c r="B227" s="177" t="s">
        <v>14</v>
      </c>
      <c r="C227" s="178" t="s">
        <v>408</v>
      </c>
      <c r="D227" s="177" t="s">
        <v>409</v>
      </c>
      <c r="E227" s="177" t="s">
        <v>21</v>
      </c>
      <c r="F227" s="178">
        <v>47</v>
      </c>
      <c r="G227" s="221">
        <v>0.77037500000000014</v>
      </c>
      <c r="H227" s="178">
        <f>G227*F227</f>
        <v>36.207625000000007</v>
      </c>
      <c r="I227" s="178">
        <v>30</v>
      </c>
      <c r="J227" s="178">
        <v>1</v>
      </c>
      <c r="K227" s="178">
        <f>F227*I227</f>
        <v>1410</v>
      </c>
      <c r="L227" s="178">
        <f>K227*J227</f>
        <v>1410</v>
      </c>
      <c r="M227" s="179" t="s">
        <v>405</v>
      </c>
    </row>
    <row r="228" spans="1:13" ht="15" customHeight="1" x14ac:dyDescent="0.25">
      <c r="A228" s="176" t="s">
        <v>461</v>
      </c>
      <c r="B228" s="177" t="s">
        <v>14</v>
      </c>
      <c r="C228" s="178">
        <v>8283</v>
      </c>
      <c r="D228" s="177" t="s">
        <v>344</v>
      </c>
      <c r="E228" s="177" t="s">
        <v>25</v>
      </c>
      <c r="F228" s="178"/>
      <c r="G228" s="178"/>
      <c r="H228" s="178"/>
      <c r="I228" s="178"/>
      <c r="J228" s="178"/>
      <c r="K228" s="178">
        <v>3300</v>
      </c>
      <c r="L228" s="178">
        <f>K228</f>
        <v>3300</v>
      </c>
      <c r="M228" s="179" t="s">
        <v>179</v>
      </c>
    </row>
    <row r="229" spans="1:13" ht="15" customHeight="1" x14ac:dyDescent="0.25">
      <c r="A229" s="176" t="s">
        <v>461</v>
      </c>
      <c r="B229" s="177" t="s">
        <v>14</v>
      </c>
      <c r="C229" s="178">
        <v>7479</v>
      </c>
      <c r="D229" s="177" t="s">
        <v>20</v>
      </c>
      <c r="E229" s="177" t="s">
        <v>21</v>
      </c>
      <c r="F229" s="178">
        <v>180</v>
      </c>
      <c r="G229" s="178">
        <v>0.15</v>
      </c>
      <c r="H229" s="178">
        <f>G229*F229</f>
        <v>27</v>
      </c>
      <c r="I229" s="178">
        <v>80</v>
      </c>
      <c r="J229" s="178">
        <v>1</v>
      </c>
      <c r="K229" s="178">
        <f>F229*I229</f>
        <v>14400</v>
      </c>
      <c r="L229" s="178">
        <f>K229*J229</f>
        <v>14400</v>
      </c>
      <c r="M229" s="179" t="s">
        <v>37</v>
      </c>
    </row>
    <row r="230" spans="1:13" ht="15" customHeight="1" x14ac:dyDescent="0.25">
      <c r="A230" s="176" t="s">
        <v>461</v>
      </c>
      <c r="B230" s="177" t="s">
        <v>14</v>
      </c>
      <c r="C230" s="178">
        <v>7479</v>
      </c>
      <c r="D230" s="177" t="s">
        <v>20</v>
      </c>
      <c r="E230" s="177" t="s">
        <v>25</v>
      </c>
      <c r="F230" s="178"/>
      <c r="G230" s="178"/>
      <c r="H230" s="178"/>
      <c r="I230" s="178"/>
      <c r="J230" s="178"/>
      <c r="K230" s="178">
        <v>3000</v>
      </c>
      <c r="L230" s="178">
        <f t="shared" ref="L230" si="139">K230</f>
        <v>3000</v>
      </c>
      <c r="M230" s="179" t="s">
        <v>181</v>
      </c>
    </row>
    <row r="231" spans="1:13" ht="15" customHeight="1" x14ac:dyDescent="0.25">
      <c r="A231" s="176" t="s">
        <v>461</v>
      </c>
      <c r="B231" s="177" t="s">
        <v>14</v>
      </c>
      <c r="C231" s="178">
        <v>1411</v>
      </c>
      <c r="D231" s="177" t="s">
        <v>414</v>
      </c>
      <c r="E231" s="177" t="s">
        <v>21</v>
      </c>
      <c r="F231" s="178">
        <v>74</v>
      </c>
      <c r="G231" s="221">
        <v>1.1297187499999997</v>
      </c>
      <c r="H231" s="178">
        <f>G231*F231</f>
        <v>83.599187499999971</v>
      </c>
      <c r="I231" s="178">
        <v>20</v>
      </c>
      <c r="J231" s="178">
        <v>1</v>
      </c>
      <c r="K231" s="178">
        <f>F231*I231</f>
        <v>1480</v>
      </c>
      <c r="L231" s="178">
        <f>K231*J231</f>
        <v>1480</v>
      </c>
      <c r="M231" s="179" t="s">
        <v>413</v>
      </c>
    </row>
    <row r="232" spans="1:13" ht="15" customHeight="1" x14ac:dyDescent="0.25">
      <c r="A232" s="176" t="s">
        <v>461</v>
      </c>
      <c r="B232" s="177" t="s">
        <v>14</v>
      </c>
      <c r="C232" s="178" t="s">
        <v>408</v>
      </c>
      <c r="D232" s="177" t="s">
        <v>409</v>
      </c>
      <c r="E232" s="177" t="s">
        <v>25</v>
      </c>
      <c r="F232" s="178"/>
      <c r="G232" s="178"/>
      <c r="H232" s="178"/>
      <c r="I232" s="178"/>
      <c r="J232" s="178"/>
      <c r="K232" s="178">
        <v>4500</v>
      </c>
      <c r="L232" s="178">
        <f>K232</f>
        <v>4500</v>
      </c>
      <c r="M232" s="179" t="s">
        <v>37</v>
      </c>
    </row>
    <row r="233" spans="1:13" ht="15" customHeight="1" x14ac:dyDescent="0.25">
      <c r="A233" s="176" t="s">
        <v>461</v>
      </c>
      <c r="B233" s="177" t="s">
        <v>14</v>
      </c>
      <c r="C233" s="178">
        <v>8200</v>
      </c>
      <c r="D233" s="177" t="s">
        <v>16</v>
      </c>
      <c r="E233" s="177" t="s">
        <v>17</v>
      </c>
      <c r="F233" s="178">
        <v>54</v>
      </c>
      <c r="G233" s="221">
        <v>0.7125999999999999</v>
      </c>
      <c r="H233" s="178">
        <f t="shared" ref="H233" si="140">F233*G233</f>
        <v>38.480399999999996</v>
      </c>
      <c r="I233" s="178">
        <v>60</v>
      </c>
      <c r="J233" s="178">
        <v>4</v>
      </c>
      <c r="K233" s="178">
        <f>F233*I233</f>
        <v>3240</v>
      </c>
      <c r="L233" s="178">
        <f>K233*J233</f>
        <v>12960</v>
      </c>
      <c r="M233" s="179" t="s">
        <v>277</v>
      </c>
    </row>
    <row r="234" spans="1:13" ht="15" customHeight="1" x14ac:dyDescent="0.25">
      <c r="A234" s="176" t="s">
        <v>461</v>
      </c>
      <c r="B234" s="177" t="s">
        <v>14</v>
      </c>
      <c r="C234" s="178" t="s">
        <v>448</v>
      </c>
      <c r="D234" s="177" t="s">
        <v>406</v>
      </c>
      <c r="E234" s="177" t="s">
        <v>21</v>
      </c>
      <c r="F234" s="178">
        <v>42</v>
      </c>
      <c r="G234" s="221">
        <v>0.23839999999999995</v>
      </c>
      <c r="H234" s="178">
        <f>G234*F234</f>
        <v>10.012799999999999</v>
      </c>
      <c r="I234" s="201">
        <v>45</v>
      </c>
      <c r="J234" s="178">
        <v>1</v>
      </c>
      <c r="K234" s="178">
        <f>F234*I234</f>
        <v>1890</v>
      </c>
      <c r="L234" s="178">
        <f>K234*J234</f>
        <v>1890</v>
      </c>
      <c r="M234" s="179" t="s">
        <v>37</v>
      </c>
    </row>
    <row r="235" spans="1:13" ht="15" customHeight="1" x14ac:dyDescent="0.25">
      <c r="A235" s="176" t="s">
        <v>462</v>
      </c>
      <c r="B235" s="212" t="s">
        <v>23</v>
      </c>
      <c r="C235" s="178">
        <v>66772</v>
      </c>
      <c r="D235" s="177" t="s">
        <v>34</v>
      </c>
      <c r="E235" s="201" t="s">
        <v>35</v>
      </c>
      <c r="F235" s="178"/>
      <c r="G235" s="181" t="s">
        <v>77</v>
      </c>
      <c r="H235" s="178"/>
      <c r="I235" s="178"/>
      <c r="J235" s="178"/>
      <c r="K235" s="178">
        <v>6600</v>
      </c>
      <c r="L235" s="178">
        <f t="shared" ref="L235:L236" si="141">K235</f>
        <v>6600</v>
      </c>
      <c r="M235" s="179" t="s">
        <v>179</v>
      </c>
    </row>
    <row r="236" spans="1:13" ht="15" customHeight="1" x14ac:dyDescent="0.25">
      <c r="A236" s="176" t="s">
        <v>462</v>
      </c>
      <c r="B236" s="212" t="s">
        <v>23</v>
      </c>
      <c r="C236" s="178">
        <v>66772</v>
      </c>
      <c r="D236" s="177" t="s">
        <v>34</v>
      </c>
      <c r="E236" s="177" t="s">
        <v>39</v>
      </c>
      <c r="F236" s="178"/>
      <c r="G236" s="181" t="s">
        <v>36</v>
      </c>
      <c r="H236" s="178"/>
      <c r="I236" s="178"/>
      <c r="J236" s="178"/>
      <c r="K236" s="178">
        <v>7100</v>
      </c>
      <c r="L236" s="178">
        <f t="shared" si="141"/>
        <v>7100</v>
      </c>
      <c r="M236" s="179" t="s">
        <v>277</v>
      </c>
    </row>
    <row r="237" spans="1:13" ht="15" customHeight="1" x14ac:dyDescent="0.25">
      <c r="A237" s="176" t="s">
        <v>462</v>
      </c>
      <c r="B237" s="212" t="s">
        <v>23</v>
      </c>
      <c r="C237" s="178">
        <v>66772</v>
      </c>
      <c r="D237" s="177" t="s">
        <v>34</v>
      </c>
      <c r="E237" s="204" t="s">
        <v>30</v>
      </c>
      <c r="F237" s="178"/>
      <c r="G237" s="181" t="s">
        <v>78</v>
      </c>
      <c r="H237" s="178"/>
      <c r="I237" s="178"/>
      <c r="J237" s="178"/>
      <c r="K237" s="178">
        <v>6800</v>
      </c>
      <c r="L237" s="178">
        <f>K237</f>
        <v>6800</v>
      </c>
      <c r="M237" s="179" t="s">
        <v>405</v>
      </c>
    </row>
    <row r="238" spans="1:13" ht="15" customHeight="1" x14ac:dyDescent="0.25">
      <c r="A238" s="176" t="s">
        <v>462</v>
      </c>
      <c r="B238" s="177" t="s">
        <v>14</v>
      </c>
      <c r="C238" s="178">
        <v>7479</v>
      </c>
      <c r="D238" s="177" t="s">
        <v>20</v>
      </c>
      <c r="E238" s="177" t="s">
        <v>21</v>
      </c>
      <c r="F238" s="178">
        <v>149</v>
      </c>
      <c r="G238" s="178">
        <v>0.15</v>
      </c>
      <c r="H238" s="178">
        <f>G238*F238</f>
        <v>22.349999999999998</v>
      </c>
      <c r="I238" s="178">
        <v>80</v>
      </c>
      <c r="J238" s="178">
        <v>1</v>
      </c>
      <c r="K238" s="178">
        <f>F238*I238</f>
        <v>11920</v>
      </c>
      <c r="L238" s="178">
        <f>K238*J238</f>
        <v>11920</v>
      </c>
      <c r="M238" s="179" t="s">
        <v>37</v>
      </c>
    </row>
    <row r="239" spans="1:13" ht="15" customHeight="1" x14ac:dyDescent="0.25">
      <c r="A239" s="176" t="s">
        <v>462</v>
      </c>
      <c r="B239" s="177" t="s">
        <v>14</v>
      </c>
      <c r="C239" s="178">
        <v>7479</v>
      </c>
      <c r="D239" s="177" t="s">
        <v>20</v>
      </c>
      <c r="E239" s="177" t="s">
        <v>25</v>
      </c>
      <c r="F239" s="178"/>
      <c r="G239" s="178"/>
      <c r="H239" s="178"/>
      <c r="I239" s="178"/>
      <c r="J239" s="178"/>
      <c r="K239" s="178">
        <v>8400</v>
      </c>
      <c r="L239" s="178">
        <f t="shared" ref="L239" si="142">K239</f>
        <v>8400</v>
      </c>
      <c r="M239" s="179" t="s">
        <v>181</v>
      </c>
    </row>
    <row r="240" spans="1:13" ht="15" customHeight="1" x14ac:dyDescent="0.25">
      <c r="A240" s="176" t="s">
        <v>462</v>
      </c>
      <c r="B240" s="177" t="s">
        <v>14</v>
      </c>
      <c r="C240" s="178" t="s">
        <v>408</v>
      </c>
      <c r="D240" s="177" t="s">
        <v>409</v>
      </c>
      <c r="E240" s="177" t="s">
        <v>25</v>
      </c>
      <c r="F240" s="178"/>
      <c r="G240" s="178"/>
      <c r="H240" s="178"/>
      <c r="I240" s="178"/>
      <c r="J240" s="178"/>
      <c r="K240" s="178">
        <v>3500</v>
      </c>
      <c r="L240" s="178">
        <f>K240</f>
        <v>3500</v>
      </c>
      <c r="M240" s="179" t="s">
        <v>37</v>
      </c>
    </row>
    <row r="241" spans="1:14" ht="15" customHeight="1" x14ac:dyDescent="0.25">
      <c r="A241" s="176" t="s">
        <v>462</v>
      </c>
      <c r="B241" s="177" t="s">
        <v>14</v>
      </c>
      <c r="C241" s="178" t="s">
        <v>448</v>
      </c>
      <c r="D241" s="177" t="s">
        <v>406</v>
      </c>
      <c r="E241" s="177" t="s">
        <v>21</v>
      </c>
      <c r="F241" s="178">
        <v>124</v>
      </c>
      <c r="G241" s="221">
        <v>0.23839999999999995</v>
      </c>
      <c r="H241" s="178">
        <f>G241*F241</f>
        <v>29.561599999999991</v>
      </c>
      <c r="I241" s="201">
        <v>45</v>
      </c>
      <c r="J241" s="178">
        <v>1</v>
      </c>
      <c r="K241" s="178">
        <f>F241*I241</f>
        <v>5580</v>
      </c>
      <c r="L241" s="178">
        <f>K241*J241</f>
        <v>5580</v>
      </c>
      <c r="M241" s="179" t="s">
        <v>37</v>
      </c>
    </row>
    <row r="242" spans="1:14" ht="15" customHeight="1" x14ac:dyDescent="0.25">
      <c r="A242" s="176" t="s">
        <v>462</v>
      </c>
      <c r="B242" s="177" t="s">
        <v>14</v>
      </c>
      <c r="C242" s="178">
        <v>8200</v>
      </c>
      <c r="D242" s="177" t="s">
        <v>16</v>
      </c>
      <c r="E242" s="177" t="s">
        <v>17</v>
      </c>
      <c r="F242" s="178">
        <v>110</v>
      </c>
      <c r="G242" s="221">
        <v>0.7125999999999999</v>
      </c>
      <c r="H242" s="178">
        <f t="shared" ref="H242" si="143">F242*G242</f>
        <v>78.385999999999996</v>
      </c>
      <c r="I242" s="178">
        <v>60</v>
      </c>
      <c r="J242" s="178">
        <v>4</v>
      </c>
      <c r="K242" s="178">
        <f>F242*I242</f>
        <v>6600</v>
      </c>
      <c r="L242" s="178">
        <f>K242*J242</f>
        <v>26400</v>
      </c>
      <c r="M242" s="179" t="s">
        <v>277</v>
      </c>
    </row>
    <row r="243" spans="1:14" ht="15" customHeight="1" x14ac:dyDescent="0.25">
      <c r="A243" s="176" t="s">
        <v>462</v>
      </c>
      <c r="B243" s="177" t="s">
        <v>14</v>
      </c>
      <c r="C243" s="178" t="s">
        <v>452</v>
      </c>
      <c r="D243" s="177"/>
      <c r="E243" s="177" t="s">
        <v>21</v>
      </c>
      <c r="F243" s="178">
        <v>43</v>
      </c>
      <c r="G243" s="221">
        <v>0.34062500000000001</v>
      </c>
      <c r="H243" s="178">
        <f>F243*G243</f>
        <v>14.646875</v>
      </c>
      <c r="I243" s="178">
        <v>23</v>
      </c>
      <c r="J243" s="178">
        <v>1</v>
      </c>
      <c r="K243" s="178">
        <f>F243*I243</f>
        <v>989</v>
      </c>
      <c r="L243" s="178">
        <f t="shared" ref="L243" si="144">K243*J243</f>
        <v>989</v>
      </c>
      <c r="M243" s="179" t="s">
        <v>179</v>
      </c>
    </row>
    <row r="244" spans="1:14" ht="15" customHeight="1" thickBot="1" x14ac:dyDescent="0.3">
      <c r="A244" s="215" t="s">
        <v>462</v>
      </c>
      <c r="B244" s="216" t="s">
        <v>14</v>
      </c>
      <c r="C244" s="216">
        <v>1135</v>
      </c>
      <c r="D244" s="177" t="s">
        <v>467</v>
      </c>
      <c r="E244" s="216" t="s">
        <v>21</v>
      </c>
      <c r="F244" s="216">
        <v>53</v>
      </c>
      <c r="G244" s="220">
        <v>1.1719999999999999</v>
      </c>
      <c r="H244" s="216">
        <f>G244*F244</f>
        <v>62.116</v>
      </c>
      <c r="I244" s="216">
        <v>41</v>
      </c>
      <c r="J244" s="216">
        <v>2</v>
      </c>
      <c r="K244" s="216">
        <f>F244*I244</f>
        <v>2173</v>
      </c>
      <c r="L244" s="216">
        <f>K244*J244</f>
        <v>4346</v>
      </c>
      <c r="M244" s="217" t="s">
        <v>413</v>
      </c>
      <c r="N244" t="s">
        <v>464</v>
      </c>
    </row>
    <row r="245" spans="1:14" ht="15" customHeight="1" x14ac:dyDescent="0.25">
      <c r="A245" s="176" t="s">
        <v>463</v>
      </c>
      <c r="B245" s="212" t="s">
        <v>23</v>
      </c>
      <c r="C245" s="178">
        <v>66772</v>
      </c>
      <c r="D245" s="177" t="s">
        <v>34</v>
      </c>
      <c r="E245" s="201" t="s">
        <v>35</v>
      </c>
      <c r="F245" s="178"/>
      <c r="G245" s="181" t="s">
        <v>77</v>
      </c>
      <c r="H245" s="178"/>
      <c r="I245" s="178"/>
      <c r="J245" s="178"/>
      <c r="K245" s="178">
        <v>2000</v>
      </c>
      <c r="L245" s="178">
        <f t="shared" ref="L245:L246" si="145">K245</f>
        <v>2000</v>
      </c>
      <c r="M245" s="179" t="s">
        <v>179</v>
      </c>
    </row>
    <row r="246" spans="1:14" ht="15" customHeight="1" x14ac:dyDescent="0.25">
      <c r="A246" s="176" t="s">
        <v>463</v>
      </c>
      <c r="B246" s="212" t="s">
        <v>23</v>
      </c>
      <c r="C246" s="178">
        <v>66772</v>
      </c>
      <c r="D246" s="177" t="s">
        <v>34</v>
      </c>
      <c r="E246" s="177" t="s">
        <v>39</v>
      </c>
      <c r="F246" s="178"/>
      <c r="G246" s="181" t="s">
        <v>36</v>
      </c>
      <c r="H246" s="178"/>
      <c r="I246" s="178"/>
      <c r="J246" s="178"/>
      <c r="K246" s="178">
        <v>3800</v>
      </c>
      <c r="L246" s="178">
        <f t="shared" si="145"/>
        <v>3800</v>
      </c>
      <c r="M246" s="179" t="s">
        <v>277</v>
      </c>
    </row>
    <row r="247" spans="1:14" ht="15" customHeight="1" x14ac:dyDescent="0.25">
      <c r="A247" s="176" t="s">
        <v>463</v>
      </c>
      <c r="B247" s="212" t="s">
        <v>23</v>
      </c>
      <c r="C247" s="178">
        <v>66772</v>
      </c>
      <c r="D247" s="177" t="s">
        <v>34</v>
      </c>
      <c r="E247" s="204" t="s">
        <v>30</v>
      </c>
      <c r="F247" s="178"/>
      <c r="G247" s="181" t="s">
        <v>78</v>
      </c>
      <c r="H247" s="178"/>
      <c r="I247" s="178"/>
      <c r="J247" s="178"/>
      <c r="K247" s="178">
        <v>5100</v>
      </c>
      <c r="L247" s="178">
        <f>K247</f>
        <v>5100</v>
      </c>
      <c r="M247" s="179" t="s">
        <v>405</v>
      </c>
    </row>
    <row r="248" spans="1:14" ht="15" customHeight="1" x14ac:dyDescent="0.25">
      <c r="A248" s="176" t="s">
        <v>463</v>
      </c>
      <c r="B248" s="177" t="s">
        <v>14</v>
      </c>
      <c r="C248" s="178" t="s">
        <v>452</v>
      </c>
      <c r="D248" s="177"/>
      <c r="E248" s="177" t="s">
        <v>21</v>
      </c>
      <c r="F248" s="178">
        <v>20</v>
      </c>
      <c r="G248" s="221">
        <v>0.34062500000000001</v>
      </c>
      <c r="H248" s="178">
        <f>F248*G248</f>
        <v>6.8125</v>
      </c>
      <c r="I248" s="178">
        <v>23</v>
      </c>
      <c r="J248" s="178">
        <v>1</v>
      </c>
      <c r="K248" s="178">
        <f>F248*I248</f>
        <v>460</v>
      </c>
      <c r="L248" s="178">
        <f t="shared" ref="L248" si="146">K248*J248</f>
        <v>460</v>
      </c>
      <c r="M248" s="179" t="s">
        <v>179</v>
      </c>
    </row>
    <row r="249" spans="1:14" ht="15" customHeight="1" x14ac:dyDescent="0.25">
      <c r="A249" s="176" t="s">
        <v>463</v>
      </c>
      <c r="B249" s="177" t="s">
        <v>14</v>
      </c>
      <c r="C249" s="178">
        <v>8200</v>
      </c>
      <c r="D249" s="177" t="s">
        <v>16</v>
      </c>
      <c r="E249" s="177" t="s">
        <v>17</v>
      </c>
      <c r="F249" s="178">
        <v>89</v>
      </c>
      <c r="G249" s="221">
        <v>0.7125999999999999</v>
      </c>
      <c r="H249" s="178">
        <f t="shared" ref="H249" si="147">F249*G249</f>
        <v>63.421399999999991</v>
      </c>
      <c r="I249" s="178">
        <v>60</v>
      </c>
      <c r="J249" s="178">
        <v>4</v>
      </c>
      <c r="K249" s="178">
        <f>F249*I249</f>
        <v>5340</v>
      </c>
      <c r="L249" s="178">
        <f>K249*J249</f>
        <v>21360</v>
      </c>
      <c r="M249" s="179" t="s">
        <v>277</v>
      </c>
    </row>
    <row r="250" spans="1:14" ht="15" customHeight="1" x14ac:dyDescent="0.25">
      <c r="A250" s="176" t="s">
        <v>463</v>
      </c>
      <c r="B250" s="177" t="s">
        <v>14</v>
      </c>
      <c r="C250" s="178" t="s">
        <v>408</v>
      </c>
      <c r="D250" s="177" t="s">
        <v>409</v>
      </c>
      <c r="E250" s="177" t="s">
        <v>25</v>
      </c>
      <c r="F250" s="178"/>
      <c r="G250" s="178"/>
      <c r="H250" s="178"/>
      <c r="I250" s="178"/>
      <c r="J250" s="178"/>
      <c r="K250" s="178">
        <v>1200</v>
      </c>
      <c r="L250" s="178">
        <f>K250</f>
        <v>1200</v>
      </c>
      <c r="M250" s="179" t="s">
        <v>37</v>
      </c>
    </row>
    <row r="251" spans="1:14" ht="15" customHeight="1" x14ac:dyDescent="0.25">
      <c r="A251" s="176" t="s">
        <v>463</v>
      </c>
      <c r="B251" s="177" t="s">
        <v>14</v>
      </c>
      <c r="C251" s="178">
        <v>7479</v>
      </c>
      <c r="D251" s="177" t="s">
        <v>20</v>
      </c>
      <c r="E251" s="177" t="s">
        <v>25</v>
      </c>
      <c r="F251" s="178"/>
      <c r="G251" s="178"/>
      <c r="H251" s="178"/>
      <c r="I251" s="178"/>
      <c r="J251" s="178"/>
      <c r="K251" s="178">
        <v>4700</v>
      </c>
      <c r="L251" s="178">
        <f t="shared" ref="L251" si="148">K251</f>
        <v>4700</v>
      </c>
      <c r="M251" s="179" t="s">
        <v>181</v>
      </c>
    </row>
    <row r="252" spans="1:14" ht="15" customHeight="1" thickBot="1" x14ac:dyDescent="0.3">
      <c r="A252" s="176" t="s">
        <v>463</v>
      </c>
      <c r="B252" s="177" t="s">
        <v>14</v>
      </c>
      <c r="C252" s="178">
        <v>1135</v>
      </c>
      <c r="D252" s="177" t="s">
        <v>467</v>
      </c>
      <c r="E252" s="177" t="s">
        <v>21</v>
      </c>
      <c r="F252" s="178">
        <v>93</v>
      </c>
      <c r="G252" s="220">
        <v>1.1719999999999999</v>
      </c>
      <c r="H252" s="178">
        <f>G252*F252</f>
        <v>108.996</v>
      </c>
      <c r="I252" s="178">
        <v>41</v>
      </c>
      <c r="J252" s="178">
        <v>2</v>
      </c>
      <c r="K252" s="178">
        <f>F252*I252</f>
        <v>3813</v>
      </c>
      <c r="L252" s="178">
        <f>K252*J252</f>
        <v>7626</v>
      </c>
      <c r="M252" s="179" t="s">
        <v>413</v>
      </c>
    </row>
    <row r="253" spans="1:14" ht="15" customHeight="1" x14ac:dyDescent="0.25">
      <c r="A253" s="176" t="s">
        <v>463</v>
      </c>
      <c r="B253" s="177" t="s">
        <v>14</v>
      </c>
      <c r="C253" s="178" t="s">
        <v>417</v>
      </c>
      <c r="D253" s="177"/>
      <c r="E253" s="177" t="s">
        <v>21</v>
      </c>
      <c r="F253" s="178">
        <v>149</v>
      </c>
      <c r="G253" s="221">
        <v>0.63541875000000003</v>
      </c>
      <c r="H253" s="178">
        <f>G253*F253</f>
        <v>94.677393750000007</v>
      </c>
      <c r="I253" s="178">
        <v>31</v>
      </c>
      <c r="J253" s="178">
        <v>1</v>
      </c>
      <c r="K253" s="178">
        <f t="shared" ref="K253" si="149">F253*I253</f>
        <v>4619</v>
      </c>
      <c r="L253" s="178">
        <f t="shared" ref="L253" si="150">K253*J253</f>
        <v>4619</v>
      </c>
      <c r="M253" s="179" t="s">
        <v>277</v>
      </c>
    </row>
    <row r="254" spans="1:14" ht="15" customHeight="1" x14ac:dyDescent="0.25">
      <c r="A254" s="176" t="s">
        <v>463</v>
      </c>
      <c r="B254" s="177" t="s">
        <v>14</v>
      </c>
      <c r="C254" s="178" t="s">
        <v>417</v>
      </c>
      <c r="D254" s="177"/>
      <c r="E254" s="177" t="s">
        <v>25</v>
      </c>
      <c r="F254" s="178"/>
      <c r="G254" s="178"/>
      <c r="H254" s="178"/>
      <c r="I254" s="178"/>
      <c r="J254" s="178"/>
      <c r="K254" s="178">
        <v>500</v>
      </c>
      <c r="L254" s="178">
        <f t="shared" ref="L254" si="151">K254</f>
        <v>500</v>
      </c>
      <c r="M254" s="179" t="s">
        <v>418</v>
      </c>
    </row>
    <row r="255" spans="1:14" ht="15" customHeight="1" x14ac:dyDescent="0.25">
      <c r="A255" s="176" t="s">
        <v>463</v>
      </c>
      <c r="B255" s="177" t="s">
        <v>14</v>
      </c>
      <c r="C255" s="178">
        <v>5036</v>
      </c>
      <c r="D255" s="177" t="s">
        <v>16</v>
      </c>
      <c r="E255" s="177" t="s">
        <v>17</v>
      </c>
      <c r="F255" s="178">
        <v>15</v>
      </c>
      <c r="G255" s="178">
        <v>0.32500000000000001</v>
      </c>
      <c r="H255" s="178">
        <f t="shared" ref="H255" si="152">F255*G255</f>
        <v>4.875</v>
      </c>
      <c r="I255" s="178">
        <v>62</v>
      </c>
      <c r="J255" s="178">
        <v>4</v>
      </c>
      <c r="K255" s="178">
        <f t="shared" ref="K255:K256" si="153">F255*I255</f>
        <v>930</v>
      </c>
      <c r="L255" s="178">
        <f>K255*J255</f>
        <v>3720</v>
      </c>
      <c r="M255" s="179" t="s">
        <v>22</v>
      </c>
    </row>
    <row r="256" spans="1:14" ht="15" customHeight="1" x14ac:dyDescent="0.25">
      <c r="A256" s="176" t="s">
        <v>465</v>
      </c>
      <c r="B256" s="177" t="s">
        <v>14</v>
      </c>
      <c r="C256" s="178" t="s">
        <v>417</v>
      </c>
      <c r="D256" s="177"/>
      <c r="E256" s="177" t="s">
        <v>21</v>
      </c>
      <c r="F256" s="178">
        <v>319</v>
      </c>
      <c r="G256" s="221">
        <v>0.63541875000000003</v>
      </c>
      <c r="H256" s="178">
        <f>G256*F256</f>
        <v>202.69858125000002</v>
      </c>
      <c r="I256" s="178">
        <v>31</v>
      </c>
      <c r="J256" s="178">
        <v>1</v>
      </c>
      <c r="K256" s="178">
        <f t="shared" si="153"/>
        <v>9889</v>
      </c>
      <c r="L256" s="178">
        <f t="shared" ref="L256" si="154">K256*J256</f>
        <v>9889</v>
      </c>
      <c r="M256" s="179" t="s">
        <v>277</v>
      </c>
    </row>
    <row r="257" spans="1:13" ht="15" customHeight="1" x14ac:dyDescent="0.25">
      <c r="A257" s="176" t="s">
        <v>465</v>
      </c>
      <c r="B257" s="177" t="s">
        <v>14</v>
      </c>
      <c r="C257" s="178" t="s">
        <v>417</v>
      </c>
      <c r="D257" s="177"/>
      <c r="E257" s="177" t="s">
        <v>25</v>
      </c>
      <c r="F257" s="178"/>
      <c r="G257" s="178"/>
      <c r="H257" s="178"/>
      <c r="I257" s="178"/>
      <c r="J257" s="178"/>
      <c r="K257" s="178">
        <v>3200</v>
      </c>
      <c r="L257" s="178">
        <f t="shared" ref="L257" si="155">K257</f>
        <v>3200</v>
      </c>
      <c r="M257" s="179" t="s">
        <v>418</v>
      </c>
    </row>
    <row r="258" spans="1:13" ht="15" customHeight="1" x14ac:dyDescent="0.25">
      <c r="A258" s="176" t="s">
        <v>465</v>
      </c>
      <c r="B258" s="177" t="s">
        <v>14</v>
      </c>
      <c r="C258" s="178" t="s">
        <v>448</v>
      </c>
      <c r="D258" s="177" t="s">
        <v>406</v>
      </c>
      <c r="E258" s="177" t="s">
        <v>21</v>
      </c>
      <c r="F258" s="178">
        <v>25</v>
      </c>
      <c r="G258" s="221">
        <v>0.23839999999999995</v>
      </c>
      <c r="H258" s="178">
        <f>G258*F258</f>
        <v>5.9599999999999991</v>
      </c>
      <c r="I258" s="201">
        <v>45</v>
      </c>
      <c r="J258" s="178">
        <v>1</v>
      </c>
      <c r="K258" s="178">
        <f>F258*I258</f>
        <v>1125</v>
      </c>
      <c r="L258" s="178">
        <f>K258*J258</f>
        <v>1125</v>
      </c>
      <c r="M258" s="179" t="s">
        <v>37</v>
      </c>
    </row>
    <row r="259" spans="1:13" ht="15" customHeight="1" x14ac:dyDescent="0.25">
      <c r="A259" s="176" t="s">
        <v>465</v>
      </c>
      <c r="B259" s="177" t="s">
        <v>14</v>
      </c>
      <c r="C259" s="178" t="s">
        <v>448</v>
      </c>
      <c r="D259" s="177" t="s">
        <v>406</v>
      </c>
      <c r="E259" s="177" t="s">
        <v>25</v>
      </c>
      <c r="F259" s="178"/>
      <c r="G259" s="178"/>
      <c r="H259" s="178"/>
      <c r="I259" s="178"/>
      <c r="J259" s="178"/>
      <c r="K259" s="178">
        <v>3500</v>
      </c>
      <c r="L259" s="178">
        <f>K259</f>
        <v>3500</v>
      </c>
      <c r="M259" s="179" t="s">
        <v>181</v>
      </c>
    </row>
    <row r="260" spans="1:13" ht="15" customHeight="1" x14ac:dyDescent="0.25">
      <c r="A260" s="176" t="s">
        <v>465</v>
      </c>
      <c r="B260" s="177" t="s">
        <v>14</v>
      </c>
      <c r="C260" s="178">
        <v>7479</v>
      </c>
      <c r="D260" s="177" t="s">
        <v>20</v>
      </c>
      <c r="E260" s="177" t="s">
        <v>25</v>
      </c>
      <c r="F260" s="178"/>
      <c r="G260" s="178"/>
      <c r="H260" s="178"/>
      <c r="I260" s="178"/>
      <c r="J260" s="178"/>
      <c r="K260" s="178">
        <v>4000</v>
      </c>
      <c r="L260" s="178">
        <f t="shared" ref="L260" si="156">K260</f>
        <v>4000</v>
      </c>
      <c r="M260" s="179" t="s">
        <v>181</v>
      </c>
    </row>
    <row r="261" spans="1:13" ht="15" customHeight="1" x14ac:dyDescent="0.25">
      <c r="A261" s="176" t="s">
        <v>465</v>
      </c>
      <c r="B261" s="177" t="s">
        <v>14</v>
      </c>
      <c r="C261" s="178">
        <v>8200</v>
      </c>
      <c r="D261" s="177" t="s">
        <v>16</v>
      </c>
      <c r="E261" s="177" t="s">
        <v>17</v>
      </c>
      <c r="F261" s="178">
        <v>80</v>
      </c>
      <c r="G261" s="221">
        <v>0.7125999999999999</v>
      </c>
      <c r="H261" s="178">
        <f t="shared" ref="H261:H262" si="157">F261*G261</f>
        <v>57.007999999999996</v>
      </c>
      <c r="I261" s="178">
        <v>60</v>
      </c>
      <c r="J261" s="178">
        <v>4</v>
      </c>
      <c r="K261" s="178">
        <f>F261*I261</f>
        <v>4800</v>
      </c>
      <c r="L261" s="178">
        <f>K261*J261</f>
        <v>19200</v>
      </c>
      <c r="M261" s="179" t="s">
        <v>277</v>
      </c>
    </row>
    <row r="262" spans="1:13" ht="15" customHeight="1" x14ac:dyDescent="0.25">
      <c r="A262" s="176" t="s">
        <v>465</v>
      </c>
      <c r="B262" s="177" t="s">
        <v>14</v>
      </c>
      <c r="C262" s="178">
        <v>5036</v>
      </c>
      <c r="D262" s="177" t="s">
        <v>16</v>
      </c>
      <c r="E262" s="177" t="s">
        <v>17</v>
      </c>
      <c r="F262" s="178">
        <v>89</v>
      </c>
      <c r="G262" s="178">
        <v>0.32500000000000001</v>
      </c>
      <c r="H262" s="178">
        <f t="shared" si="157"/>
        <v>28.925000000000001</v>
      </c>
      <c r="I262" s="178">
        <v>62</v>
      </c>
      <c r="J262" s="178">
        <v>4</v>
      </c>
      <c r="K262" s="178">
        <f t="shared" ref="K262" si="158">F262*I262</f>
        <v>5518</v>
      </c>
      <c r="L262" s="178">
        <f>K262*J262</f>
        <v>22072</v>
      </c>
      <c r="M262" s="179" t="s">
        <v>22</v>
      </c>
    </row>
    <row r="263" spans="1:13" ht="15" customHeight="1" x14ac:dyDescent="0.25">
      <c r="A263" s="176" t="s">
        <v>466</v>
      </c>
      <c r="B263" s="177" t="s">
        <v>14</v>
      </c>
      <c r="C263" s="178" t="s">
        <v>417</v>
      </c>
      <c r="D263" s="177"/>
      <c r="E263" s="177" t="s">
        <v>25</v>
      </c>
      <c r="F263" s="178"/>
      <c r="G263" s="178"/>
      <c r="H263" s="178"/>
      <c r="I263" s="178"/>
      <c r="J263" s="178"/>
      <c r="K263" s="178">
        <v>3550</v>
      </c>
      <c r="L263" s="178">
        <f t="shared" ref="L263" si="159">K263</f>
        <v>3550</v>
      </c>
      <c r="M263" s="179" t="s">
        <v>418</v>
      </c>
    </row>
    <row r="264" spans="1:13" ht="15" customHeight="1" x14ac:dyDescent="0.25">
      <c r="A264" s="176" t="s">
        <v>466</v>
      </c>
      <c r="B264" s="177" t="s">
        <v>14</v>
      </c>
      <c r="C264" s="178" t="s">
        <v>407</v>
      </c>
      <c r="D264" s="177"/>
      <c r="E264" s="177" t="s">
        <v>21</v>
      </c>
      <c r="F264" s="178">
        <v>316</v>
      </c>
      <c r="G264" s="221">
        <v>0.48962500000000003</v>
      </c>
      <c r="H264" s="178">
        <f>G264*F264</f>
        <v>154.72150000000002</v>
      </c>
      <c r="I264" s="178">
        <v>17</v>
      </c>
      <c r="J264" s="178">
        <v>1</v>
      </c>
      <c r="K264" s="178">
        <f>F264*I264</f>
        <v>5372</v>
      </c>
      <c r="L264" s="178">
        <f>K264*J264</f>
        <v>5372</v>
      </c>
      <c r="M264" s="179" t="s">
        <v>277</v>
      </c>
    </row>
    <row r="265" spans="1:13" ht="15" customHeight="1" x14ac:dyDescent="0.25">
      <c r="A265" s="176" t="s">
        <v>466</v>
      </c>
      <c r="B265" s="177" t="s">
        <v>14</v>
      </c>
      <c r="C265" s="178" t="s">
        <v>407</v>
      </c>
      <c r="D265" s="177"/>
      <c r="E265" s="177" t="s">
        <v>25</v>
      </c>
      <c r="F265" s="178"/>
      <c r="G265" s="178"/>
      <c r="H265" s="178"/>
      <c r="I265" s="178"/>
      <c r="J265" s="178"/>
      <c r="K265" s="178">
        <v>2200</v>
      </c>
      <c r="L265" s="178">
        <f t="shared" ref="L265" si="160">K265</f>
        <v>2200</v>
      </c>
      <c r="M265" s="179" t="s">
        <v>405</v>
      </c>
    </row>
    <row r="266" spans="1:13" ht="15" customHeight="1" x14ac:dyDescent="0.25">
      <c r="A266" s="176" t="s">
        <v>466</v>
      </c>
      <c r="B266" s="177" t="s">
        <v>14</v>
      </c>
      <c r="C266" s="178">
        <v>8200</v>
      </c>
      <c r="D266" s="177" t="s">
        <v>16</v>
      </c>
      <c r="E266" s="177" t="s">
        <v>17</v>
      </c>
      <c r="F266" s="178">
        <v>119</v>
      </c>
      <c r="G266" s="221">
        <v>0.7125999999999999</v>
      </c>
      <c r="H266" s="178">
        <f t="shared" ref="H266:H267" si="161">F266*G266</f>
        <v>84.799399999999991</v>
      </c>
      <c r="I266" s="178">
        <v>60</v>
      </c>
      <c r="J266" s="178">
        <v>4</v>
      </c>
      <c r="K266" s="178">
        <f>F266*I266</f>
        <v>7140</v>
      </c>
      <c r="L266" s="178">
        <f>K266*J266</f>
        <v>28560</v>
      </c>
      <c r="M266" s="179" t="s">
        <v>277</v>
      </c>
    </row>
    <row r="267" spans="1:13" ht="15" customHeight="1" x14ac:dyDescent="0.25">
      <c r="A267" s="176" t="s">
        <v>466</v>
      </c>
      <c r="B267" s="177" t="s">
        <v>14</v>
      </c>
      <c r="C267" s="178">
        <v>5036</v>
      </c>
      <c r="D267" s="177" t="s">
        <v>16</v>
      </c>
      <c r="E267" s="177" t="s">
        <v>17</v>
      </c>
      <c r="F267" s="178">
        <v>107</v>
      </c>
      <c r="G267" s="178">
        <v>0.32500000000000001</v>
      </c>
      <c r="H267" s="178">
        <f t="shared" si="161"/>
        <v>34.774999999999999</v>
      </c>
      <c r="I267" s="178">
        <v>62</v>
      </c>
      <c r="J267" s="178">
        <v>4</v>
      </c>
      <c r="K267" s="178">
        <f t="shared" ref="K267" si="162">F267*I267</f>
        <v>6634</v>
      </c>
      <c r="L267" s="178">
        <f>K267*J267</f>
        <v>26536</v>
      </c>
      <c r="M267" s="179" t="s">
        <v>22</v>
      </c>
    </row>
    <row r="268" spans="1:13" ht="15" customHeight="1" x14ac:dyDescent="0.25">
      <c r="A268" s="176" t="s">
        <v>466</v>
      </c>
      <c r="B268" s="177" t="s">
        <v>14</v>
      </c>
      <c r="C268" s="178" t="s">
        <v>448</v>
      </c>
      <c r="D268" s="177" t="s">
        <v>406</v>
      </c>
      <c r="E268" s="177" t="s">
        <v>21</v>
      </c>
      <c r="F268" s="178">
        <v>130</v>
      </c>
      <c r="G268" s="221">
        <v>0.23839999999999995</v>
      </c>
      <c r="H268" s="178">
        <f>G268*F268</f>
        <v>30.991999999999994</v>
      </c>
      <c r="I268" s="201">
        <v>45</v>
      </c>
      <c r="J268" s="178">
        <v>1</v>
      </c>
      <c r="K268" s="178">
        <f>F268*I268</f>
        <v>5850</v>
      </c>
      <c r="L268" s="178">
        <f>K268*J268</f>
        <v>5850</v>
      </c>
      <c r="M268" s="179" t="s">
        <v>37</v>
      </c>
    </row>
    <row r="269" spans="1:13" ht="15" customHeight="1" x14ac:dyDescent="0.25">
      <c r="A269" s="176" t="s">
        <v>466</v>
      </c>
      <c r="B269" s="177" t="s">
        <v>14</v>
      </c>
      <c r="C269" s="178" t="s">
        <v>448</v>
      </c>
      <c r="D269" s="177" t="s">
        <v>406</v>
      </c>
      <c r="E269" s="177" t="s">
        <v>25</v>
      </c>
      <c r="F269" s="178"/>
      <c r="G269" s="178"/>
      <c r="H269" s="178"/>
      <c r="I269" s="178"/>
      <c r="J269" s="178"/>
      <c r="K269" s="178">
        <v>4000</v>
      </c>
      <c r="L269" s="178">
        <f>K269</f>
        <v>4000</v>
      </c>
      <c r="M269" s="179" t="s">
        <v>181</v>
      </c>
    </row>
    <row r="270" spans="1:13" ht="15" customHeight="1" x14ac:dyDescent="0.25">
      <c r="A270" s="176" t="s">
        <v>466</v>
      </c>
      <c r="B270" s="177" t="s">
        <v>14</v>
      </c>
      <c r="C270" s="178">
        <v>7479</v>
      </c>
      <c r="D270" s="177" t="s">
        <v>20</v>
      </c>
      <c r="E270" s="177" t="s">
        <v>25</v>
      </c>
      <c r="F270" s="178"/>
      <c r="G270" s="178"/>
      <c r="H270" s="178"/>
      <c r="I270" s="178"/>
      <c r="J270" s="178"/>
      <c r="K270" s="178">
        <v>4000</v>
      </c>
      <c r="L270" s="178">
        <f t="shared" ref="L270" si="163">K270</f>
        <v>4000</v>
      </c>
      <c r="M270" s="179" t="s">
        <v>181</v>
      </c>
    </row>
    <row r="271" spans="1:13" ht="15" customHeight="1" thickBot="1" x14ac:dyDescent="0.3">
      <c r="A271" s="176" t="s">
        <v>466</v>
      </c>
      <c r="B271" s="177" t="s">
        <v>14</v>
      </c>
      <c r="C271" s="178">
        <v>1135</v>
      </c>
      <c r="D271" s="177" t="s">
        <v>467</v>
      </c>
      <c r="E271" s="177" t="s">
        <v>21</v>
      </c>
      <c r="F271" s="178">
        <v>8</v>
      </c>
      <c r="G271" s="220">
        <v>1.1719999999999999</v>
      </c>
      <c r="H271" s="178">
        <f>G271*F271</f>
        <v>9.3759999999999994</v>
      </c>
      <c r="I271" s="178">
        <v>41</v>
      </c>
      <c r="J271" s="178">
        <v>2</v>
      </c>
      <c r="K271" s="178">
        <f>F271*I271</f>
        <v>328</v>
      </c>
      <c r="L271" s="178">
        <f>K271*J271</f>
        <v>656</v>
      </c>
      <c r="M271" s="179" t="s">
        <v>413</v>
      </c>
    </row>
    <row r="272" spans="1:13" ht="36" customHeight="1" x14ac:dyDescent="0.25">
      <c r="A272" s="305" t="s">
        <v>373</v>
      </c>
      <c r="B272" s="306"/>
      <c r="C272" s="306"/>
      <c r="D272" s="306"/>
      <c r="E272" s="307"/>
      <c r="F272" s="213">
        <f>SUM(F3:F271)</f>
        <v>14393</v>
      </c>
      <c r="G272" s="213"/>
      <c r="H272" s="223">
        <f t="shared" ref="H272:M272" si="164">SUM(H3:H271)</f>
        <v>7985.274512500001</v>
      </c>
      <c r="I272" s="213">
        <f t="shared" si="164"/>
        <v>5680</v>
      </c>
      <c r="J272" s="213">
        <f t="shared" si="164"/>
        <v>227</v>
      </c>
      <c r="K272" s="213">
        <f t="shared" si="164"/>
        <v>1002680</v>
      </c>
      <c r="L272" s="213">
        <f t="shared" si="164"/>
        <v>1371185</v>
      </c>
      <c r="M272" s="213">
        <f t="shared" si="164"/>
        <v>0</v>
      </c>
    </row>
  </sheetData>
  <autoFilter ref="A2:M272"/>
  <mergeCells count="2">
    <mergeCell ref="A1:M1"/>
    <mergeCell ref="A272:E272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topLeftCell="A61" workbookViewId="0">
      <selection activeCell="A68" sqref="A68:M68"/>
    </sheetView>
  </sheetViews>
  <sheetFormatPr defaultRowHeight="15" x14ac:dyDescent="0.25"/>
  <cols>
    <col min="4" max="4" width="12.85546875" customWidth="1"/>
    <col min="5" max="5" width="10.7109375" customWidth="1"/>
    <col min="11" max="11" width="11" bestFit="1" customWidth="1"/>
    <col min="12" max="12" width="11" customWidth="1"/>
  </cols>
  <sheetData>
    <row r="1" spans="1:13" ht="33" customHeight="1" x14ac:dyDescent="0.25">
      <c r="A1" s="308" t="s">
        <v>468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</row>
    <row r="2" spans="1:13" ht="26.25" customHeight="1" x14ac:dyDescent="0.25">
      <c r="A2" s="214" t="s">
        <v>0</v>
      </c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4" t="s">
        <v>6</v>
      </c>
      <c r="H2" s="214" t="s">
        <v>7</v>
      </c>
      <c r="I2" s="214" t="s">
        <v>8</v>
      </c>
      <c r="J2" s="214" t="s">
        <v>9</v>
      </c>
      <c r="K2" s="214" t="s">
        <v>10</v>
      </c>
      <c r="L2" s="214" t="s">
        <v>11</v>
      </c>
      <c r="M2" s="214" t="s">
        <v>12</v>
      </c>
    </row>
    <row r="3" spans="1:13" ht="14.1" customHeight="1" x14ac:dyDescent="0.25">
      <c r="A3" s="176" t="s">
        <v>469</v>
      </c>
      <c r="B3" s="177" t="s">
        <v>14</v>
      </c>
      <c r="C3" s="178" t="s">
        <v>407</v>
      </c>
      <c r="D3" s="177"/>
      <c r="E3" s="177" t="s">
        <v>21</v>
      </c>
      <c r="F3" s="178">
        <v>200</v>
      </c>
      <c r="G3" s="221">
        <v>0.48962500000000003</v>
      </c>
      <c r="H3" s="225">
        <f>G3*F3</f>
        <v>97.925000000000011</v>
      </c>
      <c r="I3" s="178">
        <v>17</v>
      </c>
      <c r="J3" s="178">
        <v>1</v>
      </c>
      <c r="K3" s="178">
        <f>F3*I3</f>
        <v>3400</v>
      </c>
      <c r="L3" s="178">
        <f>K3*J3</f>
        <v>3400</v>
      </c>
      <c r="M3" s="179" t="s">
        <v>277</v>
      </c>
    </row>
    <row r="4" spans="1:13" ht="14.1" customHeight="1" x14ac:dyDescent="0.25">
      <c r="A4" s="176" t="s">
        <v>469</v>
      </c>
      <c r="B4" s="177" t="s">
        <v>14</v>
      </c>
      <c r="C4" s="178" t="s">
        <v>407</v>
      </c>
      <c r="D4" s="177"/>
      <c r="E4" s="177" t="s">
        <v>25</v>
      </c>
      <c r="F4" s="178"/>
      <c r="G4" s="178"/>
      <c r="H4" s="225"/>
      <c r="I4" s="178"/>
      <c r="J4" s="178"/>
      <c r="K4" s="178">
        <v>1900</v>
      </c>
      <c r="L4" s="178">
        <f t="shared" ref="L4" si="0">K4</f>
        <v>1900</v>
      </c>
      <c r="M4" s="179" t="s">
        <v>405</v>
      </c>
    </row>
    <row r="5" spans="1:13" ht="14.1" customHeight="1" x14ac:dyDescent="0.25">
      <c r="A5" s="176" t="s">
        <v>469</v>
      </c>
      <c r="B5" s="177" t="s">
        <v>14</v>
      </c>
      <c r="C5" s="178">
        <v>8200</v>
      </c>
      <c r="D5" s="177" t="s">
        <v>16</v>
      </c>
      <c r="E5" s="177" t="s">
        <v>17</v>
      </c>
      <c r="F5" s="178">
        <v>120</v>
      </c>
      <c r="G5" s="221">
        <v>0.7125999999999999</v>
      </c>
      <c r="H5" s="225">
        <f t="shared" ref="H5:H6" si="1">F5*G5</f>
        <v>85.511999999999986</v>
      </c>
      <c r="I5" s="178">
        <v>60</v>
      </c>
      <c r="J5" s="178">
        <v>4</v>
      </c>
      <c r="K5" s="178">
        <f>F5*I5</f>
        <v>7200</v>
      </c>
      <c r="L5" s="178">
        <f>K5*J5</f>
        <v>28800</v>
      </c>
      <c r="M5" s="179" t="s">
        <v>277</v>
      </c>
    </row>
    <row r="6" spans="1:13" ht="14.1" customHeight="1" x14ac:dyDescent="0.25">
      <c r="A6" s="176" t="s">
        <v>469</v>
      </c>
      <c r="B6" s="177" t="s">
        <v>14</v>
      </c>
      <c r="C6" s="178">
        <v>5036</v>
      </c>
      <c r="D6" s="177" t="s">
        <v>16</v>
      </c>
      <c r="E6" s="177" t="s">
        <v>17</v>
      </c>
      <c r="F6" s="178">
        <v>105</v>
      </c>
      <c r="G6" s="178">
        <v>0.32500000000000001</v>
      </c>
      <c r="H6" s="225">
        <f t="shared" si="1"/>
        <v>34.125</v>
      </c>
      <c r="I6" s="178">
        <v>62</v>
      </c>
      <c r="J6" s="178">
        <v>4</v>
      </c>
      <c r="K6" s="178">
        <f t="shared" ref="K6" si="2">F6*I6</f>
        <v>6510</v>
      </c>
      <c r="L6" s="178">
        <f>K6*J6</f>
        <v>26040</v>
      </c>
      <c r="M6" s="179" t="s">
        <v>22</v>
      </c>
    </row>
    <row r="7" spans="1:13" ht="14.1" customHeight="1" x14ac:dyDescent="0.25">
      <c r="A7" s="176" t="s">
        <v>469</v>
      </c>
      <c r="B7" s="177" t="s">
        <v>14</v>
      </c>
      <c r="C7" s="178" t="s">
        <v>448</v>
      </c>
      <c r="D7" s="177" t="s">
        <v>406</v>
      </c>
      <c r="E7" s="177" t="s">
        <v>25</v>
      </c>
      <c r="F7" s="178"/>
      <c r="G7" s="178"/>
      <c r="H7" s="225"/>
      <c r="I7" s="178"/>
      <c r="J7" s="178"/>
      <c r="K7" s="178">
        <v>2800</v>
      </c>
      <c r="L7" s="178">
        <f>K7</f>
        <v>2800</v>
      </c>
      <c r="M7" s="179" t="s">
        <v>181</v>
      </c>
    </row>
    <row r="8" spans="1:13" ht="15" customHeight="1" x14ac:dyDescent="0.25">
      <c r="A8" s="176" t="s">
        <v>469</v>
      </c>
      <c r="B8" s="177" t="s">
        <v>14</v>
      </c>
      <c r="C8" s="178">
        <v>7479</v>
      </c>
      <c r="D8" s="177" t="s">
        <v>20</v>
      </c>
      <c r="E8" s="177" t="s">
        <v>25</v>
      </c>
      <c r="F8" s="178"/>
      <c r="G8" s="178"/>
      <c r="H8" s="225"/>
      <c r="I8" s="178"/>
      <c r="J8" s="178"/>
      <c r="K8" s="178">
        <v>2000</v>
      </c>
      <c r="L8" s="178">
        <f t="shared" ref="L8" si="3">K8</f>
        <v>2000</v>
      </c>
      <c r="M8" s="179" t="s">
        <v>181</v>
      </c>
    </row>
    <row r="9" spans="1:13" ht="15" customHeight="1" thickBot="1" x14ac:dyDescent="0.3">
      <c r="A9" s="176" t="s">
        <v>469</v>
      </c>
      <c r="B9" s="177" t="s">
        <v>14</v>
      </c>
      <c r="C9" s="178">
        <v>1135</v>
      </c>
      <c r="D9" s="177" t="s">
        <v>467</v>
      </c>
      <c r="E9" s="177" t="s">
        <v>21</v>
      </c>
      <c r="F9" s="178">
        <v>87</v>
      </c>
      <c r="G9" s="220">
        <v>1.1719999999999999</v>
      </c>
      <c r="H9" s="225">
        <f>G9*F9</f>
        <v>101.964</v>
      </c>
      <c r="I9" s="178">
        <v>41</v>
      </c>
      <c r="J9" s="178">
        <v>2</v>
      </c>
      <c r="K9" s="178">
        <f>F9*I9</f>
        <v>3567</v>
      </c>
      <c r="L9" s="178">
        <f>K9*J9</f>
        <v>7134</v>
      </c>
      <c r="M9" s="179" t="s">
        <v>413</v>
      </c>
    </row>
    <row r="10" spans="1:13" ht="15" customHeight="1" x14ac:dyDescent="0.25">
      <c r="A10" s="176" t="s">
        <v>469</v>
      </c>
      <c r="B10" s="212" t="s">
        <v>23</v>
      </c>
      <c r="C10" s="178">
        <v>66772</v>
      </c>
      <c r="D10" s="177" t="s">
        <v>34</v>
      </c>
      <c r="E10" s="201" t="s">
        <v>35</v>
      </c>
      <c r="F10" s="178"/>
      <c r="G10" s="181" t="s">
        <v>77</v>
      </c>
      <c r="H10" s="225"/>
      <c r="I10" s="178"/>
      <c r="J10" s="178"/>
      <c r="K10" s="178">
        <v>4000</v>
      </c>
      <c r="L10" s="178">
        <f t="shared" ref="L10" si="4">K10</f>
        <v>4000</v>
      </c>
      <c r="M10" s="179" t="s">
        <v>179</v>
      </c>
    </row>
    <row r="11" spans="1:13" ht="15" customHeight="1" x14ac:dyDescent="0.25">
      <c r="A11" s="176" t="s">
        <v>470</v>
      </c>
      <c r="B11" s="177" t="s">
        <v>14</v>
      </c>
      <c r="C11" s="178" t="s">
        <v>407</v>
      </c>
      <c r="D11" s="177"/>
      <c r="E11" s="177" t="s">
        <v>21</v>
      </c>
      <c r="F11" s="178">
        <v>260</v>
      </c>
      <c r="G11" s="221">
        <v>0.48962500000000003</v>
      </c>
      <c r="H11" s="225">
        <f>G11*F11</f>
        <v>127.30250000000001</v>
      </c>
      <c r="I11" s="178">
        <v>17</v>
      </c>
      <c r="J11" s="178">
        <v>1</v>
      </c>
      <c r="K11" s="178">
        <f>F11*I11</f>
        <v>4420</v>
      </c>
      <c r="L11" s="178">
        <f>K11*J11</f>
        <v>4420</v>
      </c>
      <c r="M11" s="179" t="s">
        <v>277</v>
      </c>
    </row>
    <row r="12" spans="1:13" ht="15" customHeight="1" x14ac:dyDescent="0.25">
      <c r="A12" s="176" t="s">
        <v>470</v>
      </c>
      <c r="B12" s="177" t="s">
        <v>14</v>
      </c>
      <c r="C12" s="178" t="s">
        <v>407</v>
      </c>
      <c r="D12" s="177"/>
      <c r="E12" s="177" t="s">
        <v>25</v>
      </c>
      <c r="F12" s="178"/>
      <c r="G12" s="178"/>
      <c r="H12" s="225"/>
      <c r="I12" s="178"/>
      <c r="J12" s="178"/>
      <c r="K12" s="178">
        <v>2000</v>
      </c>
      <c r="L12" s="178">
        <f t="shared" ref="L12" si="5">K12</f>
        <v>2000</v>
      </c>
      <c r="M12" s="179" t="s">
        <v>405</v>
      </c>
    </row>
    <row r="13" spans="1:13" ht="15" customHeight="1" thickBot="1" x14ac:dyDescent="0.3">
      <c r="A13" s="176" t="s">
        <v>470</v>
      </c>
      <c r="B13" s="177" t="s">
        <v>14</v>
      </c>
      <c r="C13" s="178">
        <v>1135</v>
      </c>
      <c r="D13" s="177" t="s">
        <v>467</v>
      </c>
      <c r="E13" s="177" t="s">
        <v>21</v>
      </c>
      <c r="F13" s="178">
        <v>66</v>
      </c>
      <c r="G13" s="220">
        <v>1.1719999999999999</v>
      </c>
      <c r="H13" s="225">
        <f>G13*F13</f>
        <v>77.35199999999999</v>
      </c>
      <c r="I13" s="178">
        <v>41</v>
      </c>
      <c r="J13" s="178">
        <v>2</v>
      </c>
      <c r="K13" s="178">
        <f>F13*I13</f>
        <v>2706</v>
      </c>
      <c r="L13" s="178">
        <f>K13*J13</f>
        <v>5412</v>
      </c>
      <c r="M13" s="179" t="s">
        <v>413</v>
      </c>
    </row>
    <row r="14" spans="1:13" ht="15" customHeight="1" x14ac:dyDescent="0.25">
      <c r="A14" s="176" t="s">
        <v>470</v>
      </c>
      <c r="B14" s="177" t="s">
        <v>14</v>
      </c>
      <c r="C14" s="178" t="s">
        <v>448</v>
      </c>
      <c r="D14" s="177" t="s">
        <v>406</v>
      </c>
      <c r="E14" s="177" t="s">
        <v>25</v>
      </c>
      <c r="F14" s="178"/>
      <c r="G14" s="178"/>
      <c r="H14" s="225"/>
      <c r="I14" s="178"/>
      <c r="J14" s="178"/>
      <c r="K14" s="178">
        <v>700</v>
      </c>
      <c r="L14" s="178">
        <f>K14</f>
        <v>700</v>
      </c>
      <c r="M14" s="179" t="s">
        <v>181</v>
      </c>
    </row>
    <row r="15" spans="1:13" ht="15" customHeight="1" x14ac:dyDescent="0.25">
      <c r="A15" s="176" t="s">
        <v>470</v>
      </c>
      <c r="B15" s="177" t="s">
        <v>14</v>
      </c>
      <c r="C15" s="178">
        <v>7479</v>
      </c>
      <c r="D15" s="177" t="s">
        <v>20</v>
      </c>
      <c r="E15" s="177" t="s">
        <v>25</v>
      </c>
      <c r="F15" s="178"/>
      <c r="G15" s="178"/>
      <c r="H15" s="225"/>
      <c r="I15" s="178"/>
      <c r="J15" s="178"/>
      <c r="K15" s="178">
        <v>5000</v>
      </c>
      <c r="L15" s="178">
        <f t="shared" ref="L15:L17" si="6">K15</f>
        <v>5000</v>
      </c>
      <c r="M15" s="179" t="s">
        <v>181</v>
      </c>
    </row>
    <row r="16" spans="1:13" ht="15" customHeight="1" x14ac:dyDescent="0.25">
      <c r="A16" s="176" t="s">
        <v>470</v>
      </c>
      <c r="B16" s="212" t="s">
        <v>23</v>
      </c>
      <c r="C16" s="178">
        <v>66772</v>
      </c>
      <c r="D16" s="177" t="s">
        <v>34</v>
      </c>
      <c r="E16" s="201" t="s">
        <v>35</v>
      </c>
      <c r="F16" s="178"/>
      <c r="G16" s="181" t="s">
        <v>77</v>
      </c>
      <c r="H16" s="225"/>
      <c r="I16" s="178"/>
      <c r="J16" s="178"/>
      <c r="K16" s="178">
        <v>7500</v>
      </c>
      <c r="L16" s="178">
        <f t="shared" si="6"/>
        <v>7500</v>
      </c>
      <c r="M16" s="179" t="s">
        <v>179</v>
      </c>
    </row>
    <row r="17" spans="1:13" ht="15" customHeight="1" x14ac:dyDescent="0.25">
      <c r="A17" s="176" t="s">
        <v>470</v>
      </c>
      <c r="B17" s="212" t="s">
        <v>23</v>
      </c>
      <c r="C17" s="178">
        <v>66772</v>
      </c>
      <c r="D17" s="177" t="s">
        <v>34</v>
      </c>
      <c r="E17" s="177" t="s">
        <v>39</v>
      </c>
      <c r="F17" s="178"/>
      <c r="G17" s="181" t="s">
        <v>36</v>
      </c>
      <c r="H17" s="225"/>
      <c r="I17" s="178"/>
      <c r="J17" s="178"/>
      <c r="K17" s="178">
        <v>5300</v>
      </c>
      <c r="L17" s="178">
        <f t="shared" si="6"/>
        <v>5300</v>
      </c>
      <c r="M17" s="179" t="s">
        <v>277</v>
      </c>
    </row>
    <row r="18" spans="1:13" ht="15" customHeight="1" x14ac:dyDescent="0.25">
      <c r="A18" s="176" t="s">
        <v>470</v>
      </c>
      <c r="B18" s="212" t="s">
        <v>23</v>
      </c>
      <c r="C18" s="178">
        <v>66772</v>
      </c>
      <c r="D18" s="177" t="s">
        <v>34</v>
      </c>
      <c r="E18" s="204" t="s">
        <v>30</v>
      </c>
      <c r="F18" s="178"/>
      <c r="G18" s="181" t="s">
        <v>78</v>
      </c>
      <c r="H18" s="225"/>
      <c r="I18" s="178"/>
      <c r="J18" s="178"/>
      <c r="K18" s="178">
        <v>5000</v>
      </c>
      <c r="L18" s="178">
        <f>K18</f>
        <v>5000</v>
      </c>
      <c r="M18" s="179" t="s">
        <v>405</v>
      </c>
    </row>
    <row r="19" spans="1:13" ht="15" customHeight="1" x14ac:dyDescent="0.25">
      <c r="A19" s="176" t="s">
        <v>470</v>
      </c>
      <c r="B19" s="177" t="s">
        <v>14</v>
      </c>
      <c r="C19" s="178">
        <v>5036</v>
      </c>
      <c r="D19" s="177" t="s">
        <v>16</v>
      </c>
      <c r="E19" s="177" t="s">
        <v>17</v>
      </c>
      <c r="F19" s="178">
        <v>26</v>
      </c>
      <c r="G19" s="178">
        <v>0.32500000000000001</v>
      </c>
      <c r="H19" s="225">
        <f t="shared" ref="H19:H21" si="7">F19*G19</f>
        <v>8.4500000000000011</v>
      </c>
      <c r="I19" s="178">
        <v>62</v>
      </c>
      <c r="J19" s="178">
        <v>4</v>
      </c>
      <c r="K19" s="178">
        <f t="shared" ref="K19" si="8">F19*I19</f>
        <v>1612</v>
      </c>
      <c r="L19" s="178">
        <f>K19*J19</f>
        <v>6448</v>
      </c>
      <c r="M19" s="179" t="s">
        <v>22</v>
      </c>
    </row>
    <row r="20" spans="1:13" ht="15" customHeight="1" x14ac:dyDescent="0.25">
      <c r="A20" s="176" t="s">
        <v>470</v>
      </c>
      <c r="B20" s="177" t="s">
        <v>14</v>
      </c>
      <c r="C20" s="178">
        <v>6380</v>
      </c>
      <c r="D20" s="177" t="s">
        <v>16</v>
      </c>
      <c r="E20" s="177" t="s">
        <v>17</v>
      </c>
      <c r="F20" s="178">
        <v>86</v>
      </c>
      <c r="G20" s="151">
        <v>0.42499999999999999</v>
      </c>
      <c r="H20" s="225">
        <f t="shared" si="7"/>
        <v>36.549999999999997</v>
      </c>
      <c r="I20" s="178">
        <v>45</v>
      </c>
      <c r="J20" s="178">
        <v>4</v>
      </c>
      <c r="K20" s="178">
        <f>F20*I20</f>
        <v>3870</v>
      </c>
      <c r="L20" s="178">
        <f>K20*J20</f>
        <v>15480</v>
      </c>
      <c r="M20" s="179" t="s">
        <v>22</v>
      </c>
    </row>
    <row r="21" spans="1:13" ht="15" customHeight="1" x14ac:dyDescent="0.25">
      <c r="A21" s="176" t="s">
        <v>470</v>
      </c>
      <c r="B21" s="177" t="s">
        <v>14</v>
      </c>
      <c r="C21" s="178">
        <v>6086</v>
      </c>
      <c r="D21" s="177" t="s">
        <v>16</v>
      </c>
      <c r="E21" s="177" t="s">
        <v>17</v>
      </c>
      <c r="F21" s="178">
        <v>61</v>
      </c>
      <c r="G21" s="222">
        <v>0.7629999999999999</v>
      </c>
      <c r="H21" s="225">
        <f t="shared" si="7"/>
        <v>46.542999999999992</v>
      </c>
      <c r="I21" s="178">
        <v>42</v>
      </c>
      <c r="J21" s="178">
        <v>2</v>
      </c>
      <c r="K21" s="178">
        <f>F21*I21</f>
        <v>2562</v>
      </c>
      <c r="L21" s="178">
        <f>K21*J21</f>
        <v>5124</v>
      </c>
      <c r="M21" s="179" t="s">
        <v>22</v>
      </c>
    </row>
    <row r="22" spans="1:13" ht="15" customHeight="1" x14ac:dyDescent="0.25">
      <c r="A22" s="176" t="s">
        <v>470</v>
      </c>
      <c r="B22" s="177" t="s">
        <v>14</v>
      </c>
      <c r="C22" s="178">
        <v>1411</v>
      </c>
      <c r="D22" s="177" t="s">
        <v>414</v>
      </c>
      <c r="E22" s="177" t="s">
        <v>21</v>
      </c>
      <c r="F22" s="178">
        <v>55</v>
      </c>
      <c r="G22" s="221">
        <v>1.1297187499999997</v>
      </c>
      <c r="H22" s="225">
        <f>G22*F22</f>
        <v>62.134531249999981</v>
      </c>
      <c r="I22" s="178">
        <v>20</v>
      </c>
      <c r="J22" s="178">
        <v>1</v>
      </c>
      <c r="K22" s="178">
        <f>F22*I22</f>
        <v>1100</v>
      </c>
      <c r="L22" s="178">
        <f>K22*J22</f>
        <v>1100</v>
      </c>
      <c r="M22" s="179" t="s">
        <v>413</v>
      </c>
    </row>
    <row r="23" spans="1:13" ht="15" customHeight="1" x14ac:dyDescent="0.25">
      <c r="A23" s="176" t="s">
        <v>471</v>
      </c>
      <c r="B23" s="212" t="s">
        <v>23</v>
      </c>
      <c r="C23" s="178">
        <v>66772</v>
      </c>
      <c r="D23" s="177" t="s">
        <v>34</v>
      </c>
      <c r="E23" s="201" t="s">
        <v>35</v>
      </c>
      <c r="F23" s="178"/>
      <c r="G23" s="181" t="s">
        <v>77</v>
      </c>
      <c r="H23" s="225"/>
      <c r="I23" s="178"/>
      <c r="J23" s="178"/>
      <c r="K23" s="178">
        <v>3500</v>
      </c>
      <c r="L23" s="178">
        <f t="shared" ref="L23:L24" si="9">K23</f>
        <v>3500</v>
      </c>
      <c r="M23" s="179" t="s">
        <v>179</v>
      </c>
    </row>
    <row r="24" spans="1:13" ht="15" customHeight="1" x14ac:dyDescent="0.25">
      <c r="A24" s="176" t="s">
        <v>471</v>
      </c>
      <c r="B24" s="212" t="s">
        <v>23</v>
      </c>
      <c r="C24" s="178">
        <v>66772</v>
      </c>
      <c r="D24" s="177" t="s">
        <v>34</v>
      </c>
      <c r="E24" s="177" t="s">
        <v>39</v>
      </c>
      <c r="F24" s="178"/>
      <c r="G24" s="181" t="s">
        <v>36</v>
      </c>
      <c r="H24" s="225"/>
      <c r="I24" s="178"/>
      <c r="J24" s="178"/>
      <c r="K24" s="178">
        <v>8400</v>
      </c>
      <c r="L24" s="178">
        <f t="shared" si="9"/>
        <v>8400</v>
      </c>
      <c r="M24" s="179" t="s">
        <v>277</v>
      </c>
    </row>
    <row r="25" spans="1:13" ht="15" customHeight="1" x14ac:dyDescent="0.25">
      <c r="A25" s="176" t="s">
        <v>471</v>
      </c>
      <c r="B25" s="212" t="s">
        <v>23</v>
      </c>
      <c r="C25" s="178">
        <v>66772</v>
      </c>
      <c r="D25" s="177" t="s">
        <v>34</v>
      </c>
      <c r="E25" s="204" t="s">
        <v>30</v>
      </c>
      <c r="F25" s="178"/>
      <c r="G25" s="181" t="s">
        <v>78</v>
      </c>
      <c r="H25" s="225"/>
      <c r="I25" s="178"/>
      <c r="J25" s="178"/>
      <c r="K25" s="178">
        <v>5400</v>
      </c>
      <c r="L25" s="178">
        <f>K25</f>
        <v>5400</v>
      </c>
      <c r="M25" s="179" t="s">
        <v>405</v>
      </c>
    </row>
    <row r="26" spans="1:13" ht="15" customHeight="1" x14ac:dyDescent="0.25">
      <c r="A26" s="176" t="s">
        <v>471</v>
      </c>
      <c r="B26" s="177" t="s">
        <v>14</v>
      </c>
      <c r="C26" s="178">
        <v>6086</v>
      </c>
      <c r="D26" s="177" t="s">
        <v>16</v>
      </c>
      <c r="E26" s="177" t="s">
        <v>17</v>
      </c>
      <c r="F26" s="178">
        <v>125</v>
      </c>
      <c r="G26" s="222">
        <v>0.7629999999999999</v>
      </c>
      <c r="H26" s="225">
        <f t="shared" ref="H26" si="10">F26*G26</f>
        <v>95.374999999999986</v>
      </c>
      <c r="I26" s="178">
        <v>42</v>
      </c>
      <c r="J26" s="178">
        <v>2</v>
      </c>
      <c r="K26" s="178">
        <f>F26*I26</f>
        <v>5250</v>
      </c>
      <c r="L26" s="178">
        <f>K26*J26</f>
        <v>10500</v>
      </c>
      <c r="M26" s="179" t="s">
        <v>22</v>
      </c>
    </row>
    <row r="27" spans="1:13" ht="15" customHeight="1" x14ac:dyDescent="0.25">
      <c r="A27" s="176" t="s">
        <v>471</v>
      </c>
      <c r="B27" s="177" t="s">
        <v>14</v>
      </c>
      <c r="C27" s="178">
        <v>1411</v>
      </c>
      <c r="D27" s="177" t="s">
        <v>414</v>
      </c>
      <c r="E27" s="177" t="s">
        <v>21</v>
      </c>
      <c r="F27" s="178">
        <v>175</v>
      </c>
      <c r="G27" s="221">
        <v>1.1297187499999997</v>
      </c>
      <c r="H27" s="225">
        <f>G27*F27</f>
        <v>197.70078124999995</v>
      </c>
      <c r="I27" s="178">
        <v>20</v>
      </c>
      <c r="J27" s="178">
        <v>1</v>
      </c>
      <c r="K27" s="178">
        <f>F27*I27</f>
        <v>3500</v>
      </c>
      <c r="L27" s="178">
        <f>K27*J27</f>
        <v>3500</v>
      </c>
      <c r="M27" s="179" t="s">
        <v>413</v>
      </c>
    </row>
    <row r="28" spans="1:13" ht="15" customHeight="1" x14ac:dyDescent="0.25">
      <c r="A28" s="176" t="s">
        <v>471</v>
      </c>
      <c r="B28" s="177" t="s">
        <v>14</v>
      </c>
      <c r="C28" s="178" t="s">
        <v>448</v>
      </c>
      <c r="D28" s="177" t="s">
        <v>406</v>
      </c>
      <c r="E28" s="177" t="s">
        <v>25</v>
      </c>
      <c r="F28" s="178"/>
      <c r="G28" s="178"/>
      <c r="H28" s="225"/>
      <c r="I28" s="178"/>
      <c r="J28" s="178"/>
      <c r="K28" s="178">
        <v>2700</v>
      </c>
      <c r="L28" s="178">
        <f>K28</f>
        <v>2700</v>
      </c>
      <c r="M28" s="179" t="s">
        <v>181</v>
      </c>
    </row>
    <row r="29" spans="1:13" ht="15" customHeight="1" x14ac:dyDescent="0.25">
      <c r="A29" s="176" t="s">
        <v>471</v>
      </c>
      <c r="B29" s="177" t="s">
        <v>14</v>
      </c>
      <c r="C29" s="178" t="s">
        <v>407</v>
      </c>
      <c r="D29" s="177"/>
      <c r="E29" s="177" t="s">
        <v>25</v>
      </c>
      <c r="F29" s="178"/>
      <c r="G29" s="178"/>
      <c r="H29" s="225"/>
      <c r="I29" s="178"/>
      <c r="J29" s="178"/>
      <c r="K29" s="178">
        <v>1300</v>
      </c>
      <c r="L29" s="178">
        <f t="shared" ref="L29" si="11">K29</f>
        <v>1300</v>
      </c>
      <c r="M29" s="179" t="s">
        <v>405</v>
      </c>
    </row>
    <row r="30" spans="1:13" ht="15" customHeight="1" x14ac:dyDescent="0.25">
      <c r="A30" s="176" t="s">
        <v>471</v>
      </c>
      <c r="B30" s="177" t="s">
        <v>14</v>
      </c>
      <c r="C30" s="178" t="s">
        <v>410</v>
      </c>
      <c r="D30" s="177" t="s">
        <v>467</v>
      </c>
      <c r="E30" s="177" t="s">
        <v>21</v>
      </c>
      <c r="F30" s="178">
        <v>73</v>
      </c>
      <c r="G30" s="221">
        <v>0.74674999999999991</v>
      </c>
      <c r="H30" s="225">
        <f>G30*F30</f>
        <v>54.512749999999997</v>
      </c>
      <c r="I30" s="178">
        <v>35</v>
      </c>
      <c r="J30" s="178">
        <v>1</v>
      </c>
      <c r="K30" s="178">
        <f>F30*I30</f>
        <v>2555</v>
      </c>
      <c r="L30" s="178">
        <f>K30*J30</f>
        <v>2555</v>
      </c>
      <c r="M30" s="179" t="s">
        <v>413</v>
      </c>
    </row>
    <row r="31" spans="1:13" ht="15" customHeight="1" x14ac:dyDescent="0.25">
      <c r="A31" s="176" t="s">
        <v>471</v>
      </c>
      <c r="B31" s="177" t="s">
        <v>14</v>
      </c>
      <c r="C31" s="178">
        <v>6380</v>
      </c>
      <c r="D31" s="177" t="s">
        <v>16</v>
      </c>
      <c r="E31" s="177" t="s">
        <v>17</v>
      </c>
      <c r="F31" s="178">
        <v>46</v>
      </c>
      <c r="G31" s="151">
        <v>0.42499999999999999</v>
      </c>
      <c r="H31" s="225">
        <f t="shared" ref="H31" si="12">F31*G31</f>
        <v>19.55</v>
      </c>
      <c r="I31" s="178">
        <v>45</v>
      </c>
      <c r="J31" s="178">
        <v>4</v>
      </c>
      <c r="K31" s="178">
        <f>F31*I31</f>
        <v>2070</v>
      </c>
      <c r="L31" s="178">
        <f>K31*J31</f>
        <v>8280</v>
      </c>
      <c r="M31" s="179" t="s">
        <v>22</v>
      </c>
    </row>
    <row r="32" spans="1:13" ht="15" customHeight="1" x14ac:dyDescent="0.25">
      <c r="A32" s="176" t="s">
        <v>472</v>
      </c>
      <c r="B32" s="212" t="s">
        <v>23</v>
      </c>
      <c r="C32" s="178">
        <v>66772</v>
      </c>
      <c r="D32" s="177" t="s">
        <v>34</v>
      </c>
      <c r="E32" s="177" t="s">
        <v>39</v>
      </c>
      <c r="F32" s="178"/>
      <c r="G32" s="181" t="s">
        <v>36</v>
      </c>
      <c r="H32" s="225"/>
      <c r="I32" s="178"/>
      <c r="J32" s="178"/>
      <c r="K32" s="178">
        <v>1100</v>
      </c>
      <c r="L32" s="178">
        <f t="shared" ref="L32" si="13">K32</f>
        <v>1100</v>
      </c>
      <c r="M32" s="179" t="s">
        <v>277</v>
      </c>
    </row>
    <row r="33" spans="1:13" ht="15" customHeight="1" x14ac:dyDescent="0.25">
      <c r="A33" s="176" t="s">
        <v>472</v>
      </c>
      <c r="B33" s="212" t="s">
        <v>23</v>
      </c>
      <c r="C33" s="178">
        <v>66772</v>
      </c>
      <c r="D33" s="177" t="s">
        <v>34</v>
      </c>
      <c r="E33" s="204" t="s">
        <v>30</v>
      </c>
      <c r="F33" s="178"/>
      <c r="G33" s="181" t="s">
        <v>78</v>
      </c>
      <c r="H33" s="225"/>
      <c r="I33" s="178"/>
      <c r="J33" s="178"/>
      <c r="K33" s="178">
        <v>4600</v>
      </c>
      <c r="L33" s="178">
        <f>K33</f>
        <v>4600</v>
      </c>
      <c r="M33" s="179" t="s">
        <v>405</v>
      </c>
    </row>
    <row r="34" spans="1:13" ht="15" customHeight="1" x14ac:dyDescent="0.25">
      <c r="A34" s="176" t="s">
        <v>472</v>
      </c>
      <c r="B34" s="177" t="s">
        <v>14</v>
      </c>
      <c r="C34" s="178" t="s">
        <v>407</v>
      </c>
      <c r="D34" s="177"/>
      <c r="E34" s="177" t="s">
        <v>25</v>
      </c>
      <c r="F34" s="178"/>
      <c r="G34" s="178"/>
      <c r="H34" s="225"/>
      <c r="I34" s="178"/>
      <c r="J34" s="178"/>
      <c r="K34" s="178">
        <v>1400</v>
      </c>
      <c r="L34" s="178">
        <f t="shared" ref="L34" si="14">K34</f>
        <v>1400</v>
      </c>
      <c r="M34" s="179" t="s">
        <v>405</v>
      </c>
    </row>
    <row r="35" spans="1:13" ht="15" customHeight="1" x14ac:dyDescent="0.25">
      <c r="A35" s="176" t="s">
        <v>472</v>
      </c>
      <c r="B35" s="177" t="s">
        <v>14</v>
      </c>
      <c r="C35" s="178">
        <v>6380</v>
      </c>
      <c r="D35" s="177" t="s">
        <v>16</v>
      </c>
      <c r="E35" s="177" t="s">
        <v>17</v>
      </c>
      <c r="F35" s="178">
        <v>80</v>
      </c>
      <c r="G35" s="151">
        <v>0.42499999999999999</v>
      </c>
      <c r="H35" s="225">
        <f t="shared" ref="H35" si="15">F35*G35</f>
        <v>34</v>
      </c>
      <c r="I35" s="178">
        <v>45</v>
      </c>
      <c r="J35" s="178">
        <v>4</v>
      </c>
      <c r="K35" s="178">
        <f>F35*I35</f>
        <v>3600</v>
      </c>
      <c r="L35" s="178">
        <f>K35*J35</f>
        <v>14400</v>
      </c>
      <c r="M35" s="179" t="s">
        <v>22</v>
      </c>
    </row>
    <row r="36" spans="1:13" ht="15" customHeight="1" x14ac:dyDescent="0.25">
      <c r="A36" s="176" t="s">
        <v>472</v>
      </c>
      <c r="B36" s="177" t="s">
        <v>14</v>
      </c>
      <c r="C36" s="178" t="s">
        <v>410</v>
      </c>
      <c r="D36" s="177" t="s">
        <v>467</v>
      </c>
      <c r="E36" s="177" t="s">
        <v>21</v>
      </c>
      <c r="F36" s="178">
        <v>158</v>
      </c>
      <c r="G36" s="221">
        <v>0.74674999999999991</v>
      </c>
      <c r="H36" s="225">
        <f>G36*F36</f>
        <v>117.98649999999999</v>
      </c>
      <c r="I36" s="178">
        <v>35</v>
      </c>
      <c r="J36" s="178">
        <v>1</v>
      </c>
      <c r="K36" s="178">
        <f>F36*I36</f>
        <v>5530</v>
      </c>
      <c r="L36" s="178">
        <f>K36*J36</f>
        <v>5530</v>
      </c>
      <c r="M36" s="179" t="s">
        <v>413</v>
      </c>
    </row>
    <row r="37" spans="1:13" ht="15" customHeight="1" x14ac:dyDescent="0.25">
      <c r="A37" s="176" t="s">
        <v>472</v>
      </c>
      <c r="B37" s="177" t="s">
        <v>14</v>
      </c>
      <c r="C37" s="178" t="s">
        <v>448</v>
      </c>
      <c r="D37" s="177" t="s">
        <v>406</v>
      </c>
      <c r="E37" s="177" t="s">
        <v>25</v>
      </c>
      <c r="F37" s="178"/>
      <c r="G37" s="178"/>
      <c r="H37" s="225"/>
      <c r="I37" s="178"/>
      <c r="J37" s="178"/>
      <c r="K37" s="178">
        <v>1800</v>
      </c>
      <c r="L37" s="178">
        <f>K37</f>
        <v>1800</v>
      </c>
      <c r="M37" s="179" t="s">
        <v>181</v>
      </c>
    </row>
    <row r="38" spans="1:13" ht="15" customHeight="1" x14ac:dyDescent="0.25">
      <c r="A38" s="176" t="s">
        <v>472</v>
      </c>
      <c r="B38" s="177" t="s">
        <v>14</v>
      </c>
      <c r="C38" s="178" t="s">
        <v>71</v>
      </c>
      <c r="D38" s="177" t="s">
        <v>72</v>
      </c>
      <c r="E38" s="177" t="s">
        <v>21</v>
      </c>
      <c r="F38" s="178">
        <v>82</v>
      </c>
      <c r="G38" s="178">
        <v>1.095</v>
      </c>
      <c r="H38" s="225">
        <f>F38*G38</f>
        <v>89.789999999999992</v>
      </c>
      <c r="I38" s="178">
        <v>58</v>
      </c>
      <c r="J38" s="178">
        <v>1</v>
      </c>
      <c r="K38" s="178">
        <f t="shared" ref="K38:K39" si="16">F38*I38</f>
        <v>4756</v>
      </c>
      <c r="L38" s="178">
        <f t="shared" ref="L38:L39" si="17">K38*J38</f>
        <v>4756</v>
      </c>
      <c r="M38" s="179" t="s">
        <v>179</v>
      </c>
    </row>
    <row r="39" spans="1:13" ht="15" customHeight="1" x14ac:dyDescent="0.25">
      <c r="A39" s="176" t="s">
        <v>472</v>
      </c>
      <c r="B39" s="152" t="s">
        <v>14</v>
      </c>
      <c r="C39" s="151" t="s">
        <v>86</v>
      </c>
      <c r="D39" s="152" t="s">
        <v>84</v>
      </c>
      <c r="E39" s="152" t="s">
        <v>17</v>
      </c>
      <c r="F39" s="151">
        <v>61</v>
      </c>
      <c r="G39" s="151">
        <v>0.46</v>
      </c>
      <c r="H39" s="225">
        <f>F39*G39</f>
        <v>28.060000000000002</v>
      </c>
      <c r="I39" s="151">
        <v>38</v>
      </c>
      <c r="J39" s="151">
        <v>1</v>
      </c>
      <c r="K39" s="178">
        <f t="shared" si="16"/>
        <v>2318</v>
      </c>
      <c r="L39" s="178">
        <f t="shared" si="17"/>
        <v>2318</v>
      </c>
      <c r="M39" s="155" t="s">
        <v>22</v>
      </c>
    </row>
    <row r="40" spans="1:13" ht="15" customHeight="1" x14ac:dyDescent="0.25">
      <c r="A40" s="176" t="s">
        <v>472</v>
      </c>
      <c r="B40" s="177" t="s">
        <v>14</v>
      </c>
      <c r="C40" s="178" t="s">
        <v>86</v>
      </c>
      <c r="D40" s="177" t="s">
        <v>84</v>
      </c>
      <c r="E40" s="177" t="s">
        <v>25</v>
      </c>
      <c r="F40" s="178"/>
      <c r="G40" s="178"/>
      <c r="H40" s="225"/>
      <c r="I40" s="178"/>
      <c r="J40" s="178"/>
      <c r="K40" s="178">
        <v>1300</v>
      </c>
      <c r="L40" s="178">
        <f>K40</f>
        <v>1300</v>
      </c>
      <c r="M40" s="179" t="s">
        <v>22</v>
      </c>
    </row>
    <row r="41" spans="1:13" ht="15" customHeight="1" x14ac:dyDescent="0.25">
      <c r="A41" s="176" t="s">
        <v>473</v>
      </c>
      <c r="B41" s="177" t="s">
        <v>14</v>
      </c>
      <c r="C41" s="178" t="s">
        <v>410</v>
      </c>
      <c r="D41" s="177" t="s">
        <v>467</v>
      </c>
      <c r="E41" s="177" t="s">
        <v>21</v>
      </c>
      <c r="F41" s="178">
        <v>205</v>
      </c>
      <c r="G41" s="221">
        <v>0.74674999999999991</v>
      </c>
      <c r="H41" s="225">
        <f>G41*F41</f>
        <v>153.08374999999998</v>
      </c>
      <c r="I41" s="178">
        <v>35</v>
      </c>
      <c r="J41" s="178">
        <v>1</v>
      </c>
      <c r="K41" s="178">
        <f>F41*I41</f>
        <v>7175</v>
      </c>
      <c r="L41" s="178">
        <f>K41*J41</f>
        <v>7175</v>
      </c>
      <c r="M41" s="179" t="s">
        <v>413</v>
      </c>
    </row>
    <row r="42" spans="1:13" ht="15" customHeight="1" x14ac:dyDescent="0.25">
      <c r="A42" s="176" t="s">
        <v>473</v>
      </c>
      <c r="B42" s="152" t="s">
        <v>14</v>
      </c>
      <c r="C42" s="151" t="s">
        <v>86</v>
      </c>
      <c r="D42" s="152" t="s">
        <v>84</v>
      </c>
      <c r="E42" s="152" t="s">
        <v>17</v>
      </c>
      <c r="F42" s="151">
        <v>110</v>
      </c>
      <c r="G42" s="151">
        <v>0.46</v>
      </c>
      <c r="H42" s="225">
        <f>F42*G42</f>
        <v>50.6</v>
      </c>
      <c r="I42" s="151">
        <v>38</v>
      </c>
      <c r="J42" s="151">
        <v>1</v>
      </c>
      <c r="K42" s="178">
        <f t="shared" ref="K42" si="18">F42*I42</f>
        <v>4180</v>
      </c>
      <c r="L42" s="178">
        <f t="shared" ref="L42" si="19">K42*J42</f>
        <v>4180</v>
      </c>
      <c r="M42" s="155" t="s">
        <v>22</v>
      </c>
    </row>
    <row r="43" spans="1:13" ht="15" customHeight="1" x14ac:dyDescent="0.25">
      <c r="A43" s="176" t="s">
        <v>473</v>
      </c>
      <c r="B43" s="177" t="s">
        <v>14</v>
      </c>
      <c r="C43" s="178" t="s">
        <v>86</v>
      </c>
      <c r="D43" s="177" t="s">
        <v>84</v>
      </c>
      <c r="E43" s="177" t="s">
        <v>25</v>
      </c>
      <c r="F43" s="178"/>
      <c r="G43" s="178"/>
      <c r="H43" s="225"/>
      <c r="I43" s="178"/>
      <c r="J43" s="178"/>
      <c r="K43" s="178">
        <v>4700</v>
      </c>
      <c r="L43" s="178">
        <v>2500</v>
      </c>
      <c r="M43" s="179" t="s">
        <v>22</v>
      </c>
    </row>
    <row r="44" spans="1:13" ht="15" customHeight="1" x14ac:dyDescent="0.25">
      <c r="A44" s="176" t="s">
        <v>473</v>
      </c>
      <c r="B44" s="177" t="s">
        <v>14</v>
      </c>
      <c r="C44" s="178" t="s">
        <v>71</v>
      </c>
      <c r="D44" s="177" t="s">
        <v>72</v>
      </c>
      <c r="E44" s="177" t="s">
        <v>21</v>
      </c>
      <c r="F44" s="178">
        <v>120</v>
      </c>
      <c r="G44" s="178">
        <v>1.095</v>
      </c>
      <c r="H44" s="225">
        <f>F44*G44</f>
        <v>131.4</v>
      </c>
      <c r="I44" s="178">
        <v>58</v>
      </c>
      <c r="J44" s="178">
        <v>1</v>
      </c>
      <c r="K44" s="178">
        <f t="shared" ref="K44:K46" si="20">F44*I44</f>
        <v>6960</v>
      </c>
      <c r="L44" s="178">
        <f t="shared" ref="L44" si="21">K44*J44</f>
        <v>6960</v>
      </c>
      <c r="M44" s="179" t="s">
        <v>179</v>
      </c>
    </row>
    <row r="45" spans="1:13" ht="15" customHeight="1" x14ac:dyDescent="0.25">
      <c r="A45" s="176" t="s">
        <v>473</v>
      </c>
      <c r="B45" s="177" t="s">
        <v>14</v>
      </c>
      <c r="C45" s="178">
        <v>12028</v>
      </c>
      <c r="D45" s="177" t="s">
        <v>16</v>
      </c>
      <c r="E45" s="177" t="s">
        <v>17</v>
      </c>
      <c r="F45" s="178">
        <v>50</v>
      </c>
      <c r="G45" s="178">
        <v>0.67500000000000004</v>
      </c>
      <c r="H45" s="225">
        <f>G45*F45</f>
        <v>33.75</v>
      </c>
      <c r="I45" s="178">
        <v>42</v>
      </c>
      <c r="J45" s="178">
        <v>4</v>
      </c>
      <c r="K45" s="178">
        <f t="shared" si="20"/>
        <v>2100</v>
      </c>
      <c r="L45" s="178">
        <f>K45*J45</f>
        <v>8400</v>
      </c>
      <c r="M45" s="179" t="s">
        <v>18</v>
      </c>
    </row>
    <row r="46" spans="1:13" ht="15" customHeight="1" x14ac:dyDescent="0.25">
      <c r="A46" s="176" t="s">
        <v>473</v>
      </c>
      <c r="B46" s="177" t="s">
        <v>14</v>
      </c>
      <c r="C46" s="178" t="s">
        <v>443</v>
      </c>
      <c r="D46" s="177"/>
      <c r="E46" s="177" t="s">
        <v>21</v>
      </c>
      <c r="F46" s="178">
        <v>80</v>
      </c>
      <c r="G46" s="221">
        <v>0.98261249999999978</v>
      </c>
      <c r="H46" s="225">
        <f>G46*F46</f>
        <v>78.60899999999998</v>
      </c>
      <c r="I46" s="178">
        <v>28</v>
      </c>
      <c r="J46" s="178">
        <v>1</v>
      </c>
      <c r="K46" s="178">
        <f t="shared" si="20"/>
        <v>2240</v>
      </c>
      <c r="L46" s="178">
        <f t="shared" ref="L46" si="22">K46*J46</f>
        <v>2240</v>
      </c>
      <c r="M46" s="179" t="s">
        <v>277</v>
      </c>
    </row>
    <row r="47" spans="1:13" ht="15" customHeight="1" x14ac:dyDescent="0.25">
      <c r="A47" s="176" t="s">
        <v>473</v>
      </c>
      <c r="B47" s="177" t="s">
        <v>44</v>
      </c>
      <c r="C47" s="178"/>
      <c r="D47" s="177" t="s">
        <v>474</v>
      </c>
      <c r="E47" s="177" t="s">
        <v>25</v>
      </c>
      <c r="F47" s="178"/>
      <c r="G47" s="201"/>
      <c r="H47" s="225"/>
      <c r="I47" s="178"/>
      <c r="J47" s="178"/>
      <c r="K47" s="178">
        <v>274</v>
      </c>
      <c r="L47" s="178">
        <f>K47</f>
        <v>274</v>
      </c>
      <c r="M47" s="179" t="s">
        <v>22</v>
      </c>
    </row>
    <row r="48" spans="1:13" ht="15" customHeight="1" x14ac:dyDescent="0.25">
      <c r="A48" s="176" t="s">
        <v>475</v>
      </c>
      <c r="B48" s="177" t="s">
        <v>14</v>
      </c>
      <c r="C48" s="178" t="s">
        <v>443</v>
      </c>
      <c r="D48" s="177"/>
      <c r="E48" s="177" t="s">
        <v>21</v>
      </c>
      <c r="F48" s="178">
        <v>214</v>
      </c>
      <c r="G48" s="221">
        <v>0.98261249999999978</v>
      </c>
      <c r="H48" s="225">
        <f>G48*F48</f>
        <v>210.27907499999995</v>
      </c>
      <c r="I48" s="178">
        <v>28</v>
      </c>
      <c r="J48" s="178">
        <v>1</v>
      </c>
      <c r="K48" s="178">
        <f t="shared" ref="K48" si="23">F48*I48</f>
        <v>5992</v>
      </c>
      <c r="L48" s="178">
        <f t="shared" ref="L48" si="24">K48*J48</f>
        <v>5992</v>
      </c>
      <c r="M48" s="179" t="s">
        <v>277</v>
      </c>
    </row>
    <row r="49" spans="1:13" ht="15" customHeight="1" x14ac:dyDescent="0.25">
      <c r="A49" s="176" t="s">
        <v>475</v>
      </c>
      <c r="B49" s="177" t="s">
        <v>14</v>
      </c>
      <c r="C49" s="178" t="s">
        <v>443</v>
      </c>
      <c r="D49" s="177"/>
      <c r="E49" s="177" t="s">
        <v>25</v>
      </c>
      <c r="F49" s="178"/>
      <c r="G49" s="178"/>
      <c r="H49" s="225"/>
      <c r="I49" s="178"/>
      <c r="J49" s="178"/>
      <c r="K49" s="178">
        <v>2670</v>
      </c>
      <c r="L49" s="178">
        <f t="shared" ref="L49" si="25">K49</f>
        <v>2670</v>
      </c>
      <c r="M49" s="179" t="s">
        <v>418</v>
      </c>
    </row>
    <row r="50" spans="1:13" ht="15" customHeight="1" x14ac:dyDescent="0.25">
      <c r="A50" s="176" t="s">
        <v>475</v>
      </c>
      <c r="B50" s="177" t="s">
        <v>14</v>
      </c>
      <c r="C50" s="178">
        <v>6086</v>
      </c>
      <c r="D50" s="177" t="s">
        <v>16</v>
      </c>
      <c r="E50" s="177" t="s">
        <v>17</v>
      </c>
      <c r="F50" s="178">
        <v>40</v>
      </c>
      <c r="G50" s="222">
        <v>0.7629999999999999</v>
      </c>
      <c r="H50" s="225">
        <f t="shared" ref="H50" si="26">F50*G50</f>
        <v>30.519999999999996</v>
      </c>
      <c r="I50" s="178">
        <v>42</v>
      </c>
      <c r="J50" s="178">
        <v>2</v>
      </c>
      <c r="K50" s="178">
        <f>F50*I50</f>
        <v>1680</v>
      </c>
      <c r="L50" s="178">
        <f>K50*J50</f>
        <v>3360</v>
      </c>
      <c r="M50" s="179" t="s">
        <v>22</v>
      </c>
    </row>
    <row r="51" spans="1:13" ht="15" customHeight="1" x14ac:dyDescent="0.25">
      <c r="A51" s="176" t="s">
        <v>475</v>
      </c>
      <c r="B51" s="177" t="s">
        <v>14</v>
      </c>
      <c r="C51" s="178">
        <v>12028</v>
      </c>
      <c r="D51" s="177" t="s">
        <v>16</v>
      </c>
      <c r="E51" s="177" t="s">
        <v>17</v>
      </c>
      <c r="F51" s="178">
        <v>65</v>
      </c>
      <c r="G51" s="178">
        <v>0.67500000000000004</v>
      </c>
      <c r="H51" s="225">
        <f>G51*F51</f>
        <v>43.875</v>
      </c>
      <c r="I51" s="178">
        <v>42</v>
      </c>
      <c r="J51" s="178">
        <v>4</v>
      </c>
      <c r="K51" s="178">
        <f t="shared" ref="K51" si="27">F51*I51</f>
        <v>2730</v>
      </c>
      <c r="L51" s="178">
        <f>K51*J51</f>
        <v>10920</v>
      </c>
      <c r="M51" s="179" t="s">
        <v>18</v>
      </c>
    </row>
    <row r="52" spans="1:13" ht="15" customHeight="1" x14ac:dyDescent="0.25">
      <c r="A52" s="176" t="s">
        <v>475</v>
      </c>
      <c r="B52" s="177" t="s">
        <v>14</v>
      </c>
      <c r="C52" s="178" t="s">
        <v>51</v>
      </c>
      <c r="D52" s="208" t="s">
        <v>52</v>
      </c>
      <c r="E52" s="177" t="s">
        <v>17</v>
      </c>
      <c r="F52" s="178">
        <v>83</v>
      </c>
      <c r="G52" s="178">
        <v>0.20499999999999999</v>
      </c>
      <c r="H52" s="225">
        <f t="shared" ref="H52" si="28">F52*G52</f>
        <v>17.015000000000001</v>
      </c>
      <c r="I52" s="178">
        <v>28</v>
      </c>
      <c r="J52" s="178">
        <v>4</v>
      </c>
      <c r="K52" s="178">
        <f>F52*I52</f>
        <v>2324</v>
      </c>
      <c r="L52" s="178">
        <f t="shared" ref="L52" si="29">K52*J52</f>
        <v>9296</v>
      </c>
      <c r="M52" s="179" t="s">
        <v>37</v>
      </c>
    </row>
    <row r="53" spans="1:13" ht="15" customHeight="1" x14ac:dyDescent="0.25">
      <c r="A53" s="176" t="s">
        <v>475</v>
      </c>
      <c r="B53" s="177" t="s">
        <v>14</v>
      </c>
      <c r="C53" s="178">
        <v>1411</v>
      </c>
      <c r="D53" s="177" t="s">
        <v>414</v>
      </c>
      <c r="E53" s="177" t="s">
        <v>21</v>
      </c>
      <c r="F53" s="178">
        <v>116</v>
      </c>
      <c r="G53" s="221">
        <v>1.1297187499999997</v>
      </c>
      <c r="H53" s="225">
        <f>G53*F53</f>
        <v>131.04737499999996</v>
      </c>
      <c r="I53" s="178">
        <v>20</v>
      </c>
      <c r="J53" s="178">
        <v>1</v>
      </c>
      <c r="K53" s="178">
        <f>F53*I53</f>
        <v>2320</v>
      </c>
      <c r="L53" s="178">
        <f>K53*J53</f>
        <v>2320</v>
      </c>
      <c r="M53" s="179" t="s">
        <v>413</v>
      </c>
    </row>
    <row r="54" spans="1:13" ht="15" customHeight="1" x14ac:dyDescent="0.25">
      <c r="A54" s="176" t="s">
        <v>475</v>
      </c>
      <c r="B54" s="177" t="s">
        <v>14</v>
      </c>
      <c r="C54" s="178" t="s">
        <v>408</v>
      </c>
      <c r="D54" s="177" t="s">
        <v>409</v>
      </c>
      <c r="E54" s="177" t="s">
        <v>21</v>
      </c>
      <c r="F54" s="178">
        <v>80</v>
      </c>
      <c r="G54" s="221">
        <v>0.77037500000000014</v>
      </c>
      <c r="H54" s="225">
        <v>0</v>
      </c>
      <c r="I54" s="178">
        <v>30</v>
      </c>
      <c r="J54" s="178">
        <v>1</v>
      </c>
      <c r="K54" s="178">
        <f>F54*I54</f>
        <v>2400</v>
      </c>
      <c r="L54" s="178">
        <f t="shared" ref="L54" si="30">K54*J54</f>
        <v>2400</v>
      </c>
      <c r="M54" s="179" t="s">
        <v>405</v>
      </c>
    </row>
    <row r="55" spans="1:13" ht="15" customHeight="1" x14ac:dyDescent="0.25">
      <c r="A55" s="176" t="s">
        <v>475</v>
      </c>
      <c r="B55" s="177" t="s">
        <v>14</v>
      </c>
      <c r="C55" s="178" t="s">
        <v>408</v>
      </c>
      <c r="D55" s="177" t="s">
        <v>409</v>
      </c>
      <c r="E55" s="177" t="s">
        <v>25</v>
      </c>
      <c r="F55" s="178"/>
      <c r="G55" s="178"/>
      <c r="H55" s="225"/>
      <c r="I55" s="178"/>
      <c r="J55" s="178"/>
      <c r="K55" s="178">
        <v>1550</v>
      </c>
      <c r="L55" s="178">
        <v>4500</v>
      </c>
      <c r="M55" s="179" t="s">
        <v>37</v>
      </c>
    </row>
    <row r="56" spans="1:13" ht="15" customHeight="1" x14ac:dyDescent="0.25">
      <c r="A56" s="176" t="s">
        <v>476</v>
      </c>
      <c r="B56" s="177" t="s">
        <v>14</v>
      </c>
      <c r="C56" s="178" t="s">
        <v>443</v>
      </c>
      <c r="D56" s="177"/>
      <c r="E56" s="177" t="s">
        <v>21</v>
      </c>
      <c r="F56" s="178">
        <v>70</v>
      </c>
      <c r="G56" s="221">
        <v>0.98261249999999978</v>
      </c>
      <c r="H56" s="225">
        <f>G56*F56</f>
        <v>68.78287499999999</v>
      </c>
      <c r="I56" s="178">
        <v>28</v>
      </c>
      <c r="J56" s="178">
        <v>1</v>
      </c>
      <c r="K56" s="178">
        <f t="shared" ref="K56" si="31">F56*I56</f>
        <v>1960</v>
      </c>
      <c r="L56" s="178">
        <f t="shared" ref="L56" si="32">K56*J56</f>
        <v>1960</v>
      </c>
      <c r="M56" s="179" t="s">
        <v>277</v>
      </c>
    </row>
    <row r="57" spans="1:13" ht="15" customHeight="1" x14ac:dyDescent="0.25">
      <c r="A57" s="176" t="s">
        <v>476</v>
      </c>
      <c r="B57" s="177" t="s">
        <v>14</v>
      </c>
      <c r="C57" s="178" t="s">
        <v>443</v>
      </c>
      <c r="D57" s="177"/>
      <c r="E57" s="177" t="s">
        <v>25</v>
      </c>
      <c r="F57" s="178"/>
      <c r="G57" s="178"/>
      <c r="H57" s="225"/>
      <c r="I57" s="178"/>
      <c r="J57" s="178"/>
      <c r="K57" s="178">
        <v>2400</v>
      </c>
      <c r="L57" s="178">
        <f t="shared" ref="L57" si="33">K57</f>
        <v>2400</v>
      </c>
      <c r="M57" s="179" t="s">
        <v>418</v>
      </c>
    </row>
    <row r="58" spans="1:13" ht="15" customHeight="1" x14ac:dyDescent="0.25">
      <c r="A58" s="176" t="s">
        <v>476</v>
      </c>
      <c r="B58" s="177" t="s">
        <v>14</v>
      </c>
      <c r="C58" s="178" t="s">
        <v>408</v>
      </c>
      <c r="D58" s="177" t="s">
        <v>409</v>
      </c>
      <c r="E58" s="177" t="s">
        <v>21</v>
      </c>
      <c r="F58" s="178">
        <v>215</v>
      </c>
      <c r="G58" s="221">
        <v>0.77037500000000014</v>
      </c>
      <c r="H58" s="225">
        <v>0</v>
      </c>
      <c r="I58" s="178">
        <v>30</v>
      </c>
      <c r="J58" s="178">
        <v>1</v>
      </c>
      <c r="K58" s="178">
        <f>F58*I58</f>
        <v>6450</v>
      </c>
      <c r="L58" s="178">
        <f t="shared" ref="L58" si="34">K58*J58</f>
        <v>6450</v>
      </c>
      <c r="M58" s="179" t="s">
        <v>405</v>
      </c>
    </row>
    <row r="59" spans="1:13" ht="15" customHeight="1" x14ac:dyDescent="0.25">
      <c r="A59" s="176" t="s">
        <v>476</v>
      </c>
      <c r="B59" s="177" t="s">
        <v>14</v>
      </c>
      <c r="C59" s="178" t="s">
        <v>408</v>
      </c>
      <c r="D59" s="177" t="s">
        <v>409</v>
      </c>
      <c r="E59" s="177" t="s">
        <v>25</v>
      </c>
      <c r="F59" s="178"/>
      <c r="G59" s="178"/>
      <c r="H59" s="225"/>
      <c r="I59" s="178"/>
      <c r="J59" s="178"/>
      <c r="K59" s="178">
        <v>5000</v>
      </c>
      <c r="L59" s="178">
        <v>4500</v>
      </c>
      <c r="M59" s="179" t="s">
        <v>37</v>
      </c>
    </row>
    <row r="60" spans="1:13" ht="15" customHeight="1" x14ac:dyDescent="0.25">
      <c r="A60" s="176" t="s">
        <v>476</v>
      </c>
      <c r="B60" s="212" t="s">
        <v>23</v>
      </c>
      <c r="C60" s="178">
        <v>66772</v>
      </c>
      <c r="D60" s="177" t="s">
        <v>34</v>
      </c>
      <c r="E60" s="201" t="s">
        <v>35</v>
      </c>
      <c r="F60" s="178"/>
      <c r="G60" s="181" t="s">
        <v>77</v>
      </c>
      <c r="H60" s="225"/>
      <c r="I60" s="178"/>
      <c r="J60" s="178"/>
      <c r="K60" s="178">
        <v>5000</v>
      </c>
      <c r="L60" s="178">
        <f t="shared" ref="L60:L61" si="35">K60</f>
        <v>5000</v>
      </c>
      <c r="M60" s="179" t="s">
        <v>179</v>
      </c>
    </row>
    <row r="61" spans="1:13" ht="15" customHeight="1" x14ac:dyDescent="0.25">
      <c r="A61" s="176" t="s">
        <v>476</v>
      </c>
      <c r="B61" s="212" t="s">
        <v>23</v>
      </c>
      <c r="C61" s="178">
        <v>66772</v>
      </c>
      <c r="D61" s="177" t="s">
        <v>34</v>
      </c>
      <c r="E61" s="177" t="s">
        <v>39</v>
      </c>
      <c r="F61" s="178"/>
      <c r="G61" s="181" t="s">
        <v>36</v>
      </c>
      <c r="H61" s="225"/>
      <c r="I61" s="178"/>
      <c r="J61" s="178"/>
      <c r="K61" s="178">
        <v>3200</v>
      </c>
      <c r="L61" s="178">
        <f t="shared" si="35"/>
        <v>3200</v>
      </c>
      <c r="M61" s="179" t="s">
        <v>277</v>
      </c>
    </row>
    <row r="62" spans="1:13" ht="15" customHeight="1" x14ac:dyDescent="0.25">
      <c r="A62" s="176" t="s">
        <v>476</v>
      </c>
      <c r="B62" s="212" t="s">
        <v>23</v>
      </c>
      <c r="C62" s="178">
        <v>66772</v>
      </c>
      <c r="D62" s="177" t="s">
        <v>34</v>
      </c>
      <c r="E62" s="204" t="s">
        <v>30</v>
      </c>
      <c r="F62" s="178"/>
      <c r="G62" s="181" t="s">
        <v>78</v>
      </c>
      <c r="H62" s="225"/>
      <c r="I62" s="178"/>
      <c r="J62" s="178"/>
      <c r="K62" s="178">
        <v>650</v>
      </c>
      <c r="L62" s="178">
        <f>K62</f>
        <v>650</v>
      </c>
      <c r="M62" s="179" t="s">
        <v>405</v>
      </c>
    </row>
    <row r="63" spans="1:13" ht="15" customHeight="1" x14ac:dyDescent="0.25">
      <c r="A63" s="176" t="s">
        <v>476</v>
      </c>
      <c r="B63" s="177" t="s">
        <v>14</v>
      </c>
      <c r="C63" s="178" t="s">
        <v>51</v>
      </c>
      <c r="D63" s="208" t="s">
        <v>52</v>
      </c>
      <c r="E63" s="177" t="s">
        <v>17</v>
      </c>
      <c r="F63" s="178">
        <v>81</v>
      </c>
      <c r="G63" s="178">
        <v>0.20499999999999999</v>
      </c>
      <c r="H63" s="225">
        <f t="shared" ref="H63" si="36">F63*G63</f>
        <v>16.605</v>
      </c>
      <c r="I63" s="178">
        <v>28</v>
      </c>
      <c r="J63" s="178">
        <v>4</v>
      </c>
      <c r="K63" s="178">
        <f>F63*I63</f>
        <v>2268</v>
      </c>
      <c r="L63" s="178">
        <f t="shared" ref="L63:L64" si="37">K63*J63</f>
        <v>9072</v>
      </c>
      <c r="M63" s="179" t="s">
        <v>37</v>
      </c>
    </row>
    <row r="64" spans="1:13" ht="15" customHeight="1" x14ac:dyDescent="0.25">
      <c r="A64" s="176" t="s">
        <v>476</v>
      </c>
      <c r="B64" s="177" t="s">
        <v>14</v>
      </c>
      <c r="C64" s="178" t="s">
        <v>452</v>
      </c>
      <c r="D64" s="177"/>
      <c r="E64" s="177" t="s">
        <v>21</v>
      </c>
      <c r="F64" s="178">
        <v>90</v>
      </c>
      <c r="G64" s="221">
        <v>0.34062500000000001</v>
      </c>
      <c r="H64" s="225">
        <f>F64*G64</f>
        <v>30.65625</v>
      </c>
      <c r="I64" s="178">
        <v>23</v>
      </c>
      <c r="J64" s="178">
        <v>1</v>
      </c>
      <c r="K64" s="178">
        <f>F64*I64</f>
        <v>2070</v>
      </c>
      <c r="L64" s="178">
        <f t="shared" si="37"/>
        <v>2070</v>
      </c>
      <c r="M64" s="179" t="s">
        <v>179</v>
      </c>
    </row>
    <row r="65" spans="1:13" ht="15" customHeight="1" x14ac:dyDescent="0.25">
      <c r="A65" s="176" t="s">
        <v>476</v>
      </c>
      <c r="B65" s="218" t="s">
        <v>477</v>
      </c>
      <c r="C65" s="218">
        <v>88327</v>
      </c>
      <c r="D65" s="177" t="s">
        <v>478</v>
      </c>
      <c r="E65" s="177" t="s">
        <v>21</v>
      </c>
      <c r="F65" s="178"/>
      <c r="G65" s="178"/>
      <c r="H65" s="225"/>
      <c r="I65" s="178"/>
      <c r="J65" s="178"/>
      <c r="K65" s="178">
        <v>5375</v>
      </c>
      <c r="L65" s="178">
        <f>K65</f>
        <v>5375</v>
      </c>
      <c r="M65" s="219" t="s">
        <v>413</v>
      </c>
    </row>
    <row r="66" spans="1:13" ht="15" customHeight="1" x14ac:dyDescent="0.25">
      <c r="A66" s="176" t="s">
        <v>479</v>
      </c>
      <c r="B66" s="218" t="s">
        <v>477</v>
      </c>
      <c r="C66" s="218">
        <v>88327</v>
      </c>
      <c r="D66" s="177" t="s">
        <v>478</v>
      </c>
      <c r="E66" s="177" t="s">
        <v>21</v>
      </c>
      <c r="F66" s="178"/>
      <c r="G66" s="178"/>
      <c r="H66" s="225"/>
      <c r="I66" s="178"/>
      <c r="J66" s="178"/>
      <c r="K66" s="178">
        <v>5380</v>
      </c>
      <c r="L66" s="178">
        <f>K66</f>
        <v>5380</v>
      </c>
      <c r="M66" s="219" t="s">
        <v>413</v>
      </c>
    </row>
    <row r="67" spans="1:13" ht="15" customHeight="1" x14ac:dyDescent="0.25">
      <c r="A67" s="176" t="s">
        <v>479</v>
      </c>
      <c r="B67" s="177" t="s">
        <v>14</v>
      </c>
      <c r="C67" s="178" t="s">
        <v>452</v>
      </c>
      <c r="D67" s="177"/>
      <c r="E67" s="177" t="s">
        <v>21</v>
      </c>
      <c r="F67" s="178">
        <v>223</v>
      </c>
      <c r="G67" s="221">
        <v>0.34062500000000001</v>
      </c>
      <c r="H67" s="225">
        <f>F67*G67</f>
        <v>75.959375000000009</v>
      </c>
      <c r="I67" s="178">
        <v>23</v>
      </c>
      <c r="J67" s="178">
        <v>1</v>
      </c>
      <c r="K67" s="178">
        <f>F67*I67</f>
        <v>5129</v>
      </c>
      <c r="L67" s="178">
        <f t="shared" ref="L67:L68" si="38">K67*J67</f>
        <v>5129</v>
      </c>
      <c r="M67" s="179" t="s">
        <v>179</v>
      </c>
    </row>
    <row r="68" spans="1:13" ht="15" customHeight="1" x14ac:dyDescent="0.25">
      <c r="A68" s="176" t="s">
        <v>479</v>
      </c>
      <c r="B68" s="177" t="s">
        <v>14</v>
      </c>
      <c r="C68" s="178" t="s">
        <v>408</v>
      </c>
      <c r="D68" s="177" t="s">
        <v>409</v>
      </c>
      <c r="E68" s="177" t="s">
        <v>21</v>
      </c>
      <c r="F68" s="178">
        <v>198</v>
      </c>
      <c r="G68" s="221">
        <v>0.77037500000000014</v>
      </c>
      <c r="H68" s="225">
        <v>0</v>
      </c>
      <c r="I68" s="178">
        <v>30</v>
      </c>
      <c r="J68" s="178">
        <v>1</v>
      </c>
      <c r="K68" s="178">
        <f>F68*I68</f>
        <v>5940</v>
      </c>
      <c r="L68" s="178">
        <f t="shared" si="38"/>
        <v>5940</v>
      </c>
      <c r="M68" s="179" t="s">
        <v>405</v>
      </c>
    </row>
    <row r="69" spans="1:13" ht="15" customHeight="1" x14ac:dyDescent="0.25">
      <c r="A69" s="176" t="s">
        <v>479</v>
      </c>
      <c r="B69" s="177" t="s">
        <v>14</v>
      </c>
      <c r="C69" s="178" t="s">
        <v>408</v>
      </c>
      <c r="D69" s="177" t="s">
        <v>409</v>
      </c>
      <c r="E69" s="177" t="s">
        <v>25</v>
      </c>
      <c r="F69" s="178"/>
      <c r="G69" s="178"/>
      <c r="H69" s="225"/>
      <c r="I69" s="178"/>
      <c r="J69" s="178"/>
      <c r="K69" s="178">
        <v>4350</v>
      </c>
      <c r="L69" s="178">
        <f t="shared" ref="L69" si="39">K69</f>
        <v>4350</v>
      </c>
      <c r="M69" s="179" t="s">
        <v>37</v>
      </c>
    </row>
    <row r="70" spans="1:13" ht="15" customHeight="1" x14ac:dyDescent="0.25">
      <c r="A70" s="176" t="s">
        <v>479</v>
      </c>
      <c r="B70" s="177" t="s">
        <v>14</v>
      </c>
      <c r="C70" s="178">
        <v>6871</v>
      </c>
      <c r="D70" s="177" t="s">
        <v>16</v>
      </c>
      <c r="E70" s="177" t="s">
        <v>17</v>
      </c>
      <c r="F70" s="178">
        <v>11</v>
      </c>
      <c r="G70" s="178">
        <v>0.64</v>
      </c>
      <c r="H70" s="225">
        <f>G70*F70</f>
        <v>7.04</v>
      </c>
      <c r="I70" s="178">
        <v>70</v>
      </c>
      <c r="J70" s="178">
        <v>2</v>
      </c>
      <c r="K70" s="178">
        <f t="shared" ref="K70:K71" si="40">F70*I70</f>
        <v>770</v>
      </c>
      <c r="L70" s="178">
        <f t="shared" ref="L70:L71" si="41">K70*J70</f>
        <v>1540</v>
      </c>
      <c r="M70" s="179" t="s">
        <v>22</v>
      </c>
    </row>
    <row r="71" spans="1:13" ht="15" customHeight="1" x14ac:dyDescent="0.25">
      <c r="A71" s="176" t="s">
        <v>479</v>
      </c>
      <c r="B71" s="177" t="s">
        <v>14</v>
      </c>
      <c r="C71" s="178" t="s">
        <v>89</v>
      </c>
      <c r="D71" s="177" t="s">
        <v>90</v>
      </c>
      <c r="E71" s="177" t="s">
        <v>21</v>
      </c>
      <c r="F71" s="178">
        <v>102</v>
      </c>
      <c r="G71" s="178">
        <v>0.13500000000000001</v>
      </c>
      <c r="H71" s="225">
        <f t="shared" ref="H71" si="42">F71*G71</f>
        <v>13.770000000000001</v>
      </c>
      <c r="I71" s="178">
        <v>77</v>
      </c>
      <c r="J71" s="178">
        <v>1</v>
      </c>
      <c r="K71" s="178">
        <f t="shared" si="40"/>
        <v>7854</v>
      </c>
      <c r="L71" s="178">
        <f t="shared" si="41"/>
        <v>7854</v>
      </c>
      <c r="M71" s="179" t="s">
        <v>181</v>
      </c>
    </row>
    <row r="72" spans="1:13" ht="15" customHeight="1" x14ac:dyDescent="0.25">
      <c r="A72" s="176" t="s">
        <v>479</v>
      </c>
      <c r="B72" s="212" t="s">
        <v>23</v>
      </c>
      <c r="C72" s="178">
        <v>66772</v>
      </c>
      <c r="D72" s="177" t="s">
        <v>34</v>
      </c>
      <c r="E72" s="201" t="s">
        <v>35</v>
      </c>
      <c r="F72" s="178"/>
      <c r="G72" s="181" t="s">
        <v>77</v>
      </c>
      <c r="H72" s="225"/>
      <c r="I72" s="178"/>
      <c r="J72" s="178"/>
      <c r="K72" s="178">
        <v>5800</v>
      </c>
      <c r="L72" s="178">
        <f t="shared" ref="L72:L73" si="43">K72</f>
        <v>5800</v>
      </c>
      <c r="M72" s="179" t="s">
        <v>179</v>
      </c>
    </row>
    <row r="73" spans="1:13" ht="15" customHeight="1" x14ac:dyDescent="0.25">
      <c r="A73" s="176" t="s">
        <v>479</v>
      </c>
      <c r="B73" s="212" t="s">
        <v>23</v>
      </c>
      <c r="C73" s="178">
        <v>66772</v>
      </c>
      <c r="D73" s="177" t="s">
        <v>34</v>
      </c>
      <c r="E73" s="177" t="s">
        <v>39</v>
      </c>
      <c r="F73" s="178"/>
      <c r="G73" s="181" t="s">
        <v>36</v>
      </c>
      <c r="H73" s="225"/>
      <c r="I73" s="178"/>
      <c r="J73" s="178"/>
      <c r="K73" s="178">
        <v>6800</v>
      </c>
      <c r="L73" s="178">
        <f t="shared" si="43"/>
        <v>6800</v>
      </c>
      <c r="M73" s="179" t="s">
        <v>277</v>
      </c>
    </row>
    <row r="74" spans="1:13" ht="15" customHeight="1" x14ac:dyDescent="0.25">
      <c r="A74" s="176" t="s">
        <v>479</v>
      </c>
      <c r="B74" s="212" t="s">
        <v>23</v>
      </c>
      <c r="C74" s="178">
        <v>66772</v>
      </c>
      <c r="D74" s="177" t="s">
        <v>34</v>
      </c>
      <c r="E74" s="204" t="s">
        <v>30</v>
      </c>
      <c r="F74" s="178"/>
      <c r="G74" s="181" t="s">
        <v>78</v>
      </c>
      <c r="H74" s="225"/>
      <c r="I74" s="178"/>
      <c r="J74" s="178"/>
      <c r="K74" s="178">
        <v>6300</v>
      </c>
      <c r="L74" s="178">
        <f>K74</f>
        <v>6300</v>
      </c>
      <c r="M74" s="179" t="s">
        <v>405</v>
      </c>
    </row>
    <row r="75" spans="1:13" ht="15" customHeight="1" x14ac:dyDescent="0.25">
      <c r="A75" s="176" t="s">
        <v>479</v>
      </c>
      <c r="B75" s="177" t="s">
        <v>14</v>
      </c>
      <c r="C75" s="178">
        <v>6086</v>
      </c>
      <c r="D75" s="177" t="s">
        <v>16</v>
      </c>
      <c r="E75" s="177" t="s">
        <v>17</v>
      </c>
      <c r="F75" s="178">
        <v>61</v>
      </c>
      <c r="G75" s="222">
        <v>0.7629999999999999</v>
      </c>
      <c r="H75" s="225">
        <f t="shared" ref="H75" si="44">F75*G75</f>
        <v>46.542999999999992</v>
      </c>
      <c r="I75" s="178">
        <v>42</v>
      </c>
      <c r="J75" s="178">
        <v>2</v>
      </c>
      <c r="K75" s="178">
        <f>F75*I75</f>
        <v>2562</v>
      </c>
      <c r="L75" s="178">
        <f>K75*J75</f>
        <v>5124</v>
      </c>
      <c r="M75" s="179" t="s">
        <v>22</v>
      </c>
    </row>
    <row r="76" spans="1:13" ht="15" customHeight="1" x14ac:dyDescent="0.25">
      <c r="A76" s="176" t="s">
        <v>480</v>
      </c>
      <c r="B76" s="177" t="s">
        <v>14</v>
      </c>
      <c r="C76" s="178" t="s">
        <v>452</v>
      </c>
      <c r="D76" s="177"/>
      <c r="E76" s="177" t="s">
        <v>21</v>
      </c>
      <c r="F76" s="178">
        <v>82</v>
      </c>
      <c r="G76" s="221">
        <v>0.34062500000000001</v>
      </c>
      <c r="H76" s="225">
        <f>F76*G76</f>
        <v>27.931250000000002</v>
      </c>
      <c r="I76" s="178">
        <v>23</v>
      </c>
      <c r="J76" s="178">
        <v>1</v>
      </c>
      <c r="K76" s="178">
        <f>F76*I76</f>
        <v>1886</v>
      </c>
      <c r="L76" s="178">
        <f t="shared" ref="L76:L77" si="45">K76*J76</f>
        <v>1886</v>
      </c>
      <c r="M76" s="179" t="s">
        <v>179</v>
      </c>
    </row>
    <row r="77" spans="1:13" ht="15" customHeight="1" x14ac:dyDescent="0.25">
      <c r="A77" s="176" t="s">
        <v>480</v>
      </c>
      <c r="B77" s="177" t="s">
        <v>14</v>
      </c>
      <c r="C77" s="178" t="s">
        <v>51</v>
      </c>
      <c r="D77" s="208" t="s">
        <v>52</v>
      </c>
      <c r="E77" s="177" t="s">
        <v>17</v>
      </c>
      <c r="F77" s="178">
        <v>133</v>
      </c>
      <c r="G77" s="178">
        <v>0.20499999999999999</v>
      </c>
      <c r="H77" s="225">
        <f t="shared" ref="H77:H79" si="46">F77*G77</f>
        <v>27.264999999999997</v>
      </c>
      <c r="I77" s="178">
        <v>28</v>
      </c>
      <c r="J77" s="178">
        <v>4</v>
      </c>
      <c r="K77" s="178">
        <f>F77*I77</f>
        <v>3724</v>
      </c>
      <c r="L77" s="178">
        <f t="shared" si="45"/>
        <v>14896</v>
      </c>
      <c r="M77" s="179" t="s">
        <v>277</v>
      </c>
    </row>
    <row r="78" spans="1:13" ht="15" customHeight="1" x14ac:dyDescent="0.25">
      <c r="A78" s="176" t="s">
        <v>480</v>
      </c>
      <c r="B78" s="177" t="s">
        <v>14</v>
      </c>
      <c r="C78" s="178">
        <v>6086</v>
      </c>
      <c r="D78" s="177" t="s">
        <v>16</v>
      </c>
      <c r="E78" s="177" t="s">
        <v>17</v>
      </c>
      <c r="F78" s="178">
        <v>59</v>
      </c>
      <c r="G78" s="222">
        <v>0.7629999999999999</v>
      </c>
      <c r="H78" s="225">
        <f t="shared" si="46"/>
        <v>45.016999999999996</v>
      </c>
      <c r="I78" s="178">
        <v>42</v>
      </c>
      <c r="J78" s="178">
        <v>2</v>
      </c>
      <c r="K78" s="178">
        <f>F78*I78</f>
        <v>2478</v>
      </c>
      <c r="L78" s="178">
        <f>K78*J78</f>
        <v>4956</v>
      </c>
      <c r="M78" s="179" t="s">
        <v>22</v>
      </c>
    </row>
    <row r="79" spans="1:13" ht="15" customHeight="1" x14ac:dyDescent="0.25">
      <c r="A79" s="176" t="s">
        <v>480</v>
      </c>
      <c r="B79" s="177" t="s">
        <v>14</v>
      </c>
      <c r="C79" s="178" t="s">
        <v>89</v>
      </c>
      <c r="D79" s="177" t="s">
        <v>90</v>
      </c>
      <c r="E79" s="177" t="s">
        <v>21</v>
      </c>
      <c r="F79" s="178">
        <v>148</v>
      </c>
      <c r="G79" s="178">
        <v>0.13500000000000001</v>
      </c>
      <c r="H79" s="225">
        <f t="shared" si="46"/>
        <v>19.98</v>
      </c>
      <c r="I79" s="178">
        <v>77</v>
      </c>
      <c r="J79" s="178">
        <v>1</v>
      </c>
      <c r="K79" s="178">
        <f t="shared" ref="K79" si="47">F79*I79</f>
        <v>11396</v>
      </c>
      <c r="L79" s="178">
        <f t="shared" ref="L79" si="48">K79*J79</f>
        <v>11396</v>
      </c>
      <c r="M79" s="179" t="s">
        <v>181</v>
      </c>
    </row>
    <row r="80" spans="1:13" ht="15" customHeight="1" x14ac:dyDescent="0.25">
      <c r="A80" s="176" t="s">
        <v>480</v>
      </c>
      <c r="B80" s="177" t="s">
        <v>14</v>
      </c>
      <c r="C80" s="178" t="s">
        <v>408</v>
      </c>
      <c r="D80" s="177" t="s">
        <v>409</v>
      </c>
      <c r="E80" s="177" t="s">
        <v>25</v>
      </c>
      <c r="F80" s="178"/>
      <c r="G80" s="178"/>
      <c r="H80" s="225"/>
      <c r="I80" s="178"/>
      <c r="J80" s="178"/>
      <c r="K80" s="178">
        <v>3700</v>
      </c>
      <c r="L80" s="178">
        <f t="shared" ref="L80:L82" si="49">K80</f>
        <v>3700</v>
      </c>
      <c r="M80" s="179" t="s">
        <v>37</v>
      </c>
    </row>
    <row r="81" spans="1:13" ht="15" customHeight="1" x14ac:dyDescent="0.25">
      <c r="A81" s="176" t="s">
        <v>480</v>
      </c>
      <c r="B81" s="212" t="s">
        <v>23</v>
      </c>
      <c r="C81" s="178">
        <v>66772</v>
      </c>
      <c r="D81" s="177" t="s">
        <v>34</v>
      </c>
      <c r="E81" s="201" t="s">
        <v>35</v>
      </c>
      <c r="F81" s="178"/>
      <c r="G81" s="181" t="s">
        <v>77</v>
      </c>
      <c r="H81" s="225"/>
      <c r="I81" s="178"/>
      <c r="J81" s="178"/>
      <c r="K81" s="178">
        <v>5150</v>
      </c>
      <c r="L81" s="178">
        <f t="shared" si="49"/>
        <v>5150</v>
      </c>
      <c r="M81" s="179" t="s">
        <v>179</v>
      </c>
    </row>
    <row r="82" spans="1:13" ht="15" customHeight="1" x14ac:dyDescent="0.25">
      <c r="A82" s="176" t="s">
        <v>480</v>
      </c>
      <c r="B82" s="212" t="s">
        <v>23</v>
      </c>
      <c r="C82" s="178">
        <v>66772</v>
      </c>
      <c r="D82" s="177" t="s">
        <v>34</v>
      </c>
      <c r="E82" s="177" t="s">
        <v>39</v>
      </c>
      <c r="F82" s="178"/>
      <c r="G82" s="181" t="s">
        <v>36</v>
      </c>
      <c r="H82" s="225"/>
      <c r="I82" s="178"/>
      <c r="J82" s="178"/>
      <c r="K82" s="178">
        <v>6200</v>
      </c>
      <c r="L82" s="178">
        <f t="shared" si="49"/>
        <v>6200</v>
      </c>
      <c r="M82" s="179" t="s">
        <v>277</v>
      </c>
    </row>
    <row r="83" spans="1:13" ht="15" customHeight="1" x14ac:dyDescent="0.25">
      <c r="A83" s="176" t="s">
        <v>480</v>
      </c>
      <c r="B83" s="212" t="s">
        <v>23</v>
      </c>
      <c r="C83" s="178">
        <v>66772</v>
      </c>
      <c r="D83" s="177" t="s">
        <v>34</v>
      </c>
      <c r="E83" s="204" t="s">
        <v>30</v>
      </c>
      <c r="F83" s="178"/>
      <c r="G83" s="181" t="s">
        <v>78</v>
      </c>
      <c r="H83" s="225"/>
      <c r="I83" s="178"/>
      <c r="J83" s="178"/>
      <c r="K83" s="178">
        <v>6700</v>
      </c>
      <c r="L83" s="178">
        <f>K83</f>
        <v>6700</v>
      </c>
      <c r="M83" s="179" t="s">
        <v>405</v>
      </c>
    </row>
    <row r="84" spans="1:13" ht="15" customHeight="1" x14ac:dyDescent="0.25">
      <c r="A84" s="176" t="s">
        <v>480</v>
      </c>
      <c r="B84" s="177" t="s">
        <v>14</v>
      </c>
      <c r="C84" s="178">
        <v>1411</v>
      </c>
      <c r="D84" s="177" t="s">
        <v>414</v>
      </c>
      <c r="E84" s="177" t="s">
        <v>21</v>
      </c>
      <c r="F84" s="178">
        <v>162</v>
      </c>
      <c r="G84" s="221">
        <v>1.1297187499999997</v>
      </c>
      <c r="H84" s="225">
        <f>G84*F84</f>
        <v>183.01443749999996</v>
      </c>
      <c r="I84" s="178">
        <v>20</v>
      </c>
      <c r="J84" s="178">
        <v>1</v>
      </c>
      <c r="K84" s="178">
        <f>F84*I84</f>
        <v>3240</v>
      </c>
      <c r="L84" s="178">
        <f>K84*J84</f>
        <v>3240</v>
      </c>
      <c r="M84" s="179" t="s">
        <v>413</v>
      </c>
    </row>
    <row r="85" spans="1:13" ht="15" customHeight="1" x14ac:dyDescent="0.25">
      <c r="A85" s="176" t="s">
        <v>480</v>
      </c>
      <c r="B85" s="177" t="s">
        <v>14</v>
      </c>
      <c r="C85" s="178" t="s">
        <v>407</v>
      </c>
      <c r="D85" s="177"/>
      <c r="E85" s="177" t="s">
        <v>21</v>
      </c>
      <c r="F85" s="178">
        <v>382</v>
      </c>
      <c r="G85" s="221">
        <v>0.48962500000000003</v>
      </c>
      <c r="H85" s="225">
        <f>G85*F85</f>
        <v>187.03675000000001</v>
      </c>
      <c r="I85" s="178">
        <v>17</v>
      </c>
      <c r="J85" s="178">
        <v>1</v>
      </c>
      <c r="K85" s="178">
        <f>F85*I85</f>
        <v>6494</v>
      </c>
      <c r="L85" s="178">
        <f>K85*J85</f>
        <v>6494</v>
      </c>
      <c r="M85" s="179" t="s">
        <v>277</v>
      </c>
    </row>
    <row r="86" spans="1:13" ht="15" customHeight="1" x14ac:dyDescent="0.25">
      <c r="A86" s="176" t="s">
        <v>480</v>
      </c>
      <c r="B86" s="177" t="s">
        <v>14</v>
      </c>
      <c r="C86" s="178" t="s">
        <v>192</v>
      </c>
      <c r="D86" s="177" t="s">
        <v>84</v>
      </c>
      <c r="E86" s="177" t="s">
        <v>21</v>
      </c>
      <c r="F86" s="178">
        <v>62</v>
      </c>
      <c r="G86" s="178">
        <v>0.42</v>
      </c>
      <c r="H86" s="225">
        <v>27.3</v>
      </c>
      <c r="I86" s="178">
        <v>66</v>
      </c>
      <c r="J86" s="178">
        <v>1</v>
      </c>
      <c r="K86" s="178">
        <f t="shared" ref="K86" si="50">F86*I86</f>
        <v>4092</v>
      </c>
      <c r="L86" s="178">
        <f>K86*J86</f>
        <v>4092</v>
      </c>
      <c r="M86" s="179" t="s">
        <v>22</v>
      </c>
    </row>
    <row r="87" spans="1:13" ht="15" customHeight="1" x14ac:dyDescent="0.25">
      <c r="A87" s="176" t="s">
        <v>481</v>
      </c>
      <c r="B87" s="212" t="s">
        <v>23</v>
      </c>
      <c r="C87" s="178">
        <v>66772</v>
      </c>
      <c r="D87" s="177" t="s">
        <v>34</v>
      </c>
      <c r="E87" s="201" t="s">
        <v>35</v>
      </c>
      <c r="F87" s="178"/>
      <c r="G87" s="181" t="s">
        <v>77</v>
      </c>
      <c r="H87" s="225"/>
      <c r="I87" s="178"/>
      <c r="J87" s="178"/>
      <c r="K87" s="178">
        <v>6800</v>
      </c>
      <c r="L87" s="178">
        <f t="shared" ref="L87:L88" si="51">K87</f>
        <v>6800</v>
      </c>
      <c r="M87" s="179" t="s">
        <v>179</v>
      </c>
    </row>
    <row r="88" spans="1:13" ht="15" customHeight="1" x14ac:dyDescent="0.25">
      <c r="A88" s="176" t="s">
        <v>481</v>
      </c>
      <c r="B88" s="212" t="s">
        <v>23</v>
      </c>
      <c r="C88" s="178">
        <v>66772</v>
      </c>
      <c r="D88" s="177" t="s">
        <v>34</v>
      </c>
      <c r="E88" s="177" t="s">
        <v>39</v>
      </c>
      <c r="F88" s="178"/>
      <c r="G88" s="181" t="s">
        <v>36</v>
      </c>
      <c r="H88" s="225"/>
      <c r="I88" s="178"/>
      <c r="J88" s="178"/>
      <c r="K88" s="178">
        <v>6100</v>
      </c>
      <c r="L88" s="178">
        <f t="shared" si="51"/>
        <v>6100</v>
      </c>
      <c r="M88" s="179" t="s">
        <v>277</v>
      </c>
    </row>
    <row r="89" spans="1:13" ht="15" customHeight="1" x14ac:dyDescent="0.25">
      <c r="A89" s="176" t="s">
        <v>481</v>
      </c>
      <c r="B89" s="212" t="s">
        <v>23</v>
      </c>
      <c r="C89" s="178">
        <v>66772</v>
      </c>
      <c r="D89" s="177" t="s">
        <v>34</v>
      </c>
      <c r="E89" s="204" t="s">
        <v>30</v>
      </c>
      <c r="F89" s="178"/>
      <c r="G89" s="181" t="s">
        <v>78</v>
      </c>
      <c r="H89" s="225"/>
      <c r="I89" s="178"/>
      <c r="J89" s="178"/>
      <c r="K89" s="178">
        <v>6300</v>
      </c>
      <c r="L89" s="178">
        <f>K89</f>
        <v>6300</v>
      </c>
      <c r="M89" s="179" t="s">
        <v>405</v>
      </c>
    </row>
    <row r="90" spans="1:13" ht="15" customHeight="1" x14ac:dyDescent="0.25">
      <c r="A90" s="176" t="s">
        <v>481</v>
      </c>
      <c r="B90" s="177" t="s">
        <v>14</v>
      </c>
      <c r="C90" s="178" t="s">
        <v>51</v>
      </c>
      <c r="D90" s="208" t="s">
        <v>52</v>
      </c>
      <c r="E90" s="177" t="s">
        <v>17</v>
      </c>
      <c r="F90" s="178">
        <v>34</v>
      </c>
      <c r="G90" s="178">
        <v>0.20499999999999999</v>
      </c>
      <c r="H90" s="225">
        <f t="shared" ref="H90:H91" si="52">F90*G90</f>
        <v>6.97</v>
      </c>
      <c r="I90" s="178">
        <v>28</v>
      </c>
      <c r="J90" s="178">
        <v>4</v>
      </c>
      <c r="K90" s="178">
        <f>F90*I90</f>
        <v>952</v>
      </c>
      <c r="L90" s="178">
        <f t="shared" ref="L90" si="53">K90*J90</f>
        <v>3808</v>
      </c>
      <c r="M90" s="179" t="s">
        <v>277</v>
      </c>
    </row>
    <row r="91" spans="1:13" ht="15" customHeight="1" x14ac:dyDescent="0.25">
      <c r="A91" s="176" t="s">
        <v>481</v>
      </c>
      <c r="B91" s="177" t="s">
        <v>14</v>
      </c>
      <c r="C91" s="178">
        <v>8200</v>
      </c>
      <c r="D91" s="177" t="s">
        <v>16</v>
      </c>
      <c r="E91" s="177" t="s">
        <v>17</v>
      </c>
      <c r="F91" s="178">
        <v>37</v>
      </c>
      <c r="G91" s="221">
        <v>0.7125999999999999</v>
      </c>
      <c r="H91" s="225">
        <f t="shared" si="52"/>
        <v>26.366199999999996</v>
      </c>
      <c r="I91" s="178">
        <v>60</v>
      </c>
      <c r="J91" s="178">
        <v>4</v>
      </c>
      <c r="K91" s="178">
        <f>F91*I91</f>
        <v>2220</v>
      </c>
      <c r="L91" s="178">
        <f>K91*J91</f>
        <v>8880</v>
      </c>
      <c r="M91" s="179" t="s">
        <v>277</v>
      </c>
    </row>
    <row r="92" spans="1:13" ht="15" customHeight="1" x14ac:dyDescent="0.25">
      <c r="A92" s="176" t="s">
        <v>481</v>
      </c>
      <c r="B92" s="177" t="s">
        <v>14</v>
      </c>
      <c r="C92" s="178" t="s">
        <v>407</v>
      </c>
      <c r="D92" s="177"/>
      <c r="E92" s="177" t="s">
        <v>21</v>
      </c>
      <c r="F92" s="178">
        <v>452</v>
      </c>
      <c r="G92" s="221">
        <v>0.48962500000000003</v>
      </c>
      <c r="H92" s="225">
        <f>G92*F92</f>
        <v>221.31050000000002</v>
      </c>
      <c r="I92" s="178">
        <v>17</v>
      </c>
      <c r="J92" s="178">
        <v>1</v>
      </c>
      <c r="K92" s="178">
        <f>F92*I92</f>
        <v>7684</v>
      </c>
      <c r="L92" s="178">
        <f>K92*J92</f>
        <v>7684</v>
      </c>
      <c r="M92" s="179" t="s">
        <v>277</v>
      </c>
    </row>
    <row r="93" spans="1:13" ht="15" customHeight="1" x14ac:dyDescent="0.25">
      <c r="A93" s="176" t="s">
        <v>481</v>
      </c>
      <c r="B93" s="177" t="s">
        <v>14</v>
      </c>
      <c r="C93" s="178" t="s">
        <v>417</v>
      </c>
      <c r="D93" s="177"/>
      <c r="E93" s="177" t="s">
        <v>21</v>
      </c>
      <c r="F93" s="178">
        <v>113</v>
      </c>
      <c r="G93" s="221">
        <v>0.63541875000000003</v>
      </c>
      <c r="H93" s="225">
        <f>G93*F93</f>
        <v>71.802318749999998</v>
      </c>
      <c r="I93" s="178">
        <v>31</v>
      </c>
      <c r="J93" s="178">
        <v>1</v>
      </c>
      <c r="K93" s="178">
        <f t="shared" ref="K93:K94" si="54">F93*I93</f>
        <v>3503</v>
      </c>
      <c r="L93" s="178">
        <f t="shared" ref="L93" si="55">K93*J93</f>
        <v>3503</v>
      </c>
      <c r="M93" s="179" t="s">
        <v>277</v>
      </c>
    </row>
    <row r="94" spans="1:13" ht="15" customHeight="1" x14ac:dyDescent="0.25">
      <c r="A94" s="176" t="s">
        <v>481</v>
      </c>
      <c r="B94" s="177" t="s">
        <v>14</v>
      </c>
      <c r="C94" s="178" t="s">
        <v>192</v>
      </c>
      <c r="D94" s="177" t="s">
        <v>84</v>
      </c>
      <c r="E94" s="177" t="s">
        <v>21</v>
      </c>
      <c r="F94" s="178">
        <v>100</v>
      </c>
      <c r="G94" s="178">
        <v>0.42</v>
      </c>
      <c r="H94" s="225">
        <v>27.3</v>
      </c>
      <c r="I94" s="178">
        <v>66</v>
      </c>
      <c r="J94" s="178">
        <v>1</v>
      </c>
      <c r="K94" s="178">
        <f t="shared" si="54"/>
        <v>6600</v>
      </c>
      <c r="L94" s="178">
        <f>K94*J94</f>
        <v>6600</v>
      </c>
      <c r="M94" s="179" t="s">
        <v>22</v>
      </c>
    </row>
    <row r="95" spans="1:13" ht="15" customHeight="1" x14ac:dyDescent="0.25">
      <c r="A95" s="176" t="s">
        <v>481</v>
      </c>
      <c r="B95" s="177" t="s">
        <v>14</v>
      </c>
      <c r="C95" s="178" t="s">
        <v>192</v>
      </c>
      <c r="D95" s="177" t="s">
        <v>84</v>
      </c>
      <c r="E95" s="177" t="s">
        <v>25</v>
      </c>
      <c r="F95" s="178"/>
      <c r="G95" s="178"/>
      <c r="H95" s="225"/>
      <c r="I95" s="178"/>
      <c r="J95" s="178"/>
      <c r="K95" s="178">
        <v>4000</v>
      </c>
      <c r="L95" s="178">
        <f t="shared" ref="L95" si="56">K95</f>
        <v>4000</v>
      </c>
      <c r="M95" s="179" t="s">
        <v>37</v>
      </c>
    </row>
    <row r="96" spans="1:13" ht="15" customHeight="1" x14ac:dyDescent="0.25">
      <c r="A96" s="176" t="s">
        <v>481</v>
      </c>
      <c r="B96" s="177" t="s">
        <v>14</v>
      </c>
      <c r="C96" s="178" t="s">
        <v>89</v>
      </c>
      <c r="D96" s="177" t="s">
        <v>90</v>
      </c>
      <c r="E96" s="177" t="s">
        <v>25</v>
      </c>
      <c r="F96" s="178"/>
      <c r="G96" s="178"/>
      <c r="H96" s="225"/>
      <c r="I96" s="178"/>
      <c r="J96" s="178"/>
      <c r="K96" s="178">
        <v>2850</v>
      </c>
      <c r="L96" s="178">
        <f>K96</f>
        <v>2850</v>
      </c>
      <c r="M96" s="179" t="s">
        <v>22</v>
      </c>
    </row>
    <row r="97" spans="1:13" ht="15" customHeight="1" x14ac:dyDescent="0.25">
      <c r="A97" s="176" t="s">
        <v>482</v>
      </c>
      <c r="B97" s="212" t="s">
        <v>23</v>
      </c>
      <c r="C97" s="178">
        <v>66772</v>
      </c>
      <c r="D97" s="177" t="s">
        <v>34</v>
      </c>
      <c r="E97" s="201" t="s">
        <v>35</v>
      </c>
      <c r="F97" s="178"/>
      <c r="G97" s="181" t="s">
        <v>77</v>
      </c>
      <c r="H97" s="225"/>
      <c r="I97" s="178"/>
      <c r="J97" s="178"/>
      <c r="K97" s="178">
        <v>7700</v>
      </c>
      <c r="L97" s="178">
        <f t="shared" ref="L97:L98" si="57">K97</f>
        <v>7700</v>
      </c>
      <c r="M97" s="179" t="s">
        <v>179</v>
      </c>
    </row>
    <row r="98" spans="1:13" ht="15" customHeight="1" x14ac:dyDescent="0.25">
      <c r="A98" s="176" t="s">
        <v>482</v>
      </c>
      <c r="B98" s="212" t="s">
        <v>23</v>
      </c>
      <c r="C98" s="178">
        <v>66772</v>
      </c>
      <c r="D98" s="177" t="s">
        <v>34</v>
      </c>
      <c r="E98" s="177" t="s">
        <v>39</v>
      </c>
      <c r="F98" s="178"/>
      <c r="G98" s="181" t="s">
        <v>36</v>
      </c>
      <c r="H98" s="225"/>
      <c r="I98" s="178"/>
      <c r="J98" s="178"/>
      <c r="K98" s="178">
        <v>7700</v>
      </c>
      <c r="L98" s="178">
        <f t="shared" si="57"/>
        <v>7700</v>
      </c>
      <c r="M98" s="179" t="s">
        <v>277</v>
      </c>
    </row>
    <row r="99" spans="1:13" ht="15" customHeight="1" x14ac:dyDescent="0.25">
      <c r="A99" s="176" t="s">
        <v>482</v>
      </c>
      <c r="B99" s="212" t="s">
        <v>23</v>
      </c>
      <c r="C99" s="178">
        <v>66772</v>
      </c>
      <c r="D99" s="177" t="s">
        <v>34</v>
      </c>
      <c r="E99" s="204" t="s">
        <v>30</v>
      </c>
      <c r="F99" s="178"/>
      <c r="G99" s="181" t="s">
        <v>78</v>
      </c>
      <c r="H99" s="225"/>
      <c r="I99" s="178"/>
      <c r="J99" s="178"/>
      <c r="K99" s="178">
        <v>7400</v>
      </c>
      <c r="L99" s="178">
        <f>K99</f>
        <v>7400</v>
      </c>
      <c r="M99" s="179" t="s">
        <v>405</v>
      </c>
    </row>
    <row r="100" spans="1:13" ht="15" customHeight="1" x14ac:dyDescent="0.25">
      <c r="A100" s="176" t="s">
        <v>482</v>
      </c>
      <c r="B100" s="177" t="s">
        <v>14</v>
      </c>
      <c r="C100" s="178">
        <v>8200</v>
      </c>
      <c r="D100" s="177" t="s">
        <v>16</v>
      </c>
      <c r="E100" s="177" t="s">
        <v>17</v>
      </c>
      <c r="F100" s="178">
        <v>89</v>
      </c>
      <c r="G100" s="221">
        <v>0.7125999999999999</v>
      </c>
      <c r="H100" s="225">
        <f t="shared" ref="H100" si="58">F100*G100</f>
        <v>63.421399999999991</v>
      </c>
      <c r="I100" s="178">
        <v>60</v>
      </c>
      <c r="J100" s="178">
        <v>4</v>
      </c>
      <c r="K100" s="178">
        <f>F100*I100</f>
        <v>5340</v>
      </c>
      <c r="L100" s="178">
        <f>K100*J100</f>
        <v>21360</v>
      </c>
      <c r="M100" s="179" t="s">
        <v>277</v>
      </c>
    </row>
    <row r="101" spans="1:13" ht="15" customHeight="1" x14ac:dyDescent="0.25">
      <c r="A101" s="176" t="s">
        <v>482</v>
      </c>
      <c r="B101" s="177" t="s">
        <v>14</v>
      </c>
      <c r="C101" s="178" t="s">
        <v>417</v>
      </c>
      <c r="D101" s="177"/>
      <c r="E101" s="177" t="s">
        <v>21</v>
      </c>
      <c r="F101" s="178">
        <v>21</v>
      </c>
      <c r="G101" s="221">
        <v>0.63541875000000003</v>
      </c>
      <c r="H101" s="225">
        <f>G101*F101</f>
        <v>13.343793750000001</v>
      </c>
      <c r="I101" s="178">
        <v>31</v>
      </c>
      <c r="J101" s="178">
        <v>1</v>
      </c>
      <c r="K101" s="178">
        <f t="shared" ref="K101" si="59">F101*I101</f>
        <v>651</v>
      </c>
      <c r="L101" s="178">
        <f t="shared" ref="L101" si="60">K101*J101</f>
        <v>651</v>
      </c>
      <c r="M101" s="179" t="s">
        <v>277</v>
      </c>
    </row>
    <row r="102" spans="1:13" ht="15" customHeight="1" x14ac:dyDescent="0.25">
      <c r="A102" s="176" t="s">
        <v>482</v>
      </c>
      <c r="B102" s="177" t="s">
        <v>14</v>
      </c>
      <c r="C102" s="178">
        <v>8283</v>
      </c>
      <c r="D102" s="177" t="s">
        <v>344</v>
      </c>
      <c r="E102" s="177" t="s">
        <v>25</v>
      </c>
      <c r="F102" s="178"/>
      <c r="G102" s="178"/>
      <c r="H102" s="225"/>
      <c r="I102" s="178"/>
      <c r="J102" s="178"/>
      <c r="K102" s="178">
        <v>5800</v>
      </c>
      <c r="L102" s="178">
        <f>K102</f>
        <v>5800</v>
      </c>
      <c r="M102" s="179" t="s">
        <v>179</v>
      </c>
    </row>
    <row r="103" spans="1:13" ht="15" customHeight="1" x14ac:dyDescent="0.25">
      <c r="A103" s="176" t="s">
        <v>482</v>
      </c>
      <c r="B103" s="177" t="s">
        <v>14</v>
      </c>
      <c r="C103" s="178" t="s">
        <v>89</v>
      </c>
      <c r="D103" s="177" t="s">
        <v>90</v>
      </c>
      <c r="E103" s="177" t="s">
        <v>25</v>
      </c>
      <c r="F103" s="178"/>
      <c r="G103" s="178"/>
      <c r="H103" s="225"/>
      <c r="I103" s="178"/>
      <c r="J103" s="178"/>
      <c r="K103" s="178">
        <v>2860</v>
      </c>
      <c r="L103" s="178">
        <f>K103</f>
        <v>2860</v>
      </c>
      <c r="M103" s="179" t="s">
        <v>22</v>
      </c>
    </row>
    <row r="104" spans="1:13" ht="15" customHeight="1" x14ac:dyDescent="0.25">
      <c r="A104" s="176" t="s">
        <v>482</v>
      </c>
      <c r="B104" s="177" t="s">
        <v>14</v>
      </c>
      <c r="C104" s="178" t="s">
        <v>192</v>
      </c>
      <c r="D104" s="177" t="s">
        <v>84</v>
      </c>
      <c r="E104" s="177" t="s">
        <v>25</v>
      </c>
      <c r="F104" s="178"/>
      <c r="G104" s="178"/>
      <c r="H104" s="225"/>
      <c r="I104" s="178"/>
      <c r="J104" s="178"/>
      <c r="K104" s="178">
        <v>6000</v>
      </c>
      <c r="L104" s="178">
        <f t="shared" ref="L104:L106" si="61">K104</f>
        <v>6000</v>
      </c>
      <c r="M104" s="179" t="s">
        <v>37</v>
      </c>
    </row>
    <row r="105" spans="1:13" ht="15" customHeight="1" x14ac:dyDescent="0.25">
      <c r="A105" s="176" t="s">
        <v>483</v>
      </c>
      <c r="B105" s="212" t="s">
        <v>23</v>
      </c>
      <c r="C105" s="178">
        <v>66772</v>
      </c>
      <c r="D105" s="177" t="s">
        <v>34</v>
      </c>
      <c r="E105" s="201" t="s">
        <v>35</v>
      </c>
      <c r="F105" s="178"/>
      <c r="G105" s="181" t="s">
        <v>77</v>
      </c>
      <c r="H105" s="225"/>
      <c r="I105" s="178"/>
      <c r="J105" s="178"/>
      <c r="K105" s="178">
        <v>1300</v>
      </c>
      <c r="L105" s="178">
        <f t="shared" si="61"/>
        <v>1300</v>
      </c>
      <c r="M105" s="179" t="s">
        <v>179</v>
      </c>
    </row>
    <row r="106" spans="1:13" ht="15" customHeight="1" x14ac:dyDescent="0.25">
      <c r="A106" s="176" t="s">
        <v>483</v>
      </c>
      <c r="B106" s="212" t="s">
        <v>23</v>
      </c>
      <c r="C106" s="178">
        <v>66772</v>
      </c>
      <c r="D106" s="177" t="s">
        <v>34</v>
      </c>
      <c r="E106" s="177" t="s">
        <v>39</v>
      </c>
      <c r="F106" s="178"/>
      <c r="G106" s="181" t="s">
        <v>36</v>
      </c>
      <c r="H106" s="225"/>
      <c r="I106" s="178"/>
      <c r="J106" s="178"/>
      <c r="K106" s="178">
        <v>1200</v>
      </c>
      <c r="L106" s="178">
        <f t="shared" si="61"/>
        <v>1200</v>
      </c>
      <c r="M106" s="179" t="s">
        <v>277</v>
      </c>
    </row>
    <row r="107" spans="1:13" ht="15" customHeight="1" x14ac:dyDescent="0.25">
      <c r="A107" s="176" t="s">
        <v>483</v>
      </c>
      <c r="B107" s="212" t="s">
        <v>23</v>
      </c>
      <c r="C107" s="178">
        <v>66772</v>
      </c>
      <c r="D107" s="177" t="s">
        <v>34</v>
      </c>
      <c r="E107" s="204" t="s">
        <v>30</v>
      </c>
      <c r="F107" s="178"/>
      <c r="G107" s="181" t="s">
        <v>78</v>
      </c>
      <c r="H107" s="225"/>
      <c r="I107" s="178"/>
      <c r="J107" s="178"/>
      <c r="K107" s="178">
        <v>1300</v>
      </c>
      <c r="L107" s="178">
        <f>K107</f>
        <v>1300</v>
      </c>
      <c r="M107" s="179" t="s">
        <v>405</v>
      </c>
    </row>
    <row r="108" spans="1:13" ht="15" customHeight="1" x14ac:dyDescent="0.25">
      <c r="A108" s="176" t="s">
        <v>483</v>
      </c>
      <c r="B108" s="177" t="s">
        <v>14</v>
      </c>
      <c r="C108" s="178">
        <v>8283</v>
      </c>
      <c r="D108" s="177" t="s">
        <v>344</v>
      </c>
      <c r="E108" s="177" t="s">
        <v>25</v>
      </c>
      <c r="F108" s="178"/>
      <c r="G108" s="178"/>
      <c r="H108" s="225"/>
      <c r="I108" s="178"/>
      <c r="J108" s="178"/>
      <c r="K108" s="178">
        <v>4500</v>
      </c>
      <c r="L108" s="178">
        <f>K108</f>
        <v>4500</v>
      </c>
      <c r="M108" s="179" t="s">
        <v>179</v>
      </c>
    </row>
    <row r="109" spans="1:13" ht="15" customHeight="1" x14ac:dyDescent="0.25">
      <c r="A109" s="176" t="s">
        <v>483</v>
      </c>
      <c r="B109" s="177" t="s">
        <v>14</v>
      </c>
      <c r="C109" s="178" t="s">
        <v>89</v>
      </c>
      <c r="D109" s="177" t="s">
        <v>90</v>
      </c>
      <c r="E109" s="177" t="s">
        <v>25</v>
      </c>
      <c r="F109" s="178"/>
      <c r="G109" s="178"/>
      <c r="H109" s="225"/>
      <c r="I109" s="178"/>
      <c r="J109" s="178"/>
      <c r="K109" s="178">
        <v>4000</v>
      </c>
      <c r="L109" s="178">
        <f>K109</f>
        <v>4000</v>
      </c>
      <c r="M109" s="179" t="s">
        <v>22</v>
      </c>
    </row>
    <row r="110" spans="1:13" ht="15" customHeight="1" x14ac:dyDescent="0.25">
      <c r="A110" s="176" t="s">
        <v>483</v>
      </c>
      <c r="B110" s="177" t="s">
        <v>14</v>
      </c>
      <c r="C110" s="178" t="s">
        <v>192</v>
      </c>
      <c r="D110" s="177" t="s">
        <v>84</v>
      </c>
      <c r="E110" s="177" t="s">
        <v>25</v>
      </c>
      <c r="F110" s="178"/>
      <c r="G110" s="178"/>
      <c r="H110" s="225"/>
      <c r="I110" s="178"/>
      <c r="J110" s="178"/>
      <c r="K110" s="178">
        <v>700</v>
      </c>
      <c r="L110" s="178">
        <f t="shared" ref="L110" si="62">K110</f>
        <v>700</v>
      </c>
      <c r="M110" s="179" t="s">
        <v>37</v>
      </c>
    </row>
    <row r="111" spans="1:13" ht="15" customHeight="1" x14ac:dyDescent="0.25">
      <c r="A111" s="176" t="s">
        <v>483</v>
      </c>
      <c r="B111" s="177" t="s">
        <v>14</v>
      </c>
      <c r="C111" s="178">
        <v>6871</v>
      </c>
      <c r="D111" s="177" t="s">
        <v>16</v>
      </c>
      <c r="E111" s="177" t="s">
        <v>17</v>
      </c>
      <c r="F111" s="178">
        <v>15</v>
      </c>
      <c r="G111" s="178">
        <v>0.64</v>
      </c>
      <c r="H111" s="225">
        <f>G111*F111</f>
        <v>9.6</v>
      </c>
      <c r="I111" s="178">
        <v>70</v>
      </c>
      <c r="J111" s="178">
        <v>2</v>
      </c>
      <c r="K111" s="178">
        <f t="shared" ref="K111:K112" si="63">F111*I111</f>
        <v>1050</v>
      </c>
      <c r="L111" s="178">
        <f t="shared" ref="L111" si="64">K111*J111</f>
        <v>2100</v>
      </c>
      <c r="M111" s="179" t="s">
        <v>22</v>
      </c>
    </row>
    <row r="112" spans="1:13" ht="15" customHeight="1" x14ac:dyDescent="0.25">
      <c r="A112" s="176" t="s">
        <v>483</v>
      </c>
      <c r="B112" s="177" t="s">
        <v>14</v>
      </c>
      <c r="C112" s="178">
        <v>5036</v>
      </c>
      <c r="D112" s="177" t="s">
        <v>16</v>
      </c>
      <c r="E112" s="177" t="s">
        <v>17</v>
      </c>
      <c r="F112" s="178">
        <v>26</v>
      </c>
      <c r="G112" s="178">
        <v>0.32500000000000001</v>
      </c>
      <c r="H112" s="225">
        <f t="shared" ref="H112" si="65">F112*G112</f>
        <v>8.4500000000000011</v>
      </c>
      <c r="I112" s="178">
        <v>62</v>
      </c>
      <c r="J112" s="178">
        <v>4</v>
      </c>
      <c r="K112" s="178">
        <f t="shared" si="63"/>
        <v>1612</v>
      </c>
      <c r="L112" s="178">
        <f>K112*J112</f>
        <v>6448</v>
      </c>
      <c r="M112" s="179" t="s">
        <v>22</v>
      </c>
    </row>
    <row r="113" spans="1:14" ht="15" customHeight="1" x14ac:dyDescent="0.25">
      <c r="A113" s="176" t="s">
        <v>483</v>
      </c>
      <c r="B113" s="177" t="s">
        <v>14</v>
      </c>
      <c r="C113" s="178" t="s">
        <v>417</v>
      </c>
      <c r="D113" s="177"/>
      <c r="E113" s="177" t="s">
        <v>25</v>
      </c>
      <c r="F113" s="178"/>
      <c r="G113" s="178"/>
      <c r="H113" s="225"/>
      <c r="I113" s="178"/>
      <c r="J113" s="178"/>
      <c r="K113" s="178">
        <v>2021</v>
      </c>
      <c r="L113" s="178">
        <f t="shared" ref="L113" si="66">K113</f>
        <v>2021</v>
      </c>
      <c r="M113" s="179" t="s">
        <v>418</v>
      </c>
    </row>
    <row r="114" spans="1:14" ht="15" customHeight="1" x14ac:dyDescent="0.25">
      <c r="A114" s="176" t="s">
        <v>483</v>
      </c>
      <c r="B114" s="177" t="s">
        <v>14</v>
      </c>
      <c r="C114" s="178" t="s">
        <v>407</v>
      </c>
      <c r="D114" s="177"/>
      <c r="E114" s="177" t="s">
        <v>25</v>
      </c>
      <c r="F114" s="178"/>
      <c r="G114" s="178"/>
      <c r="H114" s="225"/>
      <c r="I114" s="178"/>
      <c r="J114" s="178"/>
      <c r="K114" s="178">
        <v>1430</v>
      </c>
      <c r="L114" s="178">
        <f t="shared" ref="L114" si="67">K114</f>
        <v>1430</v>
      </c>
      <c r="M114" s="179" t="s">
        <v>405</v>
      </c>
    </row>
    <row r="115" spans="1:14" ht="15" customHeight="1" x14ac:dyDescent="0.25">
      <c r="A115" s="176" t="s">
        <v>483</v>
      </c>
      <c r="B115" s="177" t="s">
        <v>14</v>
      </c>
      <c r="C115" s="178" t="s">
        <v>443</v>
      </c>
      <c r="D115" s="177"/>
      <c r="E115" s="177" t="s">
        <v>21</v>
      </c>
      <c r="F115" s="178">
        <v>80</v>
      </c>
      <c r="G115" s="221">
        <v>0.98261249999999978</v>
      </c>
      <c r="H115" s="225">
        <f>G115*F115</f>
        <v>78.60899999999998</v>
      </c>
      <c r="I115" s="178">
        <v>28</v>
      </c>
      <c r="J115" s="178">
        <v>1</v>
      </c>
      <c r="K115" s="178">
        <f t="shared" ref="K115" si="68">F115*I115</f>
        <v>2240</v>
      </c>
      <c r="L115" s="178">
        <f t="shared" ref="L115" si="69">K115*J115</f>
        <v>2240</v>
      </c>
      <c r="M115" s="179" t="s">
        <v>277</v>
      </c>
    </row>
    <row r="116" spans="1:14" ht="15" customHeight="1" x14ac:dyDescent="0.25">
      <c r="A116" s="176" t="s">
        <v>483</v>
      </c>
      <c r="B116" s="177" t="s">
        <v>14</v>
      </c>
      <c r="C116" s="178">
        <v>8200</v>
      </c>
      <c r="D116" s="177" t="s">
        <v>16</v>
      </c>
      <c r="E116" s="177" t="s">
        <v>17</v>
      </c>
      <c r="F116" s="178">
        <v>80</v>
      </c>
      <c r="G116" s="221">
        <v>0.7125999999999999</v>
      </c>
      <c r="H116" s="225">
        <f t="shared" ref="H116" si="70">F116*G116</f>
        <v>57.007999999999996</v>
      </c>
      <c r="I116" s="178">
        <v>60</v>
      </c>
      <c r="J116" s="178">
        <v>4</v>
      </c>
      <c r="K116" s="178">
        <f>F116*I116</f>
        <v>4800</v>
      </c>
      <c r="L116" s="178">
        <f>K116*J116</f>
        <v>19200</v>
      </c>
      <c r="M116" s="179" t="s">
        <v>277</v>
      </c>
    </row>
    <row r="117" spans="1:14" ht="15" customHeight="1" x14ac:dyDescent="0.25">
      <c r="A117" s="176" t="s">
        <v>483</v>
      </c>
      <c r="B117" s="177" t="s">
        <v>14</v>
      </c>
      <c r="C117" s="178" t="s">
        <v>443</v>
      </c>
      <c r="D117" s="177"/>
      <c r="E117" s="177" t="s">
        <v>25</v>
      </c>
      <c r="F117" s="178"/>
      <c r="G117" s="178"/>
      <c r="H117" s="225"/>
      <c r="I117" s="178"/>
      <c r="J117" s="178"/>
      <c r="K117" s="178">
        <v>1050</v>
      </c>
      <c r="L117" s="178">
        <f t="shared" ref="L117" si="71">K117</f>
        <v>1050</v>
      </c>
      <c r="M117" s="179" t="s">
        <v>418</v>
      </c>
    </row>
    <row r="118" spans="1:14" ht="15" customHeight="1" x14ac:dyDescent="0.25">
      <c r="A118" s="176" t="s">
        <v>483</v>
      </c>
      <c r="B118" s="177" t="s">
        <v>14</v>
      </c>
      <c r="C118" s="178" t="s">
        <v>448</v>
      </c>
      <c r="D118" s="177" t="s">
        <v>406</v>
      </c>
      <c r="E118" s="177" t="s">
        <v>21</v>
      </c>
      <c r="F118" s="178">
        <v>25</v>
      </c>
      <c r="G118" s="221">
        <v>0.23839999999999995</v>
      </c>
      <c r="H118" s="225">
        <f>G118*F118</f>
        <v>5.9599999999999991</v>
      </c>
      <c r="I118" s="201">
        <v>45</v>
      </c>
      <c r="J118" s="178">
        <v>1</v>
      </c>
      <c r="K118" s="178">
        <f>F118*I118</f>
        <v>1125</v>
      </c>
      <c r="L118" s="178">
        <f>K118*J118</f>
        <v>1125</v>
      </c>
      <c r="M118" s="179" t="s">
        <v>37</v>
      </c>
    </row>
    <row r="119" spans="1:14" ht="15" customHeight="1" x14ac:dyDescent="0.25">
      <c r="A119" s="176" t="s">
        <v>484</v>
      </c>
      <c r="B119" s="218" t="s">
        <v>477</v>
      </c>
      <c r="C119" s="218">
        <v>88327</v>
      </c>
      <c r="D119" s="177" t="s">
        <v>478</v>
      </c>
      <c r="E119" s="177" t="s">
        <v>21</v>
      </c>
      <c r="F119" s="178"/>
      <c r="G119" s="178"/>
      <c r="H119" s="225"/>
      <c r="I119" s="178"/>
      <c r="J119" s="178"/>
      <c r="K119" s="178">
        <v>4600</v>
      </c>
      <c r="L119" s="178">
        <f>K119</f>
        <v>4600</v>
      </c>
      <c r="M119" s="219" t="s">
        <v>413</v>
      </c>
      <c r="N119" t="s">
        <v>485</v>
      </c>
    </row>
    <row r="120" spans="1:14" ht="15" customHeight="1" x14ac:dyDescent="0.25">
      <c r="A120" s="176" t="s">
        <v>484</v>
      </c>
      <c r="B120" s="177" t="s">
        <v>14</v>
      </c>
      <c r="C120" s="178" t="s">
        <v>407</v>
      </c>
      <c r="D120" s="177"/>
      <c r="E120" s="177" t="s">
        <v>25</v>
      </c>
      <c r="F120" s="178"/>
      <c r="G120" s="178"/>
      <c r="H120" s="225"/>
      <c r="I120" s="178"/>
      <c r="J120" s="178"/>
      <c r="K120" s="178">
        <v>2400</v>
      </c>
      <c r="L120" s="178">
        <f t="shared" ref="L120" si="72">K120</f>
        <v>2400</v>
      </c>
      <c r="M120" s="179" t="s">
        <v>405</v>
      </c>
    </row>
    <row r="121" spans="1:14" ht="15" customHeight="1" x14ac:dyDescent="0.25">
      <c r="A121" s="176" t="s">
        <v>484</v>
      </c>
      <c r="B121" s="177" t="s">
        <v>14</v>
      </c>
      <c r="C121" s="178" t="s">
        <v>443</v>
      </c>
      <c r="D121" s="177"/>
      <c r="E121" s="177" t="s">
        <v>21</v>
      </c>
      <c r="F121" s="178">
        <v>139</v>
      </c>
      <c r="G121" s="221">
        <v>0.98261249999999978</v>
      </c>
      <c r="H121" s="225">
        <f>G121*F121</f>
        <v>136.58313749999996</v>
      </c>
      <c r="I121" s="178">
        <v>28</v>
      </c>
      <c r="J121" s="178">
        <v>1</v>
      </c>
      <c r="K121" s="178">
        <f t="shared" ref="K121" si="73">F121*I121</f>
        <v>3892</v>
      </c>
      <c r="L121" s="178">
        <f t="shared" ref="L121" si="74">K121*J121</f>
        <v>3892</v>
      </c>
      <c r="M121" s="179" t="s">
        <v>179</v>
      </c>
    </row>
    <row r="122" spans="1:14" ht="15" customHeight="1" x14ac:dyDescent="0.25">
      <c r="A122" s="176" t="s">
        <v>484</v>
      </c>
      <c r="B122" s="177" t="s">
        <v>14</v>
      </c>
      <c r="C122" s="178" t="s">
        <v>408</v>
      </c>
      <c r="D122" s="177" t="s">
        <v>409</v>
      </c>
      <c r="E122" s="177" t="s">
        <v>21</v>
      </c>
      <c r="F122" s="178">
        <v>24</v>
      </c>
      <c r="G122" s="221">
        <v>0.77037500000000014</v>
      </c>
      <c r="H122" s="225">
        <f>G122*F122</f>
        <v>18.489000000000004</v>
      </c>
      <c r="I122" s="178">
        <v>30</v>
      </c>
      <c r="J122" s="178">
        <v>1</v>
      </c>
      <c r="K122" s="178">
        <f>F122*I122</f>
        <v>720</v>
      </c>
      <c r="L122" s="178">
        <f>K122*J122</f>
        <v>720</v>
      </c>
      <c r="M122" s="179" t="s">
        <v>405</v>
      </c>
    </row>
    <row r="123" spans="1:14" ht="15" customHeight="1" x14ac:dyDescent="0.25">
      <c r="A123" s="176" t="s">
        <v>484</v>
      </c>
      <c r="B123" s="177" t="s">
        <v>14</v>
      </c>
      <c r="C123" s="178">
        <v>8200</v>
      </c>
      <c r="D123" s="177" t="s">
        <v>16</v>
      </c>
      <c r="E123" s="177" t="s">
        <v>17</v>
      </c>
      <c r="F123" s="178">
        <v>112</v>
      </c>
      <c r="G123" s="221">
        <v>0.7125999999999999</v>
      </c>
      <c r="H123" s="225">
        <f t="shared" ref="H123" si="75">F123*G123</f>
        <v>79.811199999999985</v>
      </c>
      <c r="I123" s="178">
        <v>60</v>
      </c>
      <c r="J123" s="178">
        <v>4</v>
      </c>
      <c r="K123" s="178">
        <f>F123*I123</f>
        <v>6720</v>
      </c>
      <c r="L123" s="178">
        <f>K123*J123</f>
        <v>26880</v>
      </c>
      <c r="M123" s="179" t="s">
        <v>277</v>
      </c>
    </row>
    <row r="124" spans="1:14" ht="15" customHeight="1" x14ac:dyDescent="0.25">
      <c r="A124" s="176" t="s">
        <v>484</v>
      </c>
      <c r="B124" s="177" t="s">
        <v>14</v>
      </c>
      <c r="C124" s="178" t="s">
        <v>443</v>
      </c>
      <c r="D124" s="177"/>
      <c r="E124" s="177" t="s">
        <v>25</v>
      </c>
      <c r="F124" s="178"/>
      <c r="G124" s="178"/>
      <c r="H124" s="225"/>
      <c r="I124" s="178"/>
      <c r="J124" s="178"/>
      <c r="K124" s="178">
        <v>2000</v>
      </c>
      <c r="L124" s="178">
        <f t="shared" ref="L124" si="76">K124</f>
        <v>2000</v>
      </c>
      <c r="M124" s="179" t="s">
        <v>418</v>
      </c>
    </row>
    <row r="125" spans="1:14" ht="15" customHeight="1" x14ac:dyDescent="0.25">
      <c r="A125" s="176" t="s">
        <v>484</v>
      </c>
      <c r="B125" s="177" t="s">
        <v>14</v>
      </c>
      <c r="C125" s="178" t="s">
        <v>408</v>
      </c>
      <c r="D125" s="177" t="s">
        <v>409</v>
      </c>
      <c r="E125" s="177" t="s">
        <v>25</v>
      </c>
      <c r="F125" s="178"/>
      <c r="G125" s="178"/>
      <c r="H125" s="225"/>
      <c r="I125" s="178"/>
      <c r="J125" s="178"/>
      <c r="K125" s="178">
        <v>300</v>
      </c>
      <c r="L125" s="178">
        <f>K125</f>
        <v>300</v>
      </c>
      <c r="M125" s="179" t="s">
        <v>486</v>
      </c>
    </row>
    <row r="126" spans="1:14" ht="15" customHeight="1" x14ac:dyDescent="0.25">
      <c r="A126" s="176" t="s">
        <v>484</v>
      </c>
      <c r="B126" s="177" t="s">
        <v>14</v>
      </c>
      <c r="C126" s="178" t="s">
        <v>448</v>
      </c>
      <c r="D126" s="177" t="s">
        <v>406</v>
      </c>
      <c r="E126" s="177" t="s">
        <v>21</v>
      </c>
      <c r="F126" s="178">
        <v>55</v>
      </c>
      <c r="G126" s="221">
        <v>0.23839999999999995</v>
      </c>
      <c r="H126" s="225">
        <f>G126*F126</f>
        <v>13.111999999999997</v>
      </c>
      <c r="I126" s="201">
        <v>45</v>
      </c>
      <c r="J126" s="178">
        <v>1</v>
      </c>
      <c r="K126" s="178">
        <f>F126*I126</f>
        <v>2475</v>
      </c>
      <c r="L126" s="178">
        <f>K126*J126</f>
        <v>2475</v>
      </c>
      <c r="M126" s="179" t="s">
        <v>37</v>
      </c>
    </row>
    <row r="127" spans="1:14" ht="15" customHeight="1" x14ac:dyDescent="0.25">
      <c r="A127" s="176" t="s">
        <v>484</v>
      </c>
      <c r="B127" s="177" t="s">
        <v>14</v>
      </c>
      <c r="C127" s="178" t="s">
        <v>89</v>
      </c>
      <c r="D127" s="177" t="s">
        <v>90</v>
      </c>
      <c r="E127" s="177" t="s">
        <v>25</v>
      </c>
      <c r="F127" s="178"/>
      <c r="G127" s="178"/>
      <c r="H127" s="225"/>
      <c r="I127" s="178"/>
      <c r="J127" s="178"/>
      <c r="K127" s="178">
        <v>4400</v>
      </c>
      <c r="L127" s="178">
        <f>K127</f>
        <v>4400</v>
      </c>
      <c r="M127" s="179" t="s">
        <v>181</v>
      </c>
    </row>
    <row r="128" spans="1:14" ht="15" customHeight="1" x14ac:dyDescent="0.25">
      <c r="A128" s="176" t="s">
        <v>487</v>
      </c>
      <c r="B128" s="218" t="s">
        <v>477</v>
      </c>
      <c r="C128" s="218">
        <v>88327</v>
      </c>
      <c r="D128" s="177" t="s">
        <v>478</v>
      </c>
      <c r="E128" s="177" t="s">
        <v>21</v>
      </c>
      <c r="F128" s="178"/>
      <c r="G128" s="178"/>
      <c r="H128" s="225"/>
      <c r="I128" s="178"/>
      <c r="J128" s="178"/>
      <c r="K128" s="178">
        <v>2546</v>
      </c>
      <c r="L128" s="178">
        <f>K128</f>
        <v>2546</v>
      </c>
      <c r="M128" s="219" t="s">
        <v>413</v>
      </c>
      <c r="N128" t="s">
        <v>485</v>
      </c>
    </row>
    <row r="129" spans="1:14" ht="15" customHeight="1" thickBot="1" x14ac:dyDescent="0.3">
      <c r="A129" s="176" t="s">
        <v>487</v>
      </c>
      <c r="B129" s="177" t="s">
        <v>14</v>
      </c>
      <c r="C129" s="178">
        <v>1135</v>
      </c>
      <c r="D129" s="177" t="s">
        <v>467</v>
      </c>
      <c r="E129" s="177" t="s">
        <v>21</v>
      </c>
      <c r="F129" s="178">
        <v>67</v>
      </c>
      <c r="G129" s="220">
        <v>1.1719999999999999</v>
      </c>
      <c r="H129" s="225">
        <f>G129*F129</f>
        <v>78.524000000000001</v>
      </c>
      <c r="I129" s="178">
        <v>41</v>
      </c>
      <c r="J129" s="178">
        <v>2</v>
      </c>
      <c r="K129" s="178">
        <f>F129*I129</f>
        <v>2747</v>
      </c>
      <c r="L129" s="178">
        <f>K129*J129</f>
        <v>5494</v>
      </c>
      <c r="M129" s="179" t="s">
        <v>413</v>
      </c>
    </row>
    <row r="130" spans="1:14" ht="15" customHeight="1" x14ac:dyDescent="0.25">
      <c r="A130" s="176" t="s">
        <v>487</v>
      </c>
      <c r="B130" s="212" t="s">
        <v>23</v>
      </c>
      <c r="C130" s="178">
        <v>66772</v>
      </c>
      <c r="D130" s="177" t="s">
        <v>34</v>
      </c>
      <c r="E130" s="201" t="s">
        <v>35</v>
      </c>
      <c r="F130" s="178"/>
      <c r="G130" s="181" t="s">
        <v>77</v>
      </c>
      <c r="H130" s="225"/>
      <c r="I130" s="178"/>
      <c r="J130" s="178"/>
      <c r="K130" s="178">
        <v>3200</v>
      </c>
      <c r="L130" s="178">
        <f t="shared" ref="L130:L131" si="77">K130</f>
        <v>3200</v>
      </c>
      <c r="M130" s="179" t="s">
        <v>179</v>
      </c>
    </row>
    <row r="131" spans="1:14" ht="15" customHeight="1" x14ac:dyDescent="0.25">
      <c r="A131" s="176" t="s">
        <v>487</v>
      </c>
      <c r="B131" s="212" t="s">
        <v>23</v>
      </c>
      <c r="C131" s="178">
        <v>66772</v>
      </c>
      <c r="D131" s="177" t="s">
        <v>34</v>
      </c>
      <c r="E131" s="177" t="s">
        <v>39</v>
      </c>
      <c r="F131" s="178"/>
      <c r="G131" s="181" t="s">
        <v>36</v>
      </c>
      <c r="H131" s="225"/>
      <c r="I131" s="178"/>
      <c r="J131" s="178"/>
      <c r="K131" s="178">
        <v>4850</v>
      </c>
      <c r="L131" s="178">
        <f t="shared" si="77"/>
        <v>4850</v>
      </c>
      <c r="M131" s="179" t="s">
        <v>277</v>
      </c>
    </row>
    <row r="132" spans="1:14" ht="15" customHeight="1" x14ac:dyDescent="0.25">
      <c r="A132" s="176" t="s">
        <v>487</v>
      </c>
      <c r="B132" s="212" t="s">
        <v>23</v>
      </c>
      <c r="C132" s="178">
        <v>66772</v>
      </c>
      <c r="D132" s="177" t="s">
        <v>34</v>
      </c>
      <c r="E132" s="204" t="s">
        <v>30</v>
      </c>
      <c r="F132" s="178"/>
      <c r="G132" s="181" t="s">
        <v>78</v>
      </c>
      <c r="H132" s="225"/>
      <c r="I132" s="178"/>
      <c r="J132" s="178"/>
      <c r="K132" s="178">
        <v>2250</v>
      </c>
      <c r="L132" s="178">
        <f>K132</f>
        <v>2250</v>
      </c>
      <c r="M132" s="179" t="s">
        <v>405</v>
      </c>
    </row>
    <row r="133" spans="1:14" ht="15" customHeight="1" x14ac:dyDescent="0.25">
      <c r="A133" s="176" t="s">
        <v>487</v>
      </c>
      <c r="B133" s="177" t="s">
        <v>14</v>
      </c>
      <c r="C133" s="178" t="s">
        <v>408</v>
      </c>
      <c r="D133" s="177" t="s">
        <v>409</v>
      </c>
      <c r="E133" s="177" t="s">
        <v>21</v>
      </c>
      <c r="F133" s="178">
        <v>202</v>
      </c>
      <c r="G133" s="221">
        <v>0.77037500000000014</v>
      </c>
      <c r="H133" s="225">
        <f>G133*F133</f>
        <v>155.61575000000002</v>
      </c>
      <c r="I133" s="178">
        <v>30</v>
      </c>
      <c r="J133" s="178">
        <v>1</v>
      </c>
      <c r="K133" s="178">
        <f>F133*I133</f>
        <v>6060</v>
      </c>
      <c r="L133" s="178">
        <f>K133*J133</f>
        <v>6060</v>
      </c>
      <c r="M133" s="179" t="s">
        <v>405</v>
      </c>
    </row>
    <row r="134" spans="1:14" ht="15" customHeight="1" x14ac:dyDescent="0.25">
      <c r="A134" s="176" t="s">
        <v>487</v>
      </c>
      <c r="B134" s="177" t="s">
        <v>14</v>
      </c>
      <c r="C134" s="178">
        <v>8200</v>
      </c>
      <c r="D134" s="177" t="s">
        <v>16</v>
      </c>
      <c r="E134" s="177" t="s">
        <v>17</v>
      </c>
      <c r="F134" s="178">
        <v>42</v>
      </c>
      <c r="G134" s="221">
        <v>0.7125999999999999</v>
      </c>
      <c r="H134" s="225">
        <f t="shared" ref="H134:H135" si="78">F134*G134</f>
        <v>29.929199999999994</v>
      </c>
      <c r="I134" s="178">
        <v>60</v>
      </c>
      <c r="J134" s="178">
        <v>4</v>
      </c>
      <c r="K134" s="178">
        <f>F134*I134</f>
        <v>2520</v>
      </c>
      <c r="L134" s="178">
        <f>K134*J134</f>
        <v>10080</v>
      </c>
      <c r="M134" s="179" t="s">
        <v>277</v>
      </c>
    </row>
    <row r="135" spans="1:14" ht="15" customHeight="1" x14ac:dyDescent="0.25">
      <c r="A135" s="176" t="s">
        <v>487</v>
      </c>
      <c r="B135" s="177" t="s">
        <v>14</v>
      </c>
      <c r="C135" s="178" t="s">
        <v>51</v>
      </c>
      <c r="D135" s="208" t="s">
        <v>52</v>
      </c>
      <c r="E135" s="177" t="s">
        <v>17</v>
      </c>
      <c r="F135" s="178">
        <v>109</v>
      </c>
      <c r="G135" s="178">
        <v>0.20499999999999999</v>
      </c>
      <c r="H135" s="225">
        <f t="shared" si="78"/>
        <v>22.344999999999999</v>
      </c>
      <c r="I135" s="178">
        <v>28</v>
      </c>
      <c r="J135" s="178">
        <v>4</v>
      </c>
      <c r="K135" s="178">
        <f>F135*I135</f>
        <v>3052</v>
      </c>
      <c r="L135" s="178">
        <f t="shared" ref="L135" si="79">K135*J135</f>
        <v>12208</v>
      </c>
      <c r="M135" s="179" t="s">
        <v>277</v>
      </c>
    </row>
    <row r="136" spans="1:14" ht="15" customHeight="1" x14ac:dyDescent="0.25">
      <c r="A136" s="176" t="s">
        <v>487</v>
      </c>
      <c r="B136" s="177" t="s">
        <v>14</v>
      </c>
      <c r="C136" s="178" t="s">
        <v>408</v>
      </c>
      <c r="D136" s="177" t="s">
        <v>409</v>
      </c>
      <c r="E136" s="177" t="s">
        <v>25</v>
      </c>
      <c r="F136" s="178"/>
      <c r="G136" s="178"/>
      <c r="H136" s="225"/>
      <c r="I136" s="178"/>
      <c r="J136" s="178"/>
      <c r="K136" s="178">
        <v>3700</v>
      </c>
      <c r="L136" s="178">
        <f>K136</f>
        <v>3700</v>
      </c>
      <c r="M136" s="179" t="s">
        <v>486</v>
      </c>
    </row>
    <row r="137" spans="1:14" ht="15" customHeight="1" x14ac:dyDescent="0.25">
      <c r="A137" s="176" t="s">
        <v>487</v>
      </c>
      <c r="B137" s="177" t="s">
        <v>14</v>
      </c>
      <c r="C137" s="178" t="s">
        <v>448</v>
      </c>
      <c r="D137" s="177" t="s">
        <v>406</v>
      </c>
      <c r="E137" s="177" t="s">
        <v>21</v>
      </c>
      <c r="F137" s="178">
        <v>123</v>
      </c>
      <c r="G137" s="221">
        <v>0.23839999999999995</v>
      </c>
      <c r="H137" s="225">
        <f>G137*F137</f>
        <v>29.323199999999993</v>
      </c>
      <c r="I137" s="201">
        <v>45</v>
      </c>
      <c r="J137" s="178">
        <v>1</v>
      </c>
      <c r="K137" s="178">
        <f>F137*I137</f>
        <v>5535</v>
      </c>
      <c r="L137" s="178">
        <f>K137*J137</f>
        <v>5535</v>
      </c>
      <c r="M137" s="179" t="s">
        <v>37</v>
      </c>
    </row>
    <row r="138" spans="1:14" ht="15" customHeight="1" x14ac:dyDescent="0.25">
      <c r="A138" s="176" t="s">
        <v>487</v>
      </c>
      <c r="B138" s="177" t="s">
        <v>14</v>
      </c>
      <c r="C138" s="178" t="s">
        <v>89</v>
      </c>
      <c r="D138" s="177" t="s">
        <v>90</v>
      </c>
      <c r="E138" s="177" t="s">
        <v>25</v>
      </c>
      <c r="F138" s="178"/>
      <c r="G138" s="178"/>
      <c r="H138" s="225"/>
      <c r="I138" s="178"/>
      <c r="J138" s="178"/>
      <c r="K138" s="178">
        <v>3100</v>
      </c>
      <c r="L138" s="178">
        <f>K138</f>
        <v>3100</v>
      </c>
      <c r="M138" s="179" t="s">
        <v>181</v>
      </c>
    </row>
    <row r="139" spans="1:14" ht="15" customHeight="1" thickBot="1" x14ac:dyDescent="0.3">
      <c r="A139" s="176" t="s">
        <v>488</v>
      </c>
      <c r="B139" s="177" t="s">
        <v>14</v>
      </c>
      <c r="C139" s="178">
        <v>1135</v>
      </c>
      <c r="D139" s="177" t="s">
        <v>467</v>
      </c>
      <c r="E139" s="177" t="s">
        <v>21</v>
      </c>
      <c r="F139" s="178">
        <v>83</v>
      </c>
      <c r="G139" s="220">
        <v>1.1719999999999999</v>
      </c>
      <c r="H139" s="225">
        <f>G139*F139</f>
        <v>97.275999999999996</v>
      </c>
      <c r="I139" s="178">
        <v>41</v>
      </c>
      <c r="J139" s="178">
        <v>2</v>
      </c>
      <c r="K139" s="178">
        <f>F139*I139</f>
        <v>3403</v>
      </c>
      <c r="L139" s="178">
        <f>K139*J139</f>
        <v>6806</v>
      </c>
      <c r="M139" s="179" t="s">
        <v>413</v>
      </c>
    </row>
    <row r="140" spans="1:14" ht="15" customHeight="1" x14ac:dyDescent="0.25">
      <c r="A140" s="176" t="s">
        <v>488</v>
      </c>
      <c r="B140" s="218" t="s">
        <v>477</v>
      </c>
      <c r="C140" s="218">
        <v>88327</v>
      </c>
      <c r="D140" s="177" t="s">
        <v>478</v>
      </c>
      <c r="E140" s="177" t="s">
        <v>21</v>
      </c>
      <c r="F140" s="178"/>
      <c r="G140" s="178"/>
      <c r="H140" s="225"/>
      <c r="I140" s="178"/>
      <c r="J140" s="178"/>
      <c r="K140" s="178">
        <v>600</v>
      </c>
      <c r="L140" s="178">
        <f>K140</f>
        <v>600</v>
      </c>
      <c r="M140" s="219" t="s">
        <v>413</v>
      </c>
      <c r="N140" t="s">
        <v>490</v>
      </c>
    </row>
    <row r="141" spans="1:14" ht="15" customHeight="1" x14ac:dyDescent="0.25">
      <c r="A141" s="176" t="s">
        <v>488</v>
      </c>
      <c r="B141" s="212" t="s">
        <v>23</v>
      </c>
      <c r="C141" s="178">
        <v>66772</v>
      </c>
      <c r="D141" s="177" t="s">
        <v>34</v>
      </c>
      <c r="E141" s="201" t="s">
        <v>35</v>
      </c>
      <c r="F141" s="178"/>
      <c r="G141" s="181" t="s">
        <v>77</v>
      </c>
      <c r="H141" s="225"/>
      <c r="I141" s="178"/>
      <c r="J141" s="178"/>
      <c r="K141" s="178">
        <v>1850</v>
      </c>
      <c r="L141" s="178">
        <f t="shared" ref="L141:L142" si="80">K141</f>
        <v>1850</v>
      </c>
      <c r="M141" s="179" t="s">
        <v>179</v>
      </c>
    </row>
    <row r="142" spans="1:14" ht="15" customHeight="1" x14ac:dyDescent="0.25">
      <c r="A142" s="176" t="s">
        <v>488</v>
      </c>
      <c r="B142" s="212" t="s">
        <v>23</v>
      </c>
      <c r="C142" s="178">
        <v>66772</v>
      </c>
      <c r="D142" s="177" t="s">
        <v>34</v>
      </c>
      <c r="E142" s="177" t="s">
        <v>39</v>
      </c>
      <c r="F142" s="178"/>
      <c r="G142" s="181" t="s">
        <v>36</v>
      </c>
      <c r="H142" s="225"/>
      <c r="I142" s="178"/>
      <c r="J142" s="178"/>
      <c r="K142" s="178">
        <v>1350</v>
      </c>
      <c r="L142" s="178">
        <f t="shared" si="80"/>
        <v>1350</v>
      </c>
      <c r="M142" s="179" t="s">
        <v>277</v>
      </c>
    </row>
    <row r="143" spans="1:14" ht="15" customHeight="1" x14ac:dyDescent="0.25">
      <c r="A143" s="176" t="s">
        <v>488</v>
      </c>
      <c r="B143" s="212" t="s">
        <v>23</v>
      </c>
      <c r="C143" s="178">
        <v>66772</v>
      </c>
      <c r="D143" s="177" t="s">
        <v>34</v>
      </c>
      <c r="E143" s="204" t="s">
        <v>30</v>
      </c>
      <c r="F143" s="178"/>
      <c r="G143" s="181" t="s">
        <v>78</v>
      </c>
      <c r="H143" s="225"/>
      <c r="I143" s="178"/>
      <c r="J143" s="178"/>
      <c r="K143" s="178">
        <v>6000</v>
      </c>
      <c r="L143" s="178">
        <f>K143</f>
        <v>6000</v>
      </c>
      <c r="M143" s="179" t="s">
        <v>405</v>
      </c>
    </row>
    <row r="144" spans="1:14" ht="15" customHeight="1" x14ac:dyDescent="0.25">
      <c r="A144" s="176" t="s">
        <v>488</v>
      </c>
      <c r="B144" s="177" t="s">
        <v>14</v>
      </c>
      <c r="C144" s="178" t="s">
        <v>408</v>
      </c>
      <c r="D144" s="177" t="s">
        <v>409</v>
      </c>
      <c r="E144" s="177" t="s">
        <v>21</v>
      </c>
      <c r="F144" s="178">
        <v>83</v>
      </c>
      <c r="G144" s="221">
        <v>0.77037500000000014</v>
      </c>
      <c r="H144" s="225">
        <f>G144*F144</f>
        <v>63.941125000000014</v>
      </c>
      <c r="I144" s="178">
        <v>30</v>
      </c>
      <c r="J144" s="178">
        <v>1</v>
      </c>
      <c r="K144" s="178">
        <f>F144*I144</f>
        <v>2490</v>
      </c>
      <c r="L144" s="178">
        <f>K144*J144</f>
        <v>2490</v>
      </c>
      <c r="M144" s="179" t="s">
        <v>179</v>
      </c>
    </row>
    <row r="145" spans="1:14" ht="15" customHeight="1" x14ac:dyDescent="0.25">
      <c r="A145" s="176" t="s">
        <v>488</v>
      </c>
      <c r="B145" s="177" t="s">
        <v>14</v>
      </c>
      <c r="C145" s="178" t="s">
        <v>51</v>
      </c>
      <c r="D145" s="208" t="s">
        <v>52</v>
      </c>
      <c r="E145" s="177" t="s">
        <v>17</v>
      </c>
      <c r="F145" s="178">
        <v>163</v>
      </c>
      <c r="G145" s="178">
        <v>0.20499999999999999</v>
      </c>
      <c r="H145" s="225">
        <f t="shared" ref="H145" si="81">F145*G145</f>
        <v>33.414999999999999</v>
      </c>
      <c r="I145" s="178">
        <v>28</v>
      </c>
      <c r="J145" s="178">
        <v>4</v>
      </c>
      <c r="K145" s="178">
        <f>F145*I145</f>
        <v>4564</v>
      </c>
      <c r="L145" s="178">
        <f t="shared" ref="L145:L146" si="82">K145*J145</f>
        <v>18256</v>
      </c>
      <c r="M145" s="179" t="s">
        <v>277</v>
      </c>
    </row>
    <row r="146" spans="1:14" ht="15" customHeight="1" x14ac:dyDescent="0.25">
      <c r="A146" s="176" t="s">
        <v>488</v>
      </c>
      <c r="B146" s="177" t="s">
        <v>14</v>
      </c>
      <c r="C146" s="178">
        <v>6871</v>
      </c>
      <c r="D146" s="177" t="s">
        <v>16</v>
      </c>
      <c r="E146" s="177" t="s">
        <v>17</v>
      </c>
      <c r="F146" s="178">
        <v>102</v>
      </c>
      <c r="G146" s="178">
        <v>0.64</v>
      </c>
      <c r="H146" s="225">
        <f>G146*F146</f>
        <v>65.28</v>
      </c>
      <c r="I146" s="178">
        <v>70</v>
      </c>
      <c r="J146" s="178">
        <v>2</v>
      </c>
      <c r="K146" s="178">
        <f t="shared" ref="K146" si="83">F146*I146</f>
        <v>7140</v>
      </c>
      <c r="L146" s="178">
        <f t="shared" si="82"/>
        <v>14280</v>
      </c>
      <c r="M146" s="179" t="s">
        <v>22</v>
      </c>
    </row>
    <row r="147" spans="1:14" ht="15" customHeight="1" x14ac:dyDescent="0.25">
      <c r="A147" s="176" t="s">
        <v>488</v>
      </c>
      <c r="B147" s="191" t="s">
        <v>41</v>
      </c>
      <c r="C147" s="192" t="s">
        <v>42</v>
      </c>
      <c r="D147" s="193" t="s">
        <v>93</v>
      </c>
      <c r="E147" s="199" t="s">
        <v>21</v>
      </c>
      <c r="F147" s="192">
        <v>40</v>
      </c>
      <c r="G147" s="192">
        <v>0</v>
      </c>
      <c r="H147" s="226">
        <f>G147*F147</f>
        <v>0</v>
      </c>
      <c r="I147" s="192">
        <v>42</v>
      </c>
      <c r="J147" s="192">
        <v>4</v>
      </c>
      <c r="K147" s="192">
        <f>F147*I147</f>
        <v>1680</v>
      </c>
      <c r="L147" s="192">
        <f>K147*J147</f>
        <v>6720</v>
      </c>
      <c r="M147" s="194" t="s">
        <v>91</v>
      </c>
    </row>
    <row r="148" spans="1:14" ht="15" customHeight="1" x14ac:dyDescent="0.25">
      <c r="A148" s="176" t="s">
        <v>488</v>
      </c>
      <c r="B148" s="177" t="s">
        <v>14</v>
      </c>
      <c r="C148" s="178" t="s">
        <v>448</v>
      </c>
      <c r="D148" s="177" t="s">
        <v>406</v>
      </c>
      <c r="E148" s="177" t="s">
        <v>21</v>
      </c>
      <c r="F148" s="178">
        <v>106</v>
      </c>
      <c r="G148" s="221">
        <v>0.23839999999999995</v>
      </c>
      <c r="H148" s="225">
        <f>G148*F148</f>
        <v>25.270399999999995</v>
      </c>
      <c r="I148" s="201">
        <v>45</v>
      </c>
      <c r="J148" s="178">
        <v>1</v>
      </c>
      <c r="K148" s="178">
        <f>F148*I148</f>
        <v>4770</v>
      </c>
      <c r="L148" s="178">
        <f>K148*J148</f>
        <v>4770</v>
      </c>
      <c r="M148" s="179" t="s">
        <v>37</v>
      </c>
    </row>
    <row r="149" spans="1:14" ht="15" customHeight="1" x14ac:dyDescent="0.25">
      <c r="A149" s="176" t="s">
        <v>488</v>
      </c>
      <c r="B149" s="177" t="s">
        <v>14</v>
      </c>
      <c r="C149" s="178" t="s">
        <v>408</v>
      </c>
      <c r="D149" s="177" t="s">
        <v>409</v>
      </c>
      <c r="E149" s="177" t="s">
        <v>25</v>
      </c>
      <c r="F149" s="178"/>
      <c r="G149" s="178"/>
      <c r="H149" s="225"/>
      <c r="I149" s="178"/>
      <c r="J149" s="178"/>
      <c r="K149" s="178">
        <v>3500</v>
      </c>
      <c r="L149" s="178">
        <f>K149</f>
        <v>3500</v>
      </c>
      <c r="M149" s="179" t="s">
        <v>486</v>
      </c>
    </row>
    <row r="150" spans="1:14" ht="15" customHeight="1" x14ac:dyDescent="0.25">
      <c r="A150" s="176" t="s">
        <v>489</v>
      </c>
      <c r="B150" s="218" t="s">
        <v>477</v>
      </c>
      <c r="C150" s="218">
        <v>88327</v>
      </c>
      <c r="D150" s="177" t="s">
        <v>478</v>
      </c>
      <c r="E150" s="177" t="s">
        <v>21</v>
      </c>
      <c r="F150" s="178"/>
      <c r="G150" s="178"/>
      <c r="H150" s="225"/>
      <c r="I150" s="178"/>
      <c r="J150" s="178"/>
      <c r="K150" s="178">
        <v>4825</v>
      </c>
      <c r="L150" s="178">
        <f>K150</f>
        <v>4825</v>
      </c>
      <c r="M150" s="219" t="s">
        <v>413</v>
      </c>
      <c r="N150" t="s">
        <v>490</v>
      </c>
    </row>
    <row r="151" spans="1:14" ht="15" customHeight="1" x14ac:dyDescent="0.25">
      <c r="A151" s="176" t="s">
        <v>489</v>
      </c>
      <c r="B151" s="177" t="s">
        <v>14</v>
      </c>
      <c r="C151" s="178" t="s">
        <v>51</v>
      </c>
      <c r="D151" s="208" t="s">
        <v>52</v>
      </c>
      <c r="E151" s="177" t="s">
        <v>17</v>
      </c>
      <c r="F151" s="178">
        <v>157</v>
      </c>
      <c r="G151" s="178">
        <v>0.20499999999999999</v>
      </c>
      <c r="H151" s="225">
        <f t="shared" ref="H151" si="84">F151*G151</f>
        <v>32.184999999999995</v>
      </c>
      <c r="I151" s="178">
        <v>28</v>
      </c>
      <c r="J151" s="178">
        <v>4</v>
      </c>
      <c r="K151" s="178">
        <f>F151*I151</f>
        <v>4396</v>
      </c>
      <c r="L151" s="178">
        <f t="shared" ref="L151" si="85">K151*J151</f>
        <v>17584</v>
      </c>
      <c r="M151" s="179" t="s">
        <v>277</v>
      </c>
    </row>
    <row r="152" spans="1:14" ht="15" customHeight="1" x14ac:dyDescent="0.25">
      <c r="A152" s="176" t="s">
        <v>489</v>
      </c>
      <c r="B152" s="212" t="s">
        <v>23</v>
      </c>
      <c r="C152" s="178">
        <v>66772</v>
      </c>
      <c r="D152" s="177" t="s">
        <v>34</v>
      </c>
      <c r="E152" s="204" t="s">
        <v>30</v>
      </c>
      <c r="F152" s="178"/>
      <c r="G152" s="181" t="s">
        <v>78</v>
      </c>
      <c r="H152" s="225"/>
      <c r="I152" s="178"/>
      <c r="J152" s="178"/>
      <c r="K152" s="178">
        <v>2500</v>
      </c>
      <c r="L152" s="178">
        <f>K152</f>
        <v>2500</v>
      </c>
      <c r="M152" s="179" t="s">
        <v>405</v>
      </c>
    </row>
    <row r="153" spans="1:14" ht="15" customHeight="1" x14ac:dyDescent="0.25">
      <c r="A153" s="176" t="s">
        <v>489</v>
      </c>
      <c r="B153" s="177" t="s">
        <v>14</v>
      </c>
      <c r="C153" s="178">
        <v>6871</v>
      </c>
      <c r="D153" s="177" t="s">
        <v>16</v>
      </c>
      <c r="E153" s="177" t="s">
        <v>17</v>
      </c>
      <c r="F153" s="178">
        <v>68</v>
      </c>
      <c r="G153" s="178">
        <v>0.64</v>
      </c>
      <c r="H153" s="225">
        <f>G153*F153</f>
        <v>43.52</v>
      </c>
      <c r="I153" s="178">
        <v>70</v>
      </c>
      <c r="J153" s="178">
        <v>2</v>
      </c>
      <c r="K153" s="178">
        <f t="shared" ref="K153" si="86">F153*I153</f>
        <v>4760</v>
      </c>
      <c r="L153" s="178">
        <f t="shared" ref="L153" si="87">K153*J153</f>
        <v>9520</v>
      </c>
      <c r="M153" s="179" t="s">
        <v>22</v>
      </c>
    </row>
    <row r="154" spans="1:14" ht="15" customHeight="1" x14ac:dyDescent="0.25">
      <c r="A154" s="176" t="s">
        <v>489</v>
      </c>
      <c r="B154" s="191" t="s">
        <v>41</v>
      </c>
      <c r="C154" s="192" t="s">
        <v>42</v>
      </c>
      <c r="D154" s="193" t="s">
        <v>93</v>
      </c>
      <c r="E154" s="199" t="s">
        <v>21</v>
      </c>
      <c r="F154" s="192">
        <v>10</v>
      </c>
      <c r="G154" s="192">
        <v>0</v>
      </c>
      <c r="H154" s="226">
        <f>G154*F154</f>
        <v>0</v>
      </c>
      <c r="I154" s="192">
        <v>42</v>
      </c>
      <c r="J154" s="192">
        <v>4</v>
      </c>
      <c r="K154" s="192">
        <f>F154*I154</f>
        <v>420</v>
      </c>
      <c r="L154" s="192">
        <f>K154*J154</f>
        <v>1680</v>
      </c>
      <c r="M154" s="194" t="s">
        <v>91</v>
      </c>
    </row>
    <row r="155" spans="1:14" ht="15" customHeight="1" x14ac:dyDescent="0.25">
      <c r="A155" s="176" t="s">
        <v>489</v>
      </c>
      <c r="B155" s="177" t="s">
        <v>14</v>
      </c>
      <c r="C155" s="178">
        <v>7479</v>
      </c>
      <c r="D155" s="177" t="s">
        <v>20</v>
      </c>
      <c r="E155" s="177" t="s">
        <v>21</v>
      </c>
      <c r="F155" s="178">
        <v>114</v>
      </c>
      <c r="G155" s="178">
        <v>0.15</v>
      </c>
      <c r="H155" s="178">
        <f>G155*F155</f>
        <v>17.099999999999998</v>
      </c>
      <c r="I155" s="178">
        <v>80</v>
      </c>
      <c r="J155" s="178">
        <v>1</v>
      </c>
      <c r="K155" s="178">
        <f>F155*I155</f>
        <v>9120</v>
      </c>
      <c r="L155" s="178">
        <f>K155*J155</f>
        <v>9120</v>
      </c>
      <c r="M155" s="179" t="s">
        <v>37</v>
      </c>
    </row>
    <row r="156" spans="1:14" ht="15" customHeight="1" x14ac:dyDescent="0.25">
      <c r="A156" s="176" t="s">
        <v>489</v>
      </c>
      <c r="B156" s="177" t="s">
        <v>14</v>
      </c>
      <c r="C156" s="178" t="s">
        <v>448</v>
      </c>
      <c r="D156" s="177" t="s">
        <v>406</v>
      </c>
      <c r="E156" s="177" t="s">
        <v>21</v>
      </c>
      <c r="F156" s="178">
        <v>84</v>
      </c>
      <c r="G156" s="221">
        <v>0.23839999999999995</v>
      </c>
      <c r="H156" s="225">
        <f>G156*F156</f>
        <v>20.025599999999997</v>
      </c>
      <c r="I156" s="201">
        <v>45</v>
      </c>
      <c r="J156" s="178">
        <v>1</v>
      </c>
      <c r="K156" s="178">
        <f>F156*I156</f>
        <v>3780</v>
      </c>
      <c r="L156" s="178">
        <f>K156*J156</f>
        <v>3780</v>
      </c>
      <c r="M156" s="179" t="s">
        <v>37</v>
      </c>
    </row>
    <row r="157" spans="1:14" ht="15" customHeight="1" x14ac:dyDescent="0.25">
      <c r="A157" s="176" t="s">
        <v>489</v>
      </c>
      <c r="B157" s="177" t="s">
        <v>14</v>
      </c>
      <c r="C157" s="178" t="s">
        <v>408</v>
      </c>
      <c r="D157" s="177" t="s">
        <v>409</v>
      </c>
      <c r="E157" s="177" t="s">
        <v>25</v>
      </c>
      <c r="F157" s="178"/>
      <c r="G157" s="178"/>
      <c r="H157" s="225"/>
      <c r="I157" s="178"/>
      <c r="J157" s="178"/>
      <c r="K157" s="178">
        <v>2600</v>
      </c>
      <c r="L157" s="178">
        <f>K157</f>
        <v>2600</v>
      </c>
      <c r="M157" s="179" t="s">
        <v>486</v>
      </c>
    </row>
    <row r="158" spans="1:14" ht="15" customHeight="1" x14ac:dyDescent="0.25">
      <c r="A158" s="176" t="s">
        <v>489</v>
      </c>
      <c r="B158" s="177" t="s">
        <v>14</v>
      </c>
      <c r="C158" s="178">
        <v>7479</v>
      </c>
      <c r="D158" s="177" t="s">
        <v>20</v>
      </c>
      <c r="E158" s="177" t="s">
        <v>25</v>
      </c>
      <c r="F158" s="178"/>
      <c r="G158" s="178"/>
      <c r="H158" s="178"/>
      <c r="I158" s="178"/>
      <c r="J158" s="178"/>
      <c r="K158" s="178">
        <v>1000</v>
      </c>
      <c r="L158" s="178">
        <f t="shared" ref="L158" si="88">K158</f>
        <v>1000</v>
      </c>
      <c r="M158" s="179" t="s">
        <v>181</v>
      </c>
    </row>
    <row r="159" spans="1:14" ht="15" customHeight="1" x14ac:dyDescent="0.25">
      <c r="A159" s="176" t="s">
        <v>491</v>
      </c>
      <c r="B159" s="177" t="s">
        <v>14</v>
      </c>
      <c r="C159" s="178" t="s">
        <v>51</v>
      </c>
      <c r="D159" s="208" t="s">
        <v>52</v>
      </c>
      <c r="E159" s="177" t="s">
        <v>17</v>
      </c>
      <c r="F159" s="178">
        <v>155</v>
      </c>
      <c r="G159" s="178">
        <v>0.20499999999999999</v>
      </c>
      <c r="H159" s="225">
        <f t="shared" ref="H159" si="89">F159*G159</f>
        <v>31.774999999999999</v>
      </c>
      <c r="I159" s="178">
        <v>28</v>
      </c>
      <c r="J159" s="178">
        <v>4</v>
      </c>
      <c r="K159" s="178">
        <f>F159*I159</f>
        <v>4340</v>
      </c>
      <c r="L159" s="178">
        <f t="shared" ref="L159:L160" si="90">K159*J159</f>
        <v>17360</v>
      </c>
      <c r="M159" s="179" t="s">
        <v>277</v>
      </c>
    </row>
    <row r="160" spans="1:14" ht="15" customHeight="1" x14ac:dyDescent="0.25">
      <c r="A160" s="176" t="s">
        <v>491</v>
      </c>
      <c r="B160" s="177" t="s">
        <v>14</v>
      </c>
      <c r="C160" s="178">
        <v>6871</v>
      </c>
      <c r="D160" s="177" t="s">
        <v>16</v>
      </c>
      <c r="E160" s="177" t="s">
        <v>17</v>
      </c>
      <c r="F160" s="178">
        <v>39</v>
      </c>
      <c r="G160" s="178">
        <v>0.64</v>
      </c>
      <c r="H160" s="225">
        <f>G160*F160</f>
        <v>24.96</v>
      </c>
      <c r="I160" s="178">
        <v>70</v>
      </c>
      <c r="J160" s="178">
        <v>2</v>
      </c>
      <c r="K160" s="178">
        <f t="shared" ref="K160" si="91">F160*I160</f>
        <v>2730</v>
      </c>
      <c r="L160" s="178">
        <f t="shared" si="90"/>
        <v>5460</v>
      </c>
      <c r="M160" s="179" t="s">
        <v>22</v>
      </c>
    </row>
    <row r="161" spans="1:13" ht="15" customHeight="1" x14ac:dyDescent="0.25">
      <c r="A161" s="176" t="s">
        <v>491</v>
      </c>
      <c r="B161" s="177" t="s">
        <v>14</v>
      </c>
      <c r="C161" s="178">
        <v>7479</v>
      </c>
      <c r="D161" s="177" t="s">
        <v>20</v>
      </c>
      <c r="E161" s="177" t="s">
        <v>21</v>
      </c>
      <c r="F161" s="178">
        <v>155</v>
      </c>
      <c r="G161" s="178">
        <v>0.15</v>
      </c>
      <c r="H161" s="178">
        <f>G161*F161</f>
        <v>23.25</v>
      </c>
      <c r="I161" s="178">
        <v>80</v>
      </c>
      <c r="J161" s="178">
        <v>1</v>
      </c>
      <c r="K161" s="178">
        <f>F161*I161</f>
        <v>12400</v>
      </c>
      <c r="L161" s="178">
        <f>K161*J161</f>
        <v>12400</v>
      </c>
      <c r="M161" s="179" t="s">
        <v>91</v>
      </c>
    </row>
    <row r="162" spans="1:13" ht="15" customHeight="1" x14ac:dyDescent="0.25">
      <c r="A162" s="176" t="s">
        <v>491</v>
      </c>
      <c r="B162" s="177" t="s">
        <v>14</v>
      </c>
      <c r="C162" s="178">
        <v>7479</v>
      </c>
      <c r="D162" s="177" t="s">
        <v>20</v>
      </c>
      <c r="E162" s="177" t="s">
        <v>25</v>
      </c>
      <c r="F162" s="178"/>
      <c r="G162" s="178"/>
      <c r="H162" s="178"/>
      <c r="I162" s="178"/>
      <c r="J162" s="178"/>
      <c r="K162" s="178">
        <v>2100</v>
      </c>
      <c r="L162" s="178">
        <f t="shared" ref="L162" si="92">K162</f>
        <v>2100</v>
      </c>
      <c r="M162" s="179" t="s">
        <v>181</v>
      </c>
    </row>
    <row r="163" spans="1:13" ht="15" customHeight="1" x14ac:dyDescent="0.25">
      <c r="A163" s="176" t="s">
        <v>491</v>
      </c>
      <c r="B163" s="177" t="s">
        <v>14</v>
      </c>
      <c r="C163" s="178" t="s">
        <v>448</v>
      </c>
      <c r="D163" s="177" t="s">
        <v>406</v>
      </c>
      <c r="E163" s="177" t="s">
        <v>21</v>
      </c>
      <c r="F163" s="178">
        <v>77</v>
      </c>
      <c r="G163" s="221">
        <v>0.23839999999999995</v>
      </c>
      <c r="H163" s="225">
        <f>G163*F163</f>
        <v>18.356799999999996</v>
      </c>
      <c r="I163" s="201">
        <v>45</v>
      </c>
      <c r="J163" s="178">
        <v>1</v>
      </c>
      <c r="K163" s="178">
        <f>F163*I163</f>
        <v>3465</v>
      </c>
      <c r="L163" s="178">
        <f>K163*J163</f>
        <v>3465</v>
      </c>
      <c r="M163" s="179" t="s">
        <v>37</v>
      </c>
    </row>
    <row r="164" spans="1:13" ht="15" customHeight="1" x14ac:dyDescent="0.25">
      <c r="A164" s="176" t="s">
        <v>492</v>
      </c>
      <c r="B164" s="177" t="s">
        <v>14</v>
      </c>
      <c r="C164" s="178" t="s">
        <v>410</v>
      </c>
      <c r="D164" s="177"/>
      <c r="E164" s="177" t="s">
        <v>21</v>
      </c>
      <c r="F164" s="178">
        <v>118</v>
      </c>
      <c r="G164" s="221">
        <v>0.74674999999999991</v>
      </c>
      <c r="H164" s="178">
        <f>G164*F164</f>
        <v>88.116499999999988</v>
      </c>
      <c r="I164" s="178">
        <v>35</v>
      </c>
      <c r="J164" s="178">
        <v>1</v>
      </c>
      <c r="K164" s="178">
        <f>F164*I164</f>
        <v>4130</v>
      </c>
      <c r="L164" s="178">
        <f>K164*J164</f>
        <v>4130</v>
      </c>
      <c r="M164" s="179" t="s">
        <v>413</v>
      </c>
    </row>
    <row r="165" spans="1:13" ht="15" customHeight="1" x14ac:dyDescent="0.25">
      <c r="A165" s="176" t="s">
        <v>492</v>
      </c>
      <c r="B165" s="212" t="s">
        <v>23</v>
      </c>
      <c r="C165" s="178">
        <v>66772</v>
      </c>
      <c r="D165" s="177" t="s">
        <v>34</v>
      </c>
      <c r="E165" s="201" t="s">
        <v>35</v>
      </c>
      <c r="F165" s="178"/>
      <c r="G165" s="181" t="s">
        <v>77</v>
      </c>
      <c r="H165" s="225"/>
      <c r="I165" s="178"/>
      <c r="J165" s="178"/>
      <c r="K165" s="178">
        <v>6100</v>
      </c>
      <c r="L165" s="178">
        <f t="shared" ref="L165:L166" si="93">K165</f>
        <v>6100</v>
      </c>
      <c r="M165" s="179" t="s">
        <v>179</v>
      </c>
    </row>
    <row r="166" spans="1:13" ht="15" customHeight="1" x14ac:dyDescent="0.25">
      <c r="A166" s="176" t="s">
        <v>492</v>
      </c>
      <c r="B166" s="212" t="s">
        <v>23</v>
      </c>
      <c r="C166" s="178">
        <v>66772</v>
      </c>
      <c r="D166" s="177" t="s">
        <v>34</v>
      </c>
      <c r="E166" s="177" t="s">
        <v>39</v>
      </c>
      <c r="F166" s="178"/>
      <c r="G166" s="181" t="s">
        <v>36</v>
      </c>
      <c r="H166" s="225"/>
      <c r="I166" s="178"/>
      <c r="J166" s="178"/>
      <c r="K166" s="178">
        <v>4600</v>
      </c>
      <c r="L166" s="178">
        <f t="shared" si="93"/>
        <v>4600</v>
      </c>
      <c r="M166" s="179" t="s">
        <v>277</v>
      </c>
    </row>
    <row r="167" spans="1:13" ht="15" customHeight="1" x14ac:dyDescent="0.25">
      <c r="A167" s="176" t="s">
        <v>492</v>
      </c>
      <c r="B167" s="212" t="s">
        <v>23</v>
      </c>
      <c r="C167" s="178">
        <v>66772</v>
      </c>
      <c r="D167" s="177" t="s">
        <v>34</v>
      </c>
      <c r="E167" s="204" t="s">
        <v>30</v>
      </c>
      <c r="F167" s="178"/>
      <c r="G167" s="181" t="s">
        <v>78</v>
      </c>
      <c r="H167" s="225"/>
      <c r="I167" s="178"/>
      <c r="J167" s="178"/>
      <c r="K167" s="178">
        <v>4500</v>
      </c>
      <c r="L167" s="178">
        <f>K167</f>
        <v>4500</v>
      </c>
      <c r="M167" s="179" t="s">
        <v>405</v>
      </c>
    </row>
    <row r="168" spans="1:13" ht="15" customHeight="1" x14ac:dyDescent="0.25">
      <c r="A168" s="176" t="s">
        <v>492</v>
      </c>
      <c r="B168" s="191" t="s">
        <v>41</v>
      </c>
      <c r="C168" s="192" t="s">
        <v>42</v>
      </c>
      <c r="D168" s="193" t="s">
        <v>93</v>
      </c>
      <c r="E168" s="199" t="s">
        <v>21</v>
      </c>
      <c r="F168" s="192">
        <v>46</v>
      </c>
      <c r="G168" s="192">
        <v>0</v>
      </c>
      <c r="H168" s="226">
        <f>G168*F168</f>
        <v>0</v>
      </c>
      <c r="I168" s="192">
        <v>42</v>
      </c>
      <c r="J168" s="192">
        <v>4</v>
      </c>
      <c r="K168" s="192">
        <f>F168*I168</f>
        <v>1932</v>
      </c>
      <c r="L168" s="192">
        <f>K168*J168</f>
        <v>7728</v>
      </c>
      <c r="M168" s="194" t="s">
        <v>91</v>
      </c>
    </row>
    <row r="169" spans="1:13" ht="15" customHeight="1" x14ac:dyDescent="0.25">
      <c r="A169" s="176" t="s">
        <v>492</v>
      </c>
      <c r="B169" s="177" t="s">
        <v>14</v>
      </c>
      <c r="C169" s="178" t="s">
        <v>71</v>
      </c>
      <c r="D169" s="177" t="s">
        <v>72</v>
      </c>
      <c r="E169" s="177" t="s">
        <v>21</v>
      </c>
      <c r="F169" s="178">
        <v>149</v>
      </c>
      <c r="G169" s="178">
        <v>1.095</v>
      </c>
      <c r="H169" s="178">
        <f>F169*G169</f>
        <v>163.155</v>
      </c>
      <c r="I169" s="178">
        <v>58</v>
      </c>
      <c r="J169" s="178">
        <v>1</v>
      </c>
      <c r="K169" s="178">
        <f t="shared" ref="K169:K170" si="94">F169*I169</f>
        <v>8642</v>
      </c>
      <c r="L169" s="178">
        <f t="shared" ref="L169:L170" si="95">K169*J169</f>
        <v>8642</v>
      </c>
      <c r="M169" s="179" t="s">
        <v>179</v>
      </c>
    </row>
    <row r="170" spans="1:13" ht="15" customHeight="1" x14ac:dyDescent="0.25">
      <c r="A170" s="176" t="s">
        <v>492</v>
      </c>
      <c r="B170" s="177" t="s">
        <v>14</v>
      </c>
      <c r="C170" s="178" t="s">
        <v>417</v>
      </c>
      <c r="D170" s="177"/>
      <c r="E170" s="177" t="s">
        <v>21</v>
      </c>
      <c r="F170" s="178">
        <v>31</v>
      </c>
      <c r="G170" s="221">
        <v>0.63541875000000003</v>
      </c>
      <c r="H170" s="225">
        <f>G170*F170</f>
        <v>19.697981250000002</v>
      </c>
      <c r="I170" s="178">
        <v>31</v>
      </c>
      <c r="J170" s="178">
        <v>1</v>
      </c>
      <c r="K170" s="178">
        <f t="shared" si="94"/>
        <v>961</v>
      </c>
      <c r="L170" s="178">
        <f t="shared" si="95"/>
        <v>961</v>
      </c>
      <c r="M170" s="179" t="s">
        <v>277</v>
      </c>
    </row>
    <row r="171" spans="1:13" ht="15" customHeight="1" x14ac:dyDescent="0.25">
      <c r="A171" s="176" t="s">
        <v>492</v>
      </c>
      <c r="B171" s="177" t="s">
        <v>14</v>
      </c>
      <c r="C171" s="178">
        <v>7479</v>
      </c>
      <c r="D171" s="177" t="s">
        <v>20</v>
      </c>
      <c r="E171" s="177" t="s">
        <v>21</v>
      </c>
      <c r="F171" s="178">
        <v>250</v>
      </c>
      <c r="G171" s="178">
        <v>0.15</v>
      </c>
      <c r="H171" s="178">
        <f>G171*F171</f>
        <v>37.5</v>
      </c>
      <c r="I171" s="178">
        <v>80</v>
      </c>
      <c r="J171" s="178">
        <v>1</v>
      </c>
      <c r="K171" s="178">
        <f>F171*I171</f>
        <v>20000</v>
      </c>
      <c r="L171" s="178">
        <f>K171*J171</f>
        <v>20000</v>
      </c>
      <c r="M171" s="179" t="s">
        <v>91</v>
      </c>
    </row>
    <row r="172" spans="1:13" ht="15" customHeight="1" x14ac:dyDescent="0.25">
      <c r="A172" s="176" t="s">
        <v>492</v>
      </c>
      <c r="B172" s="177" t="s">
        <v>14</v>
      </c>
      <c r="C172" s="178">
        <v>7479</v>
      </c>
      <c r="D172" s="177" t="s">
        <v>20</v>
      </c>
      <c r="E172" s="177" t="s">
        <v>25</v>
      </c>
      <c r="F172" s="178"/>
      <c r="G172" s="178"/>
      <c r="H172" s="178"/>
      <c r="I172" s="178"/>
      <c r="J172" s="178"/>
      <c r="K172" s="178">
        <v>6800</v>
      </c>
      <c r="L172" s="178">
        <f t="shared" ref="L172" si="96">K172</f>
        <v>6800</v>
      </c>
      <c r="M172" s="179" t="s">
        <v>181</v>
      </c>
    </row>
    <row r="173" spans="1:13" ht="15" customHeight="1" x14ac:dyDescent="0.25">
      <c r="A173" s="176" t="s">
        <v>492</v>
      </c>
      <c r="B173" s="177" t="s">
        <v>14</v>
      </c>
      <c r="C173" s="178" t="s">
        <v>448</v>
      </c>
      <c r="D173" s="177" t="s">
        <v>406</v>
      </c>
      <c r="E173" s="177" t="s">
        <v>25</v>
      </c>
      <c r="F173" s="178"/>
      <c r="G173" s="178"/>
      <c r="H173" s="178"/>
      <c r="I173" s="178"/>
      <c r="J173" s="178"/>
      <c r="K173" s="178">
        <v>5850</v>
      </c>
      <c r="L173" s="178">
        <f t="shared" ref="L173" si="97">K173</f>
        <v>5850</v>
      </c>
      <c r="M173" s="179" t="s">
        <v>37</v>
      </c>
    </row>
    <row r="174" spans="1:13" ht="15" customHeight="1" x14ac:dyDescent="0.25">
      <c r="A174" s="176" t="s">
        <v>493</v>
      </c>
      <c r="B174" s="177" t="s">
        <v>14</v>
      </c>
      <c r="C174" s="178" t="s">
        <v>410</v>
      </c>
      <c r="D174" s="177"/>
      <c r="E174" s="177" t="s">
        <v>21</v>
      </c>
      <c r="F174" s="178">
        <v>120</v>
      </c>
      <c r="G174" s="221">
        <v>0.74674999999999991</v>
      </c>
      <c r="H174" s="178">
        <f>G174*F174</f>
        <v>89.609999999999985</v>
      </c>
      <c r="I174" s="178">
        <v>35</v>
      </c>
      <c r="J174" s="178">
        <v>1</v>
      </c>
      <c r="K174" s="178">
        <f>F174*I174</f>
        <v>4200</v>
      </c>
      <c r="L174" s="178">
        <f>K174*J174</f>
        <v>4200</v>
      </c>
      <c r="M174" s="179" t="s">
        <v>413</v>
      </c>
    </row>
    <row r="175" spans="1:13" ht="15" customHeight="1" x14ac:dyDescent="0.25">
      <c r="A175" s="176" t="s">
        <v>493</v>
      </c>
      <c r="B175" s="212" t="s">
        <v>23</v>
      </c>
      <c r="C175" s="178">
        <v>66772</v>
      </c>
      <c r="D175" s="177" t="s">
        <v>34</v>
      </c>
      <c r="E175" s="201" t="s">
        <v>35</v>
      </c>
      <c r="F175" s="178"/>
      <c r="G175" s="181" t="s">
        <v>77</v>
      </c>
      <c r="H175" s="225"/>
      <c r="I175" s="178"/>
      <c r="J175" s="178"/>
      <c r="K175" s="178">
        <v>9200</v>
      </c>
      <c r="L175" s="178">
        <f t="shared" ref="L175:L176" si="98">K175</f>
        <v>9200</v>
      </c>
      <c r="M175" s="179" t="s">
        <v>179</v>
      </c>
    </row>
    <row r="176" spans="1:13" ht="15" customHeight="1" x14ac:dyDescent="0.25">
      <c r="A176" s="176" t="s">
        <v>493</v>
      </c>
      <c r="B176" s="212" t="s">
        <v>23</v>
      </c>
      <c r="C176" s="178">
        <v>66772</v>
      </c>
      <c r="D176" s="177" t="s">
        <v>34</v>
      </c>
      <c r="E176" s="177" t="s">
        <v>39</v>
      </c>
      <c r="F176" s="178"/>
      <c r="G176" s="181" t="s">
        <v>36</v>
      </c>
      <c r="H176" s="225"/>
      <c r="I176" s="178"/>
      <c r="J176" s="178"/>
      <c r="K176" s="178">
        <v>8000</v>
      </c>
      <c r="L176" s="178">
        <f t="shared" si="98"/>
        <v>8000</v>
      </c>
      <c r="M176" s="179" t="s">
        <v>277</v>
      </c>
    </row>
    <row r="177" spans="1:13" ht="15" customHeight="1" x14ac:dyDescent="0.25">
      <c r="A177" s="176" t="s">
        <v>493</v>
      </c>
      <c r="B177" s="212" t="s">
        <v>23</v>
      </c>
      <c r="C177" s="178">
        <v>66772</v>
      </c>
      <c r="D177" s="177" t="s">
        <v>34</v>
      </c>
      <c r="E177" s="204" t="s">
        <v>30</v>
      </c>
      <c r="F177" s="178"/>
      <c r="G177" s="181" t="s">
        <v>78</v>
      </c>
      <c r="H177" s="225"/>
      <c r="I177" s="178"/>
      <c r="J177" s="178"/>
      <c r="K177" s="178">
        <v>7100</v>
      </c>
      <c r="L177" s="178">
        <f>K177</f>
        <v>7100</v>
      </c>
      <c r="M177" s="179" t="s">
        <v>405</v>
      </c>
    </row>
    <row r="178" spans="1:13" ht="15" customHeight="1" x14ac:dyDescent="0.25">
      <c r="A178" s="176" t="s">
        <v>493</v>
      </c>
      <c r="B178" s="177" t="s">
        <v>14</v>
      </c>
      <c r="C178" s="178" t="s">
        <v>71</v>
      </c>
      <c r="D178" s="177" t="s">
        <v>72</v>
      </c>
      <c r="E178" s="177" t="s">
        <v>21</v>
      </c>
      <c r="F178" s="178">
        <v>49</v>
      </c>
      <c r="G178" s="178">
        <v>1.095</v>
      </c>
      <c r="H178" s="178">
        <f>F178*G178</f>
        <v>53.655000000000001</v>
      </c>
      <c r="I178" s="178">
        <v>58</v>
      </c>
      <c r="J178" s="178">
        <v>1</v>
      </c>
      <c r="K178" s="178">
        <f t="shared" ref="K178" si="99">F178*I178</f>
        <v>2842</v>
      </c>
      <c r="L178" s="178">
        <f t="shared" ref="L178" si="100">K178*J178</f>
        <v>2842</v>
      </c>
      <c r="M178" s="179" t="s">
        <v>179</v>
      </c>
    </row>
    <row r="179" spans="1:13" ht="15" customHeight="1" x14ac:dyDescent="0.25">
      <c r="A179" s="176" t="s">
        <v>493</v>
      </c>
      <c r="B179" s="177" t="s">
        <v>14</v>
      </c>
      <c r="C179" s="178" t="s">
        <v>417</v>
      </c>
      <c r="D179" s="177"/>
      <c r="E179" s="177" t="s">
        <v>25</v>
      </c>
      <c r="F179" s="178"/>
      <c r="G179" s="178"/>
      <c r="H179" s="178"/>
      <c r="I179" s="178"/>
      <c r="J179" s="178"/>
      <c r="K179" s="178">
        <v>2500</v>
      </c>
      <c r="L179" s="178">
        <f t="shared" ref="L179" si="101">K179</f>
        <v>2500</v>
      </c>
      <c r="M179" s="179" t="s">
        <v>179</v>
      </c>
    </row>
    <row r="180" spans="1:13" ht="15" customHeight="1" x14ac:dyDescent="0.25">
      <c r="A180" s="176" t="s">
        <v>493</v>
      </c>
      <c r="B180" s="177" t="s">
        <v>14</v>
      </c>
      <c r="C180" s="178">
        <v>7479</v>
      </c>
      <c r="D180" s="177" t="s">
        <v>20</v>
      </c>
      <c r="E180" s="177" t="s">
        <v>21</v>
      </c>
      <c r="F180" s="178">
        <v>40</v>
      </c>
      <c r="G180" s="178">
        <v>0.15</v>
      </c>
      <c r="H180" s="178">
        <f>G180*F180</f>
        <v>6</v>
      </c>
      <c r="I180" s="178">
        <v>80</v>
      </c>
      <c r="J180" s="178">
        <v>1</v>
      </c>
      <c r="K180" s="178">
        <f>F180*I180</f>
        <v>3200</v>
      </c>
      <c r="L180" s="178">
        <f>K180*J180</f>
        <v>3200</v>
      </c>
      <c r="M180" s="179" t="s">
        <v>91</v>
      </c>
    </row>
    <row r="181" spans="1:13" ht="15" customHeight="1" x14ac:dyDescent="0.25">
      <c r="A181" s="176" t="s">
        <v>493</v>
      </c>
      <c r="B181" s="177" t="s">
        <v>14</v>
      </c>
      <c r="C181" s="178">
        <v>7479</v>
      </c>
      <c r="D181" s="177" t="s">
        <v>20</v>
      </c>
      <c r="E181" s="177" t="s">
        <v>25</v>
      </c>
      <c r="F181" s="178"/>
      <c r="G181" s="178"/>
      <c r="H181" s="178"/>
      <c r="I181" s="178"/>
      <c r="J181" s="178"/>
      <c r="K181" s="178">
        <v>4800</v>
      </c>
      <c r="L181" s="178">
        <f t="shared" ref="L181:L184" si="102">K181</f>
        <v>4800</v>
      </c>
      <c r="M181" s="179" t="s">
        <v>181</v>
      </c>
    </row>
    <row r="182" spans="1:13" ht="15" customHeight="1" x14ac:dyDescent="0.25">
      <c r="A182" s="176" t="s">
        <v>493</v>
      </c>
      <c r="B182" s="177" t="s">
        <v>14</v>
      </c>
      <c r="C182" s="178" t="s">
        <v>448</v>
      </c>
      <c r="D182" s="177" t="s">
        <v>406</v>
      </c>
      <c r="E182" s="177" t="s">
        <v>25</v>
      </c>
      <c r="F182" s="178"/>
      <c r="G182" s="178"/>
      <c r="H182" s="178"/>
      <c r="I182" s="178"/>
      <c r="J182" s="178"/>
      <c r="K182" s="178">
        <v>7850</v>
      </c>
      <c r="L182" s="178">
        <f t="shared" si="102"/>
        <v>7850</v>
      </c>
      <c r="M182" s="179" t="s">
        <v>37</v>
      </c>
    </row>
    <row r="183" spans="1:13" ht="15" customHeight="1" x14ac:dyDescent="0.25">
      <c r="A183" s="176" t="s">
        <v>494</v>
      </c>
      <c r="B183" s="212" t="s">
        <v>23</v>
      </c>
      <c r="C183" s="178">
        <v>66772</v>
      </c>
      <c r="D183" s="177" t="s">
        <v>34</v>
      </c>
      <c r="E183" s="201" t="s">
        <v>35</v>
      </c>
      <c r="F183" s="178"/>
      <c r="G183" s="181" t="s">
        <v>77</v>
      </c>
      <c r="H183" s="225"/>
      <c r="I183" s="178"/>
      <c r="J183" s="178"/>
      <c r="K183" s="178">
        <v>228</v>
      </c>
      <c r="L183" s="178">
        <f t="shared" si="102"/>
        <v>228</v>
      </c>
      <c r="M183" s="179" t="s">
        <v>179</v>
      </c>
    </row>
    <row r="184" spans="1:13" ht="15" customHeight="1" x14ac:dyDescent="0.25">
      <c r="A184" s="176" t="s">
        <v>494</v>
      </c>
      <c r="B184" s="212" t="s">
        <v>23</v>
      </c>
      <c r="C184" s="178">
        <v>66772</v>
      </c>
      <c r="D184" s="177" t="s">
        <v>34</v>
      </c>
      <c r="E184" s="177" t="s">
        <v>39</v>
      </c>
      <c r="F184" s="178"/>
      <c r="G184" s="181" t="s">
        <v>36</v>
      </c>
      <c r="H184" s="225"/>
      <c r="I184" s="178"/>
      <c r="J184" s="178"/>
      <c r="K184" s="178">
        <v>3000</v>
      </c>
      <c r="L184" s="178">
        <f t="shared" si="102"/>
        <v>3000</v>
      </c>
      <c r="M184" s="179" t="s">
        <v>277</v>
      </c>
    </row>
    <row r="185" spans="1:13" ht="15" customHeight="1" x14ac:dyDescent="0.25">
      <c r="A185" s="176" t="s">
        <v>494</v>
      </c>
      <c r="B185" s="212" t="s">
        <v>23</v>
      </c>
      <c r="C185" s="178">
        <v>66772</v>
      </c>
      <c r="D185" s="177" t="s">
        <v>34</v>
      </c>
      <c r="E185" s="204" t="s">
        <v>30</v>
      </c>
      <c r="F185" s="178"/>
      <c r="G185" s="181" t="s">
        <v>78</v>
      </c>
      <c r="H185" s="225"/>
      <c r="I185" s="178"/>
      <c r="J185" s="178"/>
      <c r="K185" s="178">
        <v>3400</v>
      </c>
      <c r="L185" s="178">
        <f>K185</f>
        <v>3400</v>
      </c>
      <c r="M185" s="179" t="s">
        <v>405</v>
      </c>
    </row>
    <row r="186" spans="1:13" ht="15" customHeight="1" x14ac:dyDescent="0.25">
      <c r="A186" s="176" t="s">
        <v>494</v>
      </c>
      <c r="B186" s="177" t="s">
        <v>14</v>
      </c>
      <c r="C186" s="178" t="s">
        <v>417</v>
      </c>
      <c r="D186" s="177"/>
      <c r="E186" s="177" t="s">
        <v>25</v>
      </c>
      <c r="F186" s="178"/>
      <c r="G186" s="178"/>
      <c r="H186" s="178"/>
      <c r="I186" s="178"/>
      <c r="J186" s="178"/>
      <c r="K186" s="178">
        <v>2700</v>
      </c>
      <c r="L186" s="178">
        <f t="shared" ref="L186:L188" si="103">K186</f>
        <v>2700</v>
      </c>
      <c r="M186" s="179" t="s">
        <v>179</v>
      </c>
    </row>
    <row r="187" spans="1:13" ht="15" customHeight="1" x14ac:dyDescent="0.25">
      <c r="A187" s="176" t="s">
        <v>494</v>
      </c>
      <c r="B187" s="177" t="s">
        <v>14</v>
      </c>
      <c r="C187" s="178" t="s">
        <v>448</v>
      </c>
      <c r="D187" s="177" t="s">
        <v>406</v>
      </c>
      <c r="E187" s="177" t="s">
        <v>25</v>
      </c>
      <c r="F187" s="178"/>
      <c r="G187" s="178"/>
      <c r="H187" s="178"/>
      <c r="I187" s="178"/>
      <c r="J187" s="178"/>
      <c r="K187" s="178">
        <v>5900</v>
      </c>
      <c r="L187" s="178">
        <f t="shared" si="103"/>
        <v>5900</v>
      </c>
      <c r="M187" s="179" t="s">
        <v>37</v>
      </c>
    </row>
    <row r="188" spans="1:13" ht="15" customHeight="1" x14ac:dyDescent="0.25">
      <c r="A188" s="176" t="s">
        <v>494</v>
      </c>
      <c r="B188" s="177" t="s">
        <v>14</v>
      </c>
      <c r="C188" s="178">
        <v>7479</v>
      </c>
      <c r="D188" s="177" t="s">
        <v>20</v>
      </c>
      <c r="E188" s="177" t="s">
        <v>25</v>
      </c>
      <c r="F188" s="178"/>
      <c r="G188" s="178"/>
      <c r="H188" s="178"/>
      <c r="I188" s="178"/>
      <c r="J188" s="178"/>
      <c r="K188" s="178">
        <v>4500</v>
      </c>
      <c r="L188" s="178">
        <f t="shared" si="103"/>
        <v>4500</v>
      </c>
      <c r="M188" s="179" t="s">
        <v>181</v>
      </c>
    </row>
    <row r="189" spans="1:13" ht="15" customHeight="1" x14ac:dyDescent="0.25">
      <c r="A189" s="176" t="s">
        <v>495</v>
      </c>
      <c r="B189" s="177" t="s">
        <v>14</v>
      </c>
      <c r="C189" s="178">
        <v>5036</v>
      </c>
      <c r="D189" s="177" t="s">
        <v>16</v>
      </c>
      <c r="E189" s="177" t="s">
        <v>17</v>
      </c>
      <c r="F189" s="178">
        <v>57</v>
      </c>
      <c r="G189" s="178">
        <v>0.32500000000000001</v>
      </c>
      <c r="H189" s="225">
        <f t="shared" ref="H189" si="104">F189*G189</f>
        <v>18.525000000000002</v>
      </c>
      <c r="I189" s="178">
        <v>62</v>
      </c>
      <c r="J189" s="178">
        <v>4</v>
      </c>
      <c r="K189" s="178">
        <f t="shared" ref="K189" si="105">F189*I189</f>
        <v>3534</v>
      </c>
      <c r="L189" s="178">
        <f>K189*J189</f>
        <v>14136</v>
      </c>
      <c r="M189" s="179" t="s">
        <v>22</v>
      </c>
    </row>
    <row r="190" spans="1:13" ht="15" customHeight="1" x14ac:dyDescent="0.25">
      <c r="A190" s="176" t="s">
        <v>495</v>
      </c>
      <c r="B190" s="177" t="s">
        <v>14</v>
      </c>
      <c r="C190" s="178">
        <v>7479</v>
      </c>
      <c r="D190" s="177" t="s">
        <v>20</v>
      </c>
      <c r="E190" s="177" t="s">
        <v>25</v>
      </c>
      <c r="F190" s="178"/>
      <c r="G190" s="178"/>
      <c r="H190" s="178"/>
      <c r="I190" s="178"/>
      <c r="J190" s="178"/>
      <c r="K190" s="178">
        <v>4250</v>
      </c>
      <c r="L190" s="178">
        <f t="shared" ref="L190" si="106">K190</f>
        <v>4250</v>
      </c>
      <c r="M190" s="179" t="s">
        <v>181</v>
      </c>
    </row>
    <row r="191" spans="1:13" ht="15" customHeight="1" x14ac:dyDescent="0.25">
      <c r="A191" s="176" t="s">
        <v>496</v>
      </c>
      <c r="B191" s="177" t="s">
        <v>14</v>
      </c>
      <c r="C191" s="178">
        <v>1411</v>
      </c>
      <c r="D191" s="177" t="s">
        <v>414</v>
      </c>
      <c r="E191" s="177" t="s">
        <v>21</v>
      </c>
      <c r="F191" s="178">
        <v>277</v>
      </c>
      <c r="G191" s="221">
        <v>1.1297187499999997</v>
      </c>
      <c r="H191" s="225">
        <f>G191*F191</f>
        <v>312.93209374999992</v>
      </c>
      <c r="I191" s="178">
        <v>20</v>
      </c>
      <c r="J191" s="178">
        <v>1</v>
      </c>
      <c r="K191" s="178">
        <f>F191*I191</f>
        <v>5540</v>
      </c>
      <c r="L191" s="178">
        <f>K191*J191</f>
        <v>5540</v>
      </c>
      <c r="M191" s="179" t="s">
        <v>413</v>
      </c>
    </row>
    <row r="192" spans="1:13" ht="15" customHeight="1" x14ac:dyDescent="0.25">
      <c r="A192" s="176" t="s">
        <v>496</v>
      </c>
      <c r="B192" s="177" t="s">
        <v>14</v>
      </c>
      <c r="C192" s="178">
        <v>8283</v>
      </c>
      <c r="D192" s="177" t="s">
        <v>344</v>
      </c>
      <c r="E192" s="177" t="s">
        <v>25</v>
      </c>
      <c r="F192" s="178"/>
      <c r="G192" s="178"/>
      <c r="H192" s="225"/>
      <c r="I192" s="178"/>
      <c r="J192" s="178"/>
      <c r="K192" s="178">
        <v>2300</v>
      </c>
      <c r="L192" s="178">
        <f>K192</f>
        <v>2300</v>
      </c>
      <c r="M192" s="179" t="s">
        <v>179</v>
      </c>
    </row>
    <row r="193" spans="1:13" ht="15" customHeight="1" x14ac:dyDescent="0.25">
      <c r="A193" s="176" t="s">
        <v>496</v>
      </c>
      <c r="B193" s="228" t="s">
        <v>14</v>
      </c>
      <c r="C193" s="178">
        <v>5036</v>
      </c>
      <c r="D193" s="177" t="s">
        <v>16</v>
      </c>
      <c r="E193" s="177" t="s">
        <v>17</v>
      </c>
      <c r="F193" s="178">
        <v>112</v>
      </c>
      <c r="G193" s="178">
        <v>0.32500000000000001</v>
      </c>
      <c r="H193" s="225">
        <f t="shared" ref="H193" si="107">F193*G193</f>
        <v>36.4</v>
      </c>
      <c r="I193" s="178">
        <v>62</v>
      </c>
      <c r="J193" s="178">
        <v>4</v>
      </c>
      <c r="K193" s="178">
        <f t="shared" ref="K193" si="108">F193*I193</f>
        <v>6944</v>
      </c>
      <c r="L193" s="178">
        <f>K193*J193</f>
        <v>27776</v>
      </c>
      <c r="M193" s="179" t="s">
        <v>22</v>
      </c>
    </row>
    <row r="194" spans="1:13" ht="15" customHeight="1" x14ac:dyDescent="0.25">
      <c r="A194" s="176" t="s">
        <v>496</v>
      </c>
      <c r="B194" s="227" t="s">
        <v>44</v>
      </c>
      <c r="C194" s="178" t="s">
        <v>45</v>
      </c>
      <c r="D194" s="177" t="s">
        <v>46</v>
      </c>
      <c r="E194" s="177" t="s">
        <v>47</v>
      </c>
      <c r="F194" s="178"/>
      <c r="G194" s="178"/>
      <c r="H194" s="225"/>
      <c r="I194" s="178"/>
      <c r="J194" s="178"/>
      <c r="K194" s="178">
        <v>3000</v>
      </c>
      <c r="L194" s="178">
        <f t="shared" ref="L194:L195" si="109">K194</f>
        <v>3000</v>
      </c>
      <c r="M194" s="179" t="s">
        <v>48</v>
      </c>
    </row>
    <row r="195" spans="1:13" ht="15" customHeight="1" x14ac:dyDescent="0.25">
      <c r="A195" s="176" t="s">
        <v>496</v>
      </c>
      <c r="B195" s="177" t="s">
        <v>14</v>
      </c>
      <c r="C195" s="178">
        <v>7479</v>
      </c>
      <c r="D195" s="177" t="s">
        <v>20</v>
      </c>
      <c r="E195" s="177" t="s">
        <v>25</v>
      </c>
      <c r="F195" s="178"/>
      <c r="G195" s="178"/>
      <c r="H195" s="178"/>
      <c r="I195" s="178"/>
      <c r="J195" s="178"/>
      <c r="K195" s="178">
        <v>5600</v>
      </c>
      <c r="L195" s="178">
        <f t="shared" si="109"/>
        <v>5600</v>
      </c>
      <c r="M195" s="179" t="s">
        <v>181</v>
      </c>
    </row>
    <row r="196" spans="1:13" ht="15" customHeight="1" thickBot="1" x14ac:dyDescent="0.3">
      <c r="A196" s="176" t="s">
        <v>497</v>
      </c>
      <c r="B196" s="177" t="s">
        <v>14</v>
      </c>
      <c r="C196" s="178">
        <v>1135</v>
      </c>
      <c r="D196" s="177" t="s">
        <v>467</v>
      </c>
      <c r="E196" s="177" t="s">
        <v>21</v>
      </c>
      <c r="F196" s="178">
        <v>150</v>
      </c>
      <c r="G196" s="220">
        <v>1.1719999999999999</v>
      </c>
      <c r="H196" s="225">
        <f>G196*F196</f>
        <v>175.79999999999998</v>
      </c>
      <c r="I196" s="178">
        <v>41</v>
      </c>
      <c r="J196" s="178">
        <v>2</v>
      </c>
      <c r="K196" s="178">
        <f>F196*I196</f>
        <v>6150</v>
      </c>
      <c r="L196" s="178">
        <f>K196*J196</f>
        <v>12300</v>
      </c>
      <c r="M196" s="179" t="s">
        <v>413</v>
      </c>
    </row>
    <row r="197" spans="1:13" ht="15" customHeight="1" x14ac:dyDescent="0.25">
      <c r="A197" s="176" t="s">
        <v>497</v>
      </c>
      <c r="B197" s="177" t="s">
        <v>14</v>
      </c>
      <c r="C197" s="178" t="s">
        <v>410</v>
      </c>
      <c r="D197" s="177" t="s">
        <v>467</v>
      </c>
      <c r="E197" s="177" t="s">
        <v>21</v>
      </c>
      <c r="F197" s="178">
        <v>9</v>
      </c>
      <c r="G197" s="221">
        <v>0.74674999999999991</v>
      </c>
      <c r="H197" s="225">
        <f>G197*F197</f>
        <v>6.7207499999999989</v>
      </c>
      <c r="I197" s="178">
        <v>35</v>
      </c>
      <c r="J197" s="178">
        <v>1</v>
      </c>
      <c r="K197" s="178">
        <f>F197*I197</f>
        <v>315</v>
      </c>
      <c r="L197" s="178">
        <f>K197*J197</f>
        <v>315</v>
      </c>
      <c r="M197" s="179" t="s">
        <v>413</v>
      </c>
    </row>
    <row r="198" spans="1:13" ht="15" customHeight="1" x14ac:dyDescent="0.25">
      <c r="A198" s="176" t="s">
        <v>497</v>
      </c>
      <c r="B198" s="212" t="s">
        <v>23</v>
      </c>
      <c r="C198" s="178">
        <v>66772</v>
      </c>
      <c r="D198" s="177" t="s">
        <v>34</v>
      </c>
      <c r="E198" s="201" t="s">
        <v>35</v>
      </c>
      <c r="F198" s="178"/>
      <c r="G198" s="181" t="s">
        <v>77</v>
      </c>
      <c r="H198" s="225"/>
      <c r="I198" s="178"/>
      <c r="J198" s="178"/>
      <c r="K198" s="178">
        <v>4860</v>
      </c>
      <c r="L198" s="178">
        <f t="shared" ref="L198:L199" si="110">K198</f>
        <v>4860</v>
      </c>
      <c r="M198" s="179" t="s">
        <v>179</v>
      </c>
    </row>
    <row r="199" spans="1:13" ht="15" customHeight="1" x14ac:dyDescent="0.25">
      <c r="A199" s="176" t="s">
        <v>497</v>
      </c>
      <c r="B199" s="212" t="s">
        <v>23</v>
      </c>
      <c r="C199" s="178">
        <v>66772</v>
      </c>
      <c r="D199" s="177" t="s">
        <v>34</v>
      </c>
      <c r="E199" s="177" t="s">
        <v>39</v>
      </c>
      <c r="F199" s="178"/>
      <c r="G199" s="181" t="s">
        <v>36</v>
      </c>
      <c r="H199" s="225"/>
      <c r="I199" s="178"/>
      <c r="J199" s="178"/>
      <c r="K199" s="178">
        <v>4860</v>
      </c>
      <c r="L199" s="178">
        <f t="shared" si="110"/>
        <v>4860</v>
      </c>
      <c r="M199" s="179" t="s">
        <v>277</v>
      </c>
    </row>
    <row r="200" spans="1:13" ht="15" customHeight="1" x14ac:dyDescent="0.25">
      <c r="A200" s="176" t="s">
        <v>497</v>
      </c>
      <c r="B200" s="212" t="s">
        <v>23</v>
      </c>
      <c r="C200" s="178">
        <v>66772</v>
      </c>
      <c r="D200" s="177" t="s">
        <v>34</v>
      </c>
      <c r="E200" s="204" t="s">
        <v>30</v>
      </c>
      <c r="F200" s="178"/>
      <c r="G200" s="181" t="s">
        <v>78</v>
      </c>
      <c r="H200" s="225"/>
      <c r="I200" s="178"/>
      <c r="J200" s="178"/>
      <c r="K200" s="178">
        <v>4750</v>
      </c>
      <c r="L200" s="178">
        <f>K200</f>
        <v>4750</v>
      </c>
      <c r="M200" s="179" t="s">
        <v>405</v>
      </c>
    </row>
    <row r="201" spans="1:13" ht="15" customHeight="1" x14ac:dyDescent="0.25">
      <c r="A201" s="176" t="s">
        <v>497</v>
      </c>
      <c r="B201" s="177" t="s">
        <v>14</v>
      </c>
      <c r="C201" s="178">
        <v>8283</v>
      </c>
      <c r="D201" s="177" t="s">
        <v>344</v>
      </c>
      <c r="E201" s="177" t="s">
        <v>25</v>
      </c>
      <c r="F201" s="178"/>
      <c r="G201" s="178"/>
      <c r="H201" s="225"/>
      <c r="I201" s="178"/>
      <c r="J201" s="178"/>
      <c r="K201" s="178">
        <v>3875</v>
      </c>
      <c r="L201" s="178">
        <f>K201</f>
        <v>3875</v>
      </c>
      <c r="M201" s="179" t="s">
        <v>179</v>
      </c>
    </row>
    <row r="202" spans="1:13" ht="15" customHeight="1" x14ac:dyDescent="0.25">
      <c r="A202" s="176" t="s">
        <v>497</v>
      </c>
      <c r="B202" s="228" t="s">
        <v>14</v>
      </c>
      <c r="C202" s="178">
        <v>5036</v>
      </c>
      <c r="D202" s="177" t="s">
        <v>16</v>
      </c>
      <c r="E202" s="177" t="s">
        <v>17</v>
      </c>
      <c r="F202" s="178">
        <v>36</v>
      </c>
      <c r="G202" s="178">
        <v>0.32500000000000001</v>
      </c>
      <c r="H202" s="225">
        <f t="shared" ref="H202" si="111">F202*G202</f>
        <v>11.700000000000001</v>
      </c>
      <c r="I202" s="178">
        <v>62</v>
      </c>
      <c r="J202" s="178">
        <v>4</v>
      </c>
      <c r="K202" s="178">
        <f t="shared" ref="K202" si="112">F202*I202</f>
        <v>2232</v>
      </c>
      <c r="L202" s="178">
        <f>K202*J202</f>
        <v>8928</v>
      </c>
      <c r="M202" s="179" t="s">
        <v>22</v>
      </c>
    </row>
    <row r="203" spans="1:13" ht="15" customHeight="1" x14ac:dyDescent="0.25">
      <c r="A203" s="176" t="s">
        <v>497</v>
      </c>
      <c r="B203" s="227" t="s">
        <v>44</v>
      </c>
      <c r="C203" s="178" t="s">
        <v>45</v>
      </c>
      <c r="D203" s="177" t="s">
        <v>46</v>
      </c>
      <c r="E203" s="177" t="s">
        <v>47</v>
      </c>
      <c r="F203" s="178"/>
      <c r="G203" s="178"/>
      <c r="H203" s="225"/>
      <c r="I203" s="178"/>
      <c r="J203" s="178"/>
      <c r="K203" s="178">
        <v>2600</v>
      </c>
      <c r="L203" s="178">
        <f t="shared" ref="L203:L204" si="113">K203</f>
        <v>2600</v>
      </c>
      <c r="M203" s="179" t="s">
        <v>48</v>
      </c>
    </row>
    <row r="204" spans="1:13" ht="15" customHeight="1" x14ac:dyDescent="0.25">
      <c r="A204" s="176" t="s">
        <v>497</v>
      </c>
      <c r="B204" s="177" t="s">
        <v>14</v>
      </c>
      <c r="C204" s="178">
        <v>7479</v>
      </c>
      <c r="D204" s="177" t="s">
        <v>20</v>
      </c>
      <c r="E204" s="177" t="s">
        <v>25</v>
      </c>
      <c r="F204" s="178"/>
      <c r="G204" s="178"/>
      <c r="H204" s="178"/>
      <c r="I204" s="178"/>
      <c r="J204" s="178"/>
      <c r="K204" s="178">
        <v>6000</v>
      </c>
      <c r="L204" s="178">
        <f t="shared" si="113"/>
        <v>6000</v>
      </c>
      <c r="M204" s="179" t="s">
        <v>181</v>
      </c>
    </row>
    <row r="205" spans="1:13" ht="15" customHeight="1" x14ac:dyDescent="0.25">
      <c r="A205" s="176" t="s">
        <v>498</v>
      </c>
      <c r="B205" s="177" t="s">
        <v>14</v>
      </c>
      <c r="C205" s="178" t="s">
        <v>410</v>
      </c>
      <c r="D205" s="177" t="s">
        <v>467</v>
      </c>
      <c r="E205" s="177" t="s">
        <v>21</v>
      </c>
      <c r="F205" s="178">
        <v>218</v>
      </c>
      <c r="G205" s="221">
        <v>0.74674999999999991</v>
      </c>
      <c r="H205" s="225">
        <f>G205*F205</f>
        <v>162.79149999999998</v>
      </c>
      <c r="I205" s="178">
        <v>35</v>
      </c>
      <c r="J205" s="178">
        <v>1</v>
      </c>
      <c r="K205" s="178">
        <f>F205*I205</f>
        <v>7630</v>
      </c>
      <c r="L205" s="178">
        <f>K205*J205</f>
        <v>7630</v>
      </c>
      <c r="M205" s="179" t="s">
        <v>413</v>
      </c>
    </row>
    <row r="206" spans="1:13" ht="15" customHeight="1" x14ac:dyDescent="0.25">
      <c r="A206" s="176" t="s">
        <v>498</v>
      </c>
      <c r="B206" s="212" t="s">
        <v>23</v>
      </c>
      <c r="C206" s="178">
        <v>66772</v>
      </c>
      <c r="D206" s="177" t="s">
        <v>34</v>
      </c>
      <c r="E206" s="201" t="s">
        <v>35</v>
      </c>
      <c r="F206" s="178"/>
      <c r="G206" s="181" t="s">
        <v>77</v>
      </c>
      <c r="H206" s="225"/>
      <c r="I206" s="178"/>
      <c r="J206" s="178"/>
      <c r="K206" s="178">
        <v>6100</v>
      </c>
      <c r="L206" s="178">
        <f t="shared" ref="L206:L207" si="114">K206</f>
        <v>6100</v>
      </c>
      <c r="M206" s="179" t="s">
        <v>179</v>
      </c>
    </row>
    <row r="207" spans="1:13" ht="15" customHeight="1" x14ac:dyDescent="0.25">
      <c r="A207" s="176" t="s">
        <v>498</v>
      </c>
      <c r="B207" s="212" t="s">
        <v>23</v>
      </c>
      <c r="C207" s="178">
        <v>66772</v>
      </c>
      <c r="D207" s="177" t="s">
        <v>34</v>
      </c>
      <c r="E207" s="177" t="s">
        <v>39</v>
      </c>
      <c r="F207" s="178"/>
      <c r="G207" s="181" t="s">
        <v>36</v>
      </c>
      <c r="H207" s="225"/>
      <c r="I207" s="178"/>
      <c r="J207" s="178"/>
      <c r="K207" s="178">
        <v>6140</v>
      </c>
      <c r="L207" s="178">
        <f t="shared" si="114"/>
        <v>6140</v>
      </c>
      <c r="M207" s="179" t="s">
        <v>277</v>
      </c>
    </row>
    <row r="208" spans="1:13" ht="15" customHeight="1" x14ac:dyDescent="0.25">
      <c r="A208" s="176" t="s">
        <v>498</v>
      </c>
      <c r="B208" s="212" t="s">
        <v>23</v>
      </c>
      <c r="C208" s="178">
        <v>66772</v>
      </c>
      <c r="D208" s="177" t="s">
        <v>34</v>
      </c>
      <c r="E208" s="204" t="s">
        <v>30</v>
      </c>
      <c r="F208" s="178"/>
      <c r="G208" s="181" t="s">
        <v>78</v>
      </c>
      <c r="H208" s="225"/>
      <c r="I208" s="178"/>
      <c r="J208" s="178"/>
      <c r="K208" s="178">
        <v>6050</v>
      </c>
      <c r="L208" s="178">
        <f>K208</f>
        <v>6050</v>
      </c>
      <c r="M208" s="179" t="s">
        <v>405</v>
      </c>
    </row>
    <row r="209" spans="1:13" ht="15" customHeight="1" x14ac:dyDescent="0.25">
      <c r="A209" s="176" t="s">
        <v>498</v>
      </c>
      <c r="B209" s="177" t="s">
        <v>14</v>
      </c>
      <c r="C209" s="178">
        <v>7479</v>
      </c>
      <c r="D209" s="177" t="s">
        <v>20</v>
      </c>
      <c r="E209" s="177" t="s">
        <v>25</v>
      </c>
      <c r="F209" s="178"/>
      <c r="G209" s="178"/>
      <c r="H209" s="178"/>
      <c r="I209" s="178"/>
      <c r="J209" s="178"/>
      <c r="K209" s="178">
        <v>6650</v>
      </c>
      <c r="L209" s="178">
        <f t="shared" ref="L209:L211" si="115">K209</f>
        <v>6650</v>
      </c>
      <c r="M209" s="179" t="s">
        <v>181</v>
      </c>
    </row>
    <row r="210" spans="1:13" ht="15" customHeight="1" x14ac:dyDescent="0.25">
      <c r="A210" s="176" t="s">
        <v>499</v>
      </c>
      <c r="B210" s="212" t="s">
        <v>23</v>
      </c>
      <c r="C210" s="178">
        <v>66772</v>
      </c>
      <c r="D210" s="177" t="s">
        <v>34</v>
      </c>
      <c r="E210" s="201" t="s">
        <v>35</v>
      </c>
      <c r="F210" s="178"/>
      <c r="G210" s="181" t="s">
        <v>77</v>
      </c>
      <c r="H210" s="225"/>
      <c r="I210" s="178"/>
      <c r="J210" s="178"/>
      <c r="K210" s="178">
        <v>4250</v>
      </c>
      <c r="L210" s="178">
        <f t="shared" si="115"/>
        <v>4250</v>
      </c>
      <c r="M210" s="179" t="s">
        <v>179</v>
      </c>
    </row>
    <row r="211" spans="1:13" ht="15" customHeight="1" x14ac:dyDescent="0.25">
      <c r="A211" s="176" t="s">
        <v>499</v>
      </c>
      <c r="B211" s="212" t="s">
        <v>23</v>
      </c>
      <c r="C211" s="178">
        <v>66772</v>
      </c>
      <c r="D211" s="177" t="s">
        <v>34</v>
      </c>
      <c r="E211" s="177" t="s">
        <v>39</v>
      </c>
      <c r="F211" s="178"/>
      <c r="G211" s="181" t="s">
        <v>36</v>
      </c>
      <c r="H211" s="225"/>
      <c r="I211" s="178"/>
      <c r="J211" s="178"/>
      <c r="K211" s="178">
        <v>4100</v>
      </c>
      <c r="L211" s="178">
        <f t="shared" si="115"/>
        <v>4100</v>
      </c>
      <c r="M211" s="179" t="s">
        <v>277</v>
      </c>
    </row>
    <row r="212" spans="1:13" ht="15" customHeight="1" x14ac:dyDescent="0.25">
      <c r="A212" s="176" t="s">
        <v>499</v>
      </c>
      <c r="B212" s="212" t="s">
        <v>23</v>
      </c>
      <c r="C212" s="178">
        <v>66772</v>
      </c>
      <c r="D212" s="177" t="s">
        <v>34</v>
      </c>
      <c r="E212" s="204" t="s">
        <v>30</v>
      </c>
      <c r="F212" s="178"/>
      <c r="G212" s="181" t="s">
        <v>78</v>
      </c>
      <c r="H212" s="225"/>
      <c r="I212" s="178"/>
      <c r="J212" s="178"/>
      <c r="K212" s="178">
        <v>4300</v>
      </c>
      <c r="L212" s="178">
        <f>K212</f>
        <v>4300</v>
      </c>
      <c r="M212" s="179" t="s">
        <v>405</v>
      </c>
    </row>
    <row r="213" spans="1:13" ht="15" customHeight="1" x14ac:dyDescent="0.25">
      <c r="A213" s="176" t="s">
        <v>499</v>
      </c>
      <c r="B213" s="177" t="s">
        <v>14</v>
      </c>
      <c r="C213" s="178">
        <v>7479</v>
      </c>
      <c r="D213" s="177" t="s">
        <v>20</v>
      </c>
      <c r="E213" s="177" t="s">
        <v>25</v>
      </c>
      <c r="F213" s="178"/>
      <c r="G213" s="178"/>
      <c r="H213" s="178"/>
      <c r="I213" s="178"/>
      <c r="J213" s="178"/>
      <c r="K213" s="178">
        <v>2500</v>
      </c>
      <c r="L213" s="178">
        <f t="shared" ref="L213" si="116">K213</f>
        <v>2500</v>
      </c>
      <c r="M213" s="179" t="s">
        <v>181</v>
      </c>
    </row>
    <row r="214" spans="1:13" ht="15" customHeight="1" x14ac:dyDescent="0.25">
      <c r="A214" s="176" t="s">
        <v>500</v>
      </c>
      <c r="B214" s="177" t="s">
        <v>14</v>
      </c>
      <c r="C214" s="178" t="s">
        <v>410</v>
      </c>
      <c r="D214" s="177" t="s">
        <v>467</v>
      </c>
      <c r="E214" s="177" t="s">
        <v>21</v>
      </c>
      <c r="F214" s="178">
        <v>223</v>
      </c>
      <c r="G214" s="221">
        <v>0.74674999999999991</v>
      </c>
      <c r="H214" s="225">
        <f>G214*F214</f>
        <v>166.52524999999997</v>
      </c>
      <c r="I214" s="178">
        <v>35</v>
      </c>
      <c r="J214" s="178">
        <v>1</v>
      </c>
      <c r="K214" s="178">
        <f>F214*I214</f>
        <v>7805</v>
      </c>
      <c r="L214" s="178">
        <f>K214*J214</f>
        <v>7805</v>
      </c>
      <c r="M214" s="179" t="s">
        <v>413</v>
      </c>
    </row>
    <row r="215" spans="1:13" ht="15" customHeight="1" x14ac:dyDescent="0.25">
      <c r="A215" s="176" t="s">
        <v>500</v>
      </c>
      <c r="B215" s="212" t="s">
        <v>23</v>
      </c>
      <c r="C215" s="178">
        <v>66772</v>
      </c>
      <c r="D215" s="177" t="s">
        <v>34</v>
      </c>
      <c r="E215" s="201" t="s">
        <v>35</v>
      </c>
      <c r="F215" s="178"/>
      <c r="G215" s="181" t="s">
        <v>77</v>
      </c>
      <c r="H215" s="225"/>
      <c r="I215" s="178"/>
      <c r="J215" s="178"/>
      <c r="K215" s="178">
        <v>5450</v>
      </c>
      <c r="L215" s="178">
        <f t="shared" ref="L215:L216" si="117">K215</f>
        <v>5450</v>
      </c>
      <c r="M215" s="179" t="s">
        <v>179</v>
      </c>
    </row>
    <row r="216" spans="1:13" ht="15" customHeight="1" x14ac:dyDescent="0.25">
      <c r="A216" s="176" t="s">
        <v>500</v>
      </c>
      <c r="B216" s="212" t="s">
        <v>23</v>
      </c>
      <c r="C216" s="178">
        <v>66772</v>
      </c>
      <c r="D216" s="177" t="s">
        <v>34</v>
      </c>
      <c r="E216" s="177" t="s">
        <v>39</v>
      </c>
      <c r="F216" s="178"/>
      <c r="G216" s="181" t="s">
        <v>36</v>
      </c>
      <c r="H216" s="225"/>
      <c r="I216" s="178"/>
      <c r="J216" s="178"/>
      <c r="K216" s="178">
        <v>4620</v>
      </c>
      <c r="L216" s="178">
        <f t="shared" si="117"/>
        <v>4620</v>
      </c>
      <c r="M216" s="179" t="s">
        <v>277</v>
      </c>
    </row>
    <row r="217" spans="1:13" ht="15" customHeight="1" x14ac:dyDescent="0.25">
      <c r="A217" s="176" t="s">
        <v>500</v>
      </c>
      <c r="B217" s="212" t="s">
        <v>23</v>
      </c>
      <c r="C217" s="178">
        <v>66772</v>
      </c>
      <c r="D217" s="177" t="s">
        <v>34</v>
      </c>
      <c r="E217" s="204" t="s">
        <v>30</v>
      </c>
      <c r="F217" s="178"/>
      <c r="G217" s="181" t="s">
        <v>78</v>
      </c>
      <c r="H217" s="225"/>
      <c r="I217" s="178"/>
      <c r="J217" s="178"/>
      <c r="K217" s="178">
        <v>3500</v>
      </c>
      <c r="L217" s="178">
        <f>K217</f>
        <v>3500</v>
      </c>
      <c r="M217" s="179" t="s">
        <v>405</v>
      </c>
    </row>
    <row r="218" spans="1:13" ht="15" customHeight="1" x14ac:dyDescent="0.25">
      <c r="A218" s="176" t="s">
        <v>500</v>
      </c>
      <c r="B218" s="177" t="s">
        <v>14</v>
      </c>
      <c r="C218" s="178">
        <v>8283</v>
      </c>
      <c r="D218" s="177" t="s">
        <v>344</v>
      </c>
      <c r="E218" s="177" t="s">
        <v>25</v>
      </c>
      <c r="F218" s="178"/>
      <c r="G218" s="178"/>
      <c r="H218" s="225"/>
      <c r="I218" s="178"/>
      <c r="J218" s="178"/>
      <c r="K218" s="178">
        <v>2000</v>
      </c>
      <c r="L218" s="178">
        <f>K218</f>
        <v>2000</v>
      </c>
      <c r="M218" s="179" t="s">
        <v>179</v>
      </c>
    </row>
    <row r="219" spans="1:13" ht="15" customHeight="1" x14ac:dyDescent="0.25">
      <c r="A219" s="176" t="s">
        <v>500</v>
      </c>
      <c r="B219" s="177" t="s">
        <v>14</v>
      </c>
      <c r="C219" s="178" t="s">
        <v>417</v>
      </c>
      <c r="D219" s="177"/>
      <c r="E219" s="177" t="s">
        <v>21</v>
      </c>
      <c r="F219" s="178">
        <v>50</v>
      </c>
      <c r="G219" s="221">
        <v>0.63541875000000003</v>
      </c>
      <c r="H219" s="225">
        <v>19.697981250000002</v>
      </c>
      <c r="I219" s="178">
        <v>31</v>
      </c>
      <c r="J219" s="178">
        <v>1</v>
      </c>
      <c r="K219" s="178">
        <f>F219*I219</f>
        <v>1550</v>
      </c>
      <c r="L219" s="178">
        <f>K219*J219</f>
        <v>1550</v>
      </c>
      <c r="M219" s="179" t="s">
        <v>277</v>
      </c>
    </row>
    <row r="220" spans="1:13" ht="15" customHeight="1" x14ac:dyDescent="0.25">
      <c r="A220" s="176" t="s">
        <v>500</v>
      </c>
      <c r="B220" s="177" t="s">
        <v>14</v>
      </c>
      <c r="C220" s="178" t="s">
        <v>417</v>
      </c>
      <c r="D220" s="177"/>
      <c r="E220" s="177" t="s">
        <v>25</v>
      </c>
      <c r="F220" s="178"/>
      <c r="G220" s="178"/>
      <c r="H220" s="178"/>
      <c r="I220" s="178"/>
      <c r="J220" s="178"/>
      <c r="K220" s="178">
        <v>250</v>
      </c>
      <c r="L220" s="178">
        <f>K220</f>
        <v>250</v>
      </c>
      <c r="M220" s="179" t="s">
        <v>179</v>
      </c>
    </row>
    <row r="221" spans="1:13" ht="15" customHeight="1" x14ac:dyDescent="0.25">
      <c r="A221" s="176" t="s">
        <v>501</v>
      </c>
      <c r="B221" s="177" t="s">
        <v>14</v>
      </c>
      <c r="C221" s="178" t="s">
        <v>410</v>
      </c>
      <c r="D221" s="177" t="s">
        <v>467</v>
      </c>
      <c r="E221" s="177" t="s">
        <v>21</v>
      </c>
      <c r="F221" s="178">
        <v>247</v>
      </c>
      <c r="G221" s="221">
        <v>0.74674999999999991</v>
      </c>
      <c r="H221" s="225">
        <f>G221*F221</f>
        <v>184.44724999999997</v>
      </c>
      <c r="I221" s="178">
        <v>35</v>
      </c>
      <c r="J221" s="178">
        <v>1</v>
      </c>
      <c r="K221" s="178">
        <f>F221*I221</f>
        <v>8645</v>
      </c>
      <c r="L221" s="178">
        <f>K221*J221</f>
        <v>8645</v>
      </c>
      <c r="M221" s="179" t="s">
        <v>413</v>
      </c>
    </row>
    <row r="222" spans="1:13" ht="15" customHeight="1" x14ac:dyDescent="0.25">
      <c r="A222" s="176" t="s">
        <v>501</v>
      </c>
      <c r="B222" s="212" t="s">
        <v>23</v>
      </c>
      <c r="C222" s="178">
        <v>66772</v>
      </c>
      <c r="D222" s="177" t="s">
        <v>34</v>
      </c>
      <c r="E222" s="201" t="s">
        <v>35</v>
      </c>
      <c r="F222" s="178"/>
      <c r="G222" s="181" t="s">
        <v>77</v>
      </c>
      <c r="H222" s="225"/>
      <c r="I222" s="178"/>
      <c r="J222" s="178"/>
      <c r="K222" s="178">
        <v>7050</v>
      </c>
      <c r="L222" s="178">
        <f t="shared" ref="L222:L223" si="118">K222</f>
        <v>7050</v>
      </c>
      <c r="M222" s="179" t="s">
        <v>179</v>
      </c>
    </row>
    <row r="223" spans="1:13" ht="15" customHeight="1" x14ac:dyDescent="0.25">
      <c r="A223" s="176" t="s">
        <v>501</v>
      </c>
      <c r="B223" s="212" t="s">
        <v>23</v>
      </c>
      <c r="C223" s="178">
        <v>66772</v>
      </c>
      <c r="D223" s="177" t="s">
        <v>34</v>
      </c>
      <c r="E223" s="177" t="s">
        <v>39</v>
      </c>
      <c r="F223" s="178"/>
      <c r="G223" s="181" t="s">
        <v>36</v>
      </c>
      <c r="H223" s="225"/>
      <c r="I223" s="178"/>
      <c r="J223" s="178"/>
      <c r="K223" s="178">
        <v>6220</v>
      </c>
      <c r="L223" s="178">
        <f t="shared" si="118"/>
        <v>6220</v>
      </c>
      <c r="M223" s="179" t="s">
        <v>277</v>
      </c>
    </row>
    <row r="224" spans="1:13" ht="15" customHeight="1" x14ac:dyDescent="0.25">
      <c r="A224" s="176" t="s">
        <v>501</v>
      </c>
      <c r="B224" s="212" t="s">
        <v>23</v>
      </c>
      <c r="C224" s="178">
        <v>66772</v>
      </c>
      <c r="D224" s="177" t="s">
        <v>34</v>
      </c>
      <c r="E224" s="204" t="s">
        <v>30</v>
      </c>
      <c r="F224" s="178"/>
      <c r="G224" s="181" t="s">
        <v>78</v>
      </c>
      <c r="H224" s="225"/>
      <c r="I224" s="178"/>
      <c r="J224" s="178"/>
      <c r="K224" s="178">
        <v>6070</v>
      </c>
      <c r="L224" s="178">
        <f>K224</f>
        <v>6070</v>
      </c>
      <c r="M224" s="179" t="s">
        <v>405</v>
      </c>
    </row>
    <row r="225" spans="1:13" ht="15" customHeight="1" x14ac:dyDescent="0.25">
      <c r="A225" s="176" t="s">
        <v>501</v>
      </c>
      <c r="B225" s="227" t="s">
        <v>44</v>
      </c>
      <c r="C225" s="178" t="s">
        <v>45</v>
      </c>
      <c r="D225" s="177" t="s">
        <v>46</v>
      </c>
      <c r="E225" s="177" t="s">
        <v>47</v>
      </c>
      <c r="F225" s="178"/>
      <c r="G225" s="178"/>
      <c r="H225" s="225"/>
      <c r="I225" s="178"/>
      <c r="J225" s="178"/>
      <c r="K225" s="178">
        <v>1800</v>
      </c>
      <c r="L225" s="178">
        <f t="shared" ref="L225" si="119">K225</f>
        <v>1800</v>
      </c>
      <c r="M225" s="179" t="s">
        <v>48</v>
      </c>
    </row>
    <row r="226" spans="1:13" ht="15" customHeight="1" x14ac:dyDescent="0.25">
      <c r="A226" s="176" t="s">
        <v>501</v>
      </c>
      <c r="B226" s="177" t="s">
        <v>14</v>
      </c>
      <c r="C226" s="178" t="s">
        <v>417</v>
      </c>
      <c r="D226" s="177"/>
      <c r="E226" s="177" t="s">
        <v>21</v>
      </c>
      <c r="F226" s="178">
        <v>179</v>
      </c>
      <c r="G226" s="221">
        <v>0.63541875000000003</v>
      </c>
      <c r="H226" s="225">
        <v>19.697981250000002</v>
      </c>
      <c r="I226" s="178">
        <v>31</v>
      </c>
      <c r="J226" s="178">
        <v>1</v>
      </c>
      <c r="K226" s="178">
        <f>F226*I226</f>
        <v>5549</v>
      </c>
      <c r="L226" s="178">
        <f>K226*J226</f>
        <v>5549</v>
      </c>
      <c r="M226" s="179" t="s">
        <v>277</v>
      </c>
    </row>
    <row r="227" spans="1:13" ht="15" customHeight="1" x14ac:dyDescent="0.25">
      <c r="A227" s="176" t="s">
        <v>501</v>
      </c>
      <c r="B227" s="177" t="s">
        <v>14</v>
      </c>
      <c r="C227" s="178" t="s">
        <v>417</v>
      </c>
      <c r="D227" s="177"/>
      <c r="E227" s="177" t="s">
        <v>25</v>
      </c>
      <c r="F227" s="178"/>
      <c r="G227" s="178"/>
      <c r="H227" s="178"/>
      <c r="I227" s="178"/>
      <c r="J227" s="178"/>
      <c r="K227" s="178">
        <v>3500</v>
      </c>
      <c r="L227" s="178">
        <f>K227</f>
        <v>3500</v>
      </c>
      <c r="M227" s="179" t="s">
        <v>179</v>
      </c>
    </row>
    <row r="228" spans="1:13" ht="15" customHeight="1" x14ac:dyDescent="0.25">
      <c r="A228" s="176" t="s">
        <v>501</v>
      </c>
      <c r="B228" s="177" t="s">
        <v>14</v>
      </c>
      <c r="C228" s="178" t="s">
        <v>407</v>
      </c>
      <c r="D228" s="177"/>
      <c r="E228" s="177" t="s">
        <v>21</v>
      </c>
      <c r="F228" s="178">
        <v>317</v>
      </c>
      <c r="G228" s="221">
        <v>0.48962500000000003</v>
      </c>
      <c r="H228" s="225">
        <f>G228*F228</f>
        <v>155.21112500000001</v>
      </c>
      <c r="I228" s="178">
        <v>17</v>
      </c>
      <c r="J228" s="178">
        <v>1</v>
      </c>
      <c r="K228" s="178">
        <f>F228*I228</f>
        <v>5389</v>
      </c>
      <c r="L228" s="178">
        <f>K228*J228</f>
        <v>5389</v>
      </c>
      <c r="M228" s="179" t="s">
        <v>277</v>
      </c>
    </row>
    <row r="229" spans="1:13" ht="15" customHeight="1" x14ac:dyDescent="0.25">
      <c r="A229" s="176" t="s">
        <v>501</v>
      </c>
      <c r="B229" s="177" t="s">
        <v>14</v>
      </c>
      <c r="C229" s="178" t="s">
        <v>407</v>
      </c>
      <c r="D229" s="177"/>
      <c r="E229" s="177" t="s">
        <v>25</v>
      </c>
      <c r="F229" s="178"/>
      <c r="G229" s="178"/>
      <c r="H229" s="225"/>
      <c r="I229" s="178"/>
      <c r="J229" s="178"/>
      <c r="K229" s="178">
        <v>1500</v>
      </c>
      <c r="L229" s="178">
        <f t="shared" ref="L229" si="120">K229</f>
        <v>1500</v>
      </c>
      <c r="M229" s="179" t="s">
        <v>405</v>
      </c>
    </row>
    <row r="230" spans="1:13" ht="28.5" customHeight="1" x14ac:dyDescent="0.25">
      <c r="A230" s="305" t="s">
        <v>373</v>
      </c>
      <c r="B230" s="306"/>
      <c r="C230" s="306"/>
      <c r="D230" s="306"/>
      <c r="E230" s="307"/>
      <c r="F230" s="213">
        <f>SUM(F3:F229)</f>
        <v>11167</v>
      </c>
      <c r="G230" s="213"/>
      <c r="H230" s="223">
        <f>SUM(H3:H229)</f>
        <v>6350.3252374999993</v>
      </c>
      <c r="I230" s="213">
        <f>SUM(I3:I229)</f>
        <v>4294</v>
      </c>
      <c r="J230" s="213">
        <f>SUM(J3:J229)</f>
        <v>200</v>
      </c>
      <c r="K230" s="224">
        <f>SUM(K3:K229)</f>
        <v>923840</v>
      </c>
      <c r="L230" s="213">
        <f>SUM(L3:L229)</f>
        <v>1259443</v>
      </c>
      <c r="M230" s="213"/>
    </row>
    <row r="232" spans="1:13" ht="22.5" customHeight="1" x14ac:dyDescent="0.25">
      <c r="H232" s="223">
        <f>SUM(H87:H229)</f>
        <v>3378.4120375000002</v>
      </c>
    </row>
  </sheetData>
  <autoFilter ref="A2:M218"/>
  <mergeCells count="2">
    <mergeCell ref="A1:M1"/>
    <mergeCell ref="A230:E230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topLeftCell="A59" workbookViewId="0">
      <selection activeCell="O71" sqref="O71"/>
    </sheetView>
  </sheetViews>
  <sheetFormatPr defaultRowHeight="15" x14ac:dyDescent="0.25"/>
  <cols>
    <col min="4" max="4" width="13.7109375" customWidth="1"/>
    <col min="5" max="5" width="11" customWidth="1"/>
    <col min="7" max="7" width="8.5703125" customWidth="1"/>
    <col min="8" max="8" width="10.7109375" customWidth="1"/>
    <col min="10" max="10" width="5.85546875" customWidth="1"/>
    <col min="13" max="13" width="11.28515625" customWidth="1"/>
  </cols>
  <sheetData>
    <row r="1" spans="1:13" ht="32.25" customHeight="1" x14ac:dyDescent="0.25">
      <c r="A1" s="309" t="s">
        <v>502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3" ht="27.75" customHeight="1" x14ac:dyDescent="0.25">
      <c r="A2" s="235" t="s">
        <v>0</v>
      </c>
      <c r="B2" s="235" t="s">
        <v>1</v>
      </c>
      <c r="C2" s="235" t="s">
        <v>2</v>
      </c>
      <c r="D2" s="235" t="s">
        <v>3</v>
      </c>
      <c r="E2" s="235" t="s">
        <v>4</v>
      </c>
      <c r="F2" s="235" t="s">
        <v>5</v>
      </c>
      <c r="G2" s="235" t="s">
        <v>6</v>
      </c>
      <c r="H2" s="235" t="s">
        <v>7</v>
      </c>
      <c r="I2" s="235" t="s">
        <v>8</v>
      </c>
      <c r="J2" s="235" t="s">
        <v>9</v>
      </c>
      <c r="K2" s="235" t="s">
        <v>10</v>
      </c>
      <c r="L2" s="235" t="s">
        <v>11</v>
      </c>
      <c r="M2" s="235" t="s">
        <v>12</v>
      </c>
    </row>
    <row r="3" spans="1:13" ht="15.75" customHeight="1" x14ac:dyDescent="0.25">
      <c r="A3" s="229" t="s">
        <v>503</v>
      </c>
      <c r="B3" s="230" t="s">
        <v>14</v>
      </c>
      <c r="C3" s="231" t="s">
        <v>410</v>
      </c>
      <c r="D3" s="230" t="s">
        <v>467</v>
      </c>
      <c r="E3" s="230" t="s">
        <v>21</v>
      </c>
      <c r="F3" s="231">
        <v>22</v>
      </c>
      <c r="G3" s="234">
        <v>0.74674999999999991</v>
      </c>
      <c r="H3" s="232">
        <f>G3*F3</f>
        <v>16.4285</v>
      </c>
      <c r="I3" s="231">
        <v>35</v>
      </c>
      <c r="J3" s="231">
        <v>1</v>
      </c>
      <c r="K3" s="231">
        <f>F3*I3</f>
        <v>770</v>
      </c>
      <c r="L3" s="231">
        <f>K3*J3</f>
        <v>770</v>
      </c>
      <c r="M3" s="233" t="s">
        <v>413</v>
      </c>
    </row>
    <row r="4" spans="1:13" ht="15.75" customHeight="1" x14ac:dyDescent="0.25">
      <c r="A4" s="229" t="s">
        <v>503</v>
      </c>
      <c r="B4" s="230" t="s">
        <v>14</v>
      </c>
      <c r="C4" s="231">
        <v>1411</v>
      </c>
      <c r="D4" s="230" t="s">
        <v>414</v>
      </c>
      <c r="E4" s="230" t="s">
        <v>21</v>
      </c>
      <c r="F4" s="231">
        <v>210</v>
      </c>
      <c r="G4" s="234">
        <v>1.1297187499999997</v>
      </c>
      <c r="H4" s="232">
        <f>G4*F4</f>
        <v>237.24093749999992</v>
      </c>
      <c r="I4" s="231">
        <v>20</v>
      </c>
      <c r="J4" s="231">
        <v>1</v>
      </c>
      <c r="K4" s="231">
        <f>F4*I4</f>
        <v>4200</v>
      </c>
      <c r="L4" s="231">
        <f>K4*J4</f>
        <v>4200</v>
      </c>
      <c r="M4" s="233" t="s">
        <v>413</v>
      </c>
    </row>
    <row r="5" spans="1:13" ht="15.75" customHeight="1" x14ac:dyDescent="0.25">
      <c r="A5" s="229" t="s">
        <v>503</v>
      </c>
      <c r="B5" s="236" t="s">
        <v>23</v>
      </c>
      <c r="C5" s="231">
        <v>66772</v>
      </c>
      <c r="D5" s="230" t="s">
        <v>34</v>
      </c>
      <c r="E5" s="238" t="s">
        <v>35</v>
      </c>
      <c r="F5" s="231"/>
      <c r="G5" s="234" t="s">
        <v>77</v>
      </c>
      <c r="H5" s="232"/>
      <c r="I5" s="231"/>
      <c r="J5" s="231"/>
      <c r="K5" s="231">
        <v>5400</v>
      </c>
      <c r="L5" s="231">
        <f t="shared" ref="L5:L6" si="0">K5</f>
        <v>5400</v>
      </c>
      <c r="M5" s="233" t="s">
        <v>179</v>
      </c>
    </row>
    <row r="6" spans="1:13" ht="15.75" customHeight="1" x14ac:dyDescent="0.25">
      <c r="A6" s="229" t="s">
        <v>503</v>
      </c>
      <c r="B6" s="236" t="s">
        <v>23</v>
      </c>
      <c r="C6" s="231">
        <v>66772</v>
      </c>
      <c r="D6" s="230" t="s">
        <v>34</v>
      </c>
      <c r="E6" s="230" t="s">
        <v>39</v>
      </c>
      <c r="F6" s="231"/>
      <c r="G6" s="234" t="s">
        <v>36</v>
      </c>
      <c r="H6" s="232"/>
      <c r="I6" s="231"/>
      <c r="J6" s="231"/>
      <c r="K6" s="231">
        <v>6520</v>
      </c>
      <c r="L6" s="231">
        <f t="shared" si="0"/>
        <v>6520</v>
      </c>
      <c r="M6" s="233" t="s">
        <v>277</v>
      </c>
    </row>
    <row r="7" spans="1:13" ht="15.75" customHeight="1" x14ac:dyDescent="0.25">
      <c r="A7" s="229" t="s">
        <v>503</v>
      </c>
      <c r="B7" s="236" t="s">
        <v>23</v>
      </c>
      <c r="C7" s="231">
        <v>66772</v>
      </c>
      <c r="D7" s="230" t="s">
        <v>34</v>
      </c>
      <c r="E7" s="237" t="s">
        <v>30</v>
      </c>
      <c r="F7" s="231"/>
      <c r="G7" s="234" t="s">
        <v>78</v>
      </c>
      <c r="H7" s="232"/>
      <c r="I7" s="231"/>
      <c r="J7" s="231"/>
      <c r="K7" s="231">
        <v>5570</v>
      </c>
      <c r="L7" s="231">
        <f>K7</f>
        <v>5570</v>
      </c>
      <c r="M7" s="233" t="s">
        <v>405</v>
      </c>
    </row>
    <row r="8" spans="1:13" x14ac:dyDescent="0.25">
      <c r="A8" s="229" t="s">
        <v>503</v>
      </c>
      <c r="B8" s="230" t="s">
        <v>14</v>
      </c>
      <c r="C8" s="231" t="s">
        <v>407</v>
      </c>
      <c r="D8" s="230"/>
      <c r="E8" s="230" t="s">
        <v>21</v>
      </c>
      <c r="F8" s="231">
        <v>397</v>
      </c>
      <c r="G8" s="234">
        <v>0.48962500000000003</v>
      </c>
      <c r="H8" s="232">
        <f>G8*F8</f>
        <v>194.38112500000003</v>
      </c>
      <c r="I8" s="231">
        <v>17</v>
      </c>
      <c r="J8" s="231">
        <v>1</v>
      </c>
      <c r="K8" s="231">
        <f>F8*I8</f>
        <v>6749</v>
      </c>
      <c r="L8" s="231">
        <f>K8*J8</f>
        <v>6749</v>
      </c>
      <c r="M8" s="233" t="s">
        <v>277</v>
      </c>
    </row>
    <row r="9" spans="1:13" x14ac:dyDescent="0.25">
      <c r="A9" s="229" t="s">
        <v>503</v>
      </c>
      <c r="B9" s="230" t="s">
        <v>14</v>
      </c>
      <c r="C9" s="231" t="s">
        <v>407</v>
      </c>
      <c r="D9" s="230"/>
      <c r="E9" s="230" t="s">
        <v>25</v>
      </c>
      <c r="F9" s="231"/>
      <c r="G9" s="234"/>
      <c r="H9" s="232"/>
      <c r="I9" s="231"/>
      <c r="J9" s="231"/>
      <c r="K9" s="231">
        <v>3425</v>
      </c>
      <c r="L9" s="231">
        <f t="shared" ref="L9" si="1">K9</f>
        <v>3425</v>
      </c>
      <c r="M9" s="233" t="s">
        <v>405</v>
      </c>
    </row>
    <row r="10" spans="1:13" x14ac:dyDescent="0.25">
      <c r="A10" s="229" t="s">
        <v>503</v>
      </c>
      <c r="B10" s="230" t="s">
        <v>14</v>
      </c>
      <c r="C10" s="231">
        <v>7479</v>
      </c>
      <c r="D10" s="230" t="s">
        <v>20</v>
      </c>
      <c r="E10" s="230" t="s">
        <v>21</v>
      </c>
      <c r="F10" s="231">
        <v>112</v>
      </c>
      <c r="G10" s="234">
        <v>0.15</v>
      </c>
      <c r="H10" s="232">
        <f>G10*F10</f>
        <v>16.8</v>
      </c>
      <c r="I10" s="231">
        <v>80</v>
      </c>
      <c r="J10" s="231">
        <v>1</v>
      </c>
      <c r="K10" s="231">
        <f>F10*I10</f>
        <v>8960</v>
      </c>
      <c r="L10" s="231">
        <f>K10*J10</f>
        <v>8960</v>
      </c>
      <c r="M10" s="233" t="s">
        <v>91</v>
      </c>
    </row>
    <row r="11" spans="1:13" x14ac:dyDescent="0.25">
      <c r="A11" s="229" t="s">
        <v>504</v>
      </c>
      <c r="B11" s="230" t="s">
        <v>14</v>
      </c>
      <c r="C11" s="231">
        <v>1411</v>
      </c>
      <c r="D11" s="230" t="s">
        <v>414</v>
      </c>
      <c r="E11" s="230" t="s">
        <v>21</v>
      </c>
      <c r="F11" s="231">
        <v>302</v>
      </c>
      <c r="G11" s="234">
        <v>1.1297187499999997</v>
      </c>
      <c r="H11" s="232">
        <f>G11*F11</f>
        <v>341.17506249999991</v>
      </c>
      <c r="I11" s="231">
        <v>20</v>
      </c>
      <c r="J11" s="231">
        <v>1</v>
      </c>
      <c r="K11" s="231">
        <f>F11*I11</f>
        <v>6040</v>
      </c>
      <c r="L11" s="231">
        <f>K11*J11</f>
        <v>6040</v>
      </c>
      <c r="M11" s="233" t="s">
        <v>413</v>
      </c>
    </row>
    <row r="12" spans="1:13" x14ac:dyDescent="0.25">
      <c r="A12" s="229" t="s">
        <v>504</v>
      </c>
      <c r="B12" s="236" t="s">
        <v>23</v>
      </c>
      <c r="C12" s="231">
        <v>66772</v>
      </c>
      <c r="D12" s="230" t="s">
        <v>34</v>
      </c>
      <c r="E12" s="238" t="s">
        <v>35</v>
      </c>
      <c r="F12" s="231"/>
      <c r="G12" s="234" t="s">
        <v>77</v>
      </c>
      <c r="H12" s="232"/>
      <c r="I12" s="231"/>
      <c r="J12" s="231"/>
      <c r="K12" s="231">
        <v>1200</v>
      </c>
      <c r="L12" s="231">
        <f t="shared" ref="L12:L13" si="2">K12</f>
        <v>1200</v>
      </c>
      <c r="M12" s="233" t="s">
        <v>179</v>
      </c>
    </row>
    <row r="13" spans="1:13" x14ac:dyDescent="0.25">
      <c r="A13" s="229" t="s">
        <v>504</v>
      </c>
      <c r="B13" s="236" t="s">
        <v>23</v>
      </c>
      <c r="C13" s="231">
        <v>66772</v>
      </c>
      <c r="D13" s="230" t="s">
        <v>34</v>
      </c>
      <c r="E13" s="230" t="s">
        <v>39</v>
      </c>
      <c r="F13" s="231"/>
      <c r="G13" s="234" t="s">
        <v>36</v>
      </c>
      <c r="H13" s="232"/>
      <c r="I13" s="231"/>
      <c r="J13" s="231"/>
      <c r="K13" s="231">
        <v>1640</v>
      </c>
      <c r="L13" s="231">
        <f t="shared" si="2"/>
        <v>1640</v>
      </c>
      <c r="M13" s="233" t="s">
        <v>277</v>
      </c>
    </row>
    <row r="14" spans="1:13" x14ac:dyDescent="0.25">
      <c r="A14" s="229" t="s">
        <v>504</v>
      </c>
      <c r="B14" s="236" t="s">
        <v>23</v>
      </c>
      <c r="C14" s="231">
        <v>66772</v>
      </c>
      <c r="D14" s="230" t="s">
        <v>34</v>
      </c>
      <c r="E14" s="237" t="s">
        <v>30</v>
      </c>
      <c r="F14" s="231"/>
      <c r="G14" s="234" t="s">
        <v>78</v>
      </c>
      <c r="H14" s="232"/>
      <c r="I14" s="231"/>
      <c r="J14" s="231"/>
      <c r="K14" s="231">
        <v>3850</v>
      </c>
      <c r="L14" s="231">
        <f>K14</f>
        <v>3850</v>
      </c>
      <c r="M14" s="233" t="s">
        <v>405</v>
      </c>
    </row>
    <row r="15" spans="1:13" x14ac:dyDescent="0.25">
      <c r="A15" s="229" t="s">
        <v>504</v>
      </c>
      <c r="B15" s="230" t="s">
        <v>14</v>
      </c>
      <c r="C15" s="231" t="s">
        <v>407</v>
      </c>
      <c r="D15" s="230"/>
      <c r="E15" s="230" t="s">
        <v>21</v>
      </c>
      <c r="F15" s="231">
        <v>80</v>
      </c>
      <c r="G15" s="234">
        <v>0.48962500000000003</v>
      </c>
      <c r="H15" s="232">
        <f>G15*F15</f>
        <v>39.17</v>
      </c>
      <c r="I15" s="231">
        <v>17</v>
      </c>
      <c r="J15" s="231">
        <v>1</v>
      </c>
      <c r="K15" s="231">
        <v>2085</v>
      </c>
      <c r="L15" s="231">
        <f>K15*J15</f>
        <v>2085</v>
      </c>
      <c r="M15" s="233" t="s">
        <v>277</v>
      </c>
    </row>
    <row r="16" spans="1:13" x14ac:dyDescent="0.25">
      <c r="A16" s="229" t="s">
        <v>504</v>
      </c>
      <c r="B16" s="230" t="s">
        <v>14</v>
      </c>
      <c r="C16" s="231" t="s">
        <v>407</v>
      </c>
      <c r="D16" s="230"/>
      <c r="E16" s="230" t="s">
        <v>25</v>
      </c>
      <c r="F16" s="231"/>
      <c r="G16" s="234"/>
      <c r="H16" s="232"/>
      <c r="I16" s="231"/>
      <c r="J16" s="231"/>
      <c r="K16" s="231">
        <v>3425</v>
      </c>
      <c r="L16" s="231">
        <f t="shared" ref="L16" si="3">K16</f>
        <v>3425</v>
      </c>
      <c r="M16" s="233" t="s">
        <v>405</v>
      </c>
    </row>
    <row r="17" spans="1:13" x14ac:dyDescent="0.25">
      <c r="A17" s="229" t="s">
        <v>504</v>
      </c>
      <c r="B17" s="230" t="s">
        <v>14</v>
      </c>
      <c r="C17" s="231" t="s">
        <v>417</v>
      </c>
      <c r="D17" s="230"/>
      <c r="E17" s="230" t="s">
        <v>25</v>
      </c>
      <c r="F17" s="231"/>
      <c r="G17" s="234"/>
      <c r="H17" s="232"/>
      <c r="I17" s="231"/>
      <c r="J17" s="231"/>
      <c r="K17" s="231">
        <v>1666</v>
      </c>
      <c r="L17" s="231">
        <f t="shared" ref="L17" si="4">K17</f>
        <v>1666</v>
      </c>
      <c r="M17" s="233" t="s">
        <v>405</v>
      </c>
    </row>
    <row r="18" spans="1:13" x14ac:dyDescent="0.25">
      <c r="A18" s="229" t="s">
        <v>504</v>
      </c>
      <c r="B18" s="230" t="s">
        <v>14</v>
      </c>
      <c r="C18" s="231">
        <v>8283</v>
      </c>
      <c r="D18" s="230" t="s">
        <v>344</v>
      </c>
      <c r="E18" s="230" t="s">
        <v>25</v>
      </c>
      <c r="F18" s="231"/>
      <c r="G18" s="234"/>
      <c r="H18" s="232"/>
      <c r="I18" s="231"/>
      <c r="J18" s="231"/>
      <c r="K18" s="231">
        <v>2520</v>
      </c>
      <c r="L18" s="231">
        <f>K18</f>
        <v>2520</v>
      </c>
      <c r="M18" s="233" t="s">
        <v>179</v>
      </c>
    </row>
    <row r="19" spans="1:13" x14ac:dyDescent="0.25">
      <c r="A19" s="229" t="s">
        <v>504</v>
      </c>
      <c r="B19" s="230" t="s">
        <v>14</v>
      </c>
      <c r="C19" s="231">
        <v>7479</v>
      </c>
      <c r="D19" s="230" t="s">
        <v>20</v>
      </c>
      <c r="E19" s="230" t="s">
        <v>21</v>
      </c>
      <c r="F19" s="231">
        <v>236</v>
      </c>
      <c r="G19" s="234">
        <v>0.15</v>
      </c>
      <c r="H19" s="232">
        <f>G19*F19</f>
        <v>35.4</v>
      </c>
      <c r="I19" s="231">
        <v>80</v>
      </c>
      <c r="J19" s="231">
        <v>1</v>
      </c>
      <c r="K19" s="231">
        <f>F19*I19</f>
        <v>18880</v>
      </c>
      <c r="L19" s="231">
        <f>K19*J19</f>
        <v>18880</v>
      </c>
      <c r="M19" s="233" t="s">
        <v>91</v>
      </c>
    </row>
    <row r="20" spans="1:13" x14ac:dyDescent="0.25">
      <c r="A20" s="229" t="s">
        <v>504</v>
      </c>
      <c r="B20" s="230" t="s">
        <v>14</v>
      </c>
      <c r="C20" s="231">
        <v>7479</v>
      </c>
      <c r="D20" s="230" t="s">
        <v>20</v>
      </c>
      <c r="E20" s="230" t="s">
        <v>25</v>
      </c>
      <c r="F20" s="231"/>
      <c r="G20" s="234"/>
      <c r="H20" s="232"/>
      <c r="I20" s="231"/>
      <c r="J20" s="231"/>
      <c r="K20" s="231">
        <v>2520</v>
      </c>
      <c r="L20" s="231">
        <f>K20</f>
        <v>2520</v>
      </c>
      <c r="M20" s="233" t="s">
        <v>181</v>
      </c>
    </row>
    <row r="21" spans="1:13" x14ac:dyDescent="0.25">
      <c r="A21" s="229" t="s">
        <v>505</v>
      </c>
      <c r="B21" s="230" t="s">
        <v>14</v>
      </c>
      <c r="C21" s="231">
        <v>1411</v>
      </c>
      <c r="D21" s="230" t="s">
        <v>414</v>
      </c>
      <c r="E21" s="230" t="s">
        <v>21</v>
      </c>
      <c r="F21" s="231">
        <v>186</v>
      </c>
      <c r="G21" s="234">
        <v>1.1297187499999997</v>
      </c>
      <c r="H21" s="232">
        <f>G21*F21</f>
        <v>210.12768749999995</v>
      </c>
      <c r="I21" s="231">
        <v>20</v>
      </c>
      <c r="J21" s="231">
        <v>1</v>
      </c>
      <c r="K21" s="231">
        <f>F21*I21</f>
        <v>3720</v>
      </c>
      <c r="L21" s="231">
        <f>K21*J21</f>
        <v>3720</v>
      </c>
      <c r="M21" s="233" t="s">
        <v>413</v>
      </c>
    </row>
    <row r="22" spans="1:13" x14ac:dyDescent="0.25">
      <c r="A22" s="229" t="s">
        <v>505</v>
      </c>
      <c r="B22" s="230" t="s">
        <v>14</v>
      </c>
      <c r="C22" s="231">
        <v>1135</v>
      </c>
      <c r="D22" s="230" t="s">
        <v>467</v>
      </c>
      <c r="E22" s="230" t="s">
        <v>21</v>
      </c>
      <c r="F22" s="231">
        <v>66</v>
      </c>
      <c r="G22" s="234">
        <v>1.1719999999999999</v>
      </c>
      <c r="H22" s="232">
        <f>G22*F22</f>
        <v>77.35199999999999</v>
      </c>
      <c r="I22" s="231">
        <v>41</v>
      </c>
      <c r="J22" s="231">
        <v>2</v>
      </c>
      <c r="K22" s="231">
        <f>F22*I22</f>
        <v>2706</v>
      </c>
      <c r="L22" s="231">
        <f>K22*J22</f>
        <v>5412</v>
      </c>
      <c r="M22" s="233" t="s">
        <v>413</v>
      </c>
    </row>
    <row r="23" spans="1:13" x14ac:dyDescent="0.25">
      <c r="A23" s="229" t="s">
        <v>505</v>
      </c>
      <c r="B23" s="236" t="s">
        <v>23</v>
      </c>
      <c r="C23" s="231">
        <v>66772</v>
      </c>
      <c r="D23" s="230" t="s">
        <v>34</v>
      </c>
      <c r="E23" s="238" t="s">
        <v>35</v>
      </c>
      <c r="F23" s="231"/>
      <c r="G23" s="234" t="s">
        <v>77</v>
      </c>
      <c r="H23" s="232"/>
      <c r="I23" s="231"/>
      <c r="J23" s="231"/>
      <c r="K23" s="231">
        <v>4500</v>
      </c>
      <c r="L23" s="231">
        <f t="shared" ref="L23:L24" si="5">K23</f>
        <v>4500</v>
      </c>
      <c r="M23" s="233" t="s">
        <v>179</v>
      </c>
    </row>
    <row r="24" spans="1:13" x14ac:dyDescent="0.25">
      <c r="A24" s="229" t="s">
        <v>505</v>
      </c>
      <c r="B24" s="236" t="s">
        <v>23</v>
      </c>
      <c r="C24" s="231">
        <v>66772</v>
      </c>
      <c r="D24" s="230" t="s">
        <v>34</v>
      </c>
      <c r="E24" s="230" t="s">
        <v>39</v>
      </c>
      <c r="F24" s="231"/>
      <c r="G24" s="234" t="s">
        <v>36</v>
      </c>
      <c r="H24" s="232"/>
      <c r="I24" s="231"/>
      <c r="J24" s="231"/>
      <c r="K24" s="231">
        <v>4350</v>
      </c>
      <c r="L24" s="231">
        <f t="shared" si="5"/>
        <v>4350</v>
      </c>
      <c r="M24" s="233" t="s">
        <v>277</v>
      </c>
    </row>
    <row r="25" spans="1:13" x14ac:dyDescent="0.25">
      <c r="A25" s="229" t="s">
        <v>505</v>
      </c>
      <c r="B25" s="236" t="s">
        <v>23</v>
      </c>
      <c r="C25" s="231">
        <v>66772</v>
      </c>
      <c r="D25" s="230" t="s">
        <v>34</v>
      </c>
      <c r="E25" s="237" t="s">
        <v>30</v>
      </c>
      <c r="F25" s="231"/>
      <c r="G25" s="234" t="s">
        <v>78</v>
      </c>
      <c r="H25" s="232"/>
      <c r="I25" s="231"/>
      <c r="J25" s="231"/>
      <c r="K25" s="231">
        <v>3800</v>
      </c>
      <c r="L25" s="231">
        <f>K25</f>
        <v>3800</v>
      </c>
      <c r="M25" s="233" t="s">
        <v>405</v>
      </c>
    </row>
    <row r="26" spans="1:13" x14ac:dyDescent="0.25">
      <c r="A26" s="229" t="s">
        <v>505</v>
      </c>
      <c r="B26" s="230" t="s">
        <v>14</v>
      </c>
      <c r="C26" s="231">
        <v>8283</v>
      </c>
      <c r="D26" s="230" t="s">
        <v>344</v>
      </c>
      <c r="E26" s="230" t="s">
        <v>25</v>
      </c>
      <c r="F26" s="231"/>
      <c r="G26" s="234"/>
      <c r="H26" s="232"/>
      <c r="I26" s="231"/>
      <c r="J26" s="231"/>
      <c r="K26" s="231">
        <v>6880</v>
      </c>
      <c r="L26" s="231">
        <f>K26</f>
        <v>6880</v>
      </c>
      <c r="M26" s="233" t="s">
        <v>179</v>
      </c>
    </row>
    <row r="27" spans="1:13" x14ac:dyDescent="0.25">
      <c r="A27" s="229" t="s">
        <v>505</v>
      </c>
      <c r="B27" s="230" t="s">
        <v>14</v>
      </c>
      <c r="C27" s="231" t="s">
        <v>417</v>
      </c>
      <c r="D27" s="230"/>
      <c r="E27" s="230" t="s">
        <v>25</v>
      </c>
      <c r="F27" s="231"/>
      <c r="G27" s="234"/>
      <c r="H27" s="232"/>
      <c r="I27" s="231"/>
      <c r="J27" s="231"/>
      <c r="K27" s="231">
        <v>1510</v>
      </c>
      <c r="L27" s="231">
        <f t="shared" ref="L27" si="6">K27</f>
        <v>1510</v>
      </c>
      <c r="M27" s="233" t="s">
        <v>405</v>
      </c>
    </row>
    <row r="28" spans="1:13" x14ac:dyDescent="0.25">
      <c r="A28" s="229" t="s">
        <v>505</v>
      </c>
      <c r="B28" s="230" t="s">
        <v>14</v>
      </c>
      <c r="C28" s="231">
        <v>8200</v>
      </c>
      <c r="D28" s="230" t="s">
        <v>16</v>
      </c>
      <c r="E28" s="230" t="s">
        <v>17</v>
      </c>
      <c r="F28" s="231">
        <v>68</v>
      </c>
      <c r="G28" s="234">
        <v>0.7125999999999999</v>
      </c>
      <c r="H28" s="232">
        <f t="shared" ref="H28:H30" si="7">F28*G28</f>
        <v>48.456799999999994</v>
      </c>
      <c r="I28" s="231">
        <v>60</v>
      </c>
      <c r="J28" s="231">
        <v>4</v>
      </c>
      <c r="K28" s="231">
        <f>F28*I28</f>
        <v>4080</v>
      </c>
      <c r="L28" s="231">
        <f>K28*J28</f>
        <v>16320</v>
      </c>
      <c r="M28" s="233" t="s">
        <v>277</v>
      </c>
    </row>
    <row r="29" spans="1:13" x14ac:dyDescent="0.25">
      <c r="A29" s="229" t="s">
        <v>505</v>
      </c>
      <c r="B29" s="230" t="s">
        <v>14</v>
      </c>
      <c r="C29" s="231">
        <v>6086</v>
      </c>
      <c r="D29" s="230" t="s">
        <v>16</v>
      </c>
      <c r="E29" s="230" t="s">
        <v>17</v>
      </c>
      <c r="F29" s="231">
        <v>48</v>
      </c>
      <c r="G29" s="234">
        <v>0.7629999999999999</v>
      </c>
      <c r="H29" s="232">
        <f t="shared" si="7"/>
        <v>36.623999999999995</v>
      </c>
      <c r="I29" s="231">
        <v>42</v>
      </c>
      <c r="J29" s="231">
        <v>2</v>
      </c>
      <c r="K29" s="231">
        <f>F29*I29</f>
        <v>2016</v>
      </c>
      <c r="L29" s="231">
        <f>K29*J29</f>
        <v>4032</v>
      </c>
      <c r="M29" s="233" t="s">
        <v>22</v>
      </c>
    </row>
    <row r="30" spans="1:13" x14ac:dyDescent="0.25">
      <c r="A30" s="229" t="s">
        <v>505</v>
      </c>
      <c r="B30" s="230" t="s">
        <v>14</v>
      </c>
      <c r="C30" s="231">
        <v>6380</v>
      </c>
      <c r="D30" s="230" t="s">
        <v>16</v>
      </c>
      <c r="E30" s="230" t="s">
        <v>17</v>
      </c>
      <c r="F30" s="231">
        <v>28</v>
      </c>
      <c r="G30" s="234">
        <v>0.42499999999999999</v>
      </c>
      <c r="H30" s="232">
        <f t="shared" si="7"/>
        <v>11.9</v>
      </c>
      <c r="I30" s="231">
        <v>45</v>
      </c>
      <c r="J30" s="231">
        <v>4</v>
      </c>
      <c r="K30" s="231">
        <f>F30*I30</f>
        <v>1260</v>
      </c>
      <c r="L30" s="231">
        <f>K30*J30</f>
        <v>5040</v>
      </c>
      <c r="M30" s="233" t="s">
        <v>22</v>
      </c>
    </row>
    <row r="31" spans="1:13" x14ac:dyDescent="0.25">
      <c r="A31" s="229" t="s">
        <v>505</v>
      </c>
      <c r="B31" s="244" t="s">
        <v>44</v>
      </c>
      <c r="C31" s="231" t="s">
        <v>45</v>
      </c>
      <c r="D31" s="230" t="s">
        <v>46</v>
      </c>
      <c r="E31" s="230" t="s">
        <v>47</v>
      </c>
      <c r="F31" s="231"/>
      <c r="G31" s="234"/>
      <c r="H31" s="232"/>
      <c r="I31" s="231"/>
      <c r="J31" s="231"/>
      <c r="K31" s="231">
        <v>2000</v>
      </c>
      <c r="L31" s="231">
        <f t="shared" ref="L31" si="8">K31</f>
        <v>2000</v>
      </c>
      <c r="M31" s="233" t="s">
        <v>48</v>
      </c>
    </row>
    <row r="32" spans="1:13" x14ac:dyDescent="0.25">
      <c r="A32" s="229" t="s">
        <v>505</v>
      </c>
      <c r="B32" s="230" t="s">
        <v>14</v>
      </c>
      <c r="C32" s="231">
        <v>7479</v>
      </c>
      <c r="D32" s="230" t="s">
        <v>20</v>
      </c>
      <c r="E32" s="230" t="s">
        <v>21</v>
      </c>
      <c r="F32" s="231">
        <v>253</v>
      </c>
      <c r="G32" s="234">
        <v>0.15</v>
      </c>
      <c r="H32" s="232">
        <f>G32*F32</f>
        <v>37.949999999999996</v>
      </c>
      <c r="I32" s="231">
        <v>80</v>
      </c>
      <c r="J32" s="231">
        <v>1</v>
      </c>
      <c r="K32" s="231">
        <f>F32*I32</f>
        <v>20240</v>
      </c>
      <c r="L32" s="231">
        <f>K32*J32</f>
        <v>20240</v>
      </c>
      <c r="M32" s="233" t="s">
        <v>91</v>
      </c>
    </row>
    <row r="33" spans="1:13" x14ac:dyDescent="0.25">
      <c r="A33" s="229" t="s">
        <v>505</v>
      </c>
      <c r="B33" s="230" t="s">
        <v>14</v>
      </c>
      <c r="C33" s="231">
        <v>7479</v>
      </c>
      <c r="D33" s="230" t="s">
        <v>20</v>
      </c>
      <c r="E33" s="230" t="s">
        <v>25</v>
      </c>
      <c r="F33" s="231"/>
      <c r="G33" s="234"/>
      <c r="H33" s="232"/>
      <c r="I33" s="231"/>
      <c r="J33" s="231"/>
      <c r="K33" s="231">
        <v>7530</v>
      </c>
      <c r="L33" s="231">
        <f>K33</f>
        <v>7530</v>
      </c>
      <c r="M33" s="233" t="s">
        <v>181</v>
      </c>
    </row>
    <row r="34" spans="1:13" x14ac:dyDescent="0.25">
      <c r="A34" s="229" t="s">
        <v>506</v>
      </c>
      <c r="B34" s="230" t="s">
        <v>14</v>
      </c>
      <c r="C34" s="231">
        <v>1135</v>
      </c>
      <c r="D34" s="230" t="s">
        <v>467</v>
      </c>
      <c r="E34" s="230" t="s">
        <v>21</v>
      </c>
      <c r="F34" s="231">
        <v>159</v>
      </c>
      <c r="G34" s="234">
        <v>1.1719999999999999</v>
      </c>
      <c r="H34" s="232">
        <f>G34*F34</f>
        <v>186.34799999999998</v>
      </c>
      <c r="I34" s="231">
        <v>41</v>
      </c>
      <c r="J34" s="231">
        <v>2</v>
      </c>
      <c r="K34" s="231">
        <f>F34*I34</f>
        <v>6519</v>
      </c>
      <c r="L34" s="231">
        <f>K34*J34</f>
        <v>13038</v>
      </c>
      <c r="M34" s="233" t="s">
        <v>413</v>
      </c>
    </row>
    <row r="35" spans="1:13" x14ac:dyDescent="0.25">
      <c r="A35" s="229" t="s">
        <v>506</v>
      </c>
      <c r="B35" s="236" t="s">
        <v>23</v>
      </c>
      <c r="C35" s="231">
        <v>66772</v>
      </c>
      <c r="D35" s="230" t="s">
        <v>34</v>
      </c>
      <c r="E35" s="238" t="s">
        <v>35</v>
      </c>
      <c r="F35" s="231"/>
      <c r="G35" s="234" t="s">
        <v>77</v>
      </c>
      <c r="H35" s="232"/>
      <c r="I35" s="231"/>
      <c r="J35" s="231"/>
      <c r="K35" s="231">
        <v>7500</v>
      </c>
      <c r="L35" s="231">
        <f t="shared" ref="L35:L37" si="9">K35</f>
        <v>7500</v>
      </c>
      <c r="M35" s="233" t="s">
        <v>179</v>
      </c>
    </row>
    <row r="36" spans="1:13" x14ac:dyDescent="0.25">
      <c r="A36" s="229" t="s">
        <v>506</v>
      </c>
      <c r="B36" s="236" t="s">
        <v>23</v>
      </c>
      <c r="C36" s="231">
        <v>66772</v>
      </c>
      <c r="D36" s="230" t="s">
        <v>34</v>
      </c>
      <c r="E36" s="230" t="s">
        <v>39</v>
      </c>
      <c r="F36" s="231"/>
      <c r="G36" s="234" t="s">
        <v>36</v>
      </c>
      <c r="H36" s="232"/>
      <c r="I36" s="231"/>
      <c r="J36" s="231"/>
      <c r="K36" s="231">
        <v>7350</v>
      </c>
      <c r="L36" s="231">
        <f t="shared" si="9"/>
        <v>7350</v>
      </c>
      <c r="M36" s="233" t="s">
        <v>277</v>
      </c>
    </row>
    <row r="37" spans="1:13" x14ac:dyDescent="0.25">
      <c r="A37" s="229" t="s">
        <v>506</v>
      </c>
      <c r="B37" s="236" t="s">
        <v>23</v>
      </c>
      <c r="C37" s="231">
        <v>66772</v>
      </c>
      <c r="D37" s="230" t="s">
        <v>34</v>
      </c>
      <c r="E37" s="237" t="s">
        <v>30</v>
      </c>
      <c r="F37" s="231"/>
      <c r="G37" s="234" t="s">
        <v>78</v>
      </c>
      <c r="H37" s="232"/>
      <c r="I37" s="231"/>
      <c r="J37" s="231"/>
      <c r="K37" s="231">
        <v>7850</v>
      </c>
      <c r="L37" s="231">
        <f t="shared" si="9"/>
        <v>7850</v>
      </c>
      <c r="M37" s="233" t="s">
        <v>405</v>
      </c>
    </row>
    <row r="38" spans="1:13" x14ac:dyDescent="0.25">
      <c r="A38" s="229" t="s">
        <v>506</v>
      </c>
      <c r="B38" s="230" t="s">
        <v>14</v>
      </c>
      <c r="C38" s="231">
        <v>8283</v>
      </c>
      <c r="D38" s="230" t="s">
        <v>344</v>
      </c>
      <c r="E38" s="230" t="s">
        <v>25</v>
      </c>
      <c r="F38" s="231"/>
      <c r="G38" s="234"/>
      <c r="H38" s="232"/>
      <c r="I38" s="231"/>
      <c r="J38" s="231"/>
      <c r="K38" s="231">
        <v>5275</v>
      </c>
      <c r="L38" s="231">
        <f>K38</f>
        <v>5275</v>
      </c>
      <c r="M38" s="233" t="s">
        <v>179</v>
      </c>
    </row>
    <row r="39" spans="1:13" x14ac:dyDescent="0.25">
      <c r="A39" s="229" t="s">
        <v>506</v>
      </c>
      <c r="B39" s="230" t="s">
        <v>14</v>
      </c>
      <c r="C39" s="231">
        <v>8200</v>
      </c>
      <c r="D39" s="230" t="s">
        <v>16</v>
      </c>
      <c r="E39" s="230" t="s">
        <v>17</v>
      </c>
      <c r="F39" s="231">
        <v>144</v>
      </c>
      <c r="G39" s="234">
        <v>0.7125999999999999</v>
      </c>
      <c r="H39" s="232">
        <f t="shared" ref="H39:H40" si="10">F39*G39</f>
        <v>102.61439999999999</v>
      </c>
      <c r="I39" s="231">
        <v>60</v>
      </c>
      <c r="J39" s="231">
        <v>4</v>
      </c>
      <c r="K39" s="231">
        <f>F39*I39</f>
        <v>8640</v>
      </c>
      <c r="L39" s="231">
        <f>K39*J39</f>
        <v>34560</v>
      </c>
      <c r="M39" s="233" t="s">
        <v>277</v>
      </c>
    </row>
    <row r="40" spans="1:13" x14ac:dyDescent="0.25">
      <c r="A40" s="229" t="s">
        <v>506</v>
      </c>
      <c r="B40" s="230" t="s">
        <v>14</v>
      </c>
      <c r="C40" s="231">
        <v>6380</v>
      </c>
      <c r="D40" s="230" t="s">
        <v>16</v>
      </c>
      <c r="E40" s="230" t="s">
        <v>17</v>
      </c>
      <c r="F40" s="231">
        <v>94</v>
      </c>
      <c r="G40" s="234">
        <v>0.42499999999999999</v>
      </c>
      <c r="H40" s="232">
        <f t="shared" si="10"/>
        <v>39.949999999999996</v>
      </c>
      <c r="I40" s="231">
        <v>45</v>
      </c>
      <c r="J40" s="231">
        <v>4</v>
      </c>
      <c r="K40" s="231">
        <f>F40*I40</f>
        <v>4230</v>
      </c>
      <c r="L40" s="231">
        <f>K40*J40</f>
        <v>16920</v>
      </c>
      <c r="M40" s="233" t="s">
        <v>22</v>
      </c>
    </row>
    <row r="41" spans="1:13" x14ac:dyDescent="0.25">
      <c r="A41" s="229" t="s">
        <v>506</v>
      </c>
      <c r="B41" s="230" t="s">
        <v>14</v>
      </c>
      <c r="C41" s="231">
        <v>7479</v>
      </c>
      <c r="D41" s="230" t="s">
        <v>20</v>
      </c>
      <c r="E41" s="230" t="s">
        <v>21</v>
      </c>
      <c r="F41" s="231">
        <v>240</v>
      </c>
      <c r="G41" s="234">
        <v>0.15</v>
      </c>
      <c r="H41" s="232">
        <f>G41*F41</f>
        <v>36</v>
      </c>
      <c r="I41" s="231">
        <v>80</v>
      </c>
      <c r="J41" s="231">
        <v>1</v>
      </c>
      <c r="K41" s="231">
        <f>F41*I41</f>
        <v>19200</v>
      </c>
      <c r="L41" s="231">
        <f>K41*J41</f>
        <v>19200</v>
      </c>
      <c r="M41" s="233" t="s">
        <v>91</v>
      </c>
    </row>
    <row r="42" spans="1:13" x14ac:dyDescent="0.25">
      <c r="A42" s="229" t="s">
        <v>506</v>
      </c>
      <c r="B42" s="230" t="s">
        <v>14</v>
      </c>
      <c r="C42" s="231">
        <v>7479</v>
      </c>
      <c r="D42" s="230" t="s">
        <v>20</v>
      </c>
      <c r="E42" s="230" t="s">
        <v>25</v>
      </c>
      <c r="F42" s="231"/>
      <c r="G42" s="234"/>
      <c r="H42" s="232"/>
      <c r="I42" s="231"/>
      <c r="J42" s="231"/>
      <c r="K42" s="231">
        <v>7500</v>
      </c>
      <c r="L42" s="231">
        <f>K42</f>
        <v>7500</v>
      </c>
      <c r="M42" s="233" t="s">
        <v>181</v>
      </c>
    </row>
    <row r="43" spans="1:13" x14ac:dyDescent="0.25">
      <c r="A43" s="229" t="s">
        <v>506</v>
      </c>
      <c r="B43" s="230" t="s">
        <v>14</v>
      </c>
      <c r="C43" s="231" t="s">
        <v>407</v>
      </c>
      <c r="D43" s="230"/>
      <c r="E43" s="230" t="s">
        <v>21</v>
      </c>
      <c r="F43" s="231">
        <v>131</v>
      </c>
      <c r="G43" s="234">
        <v>0.48962500000000003</v>
      </c>
      <c r="H43" s="232">
        <f>G43*F43</f>
        <v>64.140875000000008</v>
      </c>
      <c r="I43" s="231">
        <v>17</v>
      </c>
      <c r="J43" s="231">
        <v>1</v>
      </c>
      <c r="K43" s="231">
        <f>F43*I43</f>
        <v>2227</v>
      </c>
      <c r="L43" s="231">
        <f>K43*J43</f>
        <v>2227</v>
      </c>
      <c r="M43" s="233" t="s">
        <v>277</v>
      </c>
    </row>
    <row r="44" spans="1:13" x14ac:dyDescent="0.25">
      <c r="A44" s="229" t="s">
        <v>507</v>
      </c>
      <c r="B44" s="236" t="s">
        <v>23</v>
      </c>
      <c r="C44" s="231">
        <v>66772</v>
      </c>
      <c r="D44" s="230" t="s">
        <v>34</v>
      </c>
      <c r="E44" s="238" t="s">
        <v>35</v>
      </c>
      <c r="F44" s="231"/>
      <c r="G44" s="234" t="s">
        <v>77</v>
      </c>
      <c r="H44" s="232"/>
      <c r="I44" s="231"/>
      <c r="J44" s="231"/>
      <c r="K44" s="231">
        <v>2000</v>
      </c>
      <c r="L44" s="231">
        <f t="shared" ref="L44:L45" si="11">K44</f>
        <v>2000</v>
      </c>
      <c r="M44" s="233" t="s">
        <v>179</v>
      </c>
    </row>
    <row r="45" spans="1:13" x14ac:dyDescent="0.25">
      <c r="A45" s="229" t="s">
        <v>507</v>
      </c>
      <c r="B45" s="236" t="s">
        <v>23</v>
      </c>
      <c r="C45" s="231">
        <v>66772</v>
      </c>
      <c r="D45" s="230" t="s">
        <v>34</v>
      </c>
      <c r="E45" s="230" t="s">
        <v>39</v>
      </c>
      <c r="F45" s="231"/>
      <c r="G45" s="234" t="s">
        <v>36</v>
      </c>
      <c r="H45" s="232"/>
      <c r="I45" s="231"/>
      <c r="J45" s="231"/>
      <c r="K45" s="231">
        <v>2300</v>
      </c>
      <c r="L45" s="231">
        <f t="shared" si="11"/>
        <v>2300</v>
      </c>
      <c r="M45" s="233" t="s">
        <v>277</v>
      </c>
    </row>
    <row r="46" spans="1:13" x14ac:dyDescent="0.25">
      <c r="A46" s="229" t="s">
        <v>507</v>
      </c>
      <c r="B46" s="236" t="s">
        <v>23</v>
      </c>
      <c r="C46" s="231">
        <v>66772</v>
      </c>
      <c r="D46" s="230" t="s">
        <v>34</v>
      </c>
      <c r="E46" s="237" t="s">
        <v>30</v>
      </c>
      <c r="F46" s="231"/>
      <c r="G46" s="234" t="s">
        <v>78</v>
      </c>
      <c r="H46" s="232"/>
      <c r="I46" s="231"/>
      <c r="J46" s="231"/>
      <c r="K46" s="231">
        <v>2350</v>
      </c>
      <c r="L46" s="231">
        <f>K46</f>
        <v>2350</v>
      </c>
      <c r="M46" s="233" t="s">
        <v>405</v>
      </c>
    </row>
    <row r="47" spans="1:13" x14ac:dyDescent="0.25">
      <c r="A47" s="229" t="s">
        <v>507</v>
      </c>
      <c r="B47" s="230" t="s">
        <v>14</v>
      </c>
      <c r="C47" s="231" t="s">
        <v>452</v>
      </c>
      <c r="D47" s="230"/>
      <c r="E47" s="230" t="s">
        <v>21</v>
      </c>
      <c r="F47" s="231">
        <v>79</v>
      </c>
      <c r="G47" s="234">
        <v>0.34062500000000001</v>
      </c>
      <c r="H47" s="232">
        <f>F47*G47</f>
        <v>26.909375000000001</v>
      </c>
      <c r="I47" s="231">
        <v>23</v>
      </c>
      <c r="J47" s="231">
        <v>1</v>
      </c>
      <c r="K47" s="231">
        <f>F47*I47</f>
        <v>1817</v>
      </c>
      <c r="L47" s="231">
        <f t="shared" ref="L47" si="12">K47*J47</f>
        <v>1817</v>
      </c>
      <c r="M47" s="233" t="s">
        <v>179</v>
      </c>
    </row>
    <row r="48" spans="1:13" x14ac:dyDescent="0.25">
      <c r="A48" s="229" t="s">
        <v>507</v>
      </c>
      <c r="B48" s="230" t="s">
        <v>14</v>
      </c>
      <c r="C48" s="231" t="s">
        <v>407</v>
      </c>
      <c r="D48" s="230"/>
      <c r="E48" s="230" t="s">
        <v>21</v>
      </c>
      <c r="F48" s="231">
        <v>455</v>
      </c>
      <c r="G48" s="234">
        <v>0.48962500000000003</v>
      </c>
      <c r="H48" s="232">
        <f>G48*F48</f>
        <v>222.77937500000002</v>
      </c>
      <c r="I48" s="231">
        <v>17</v>
      </c>
      <c r="J48" s="231">
        <v>1</v>
      </c>
      <c r="K48" s="231">
        <f>F48*I48</f>
        <v>7735</v>
      </c>
      <c r="L48" s="231">
        <f>K48*J48</f>
        <v>7735</v>
      </c>
      <c r="M48" s="233" t="s">
        <v>277</v>
      </c>
    </row>
    <row r="49" spans="1:13" x14ac:dyDescent="0.25">
      <c r="A49" s="229" t="s">
        <v>507</v>
      </c>
      <c r="B49" s="230" t="s">
        <v>14</v>
      </c>
      <c r="C49" s="231" t="s">
        <v>407</v>
      </c>
      <c r="D49" s="230"/>
      <c r="E49" s="230" t="s">
        <v>25</v>
      </c>
      <c r="F49" s="231"/>
      <c r="G49" s="234"/>
      <c r="H49" s="232"/>
      <c r="I49" s="231"/>
      <c r="J49" s="231"/>
      <c r="K49" s="231">
        <v>3000</v>
      </c>
      <c r="L49" s="231">
        <f t="shared" ref="L49" si="13">K49</f>
        <v>3000</v>
      </c>
      <c r="M49" s="233" t="s">
        <v>405</v>
      </c>
    </row>
    <row r="50" spans="1:13" x14ac:dyDescent="0.25">
      <c r="A50" s="229" t="s">
        <v>507</v>
      </c>
      <c r="B50" s="230" t="s">
        <v>14</v>
      </c>
      <c r="C50" s="231">
        <v>7479</v>
      </c>
      <c r="D50" s="230" t="s">
        <v>20</v>
      </c>
      <c r="E50" s="230" t="s">
        <v>21</v>
      </c>
      <c r="F50" s="231">
        <v>220</v>
      </c>
      <c r="G50" s="234">
        <v>0.15</v>
      </c>
      <c r="H50" s="232">
        <f>G50*F50</f>
        <v>33</v>
      </c>
      <c r="I50" s="231">
        <v>80</v>
      </c>
      <c r="J50" s="231">
        <v>1</v>
      </c>
      <c r="K50" s="231">
        <f>F50*I50</f>
        <v>17600</v>
      </c>
      <c r="L50" s="231">
        <f>K50*J50</f>
        <v>17600</v>
      </c>
      <c r="M50" s="233" t="s">
        <v>91</v>
      </c>
    </row>
    <row r="51" spans="1:13" x14ac:dyDescent="0.25">
      <c r="A51" s="229" t="s">
        <v>507</v>
      </c>
      <c r="B51" s="230" t="s">
        <v>14</v>
      </c>
      <c r="C51" s="231">
        <v>7479</v>
      </c>
      <c r="D51" s="230" t="s">
        <v>20</v>
      </c>
      <c r="E51" s="230" t="s">
        <v>25</v>
      </c>
      <c r="F51" s="231"/>
      <c r="G51" s="234"/>
      <c r="H51" s="232"/>
      <c r="I51" s="231"/>
      <c r="J51" s="231"/>
      <c r="K51" s="231">
        <v>500</v>
      </c>
      <c r="L51" s="231">
        <f>K51</f>
        <v>500</v>
      </c>
      <c r="M51" s="233" t="s">
        <v>181</v>
      </c>
    </row>
    <row r="52" spans="1:13" x14ac:dyDescent="0.25">
      <c r="A52" s="229" t="s">
        <v>507</v>
      </c>
      <c r="B52" s="230" t="s">
        <v>14</v>
      </c>
      <c r="C52" s="231">
        <v>7479</v>
      </c>
      <c r="D52" s="230" t="s">
        <v>20</v>
      </c>
      <c r="E52" s="230" t="s">
        <v>25</v>
      </c>
      <c r="F52" s="231"/>
      <c r="G52" s="234"/>
      <c r="H52" s="232"/>
      <c r="I52" s="231"/>
      <c r="J52" s="231"/>
      <c r="K52" s="231">
        <v>2500</v>
      </c>
      <c r="L52" s="231">
        <f>K52</f>
        <v>2500</v>
      </c>
      <c r="M52" s="233" t="s">
        <v>180</v>
      </c>
    </row>
    <row r="53" spans="1:13" x14ac:dyDescent="0.25">
      <c r="A53" s="229" t="s">
        <v>507</v>
      </c>
      <c r="B53" s="230" t="s">
        <v>14</v>
      </c>
      <c r="C53" s="231">
        <v>6380</v>
      </c>
      <c r="D53" s="230" t="s">
        <v>16</v>
      </c>
      <c r="E53" s="230" t="s">
        <v>17</v>
      </c>
      <c r="F53" s="231">
        <v>128</v>
      </c>
      <c r="G53" s="234">
        <v>0.42499999999999999</v>
      </c>
      <c r="H53" s="232">
        <f t="shared" ref="H53" si="14">F53*G53</f>
        <v>54.4</v>
      </c>
      <c r="I53" s="231">
        <v>45</v>
      </c>
      <c r="J53" s="231">
        <v>4</v>
      </c>
      <c r="K53" s="231">
        <f>F53*I53</f>
        <v>5760</v>
      </c>
      <c r="L53" s="231">
        <f>K53*J53</f>
        <v>23040</v>
      </c>
      <c r="M53" s="233" t="s">
        <v>22</v>
      </c>
    </row>
    <row r="54" spans="1:13" x14ac:dyDescent="0.25">
      <c r="A54" s="229" t="s">
        <v>508</v>
      </c>
      <c r="B54" s="230" t="s">
        <v>14</v>
      </c>
      <c r="C54" s="231" t="s">
        <v>407</v>
      </c>
      <c r="D54" s="230"/>
      <c r="E54" s="230" t="s">
        <v>25</v>
      </c>
      <c r="F54" s="231"/>
      <c r="G54" s="234"/>
      <c r="H54" s="232"/>
      <c r="I54" s="231"/>
      <c r="J54" s="231"/>
      <c r="K54" s="231">
        <v>1500</v>
      </c>
      <c r="L54" s="231">
        <f t="shared" ref="L54" si="15">K54</f>
        <v>1500</v>
      </c>
      <c r="M54" s="233" t="s">
        <v>418</v>
      </c>
    </row>
    <row r="55" spans="1:13" x14ac:dyDescent="0.25">
      <c r="A55" s="229" t="s">
        <v>508</v>
      </c>
      <c r="B55" s="230" t="s">
        <v>14</v>
      </c>
      <c r="C55" s="231" t="s">
        <v>452</v>
      </c>
      <c r="D55" s="230"/>
      <c r="E55" s="230" t="s">
        <v>21</v>
      </c>
      <c r="F55" s="231">
        <v>150</v>
      </c>
      <c r="G55" s="234">
        <v>0.34062500000000001</v>
      </c>
      <c r="H55" s="232">
        <f>F55*G55</f>
        <v>51.09375</v>
      </c>
      <c r="I55" s="231">
        <v>23</v>
      </c>
      <c r="J55" s="231">
        <v>1</v>
      </c>
      <c r="K55" s="231">
        <f>F55*I55</f>
        <v>3450</v>
      </c>
      <c r="L55" s="231">
        <f t="shared" ref="L55" si="16">K55*J55</f>
        <v>3450</v>
      </c>
      <c r="M55" s="233" t="s">
        <v>179</v>
      </c>
    </row>
    <row r="56" spans="1:13" x14ac:dyDescent="0.25">
      <c r="A56" s="229" t="s">
        <v>508</v>
      </c>
      <c r="B56" s="230" t="s">
        <v>14</v>
      </c>
      <c r="C56" s="231" t="s">
        <v>407</v>
      </c>
      <c r="D56" s="230"/>
      <c r="E56" s="230" t="s">
        <v>25</v>
      </c>
      <c r="F56" s="231"/>
      <c r="G56" s="234"/>
      <c r="H56" s="232"/>
      <c r="I56" s="231"/>
      <c r="J56" s="231"/>
      <c r="K56" s="231">
        <v>2000</v>
      </c>
      <c r="L56" s="231">
        <f t="shared" ref="L56" si="17">K56</f>
        <v>2000</v>
      </c>
      <c r="M56" s="233" t="s">
        <v>179</v>
      </c>
    </row>
    <row r="57" spans="1:13" x14ac:dyDescent="0.25">
      <c r="A57" s="229" t="s">
        <v>508</v>
      </c>
      <c r="B57" s="230" t="s">
        <v>14</v>
      </c>
      <c r="C57" s="231" t="s">
        <v>417</v>
      </c>
      <c r="D57" s="230"/>
      <c r="E57" s="230" t="s">
        <v>21</v>
      </c>
      <c r="F57" s="231">
        <v>74</v>
      </c>
      <c r="G57" s="234">
        <v>0.63541875000000003</v>
      </c>
      <c r="H57" s="232">
        <f>G57*F57</f>
        <v>47.020987500000004</v>
      </c>
      <c r="I57" s="231">
        <v>31</v>
      </c>
      <c r="J57" s="231">
        <v>1</v>
      </c>
      <c r="K57" s="231">
        <f t="shared" ref="K57" si="18">F57*I57</f>
        <v>2294</v>
      </c>
      <c r="L57" s="231">
        <f t="shared" ref="L57" si="19">K57*J57</f>
        <v>2294</v>
      </c>
      <c r="M57" s="233" t="s">
        <v>277</v>
      </c>
    </row>
    <row r="58" spans="1:13" x14ac:dyDescent="0.25">
      <c r="A58" s="229" t="s">
        <v>508</v>
      </c>
      <c r="B58" s="230" t="s">
        <v>14</v>
      </c>
      <c r="C58" s="231" t="s">
        <v>407</v>
      </c>
      <c r="D58" s="230"/>
      <c r="E58" s="230" t="s">
        <v>21</v>
      </c>
      <c r="F58" s="231">
        <v>488</v>
      </c>
      <c r="G58" s="234">
        <v>0.48962500000000003</v>
      </c>
      <c r="H58" s="232">
        <f>G58*F58</f>
        <v>238.93700000000001</v>
      </c>
      <c r="I58" s="231">
        <v>17</v>
      </c>
      <c r="J58" s="231">
        <v>1</v>
      </c>
      <c r="K58" s="231">
        <f>F58*I58</f>
        <v>8296</v>
      </c>
      <c r="L58" s="231">
        <f>K58*J58</f>
        <v>8296</v>
      </c>
      <c r="M58" s="233" t="s">
        <v>277</v>
      </c>
    </row>
    <row r="59" spans="1:13" x14ac:dyDescent="0.25">
      <c r="A59" s="229" t="s">
        <v>508</v>
      </c>
      <c r="B59" s="230" t="s">
        <v>14</v>
      </c>
      <c r="C59" s="231">
        <v>7479</v>
      </c>
      <c r="D59" s="230" t="s">
        <v>20</v>
      </c>
      <c r="E59" s="230" t="s">
        <v>25</v>
      </c>
      <c r="F59" s="231"/>
      <c r="G59" s="234"/>
      <c r="H59" s="232"/>
      <c r="I59" s="231"/>
      <c r="J59" s="231"/>
      <c r="K59" s="231">
        <v>7000</v>
      </c>
      <c r="L59" s="231">
        <f>K59</f>
        <v>7000</v>
      </c>
      <c r="M59" s="233" t="s">
        <v>180</v>
      </c>
    </row>
    <row r="60" spans="1:13" x14ac:dyDescent="0.25">
      <c r="A60" s="229" t="s">
        <v>508</v>
      </c>
      <c r="B60" s="230" t="s">
        <v>14</v>
      </c>
      <c r="C60" s="231">
        <v>6380</v>
      </c>
      <c r="D60" s="230" t="s">
        <v>16</v>
      </c>
      <c r="E60" s="230" t="s">
        <v>17</v>
      </c>
      <c r="F60" s="231">
        <v>140</v>
      </c>
      <c r="G60" s="234">
        <v>0.42499999999999999</v>
      </c>
      <c r="H60" s="232">
        <f t="shared" ref="H60" si="20">F60*G60</f>
        <v>59.5</v>
      </c>
      <c r="I60" s="231">
        <v>45</v>
      </c>
      <c r="J60" s="231">
        <v>4</v>
      </c>
      <c r="K60" s="231">
        <f>F60*I60</f>
        <v>6300</v>
      </c>
      <c r="L60" s="231">
        <f>K60*J60</f>
        <v>25200</v>
      </c>
      <c r="M60" s="233" t="s">
        <v>22</v>
      </c>
    </row>
    <row r="61" spans="1:13" x14ac:dyDescent="0.25">
      <c r="A61" s="229" t="s">
        <v>509</v>
      </c>
      <c r="B61" s="230" t="s">
        <v>14</v>
      </c>
      <c r="C61" s="231">
        <v>1411</v>
      </c>
      <c r="D61" s="230" t="s">
        <v>414</v>
      </c>
      <c r="E61" s="230" t="s">
        <v>21</v>
      </c>
      <c r="F61" s="231">
        <v>84</v>
      </c>
      <c r="G61" s="234">
        <v>1.1297187499999997</v>
      </c>
      <c r="H61" s="232">
        <f>G61*F61</f>
        <v>94.896374999999978</v>
      </c>
      <c r="I61" s="231">
        <v>20</v>
      </c>
      <c r="J61" s="231">
        <v>1</v>
      </c>
      <c r="K61" s="231">
        <f>F61*I61</f>
        <v>1680</v>
      </c>
      <c r="L61" s="231">
        <f>K61*J61</f>
        <v>1680</v>
      </c>
      <c r="M61" s="233" t="s">
        <v>413</v>
      </c>
    </row>
    <row r="62" spans="1:13" x14ac:dyDescent="0.25">
      <c r="A62" s="229" t="s">
        <v>509</v>
      </c>
      <c r="B62" s="230" t="s">
        <v>14</v>
      </c>
      <c r="C62" s="231" t="s">
        <v>407</v>
      </c>
      <c r="D62" s="230"/>
      <c r="E62" s="230" t="s">
        <v>25</v>
      </c>
      <c r="F62" s="231"/>
      <c r="G62" s="234"/>
      <c r="H62" s="232"/>
      <c r="I62" s="231"/>
      <c r="J62" s="231"/>
      <c r="K62" s="231">
        <v>3800</v>
      </c>
      <c r="L62" s="231">
        <f t="shared" ref="L62" si="21">K62</f>
        <v>3800</v>
      </c>
      <c r="M62" s="233" t="s">
        <v>418</v>
      </c>
    </row>
    <row r="63" spans="1:13" x14ac:dyDescent="0.25">
      <c r="A63" s="229" t="s">
        <v>509</v>
      </c>
      <c r="B63" s="230" t="s">
        <v>14</v>
      </c>
      <c r="C63" s="231" t="s">
        <v>452</v>
      </c>
      <c r="D63" s="230"/>
      <c r="E63" s="230" t="s">
        <v>21</v>
      </c>
      <c r="F63" s="231">
        <v>186</v>
      </c>
      <c r="G63" s="234">
        <v>0.34062500000000001</v>
      </c>
      <c r="H63" s="232">
        <f>F63*G63</f>
        <v>63.356250000000003</v>
      </c>
      <c r="I63" s="231">
        <v>23</v>
      </c>
      <c r="J63" s="231">
        <v>1</v>
      </c>
      <c r="K63" s="231">
        <f>F63*I63</f>
        <v>4278</v>
      </c>
      <c r="L63" s="231">
        <f t="shared" ref="L63:L66" si="22">K63*J63</f>
        <v>4278</v>
      </c>
      <c r="M63" s="233" t="s">
        <v>405</v>
      </c>
    </row>
    <row r="64" spans="1:13" x14ac:dyDescent="0.25">
      <c r="A64" s="229" t="s">
        <v>509</v>
      </c>
      <c r="B64" s="230" t="s">
        <v>14</v>
      </c>
      <c r="C64" s="231" t="s">
        <v>417</v>
      </c>
      <c r="D64" s="230"/>
      <c r="E64" s="230" t="s">
        <v>21</v>
      </c>
      <c r="F64" s="231">
        <v>252</v>
      </c>
      <c r="G64" s="234">
        <v>0.63541875000000003</v>
      </c>
      <c r="H64" s="232">
        <f>G64*F64</f>
        <v>160.12552500000001</v>
      </c>
      <c r="I64" s="231">
        <v>31</v>
      </c>
      <c r="J64" s="231">
        <v>1</v>
      </c>
      <c r="K64" s="231">
        <f t="shared" ref="K64:K65" si="23">F64*I64</f>
        <v>7812</v>
      </c>
      <c r="L64" s="231">
        <f t="shared" si="22"/>
        <v>7812</v>
      </c>
      <c r="M64" s="233" t="s">
        <v>179</v>
      </c>
    </row>
    <row r="65" spans="1:13" x14ac:dyDescent="0.25">
      <c r="A65" s="229" t="s">
        <v>509</v>
      </c>
      <c r="B65" s="230" t="s">
        <v>14</v>
      </c>
      <c r="C65" s="231" t="s">
        <v>407</v>
      </c>
      <c r="D65" s="230"/>
      <c r="E65" s="230" t="s">
        <v>21</v>
      </c>
      <c r="F65" s="231">
        <v>367</v>
      </c>
      <c r="G65" s="234">
        <v>0.48962500000000003</v>
      </c>
      <c r="H65" s="232">
        <f>G65*F65</f>
        <v>179.692375</v>
      </c>
      <c r="I65" s="231">
        <v>17</v>
      </c>
      <c r="J65" s="231">
        <v>1</v>
      </c>
      <c r="K65" s="231">
        <f>F65*I65</f>
        <v>6239</v>
      </c>
      <c r="L65" s="231">
        <f>K65*J65</f>
        <v>6239</v>
      </c>
      <c r="M65" s="233" t="s">
        <v>277</v>
      </c>
    </row>
    <row r="66" spans="1:13" x14ac:dyDescent="0.25">
      <c r="A66" s="229" t="s">
        <v>509</v>
      </c>
      <c r="B66" s="230" t="s">
        <v>14</v>
      </c>
      <c r="C66" s="231" t="s">
        <v>408</v>
      </c>
      <c r="D66" s="230" t="s">
        <v>409</v>
      </c>
      <c r="E66" s="230" t="s">
        <v>21</v>
      </c>
      <c r="F66" s="231">
        <v>50</v>
      </c>
      <c r="G66" s="234">
        <v>0.77037500000000014</v>
      </c>
      <c r="H66" s="232">
        <v>0</v>
      </c>
      <c r="I66" s="231">
        <v>30</v>
      </c>
      <c r="J66" s="231">
        <v>1</v>
      </c>
      <c r="K66" s="231">
        <f>F66*I66</f>
        <v>1500</v>
      </c>
      <c r="L66" s="231">
        <f t="shared" si="22"/>
        <v>1500</v>
      </c>
      <c r="M66" s="233" t="s">
        <v>405</v>
      </c>
    </row>
    <row r="67" spans="1:13" x14ac:dyDescent="0.25">
      <c r="A67" s="229" t="s">
        <v>509</v>
      </c>
      <c r="B67" s="230" t="s">
        <v>14</v>
      </c>
      <c r="C67" s="231">
        <v>8200</v>
      </c>
      <c r="D67" s="230" t="s">
        <v>16</v>
      </c>
      <c r="E67" s="230" t="s">
        <v>17</v>
      </c>
      <c r="F67" s="231">
        <v>7</v>
      </c>
      <c r="G67" s="234">
        <v>0.7125999999999999</v>
      </c>
      <c r="H67" s="232">
        <f t="shared" ref="H67" si="24">F67*G67</f>
        <v>4.9881999999999991</v>
      </c>
      <c r="I67" s="231">
        <v>60</v>
      </c>
      <c r="J67" s="231">
        <v>4</v>
      </c>
      <c r="K67" s="231">
        <f>F67*I67</f>
        <v>420</v>
      </c>
      <c r="L67" s="231">
        <f>K67*J67</f>
        <v>1680</v>
      </c>
      <c r="M67" s="233" t="s">
        <v>277</v>
      </c>
    </row>
    <row r="68" spans="1:13" x14ac:dyDescent="0.25">
      <c r="A68" s="229" t="s">
        <v>509</v>
      </c>
      <c r="B68" s="230" t="s">
        <v>14</v>
      </c>
      <c r="C68" s="231">
        <v>7479</v>
      </c>
      <c r="D68" s="230" t="s">
        <v>20</v>
      </c>
      <c r="E68" s="230" t="s">
        <v>25</v>
      </c>
      <c r="F68" s="231"/>
      <c r="G68" s="234"/>
      <c r="H68" s="232"/>
      <c r="I68" s="231"/>
      <c r="J68" s="231"/>
      <c r="K68" s="231">
        <v>7300</v>
      </c>
      <c r="L68" s="231">
        <f>K68</f>
        <v>7300</v>
      </c>
      <c r="M68" s="233" t="s">
        <v>180</v>
      </c>
    </row>
    <row r="69" spans="1:13" x14ac:dyDescent="0.25">
      <c r="A69" s="229" t="s">
        <v>509</v>
      </c>
      <c r="B69" s="230" t="s">
        <v>14</v>
      </c>
      <c r="C69" s="231">
        <v>6380</v>
      </c>
      <c r="D69" s="230" t="s">
        <v>16</v>
      </c>
      <c r="E69" s="230" t="s">
        <v>17</v>
      </c>
      <c r="F69" s="231">
        <v>70</v>
      </c>
      <c r="G69" s="234">
        <v>0.42499999999999999</v>
      </c>
      <c r="H69" s="232">
        <f t="shared" ref="H69" si="25">F69*G69</f>
        <v>29.75</v>
      </c>
      <c r="I69" s="231">
        <v>45</v>
      </c>
      <c r="J69" s="231">
        <v>4</v>
      </c>
      <c r="K69" s="231">
        <f>F69*I69</f>
        <v>3150</v>
      </c>
      <c r="L69" s="231">
        <f>K69*J69</f>
        <v>12600</v>
      </c>
      <c r="M69" s="233" t="s">
        <v>22</v>
      </c>
    </row>
    <row r="70" spans="1:13" x14ac:dyDescent="0.25">
      <c r="A70" s="313"/>
      <c r="B70" s="314"/>
      <c r="C70" s="313"/>
      <c r="D70" s="314"/>
      <c r="E70" s="314"/>
      <c r="F70" s="313"/>
      <c r="G70" s="315"/>
      <c r="H70" s="316"/>
      <c r="I70" s="313"/>
      <c r="J70" s="313"/>
      <c r="K70" s="313"/>
      <c r="L70" s="313"/>
      <c r="M70" s="313"/>
    </row>
    <row r="71" spans="1:13" x14ac:dyDescent="0.25">
      <c r="A71" s="313"/>
      <c r="B71" s="314"/>
      <c r="C71" s="313"/>
      <c r="D71" s="314"/>
      <c r="E71" s="314"/>
      <c r="F71" s="313"/>
      <c r="G71" s="315"/>
      <c r="H71" s="316"/>
      <c r="I71" s="313"/>
      <c r="J71" s="313"/>
      <c r="K71" s="313"/>
      <c r="L71" s="313"/>
      <c r="M71" s="313"/>
    </row>
    <row r="78" spans="1:13" ht="23.25" customHeight="1" x14ac:dyDescent="0.25">
      <c r="A78" s="310" t="s">
        <v>373</v>
      </c>
      <c r="B78" s="311"/>
      <c r="C78" s="311"/>
      <c r="D78" s="311"/>
      <c r="E78" s="312"/>
      <c r="F78" s="241">
        <f>SUM(F3:F77)</f>
        <v>5526</v>
      </c>
      <c r="G78" s="241"/>
      <c r="H78" s="242">
        <f>SUM(H3:H77)</f>
        <v>2998.5085999999992</v>
      </c>
      <c r="I78" s="241">
        <f>SUM(I3:I77)</f>
        <v>1307</v>
      </c>
      <c r="J78" s="241">
        <f>SUM(J3:J77)</f>
        <v>60</v>
      </c>
      <c r="K78" s="243">
        <f>SUM(K3:K77)</f>
        <v>338884</v>
      </c>
      <c r="L78" s="241">
        <f>SUM(L3:L77)</f>
        <v>451645</v>
      </c>
      <c r="M78" s="241"/>
    </row>
    <row r="79" spans="1:13" ht="16.5" x14ac:dyDescent="0.3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</row>
    <row r="80" spans="1:13" ht="22.5" customHeight="1" x14ac:dyDescent="0.3">
      <c r="A80" s="240"/>
      <c r="B80" s="240"/>
      <c r="C80" s="240"/>
      <c r="D80" s="240"/>
      <c r="E80" s="240"/>
      <c r="F80" s="240"/>
      <c r="G80" s="240"/>
      <c r="H80" s="239">
        <f>SUM(H3:H77)</f>
        <v>2998.5085999999992</v>
      </c>
      <c r="I80" s="240"/>
      <c r="J80" s="240"/>
      <c r="K80" s="240"/>
      <c r="L80" s="240"/>
      <c r="M80" s="240"/>
    </row>
  </sheetData>
  <mergeCells count="2">
    <mergeCell ref="A1:M1"/>
    <mergeCell ref="A78:E7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Apr'24</vt:lpstr>
      <vt:lpstr>May'24</vt:lpstr>
      <vt:lpstr>June'24</vt:lpstr>
      <vt:lpstr>Jul'24</vt:lpstr>
      <vt:lpstr>Aug'24</vt:lpstr>
      <vt:lpstr>Sep'24</vt:lpstr>
      <vt:lpstr>Oct'24</vt:lpstr>
      <vt:lpstr>Nov'24</vt:lpstr>
      <vt:lpstr>Dec'24</vt:lpstr>
      <vt:lpstr>Feb'25</vt:lpstr>
      <vt:lpstr>Mar'25</vt:lpstr>
      <vt:lpstr>May'25</vt:lpstr>
      <vt:lpstr>Jun'25</vt:lpstr>
      <vt:lpstr>Jul'25</vt:lpstr>
      <vt:lpstr>Aug'25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2025-08-09T11:54:17Z</dcterms:modified>
</cp:coreProperties>
</file>