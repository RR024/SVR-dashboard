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ctivities" sheetId="2" r:id="rId1"/>
    <sheet name="Creditors" sheetId="5" r:id="rId2"/>
    <sheet name="Scrap" sheetId="6" r:id="rId3"/>
    <sheet name="613 - '25" sheetId="7" r:id="rId4"/>
    <sheet name=" OD - 25" sheetId="8" r:id="rId5"/>
    <sheet name="Prod" sheetId="12" r:id="rId6"/>
    <sheet name="Jan 25" sheetId="1" r:id="rId7"/>
    <sheet name="Feb'25" sheetId="3" r:id="rId8"/>
  </sheets>
  <definedNames>
    <definedName name="_xlnm._FilterDatabase" localSheetId="4" hidden="1">' OD - 25'!$A$2:$G$64</definedName>
    <definedName name="_xlnm._FilterDatabase" localSheetId="3" hidden="1">'613 - ''25'!$A$2:$G$100</definedName>
    <definedName name="_xlnm._FilterDatabase" localSheetId="2" hidden="1">Scrap!$A$2:$G$17</definedName>
    <definedName name="_xlnm.Print_Area" localSheetId="5">Prod!$A$1:$G$31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6" l="1"/>
  <c r="D111" i="7" l="1"/>
  <c r="C111" i="7"/>
  <c r="E21" i="6" l="1"/>
  <c r="J7" i="2" l="1"/>
  <c r="E20" i="6" l="1"/>
  <c r="E19" i="6" l="1"/>
  <c r="I7" i="2" l="1"/>
  <c r="D105" i="8"/>
  <c r="C105" i="8"/>
  <c r="E18" i="6" l="1"/>
  <c r="H7" i="2" l="1"/>
  <c r="E17" i="6" l="1"/>
  <c r="E16" i="6"/>
  <c r="E15" i="6"/>
  <c r="E14" i="6"/>
  <c r="E13" i="6"/>
  <c r="E12" i="6"/>
  <c r="G7" i="2" l="1"/>
  <c r="G4" i="2" l="1"/>
  <c r="E5" i="6" l="1"/>
  <c r="E6" i="6"/>
  <c r="E7" i="6"/>
  <c r="E8" i="6"/>
  <c r="E9" i="6"/>
  <c r="E10" i="6"/>
  <c r="E11" i="6"/>
  <c r="E4" i="6"/>
  <c r="E3" i="6"/>
  <c r="E7" i="2" l="1"/>
  <c r="Q13" i="5" l="1"/>
  <c r="O13" i="5"/>
  <c r="M13" i="5"/>
  <c r="K13" i="5"/>
  <c r="I13" i="5"/>
  <c r="G13" i="5"/>
  <c r="E13" i="5"/>
  <c r="C13" i="5"/>
  <c r="Q3" i="3" l="1"/>
  <c r="Q4" i="3" s="1"/>
  <c r="Q5" i="3" s="1"/>
  <c r="Q6" i="3" s="1"/>
  <c r="Q7" i="3" s="1"/>
  <c r="Q8" i="3" s="1"/>
  <c r="Q9" i="3" s="1"/>
  <c r="Q10" i="3" s="1"/>
  <c r="Q11" i="3" s="1"/>
  <c r="Q12" i="3" s="1"/>
  <c r="H3" i="3"/>
  <c r="H4" i="3" s="1"/>
  <c r="H5" i="3" s="1"/>
  <c r="H6" i="3" s="1"/>
  <c r="H7" i="3" s="1"/>
  <c r="H8" i="3" s="1"/>
  <c r="H9" i="3" s="1"/>
  <c r="H10" i="3" s="1"/>
  <c r="D7" i="2" l="1"/>
  <c r="O16" i="2" l="1"/>
  <c r="N16" i="2"/>
  <c r="M16" i="2"/>
  <c r="L16" i="2"/>
  <c r="K16" i="2"/>
  <c r="J16" i="2"/>
  <c r="I16" i="2"/>
  <c r="H16" i="2"/>
  <c r="G16" i="2"/>
  <c r="F16" i="2"/>
  <c r="E16" i="2"/>
  <c r="D16" i="2"/>
  <c r="R2" i="1" l="1"/>
  <c r="H3" i="1" l="1"/>
  <c r="H4" i="1" s="1"/>
  <c r="H5" i="1" s="1"/>
  <c r="H6" i="1" s="1"/>
  <c r="H7" i="1" s="1"/>
  <c r="H8" i="1" s="1"/>
  <c r="H9" i="1" s="1"/>
  <c r="H10" i="1" s="1"/>
  <c r="H11" i="1" s="1"/>
  <c r="H12" i="1" s="1"/>
  <c r="P3" i="1" l="1"/>
  <c r="P4" i="1" s="1"/>
  <c r="P5" i="1" s="1"/>
  <c r="P7" i="1" s="1"/>
  <c r="Q3" i="1"/>
  <c r="Q4" i="1" s="1"/>
  <c r="Q5" i="1" s="1"/>
  <c r="Q7" i="1" s="1"/>
  <c r="Q8" i="1" s="1"/>
</calcChain>
</file>

<file path=xl/comments1.xml><?xml version="1.0" encoding="utf-8"?>
<comments xmlns="http://schemas.openxmlformats.org/spreadsheetml/2006/main">
  <authors>
    <author>Author</author>
  </authors>
  <commentList>
    <comment ref="K4" authorId="0" shapeId="0">
      <text>
        <r>
          <rPr>
            <b/>
            <sz val="9"/>
            <color indexed="81"/>
            <rFont val="Tahoma"/>
            <family val="2"/>
          </rPr>
          <t>EB Bill &amp; Rohit PC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GI Blue star scrap disposal 
2540x28=Rs.71120
Sulthanboi cash on hand ( No Bill )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 xml:space="preserve">2230 x 28 = 62440 GI Blue Star scrap - Sulthan Boi 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Alu - 93.200x200=18640
MS - 800 x 34=27200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MS 3810X32=129540
MS 3590X32.5=116775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3910x32.50=127075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3700 x 32.50 = 120250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Salary Umesh Rs.74050 + 15000(5members)
2000 for hospital expence
2000 for ES/Bas room rent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Rekha - 7500  Umesh - 100000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Umesh - 1k
Rekha - 3200 Bhavani-5500
Umesh - 25000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Umesh - 91500
Idiots - 4000
Deepa - 8000
Bhavani - 5000
Bas - 1000
Joy - 1000
Esw - 5000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Umes - 94000
Deepa - 11000
bas,joy-2000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 xml:space="preserve">110000 umesh
4000 Deepa
9000 Umesh
2000 joy
2000 Hemanth
1000 Basanth
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March 31st 75000 Paid Loan value &amp;3rd april 158 intersted &amp; Loan Closed</t>
        </r>
      </text>
    </comment>
    <comment ref="J15" authorId="0" shapeId="0">
      <text>
        <r>
          <rPr>
            <b/>
            <sz val="9"/>
            <color indexed="81"/>
            <rFont val="Tahoma"/>
            <family val="2"/>
          </rPr>
          <t>Paid Aug 1st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1" authorId="0" shapeId="0">
      <text>
        <r>
          <rPr>
            <b/>
            <sz val="9"/>
            <color indexed="81"/>
            <rFont val="Tahoma"/>
            <family val="2"/>
          </rPr>
          <t>PS Compressor Sales 40k +GST</t>
        </r>
      </text>
    </comment>
  </commentList>
</comments>
</file>

<file path=xl/sharedStrings.xml><?xml version="1.0" encoding="utf-8"?>
<sst xmlns="http://schemas.openxmlformats.org/spreadsheetml/2006/main" count="950" uniqueCount="507">
  <si>
    <t>Date</t>
  </si>
  <si>
    <t>Code</t>
  </si>
  <si>
    <t>Description</t>
  </si>
  <si>
    <t>Debitors</t>
  </si>
  <si>
    <t>Creditors</t>
  </si>
  <si>
    <t>MOP</t>
  </si>
  <si>
    <t>Remarks</t>
  </si>
  <si>
    <t>Balance</t>
  </si>
  <si>
    <t>ACC</t>
  </si>
  <si>
    <t>01.01.25</t>
  </si>
  <si>
    <t>2761201000613                 Opening Balance</t>
  </si>
  <si>
    <t>Available Balance</t>
  </si>
  <si>
    <t>OD  Balance</t>
  </si>
  <si>
    <t>Bank</t>
  </si>
  <si>
    <t>Fixed for OD</t>
  </si>
  <si>
    <t>Interest captilization</t>
  </si>
  <si>
    <t>Housing Loan</t>
  </si>
  <si>
    <t>14th</t>
  </si>
  <si>
    <t>05.01.25</t>
  </si>
  <si>
    <t>Tool</t>
  </si>
  <si>
    <t>GL tool Payment Chris</t>
  </si>
  <si>
    <t>04.01.25</t>
  </si>
  <si>
    <t>07.01.25</t>
  </si>
  <si>
    <t>Magesh</t>
  </si>
  <si>
    <t>Credit</t>
  </si>
  <si>
    <t>08.01.25</t>
  </si>
  <si>
    <t>GL payment Return</t>
  </si>
  <si>
    <t>12.01.25</t>
  </si>
  <si>
    <t>OD to Current</t>
  </si>
  <si>
    <t>Salary</t>
  </si>
  <si>
    <t>16.01.25</t>
  </si>
  <si>
    <t>ATM</t>
  </si>
  <si>
    <t>17.01.25</t>
  </si>
  <si>
    <t>24.01.25</t>
  </si>
  <si>
    <t>54th</t>
  </si>
  <si>
    <t>20.01.25</t>
  </si>
  <si>
    <t>Shed Rent</t>
  </si>
  <si>
    <t>Ganapathy Steels</t>
  </si>
  <si>
    <t>3,51,077.69</t>
  </si>
  <si>
    <t xml:space="preserve">OD Limit :   Rs.1100000               125005623932       Opening Balance  </t>
  </si>
  <si>
    <t>06.01.25</t>
  </si>
  <si>
    <t>EB</t>
  </si>
  <si>
    <t>ICICI Credit Card</t>
  </si>
  <si>
    <t>Gpay</t>
  </si>
  <si>
    <t>EXPENSES / ACTIVITIES</t>
  </si>
  <si>
    <t xml:space="preserve">DATE </t>
  </si>
  <si>
    <t>JAN'25</t>
  </si>
  <si>
    <t>FEB'25</t>
  </si>
  <si>
    <t>MAR'25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</si>
  <si>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</si>
  <si>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</si>
  <si>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</si>
  <si>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</si>
  <si>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</si>
  <si>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</si>
  <si>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</si>
  <si>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</si>
  <si>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</si>
  <si>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OD INTEREST</t>
  </si>
  <si>
    <t>1ST</t>
  </si>
  <si>
    <t>HOUSING LOAN</t>
  </si>
  <si>
    <t>4TH</t>
  </si>
  <si>
    <t>ICICI CREDIT CARD</t>
  </si>
  <si>
    <t>5TH</t>
  </si>
  <si>
    <t>OD DEBTORS REPORT</t>
  </si>
  <si>
    <t>6TH</t>
  </si>
  <si>
    <t xml:space="preserve">SCRAP DISPOSAL </t>
  </si>
  <si>
    <t>9TH</t>
  </si>
  <si>
    <t>SALARY</t>
  </si>
  <si>
    <t>10TH</t>
  </si>
  <si>
    <t>GST R 1A</t>
  </si>
  <si>
    <t xml:space="preserve">RENT </t>
  </si>
  <si>
    <t>12TH</t>
  </si>
  <si>
    <t>TEA EXPENSES</t>
  </si>
  <si>
    <t>EB BILL</t>
  </si>
  <si>
    <t>18TH</t>
  </si>
  <si>
    <t>GST R 3B</t>
  </si>
  <si>
    <t>20TH</t>
  </si>
  <si>
    <t>TERM LOAN 1</t>
  </si>
  <si>
    <t>24TH</t>
  </si>
  <si>
    <t>TERM LOAN 2</t>
  </si>
  <si>
    <t>30TH</t>
  </si>
  <si>
    <t>FLOOD LOAN</t>
  </si>
  <si>
    <t>TOTAL</t>
  </si>
  <si>
    <t>28.01.25</t>
  </si>
  <si>
    <t>Customer</t>
  </si>
  <si>
    <t>Yathara Automotive</t>
  </si>
  <si>
    <t>30.01.25</t>
  </si>
  <si>
    <t>Term Loan 1</t>
  </si>
  <si>
    <t>Term Loan 2</t>
  </si>
  <si>
    <t>S.No</t>
  </si>
  <si>
    <t>01.02.25</t>
  </si>
  <si>
    <t>OD to Curr</t>
  </si>
  <si>
    <t>for HL</t>
  </si>
  <si>
    <t>03.02.25</t>
  </si>
  <si>
    <t>MAHA Enterpries</t>
  </si>
  <si>
    <t>04.02.25</t>
  </si>
  <si>
    <t>CASA</t>
  </si>
  <si>
    <t>15th</t>
  </si>
  <si>
    <t>05.02.25</t>
  </si>
  <si>
    <t>IDBI Acc</t>
  </si>
  <si>
    <t>kathir,icici,john,gpay</t>
  </si>
  <si>
    <t>Curr to OD</t>
  </si>
  <si>
    <t>31.01.25</t>
  </si>
  <si>
    <t>Flood Loan</t>
  </si>
  <si>
    <t>SKMN</t>
  </si>
  <si>
    <t>Cuur to OD</t>
  </si>
  <si>
    <t>11.02.25</t>
  </si>
  <si>
    <t>Chq cash</t>
  </si>
  <si>
    <t>CUSTOMER</t>
  </si>
  <si>
    <t>MAHA ENTERPRISES</t>
  </si>
  <si>
    <t>YATHARA AUTOMOTIVE</t>
  </si>
  <si>
    <t>MAHA AUTO COMPONENTS</t>
  </si>
  <si>
    <t>MAGHA ENGINEERS</t>
  </si>
  <si>
    <t>SANTEK</t>
  </si>
  <si>
    <t>USUI SUSURA INTERNATIONAL</t>
  </si>
  <si>
    <t>S2 CONTROLS</t>
  </si>
  <si>
    <t/>
  </si>
  <si>
    <t>613
27.01.25</t>
  </si>
  <si>
    <t>SULTHAN BOI</t>
  </si>
  <si>
    <t>613
03.02.25</t>
  </si>
  <si>
    <t>OD
03.02.25</t>
  </si>
  <si>
    <t>OD
15.02.25</t>
  </si>
  <si>
    <t>Cash
10.01.25</t>
  </si>
  <si>
    <t>Cash
10.02.25</t>
  </si>
  <si>
    <t>24.02.25</t>
  </si>
  <si>
    <t>55th</t>
  </si>
  <si>
    <t>15.02.25</t>
  </si>
  <si>
    <t>S2 Control</t>
  </si>
  <si>
    <t>PS Compressor</t>
  </si>
  <si>
    <t>18.02.25</t>
  </si>
  <si>
    <t>Ganapathy</t>
  </si>
  <si>
    <t>Shed rent</t>
  </si>
  <si>
    <t>21.02.25</t>
  </si>
  <si>
    <t>Scrap</t>
  </si>
  <si>
    <t>Cash to bank</t>
  </si>
  <si>
    <t>Penal</t>
  </si>
  <si>
    <t>yearly report not given</t>
  </si>
  <si>
    <t>27.02.25</t>
  </si>
  <si>
    <t>26.02.25</t>
  </si>
  <si>
    <t>Magesh credit</t>
  </si>
  <si>
    <t>613
27.02.25</t>
  </si>
  <si>
    <t>*-(66475)</t>
  </si>
  <si>
    <t>Cash
02&amp;11</t>
  </si>
  <si>
    <t>613
03.03.25</t>
  </si>
  <si>
    <t>OD
21.03.25</t>
  </si>
  <si>
    <t>613
25.03.25</t>
  </si>
  <si>
    <t>OD
26.03.25</t>
  </si>
  <si>
    <t>AR TRADERS SCRAP</t>
  </si>
  <si>
    <t>613
27.03.25</t>
  </si>
  <si>
    <t>*-(84786)</t>
  </si>
  <si>
    <t>28.12.2024</t>
  </si>
  <si>
    <t>GI Blue Star Scrap</t>
  </si>
  <si>
    <t>09.01.2025</t>
  </si>
  <si>
    <t>MS Scrap</t>
  </si>
  <si>
    <t>10.02.2025</t>
  </si>
  <si>
    <t>13.02.2025</t>
  </si>
  <si>
    <t>02.03.2025</t>
  </si>
  <si>
    <t>11.03.2025</t>
  </si>
  <si>
    <t>23.03.2025</t>
  </si>
  <si>
    <t>Scrap Disposal details</t>
  </si>
  <si>
    <t xml:space="preserve">Cost </t>
  </si>
  <si>
    <t>Total Cost</t>
  </si>
  <si>
    <t>Weight</t>
  </si>
  <si>
    <t>Sulthan Boi</t>
  </si>
  <si>
    <t>Bill to AR Traders</t>
  </si>
  <si>
    <t>Cash</t>
  </si>
  <si>
    <t>Payment Mode</t>
  </si>
  <si>
    <t>OD
29.03.25</t>
  </si>
  <si>
    <t>07.04.2025</t>
  </si>
  <si>
    <t>13.04.2025</t>
  </si>
  <si>
    <t>28.04.2025</t>
  </si>
  <si>
    <t>08.05.2025</t>
  </si>
  <si>
    <t>Aluminium Scrap</t>
  </si>
  <si>
    <t>Kamatchi</t>
  </si>
  <si>
    <t>12.05.2025</t>
  </si>
  <si>
    <t>19.05.2025</t>
  </si>
  <si>
    <t>*-(85980)</t>
  </si>
  <si>
    <t>08.06.2025</t>
  </si>
  <si>
    <t>2761201000613 Current Account</t>
  </si>
  <si>
    <t>Description of Payment</t>
  </si>
  <si>
    <t>Debit</t>
  </si>
  <si>
    <t xml:space="preserve">Balance </t>
  </si>
  <si>
    <t>Reason for in/outward</t>
  </si>
  <si>
    <t>160001944829 -VIJAYAKUMAR J
Drawdown From CASA.</t>
  </si>
  <si>
    <t>IB ITG 781599300 2806101000451
MAGESH KUMAR K OTH-Viji</t>
  </si>
  <si>
    <t>IB OAT 796206300 125005623932 SRI
VEERA RAGHAVA SH OTH-Salary</t>
  </si>
  <si>
    <t>OD to Current Account</t>
  </si>
  <si>
    <t>ATM Cash-27616542-
CANARABANKCHENNAITNIN-16/01/25
07:49:37/1135</t>
  </si>
  <si>
    <t>ATM Cash-27616542-
CANARABANKCHENNAITNIN-17/01/25
08:35:17/1135</t>
  </si>
  <si>
    <t>ATM Cash-27616542-
CANARABANKCHENNAITNIN-17/01/25
08:37:34/1135</t>
  </si>
  <si>
    <t>2761768000452 -SRI VEERARAGHAVA
SHE Drawdown From CASA.</t>
  </si>
  <si>
    <t>TERM LOAN</t>
  </si>
  <si>
    <t>NEFT Cr-BKIDY25028898164-
BKID0000200-YATHRA AUTOMOTIVE
INDUSTRIES-</t>
  </si>
  <si>
    <t xml:space="preserve">1,28,387.00 </t>
  </si>
  <si>
    <t>1,31,400.40</t>
  </si>
  <si>
    <t>Yathra Automotive</t>
  </si>
  <si>
    <t>170011363051 -SRI VEERARAGHAVA
SHE Drawdown From CASA.</t>
  </si>
  <si>
    <t xml:space="preserve">1,09,758.00 </t>
  </si>
  <si>
    <t>IB NEFT Dr CNRBH00018162453 TIICDE
IDIB000P001 504950631 flood loan</t>
  </si>
  <si>
    <t>Inspection charge</t>
  </si>
  <si>
    <t xml:space="preserve">SC NEFT OTHER THAN SB IMB </t>
  </si>
  <si>
    <t>Trans charge</t>
  </si>
  <si>
    <t>IB OAT 558708100 125005623932 SRI
VEERA RAGHAVA SH OTH-Housing
Loan</t>
  </si>
  <si>
    <t>NEFT Cr-SBIN225034348348-
SBIN0063718-MAHA ENTERPRISES-</t>
  </si>
  <si>
    <t xml:space="preserve">2,52,840.00 </t>
  </si>
  <si>
    <t>2,82,476.40</t>
  </si>
  <si>
    <t>Maha Enterprises</t>
  </si>
  <si>
    <t>2,82,412.09</t>
  </si>
  <si>
    <t>2,69,362.09</t>
  </si>
  <si>
    <t>IB NEFT Dr CNRBH00019599286
VIJAYA KUMAR J IBKL0000756
0756104000073662 kathir icici yercaud</t>
  </si>
  <si>
    <t>2,35,362.09</t>
  </si>
  <si>
    <t>IDBI Account for Gpay</t>
  </si>
  <si>
    <t>2,35,356.09</t>
  </si>
  <si>
    <t>IB OAT 241750800 125005623932 SRI
VEERA RAGHAVA SH Online Transaction
OTH-OD Account</t>
  </si>
  <si>
    <t xml:space="preserve">2,00,000.00 </t>
  </si>
  <si>
    <t>Curr to OD Account</t>
  </si>
  <si>
    <t>NEFT Cr-BKIDN25058732316-
BKID0000200-YATHRA AUTOMOTIVE
INDUSTRIES-</t>
  </si>
  <si>
    <t xml:space="preserve">1,43,613.00 </t>
  </si>
  <si>
    <t>1,59,136.09</t>
  </si>
  <si>
    <t xml:space="preserve">1,05,978.00 </t>
  </si>
  <si>
    <t>IB ITG 203725900 125004353699
MAGHA ENGINEERS OTH-SUPPLIER
PAYMENT</t>
  </si>
  <si>
    <t>Magha Engineers</t>
  </si>
  <si>
    <t>IB ITG 818499100 2806101000451
MAGESH KUMAR K OTH-Vijikumar</t>
  </si>
  <si>
    <t>IB NEFT Dr CNRBH00029745502
VIJAYA KUMAR J IBKL0000756
0756104000073662 EB Credit Card</t>
  </si>
  <si>
    <t>CGTSME</t>
  </si>
  <si>
    <t>IB OAT 610167700 125005623932 SRI
VEERA RAGHAVA SH OTH-Inspection
Charge</t>
  </si>
  <si>
    <t>IB NEFT Dr CNRBH00032214031
VIJAYA KUMAR J IBKL0000756
0756104000073662 fan purchase</t>
  </si>
  <si>
    <t>IB OAT 609767600 125005623932 SRI
VEERA RAGHAVA SH OTH-Loan 1 2 3</t>
  </si>
  <si>
    <t>SMS CHARGES ON ACTUAL BASISDue
Dt:22-MAR-25</t>
  </si>
  <si>
    <t>SMS</t>
  </si>
  <si>
    <t>Cibil Charges of CICM027610000040
TIRUVALLUR</t>
  </si>
  <si>
    <t>CIBIL Check</t>
  </si>
  <si>
    <t xml:space="preserve">EXPERIAN COMMERICAL WITH SCORE </t>
  </si>
  <si>
    <t>NEFT Cr-SBIN425084906333-
SBIN0014376-USUI SUSIRA
INTERNATIONAL P LTD-</t>
  </si>
  <si>
    <t>USUI Susira</t>
  </si>
  <si>
    <t>NEFT Cr-BKIDY25086343461-
BKID0000200-YATHRA AUTOMOTIVE
INDUSTRIES-</t>
  </si>
  <si>
    <t>1,51,723.08</t>
  </si>
  <si>
    <t>IB NEFT Dr CNRBH00035478752 TIICDE
IDIB000P001 504950631 Flood Loan</t>
  </si>
  <si>
    <t>1,34,723.08</t>
  </si>
  <si>
    <t>Flood loan</t>
  </si>
  <si>
    <t>1,34,717.08</t>
  </si>
  <si>
    <t>IB NEFT Dr CNRBH00035933325
VIJAYA KUMAR J IBKL0000756
0756104000073662 Vijayakumar</t>
  </si>
  <si>
    <t>1,32,717.08</t>
  </si>
  <si>
    <t>1,32,714.08</t>
  </si>
  <si>
    <t>REV : ATM / IMPS Transaction Charge
29-NOV-22</t>
  </si>
  <si>
    <t>1,32,727.06</t>
  </si>
  <si>
    <t xml:space="preserve">1,06,270.00 </t>
  </si>
  <si>
    <t>ATM Cash-27616542-
CANARABANKCHENNAITNIN-02/04/25
21:28:27/1135</t>
  </si>
  <si>
    <t>EFS. By Xfer. From CASA.
2761768000452 -SRI VEERARAGHAVA
SHE</t>
  </si>
  <si>
    <t>Loan Closure</t>
  </si>
  <si>
    <t>NEFT Cr-SBIN525100395456-
SBIN0000937-MAHA AUTO
COMPONENTS PRIVATE LIMITE-</t>
  </si>
  <si>
    <t xml:space="preserve">1,58,091.00 </t>
  </si>
  <si>
    <t>1,68,914.06</t>
  </si>
  <si>
    <t>Maha Auto Component</t>
  </si>
  <si>
    <t>NEFT Cr-SBIN225104935361-
SBIN0063718-MAHA ENTERPRISES-</t>
  </si>
  <si>
    <t xml:space="preserve">1,30,430.00 </t>
  </si>
  <si>
    <t>2,99,344.06</t>
  </si>
  <si>
    <t>2,93,344.06</t>
  </si>
  <si>
    <t>Insurance</t>
  </si>
  <si>
    <t>IB-IMPS-DR//SBIN/**7035//17/04/2025
06:38:12/510706428764</t>
  </si>
  <si>
    <t>2,63,344.06</t>
  </si>
  <si>
    <t xml:space="preserve">ATM / IMPS Transaction Charges </t>
  </si>
  <si>
    <t>2,63,334.62</t>
  </si>
  <si>
    <t>IB OAT 216453000 125005623932 SRI
VEERA RAGHAVA SH Online Transaction
OTH-OD account</t>
  </si>
  <si>
    <t>IB-IMPS-DR//IBKL/**3662//17/04/2025
09:41:08/510709455942</t>
  </si>
  <si>
    <t>NEFT Cr-BKIDY25116913706-
BKID0000200-YATHRA AUTOMOTIVE
INDUSTRIES-</t>
  </si>
  <si>
    <t xml:space="preserve">1,39,796.00 </t>
  </si>
  <si>
    <t>1,91,124.72</t>
  </si>
  <si>
    <t>IB NEFT Dr CNRBH00043635458 TIICDE
IDIB000P001 504950631 Flood Loan</t>
  </si>
  <si>
    <t>1,74,124.72</t>
  </si>
  <si>
    <t>1,74,118.72</t>
  </si>
  <si>
    <t xml:space="preserve">1,06,360.00 </t>
  </si>
  <si>
    <t>IB-IMPS-DR//IBKL/**3662//03/05/2025
12:46:06/512312185431</t>
  </si>
  <si>
    <t>ATM Cash-27616542-
CANARABANKCHENNAITNIN-03/05/25
13:25:02/1135</t>
  </si>
  <si>
    <t>NEFT Cr-BKIDY25147490396-
BKID0000200-YATHRA AUTOMOTIVE
INDUSTRIES-</t>
  </si>
  <si>
    <t xml:space="preserve">1,01,335.00 </t>
  </si>
  <si>
    <t>1,34,194.82</t>
  </si>
  <si>
    <t>NEFT Cr-SBIN225147102302-
SBIN0063718-MAHA ENTERPRISES-</t>
  </si>
  <si>
    <t xml:space="preserve">1,00,000.00 </t>
  </si>
  <si>
    <t>2,34,194.82</t>
  </si>
  <si>
    <t>ATM Cash-27616542-
CANARABANKCHENNAITNIN-29/05/25
10:51:48/1135</t>
  </si>
  <si>
    <t>2,24,194.82</t>
  </si>
  <si>
    <t>Nivee School Fees</t>
  </si>
  <si>
    <t>2,24,188.92</t>
  </si>
  <si>
    <t>IB-IMPS-DR//IBKL/**3662//29/05/2025
14:26:10/514914393333</t>
  </si>
  <si>
    <t>2,14,188.92</t>
  </si>
  <si>
    <t xml:space="preserve">1,04,143.00 </t>
  </si>
  <si>
    <t>1,10,045.92</t>
  </si>
  <si>
    <t>IB NEFT Dr CNRBH00051017075 TIICDE
IDIB000P001 504950631 Flood Loan</t>
  </si>
  <si>
    <t>IB NEFT Dr CNRBH00054188102
Ganapathy Engg Works SBIN0010666
40219207035 Shed Rent</t>
  </si>
  <si>
    <t>IB NEFT Dr CNRBH00054663776
SRI SATHYPURNAYA CIUB0000104
512120020028485 Oil Purchase</t>
  </si>
  <si>
    <t>Oil Purchase</t>
  </si>
  <si>
    <t>125005623932 OD Account</t>
  </si>
  <si>
    <t>IB NEFT Dr CNRBH00006184477
Elavarasi Christofer IDIB000T076
6635080324 GL Tool Payment Chris</t>
  </si>
  <si>
    <t>-4,98,898.31</t>
  </si>
  <si>
    <t>-4,98,904.31</t>
  </si>
  <si>
    <t>IB NEFT Dr CNRBH00006678607
VIJAYA KUMAR J IBKL0000756
0756104000073662 ICICI Credit Card EB
Bill</t>
  </si>
  <si>
    <t>-5,68,904.31</t>
  </si>
  <si>
    <t>-5,68,910.31</t>
  </si>
  <si>
    <t>IB NEFT Dr CNRBH00007513195 Grand
Lakes ICIC0003533 353305000421
Grandlakestoolpaymentreturnduetofai</t>
  </si>
  <si>
    <t>-6,68,910.31</t>
  </si>
  <si>
    <t>-6,68,916.31</t>
  </si>
  <si>
    <t>IB OAT 796206300 2761201000613
SRI VEERA RAGHAVA SHEET METAL
COMPONENT Online Transaction OTH
Salary</t>
  </si>
  <si>
    <t>-7,18,916.31</t>
  </si>
  <si>
    <t>IB NEFT Dr CNRBH00013780081
Ganapathy Engg Works SBIN0010666
40219207035 Shed REnt</t>
  </si>
  <si>
    <t>-7,48,916.31</t>
  </si>
  <si>
    <t>-7,48,922.31</t>
  </si>
  <si>
    <t xml:space="preserve">CASA Debit Interest Capitalized </t>
  </si>
  <si>
    <t>-7,54,334.31</t>
  </si>
  <si>
    <t>IB OAT 558708100 2761201000613
SRI VEERA RAGHAVA SHEET METAL
COMPONENT Online Transaction OTH
Housing Loan</t>
  </si>
  <si>
    <t>-7,79,334.31</t>
  </si>
  <si>
    <t>UPI/CR/503471534928/ANANDAPAD/
HDFC/**dambp@okhdfcbank/UPI//
HDF8d18e53e720a48a2aefe151a399b659
16:18:23</t>
  </si>
  <si>
    <t>-7,02,488.31</t>
  </si>
  <si>
    <t>IB OAT 241750800 2761201000613
SRI VEERA RAGHAVA SHEET METAL
COMPONENT OTH-OD Account</t>
  </si>
  <si>
    <t>-5,02,488.31</t>
  </si>
  <si>
    <t>CASA. Cheque Withdrawal -
TIRUVALLUR</t>
  </si>
  <si>
    <t xml:space="preserve">1,20,000.00 </t>
  </si>
  <si>
    <t>-6,22,488.31</t>
  </si>
  <si>
    <t>INET-IMPS-CR/S2 CONTROL/
ICICI Bank/235105000706/
comprssorp/9677282569/15/02/2025
11:21:01/504611907489</t>
  </si>
  <si>
    <t>-5,75,288.31</t>
  </si>
  <si>
    <t>IB NEFT Dr CNRBH00024396118
Ganapathy Engg Works SBIN0010666
40219207035 Shed Rent</t>
  </si>
  <si>
    <t>-6,05,288.31</t>
  </si>
  <si>
    <t>-6,05,294.31</t>
  </si>
  <si>
    <t xml:space="preserve">Cash Deposit TIRUVALLUR </t>
  </si>
  <si>
    <t>-5,05,294.31</t>
  </si>
  <si>
    <t>NON-SUBMISSION OF RENEWAL
PAPERS PENAL CHARGES</t>
  </si>
  <si>
    <t>-5,11,194.31</t>
  </si>
  <si>
    <t>IB NEFT Dr CNRBH00026700041 TIICDE
IDIB000P001 504950631 TIIC Flood Loan</t>
  </si>
  <si>
    <t>-5,28,194.31</t>
  </si>
  <si>
    <t>-5,28,200.31</t>
  </si>
  <si>
    <t>IB ITG 336534000 2806101000451
MAGESH KUMAR K Online Transaction
OTH-Magesh</t>
  </si>
  <si>
    <t>-5,55,200.31</t>
  </si>
  <si>
    <t>-5,59,349.31</t>
  </si>
  <si>
    <t xml:space="preserve">Periodic Godown SC charges </t>
  </si>
  <si>
    <t>-5,61,119.31</t>
  </si>
  <si>
    <t>IB OAT 610167700 2761201000613
SRI VEERA RAGHAVA SHEET METAL
COMPONENT Online Transaction OTH
Inspection Charge</t>
  </si>
  <si>
    <t>-5,69,119.31</t>
  </si>
  <si>
    <t>IB NEFT Dr CNRBH00032029458
Ganapathy Engg Works SBIN0010666
40219207035 SHED Rent</t>
  </si>
  <si>
    <t>-5,99,119.31</t>
  </si>
  <si>
    <t>-5,99,125.31</t>
  </si>
  <si>
    <t>MOB-IMPS-CR/SANTEKSOLU/
AXIS BANK /923020047888261/
Verify/9999999999/14/03/2025
22:19:11/507322873945</t>
  </si>
  <si>
    <t>-5,99,124.31</t>
  </si>
  <si>
    <t>IB NEFT Dr CNRBH00032736615
VIJAYA KUMAR J IBKL0000756
0756104000073662 Creditcrdpay</t>
  </si>
  <si>
    <t>-6,14,124.31</t>
  </si>
  <si>
    <t>-6,14,130.31</t>
  </si>
  <si>
    <t>NEFT Cr-AXOMB08031575990-
UTIB0000621-SANTEK SOLUTIONS-</t>
  </si>
  <si>
    <t>-5,99,821.31</t>
  </si>
  <si>
    <t xml:space="preserve">SMS CHARGES ON ACTUAL BASIS </t>
  </si>
  <si>
    <t>-5,99,825.31</t>
  </si>
  <si>
    <t>IB OAT 609767600 2761201000613
SRI VEERA RAGHAVA SHEET METAL
COMPONENT Online Transaction OTH
Loan 1 2 3</t>
  </si>
  <si>
    <t>-6,69,825.31</t>
  </si>
  <si>
    <t>PROC CHGS WC MSME 50PERC
CONCESS RATE</t>
  </si>
  <si>
    <t>-6,70,014.64</t>
  </si>
  <si>
    <t>MOB-IMPS-CR/A R TRADER/THE
SOUTH /0912073000000554/Pay
to acc/9840573971/26/03/2025
09:16:26/508509739548</t>
  </si>
  <si>
    <t>-5,97,692.64</t>
  </si>
  <si>
    <t>IB IFT 511373900 0909256005638
SEIKODENKI MILLION
MANUFACTURING INDIA OTH-Payment</t>
  </si>
  <si>
    <t xml:space="preserve">1,20,790.00 </t>
  </si>
  <si>
    <t>-4,76,902.64</t>
  </si>
  <si>
    <t>LOAN Installment Payment
2761768000452 -SRI VEERARAGHAVA
SHE</t>
  </si>
  <si>
    <t>-5,51,902.64</t>
  </si>
  <si>
    <t xml:space="preserve">Folio amt Fixed FOR OD </t>
  </si>
  <si>
    <t>-5,52,050.64</t>
  </si>
  <si>
    <t>-5,56,563.64</t>
  </si>
  <si>
    <t>IB NEFT Dr CNRBH00038359736
VIJAYA KUMAR J IBKL0000756
0756104000073662 ICICI Credit Card</t>
  </si>
  <si>
    <t xml:space="preserve">1,10,000.00 </t>
  </si>
  <si>
    <t>-6,66,563.64</t>
  </si>
  <si>
    <t>-6,66,580.64</t>
  </si>
  <si>
    <t>IB-IMPS-DR//PUNB/**2471//08/04/2025
11:43:11/509811455193</t>
  </si>
  <si>
    <t>-7,58,856.64</t>
  </si>
  <si>
    <t>-7,58,866.08</t>
  </si>
  <si>
    <t>IB OAT 216453000 2761201000613
SRI VEERA RAGHAVA SHEET METAL
COMPONENT OTH-OD account</t>
  </si>
  <si>
    <t>-5,58,866.08</t>
  </si>
  <si>
    <t>-5,63,517.08</t>
  </si>
  <si>
    <t xml:space="preserve">Penalty Charges Debit </t>
  </si>
  <si>
    <t>-5,63,701.08</t>
  </si>
  <si>
    <t>-5,65,973.08</t>
  </si>
  <si>
    <t xml:space="preserve">Doc Chgs WC MSME Renwl 010420 </t>
  </si>
  <si>
    <t>-5,67,271.08</t>
  </si>
  <si>
    <t>NEFT Cr-AXOMB12682114855-
UTIB0000621-SANTEK SOLUTIONS-</t>
  </si>
  <si>
    <t>-5,49,803.08</t>
  </si>
  <si>
    <t>IB NEFT Dr CNRBH00045816532
VIJAYA KUMAR J IBKL0000756
0756104000073662 Credit Card function</t>
  </si>
  <si>
    <t xml:space="preserve">1,50,000.00 </t>
  </si>
  <si>
    <t>-6,99,803.08</t>
  </si>
  <si>
    <t>-6,99,820.08</t>
  </si>
  <si>
    <t>-7,99,820.08</t>
  </si>
  <si>
    <t>IB NEFT Dr CNRBH00048285663
Ganapathy Engg Works SBIN0010666
40219207035 shed rent</t>
  </si>
  <si>
    <t>-8,29,820.08</t>
  </si>
  <si>
    <t>-8,29,826.08</t>
  </si>
  <si>
    <t>-7,79,826.08</t>
  </si>
  <si>
    <t>-7,85,459.08</t>
  </si>
  <si>
    <t>-7,85,521.08</t>
  </si>
  <si>
    <t>COM:NESL FEE INV NESL2425FA0022
CASA</t>
  </si>
  <si>
    <t>-7,85,575.58</t>
  </si>
  <si>
    <t>GST:NESL FEE INV NESL2425FA0022
CASA</t>
  </si>
  <si>
    <t>-7,85,585.39</t>
  </si>
  <si>
    <t>IB NEFT Dr CNRBH00052781135
VIJAYA KUMAR J IBKL0000756
0756104000073662 Creditacard</t>
  </si>
  <si>
    <t>-8,85,585.39</t>
  </si>
  <si>
    <t>-8,85,591.39</t>
  </si>
  <si>
    <t>-8,87,361.39</t>
  </si>
  <si>
    <t>Loan</t>
  </si>
  <si>
    <t>Cutomer</t>
  </si>
  <si>
    <t>Rent</t>
  </si>
  <si>
    <t>18.06.2025</t>
  </si>
  <si>
    <t>Grand Lakes tool making payment to chris</t>
  </si>
  <si>
    <t>Credit card payment</t>
  </si>
  <si>
    <t>Grand lakes payment return</t>
  </si>
  <si>
    <t>OD Interest</t>
  </si>
  <si>
    <t>Housing loan</t>
  </si>
  <si>
    <t>SKMN Payment</t>
  </si>
  <si>
    <t>Current account to OD account</t>
  </si>
  <si>
    <t>Compressor sales</t>
  </si>
  <si>
    <t>Parthasarathy</t>
  </si>
  <si>
    <t>Cash Deposit</t>
  </si>
  <si>
    <t>Scrap Cost</t>
  </si>
  <si>
    <t>Penality</t>
  </si>
  <si>
    <t>TIIC Loan</t>
  </si>
  <si>
    <t>Inspection Charge</t>
  </si>
  <si>
    <t xml:space="preserve">Santek Solution </t>
  </si>
  <si>
    <t>IDBI Bank</t>
  </si>
  <si>
    <t xml:space="preserve">Gpay </t>
  </si>
  <si>
    <t>loan</t>
  </si>
  <si>
    <t>Process Charge</t>
  </si>
  <si>
    <t>AR Traders</t>
  </si>
  <si>
    <t>Aluminium Materials Purchase</t>
  </si>
  <si>
    <t>Renewal Charge</t>
  </si>
  <si>
    <t xml:space="preserve">EB </t>
  </si>
  <si>
    <t>02.07.2025</t>
  </si>
  <si>
    <t>BALAJI 25 TON</t>
  </si>
  <si>
    <t>AIDA - 150 TON</t>
  </si>
  <si>
    <t>SCW 63 TON</t>
  </si>
  <si>
    <t>AMADA 45 TON</t>
  </si>
  <si>
    <t>AMADA 35 TON</t>
  </si>
  <si>
    <t>BALAJI 50 TON</t>
  </si>
  <si>
    <t>AMPTEEP 40 TON</t>
  </si>
  <si>
    <t>DAILY PRODUCTION MONITORING RECORD</t>
  </si>
  <si>
    <t>SRI VEERA RAGHAVA SHEET METAL COMPONENT</t>
  </si>
  <si>
    <t xml:space="preserve">DATE : </t>
  </si>
  <si>
    <t>EB READING</t>
  </si>
  <si>
    <t>DISPATCH PLAN</t>
  </si>
  <si>
    <t>PAYMENT ACTIVITY</t>
  </si>
  <si>
    <t>AIDA - 110 (2) TON</t>
  </si>
  <si>
    <t>AIDA - 110 (1) TON</t>
  </si>
  <si>
    <t>AMADA 80 TON</t>
  </si>
  <si>
    <t>ABSENTEESM</t>
  </si>
  <si>
    <t>OTHERS</t>
  </si>
  <si>
    <t>DESCRIPTION</t>
  </si>
  <si>
    <t>10.07.2025</t>
  </si>
  <si>
    <t>*-(93458)</t>
  </si>
  <si>
    <t xml:space="preserve">DATE :                  </t>
  </si>
  <si>
    <t>NEFT Cr-SBIN425170181448-
SBIN0063718-MAHA ENTERPRISES-</t>
  </si>
  <si>
    <t xml:space="preserve">1,19,262.00 </t>
  </si>
  <si>
    <t>1,61,564.92</t>
  </si>
  <si>
    <t>NEFT Cr-BKIDN25179252054-
BKID0000200-YATHRA AUTOMOTIVE
INDUSTRIES-</t>
  </si>
  <si>
    <t>2,56,959.92</t>
  </si>
  <si>
    <t>RTGS Cr-SBINR12025062890389368-
SBIN0000937-MAHA AUTO
COMPONENTS PRIVATE LIMITE--/INB
Payment towards Invoice Bill</t>
  </si>
  <si>
    <t xml:space="preserve">2,94,182.00 </t>
  </si>
  <si>
    <t>5,51,141.92</t>
  </si>
  <si>
    <t>5,51,133.92</t>
  </si>
  <si>
    <t>IB OAT 355648000 125005623932 SRI
VEERA RAGHAVA SH Online Transaction
OTH-Curr to OD</t>
  </si>
  <si>
    <t xml:space="preserve">3,50,000.00 </t>
  </si>
  <si>
    <t>2,01,133.92</t>
  </si>
  <si>
    <t>IB NEFT Dr CNRBH00057255399
VIJAYA KUMAR J IBKL0000756
0756104000073662 Power factor LUB
ICICI Credit card</t>
  </si>
  <si>
    <t>1,71,133.92</t>
  </si>
  <si>
    <t>1,71,127.92</t>
  </si>
  <si>
    <t xml:space="preserve">1,03,760.00 </t>
  </si>
  <si>
    <t>IB NEFT Dr CNRBH00057531652 TIICDE
IDIB000P001 504950631 Flood Loan</t>
  </si>
  <si>
    <t>REV : PART ATM / IMPS Transaction
Charge 29-NOV-22</t>
  </si>
  <si>
    <t>IB IFT 934290600 125004353699 MAGHA
ENGINEERS OTH-SUPPLIER PAYMENT</t>
  </si>
  <si>
    <t>IB ITG 9730300 Online Transaction BDP
ICICICARD-BILLDSK-BCNBC770POIZA1-
CLIENTCODE</t>
  </si>
  <si>
    <t>IB IFT 613181900 125004353699 MAGHA
ENGINEERS OTH-SUPPLIER PAYMENT</t>
  </si>
  <si>
    <t>ATM Cash-27616542-
CANARABANKCHENNAITNIN-14/07/25
17:37:24/1135</t>
  </si>
  <si>
    <t>ATM Cash-27616542-
CANARABANKCHENNAITNIN-14/07/25
17:39:13/1135</t>
  </si>
  <si>
    <t>NEFT Cr-BKIDN25207481972-
BKID0000200-YATHRA AUTOMOTIVE
INDUSTRIES-</t>
  </si>
  <si>
    <t>1,27,627.76</t>
  </si>
  <si>
    <t>MOB-IMPS-CR/A R TRADER/THE
SOUTH /0912073000000554/Pay
to acc/9840573971/20/06/2025
13:44:17/517113201384</t>
  </si>
  <si>
    <t xml:space="preserve">1,37,677.00 </t>
  </si>
  <si>
    <t>-7,49,684.39</t>
  </si>
  <si>
    <t>-7,49,687.39</t>
  </si>
  <si>
    <t>IB OAT 355648000 2761201000613
SRI VEERA RAGHAVA SHEET METAL
COMPONENT OTH-Curr to OD</t>
  </si>
  <si>
    <t>-3,99,687.39</t>
  </si>
  <si>
    <t>-3,99,835.39</t>
  </si>
  <si>
    <t>-4,05,526.39</t>
  </si>
  <si>
    <t>MOB-IMPS-CR/A R TRADER/THE
SOUTH /0912073000000554/Pay
to acc/9840573971/07/07/2025
14:19:18/518814954069</t>
  </si>
  <si>
    <t xml:space="preserve">1,49,949.00 </t>
  </si>
  <si>
    <t>-2,55,577.39</t>
  </si>
  <si>
    <t>IB NEFT Dr CNRBH00059996682 ADAM
SCREW COMPRESSORS ICIC0006025
602505500796 Screw Compressor
purchase</t>
  </si>
  <si>
    <t>-3,55,577.39</t>
  </si>
  <si>
    <t>-3,55,583.39</t>
  </si>
  <si>
    <t>IB NEFT Dr CNRBH00061148505
Ganapathy Engg Works SBIN0010666
40219207035 Shed Rent</t>
  </si>
  <si>
    <t>-3,85,583.39</t>
  </si>
  <si>
    <t>-3,85,589.39</t>
  </si>
  <si>
    <t>IB NEFT Dr CNRBH00061182426
VIJAYA KUMAR J IBKL0000756
0756104000073662 Auditor</t>
  </si>
  <si>
    <t>-4,05,589.39</t>
  </si>
  <si>
    <t>-4,05,595.39</t>
  </si>
  <si>
    <t xml:space="preserve">GSTN108200725120059-209272804 </t>
  </si>
  <si>
    <t>-4,25,324.39</t>
  </si>
  <si>
    <t>STOCK INSURANCE PREMIUM TATA
AIG</t>
  </si>
  <si>
    <t>-4,26,798.39</t>
  </si>
  <si>
    <t>Bank Charges</t>
  </si>
  <si>
    <t>20 HP Compressor -                        1 st Payment</t>
  </si>
  <si>
    <t>GST payment</t>
  </si>
  <si>
    <t>GST Payment</t>
  </si>
  <si>
    <t>Interest</t>
  </si>
  <si>
    <t>Bank Charge</t>
  </si>
  <si>
    <t>Credit Card</t>
  </si>
  <si>
    <t>06.08.2025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</si>
</sst>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Marlett"/>
      <charset val="2"/>
    </font>
    <font>
      <b/>
      <sz val="12"/>
      <color rgb="FFFFC000"/>
      <name val="Calibri"/>
      <family val="2"/>
      <scheme val="minor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18"/>
      <color rgb="FF2D2D2D"/>
      <name val="Helvetica"/>
    </font>
    <font>
      <b/>
      <sz val="12"/>
      <color rgb="FF2D2D2D"/>
      <name val="Helvetica"/>
    </font>
    <font>
      <b/>
      <sz val="12"/>
      <color rgb="FFFFC000"/>
      <name val="Helvetica"/>
    </font>
    <font>
      <b/>
      <sz val="12"/>
      <color rgb="FF006600"/>
      <name val="Helvetica"/>
    </font>
    <font>
      <sz val="8"/>
      <color rgb="FF2D2D2D"/>
      <name val="Helvetica"/>
    </font>
    <font>
      <b/>
      <sz val="12"/>
      <color theme="1"/>
      <name val="Calibri"/>
      <family val="2"/>
      <scheme val="minor"/>
    </font>
    <font>
      <sz val="11"/>
      <color theme="1"/>
      <name val="Goudy Old Style"/>
      <family val="1"/>
    </font>
    <font>
      <b/>
      <sz val="8"/>
      <color theme="1"/>
      <name val="Arial Narrow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C000"/>
      <name val="Helvetica"/>
    </font>
    <font>
      <b/>
      <sz val="9"/>
      <color rgb="FF006600"/>
      <name val="Helvetica"/>
    </font>
    <font>
      <b/>
      <sz val="18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2" fontId="1" fillId="5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4" fontId="0" fillId="0" borderId="0" xfId="0" applyNumberFormat="1"/>
    <xf numFmtId="0" fontId="0" fillId="8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/>
    </xf>
    <xf numFmtId="2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4" fontId="7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15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Border="1" applyAlignment="1"/>
    <xf numFmtId="0" fontId="14" fillId="0" borderId="0" xfId="0" applyFont="1" applyAlignment="1">
      <alignment horizontal="center"/>
    </xf>
    <xf numFmtId="0" fontId="14" fillId="0" borderId="15" xfId="0" applyFont="1" applyBorder="1" applyAlignment="1"/>
    <xf numFmtId="0" fontId="14" fillId="0" borderId="16" xfId="0" applyFont="1" applyBorder="1" applyAlignment="1"/>
    <xf numFmtId="0" fontId="14" fillId="0" borderId="5" xfId="0" applyFont="1" applyBorder="1" applyAlignment="1"/>
    <xf numFmtId="0" fontId="14" fillId="0" borderId="17" xfId="0" applyFont="1" applyBorder="1" applyAlignment="1"/>
    <xf numFmtId="0" fontId="14" fillId="0" borderId="18" xfId="0" applyFont="1" applyBorder="1" applyAlignment="1"/>
    <xf numFmtId="0" fontId="14" fillId="0" borderId="19" xfId="0" applyFont="1" applyBorder="1" applyAlignment="1"/>
    <xf numFmtId="0" fontId="14" fillId="0" borderId="20" xfId="0" applyFont="1" applyBorder="1" applyAlignment="1"/>
    <xf numFmtId="0" fontId="15" fillId="0" borderId="21" xfId="0" applyFont="1" applyBorder="1" applyAlignment="1">
      <alignment vertical="center" wrapText="1"/>
    </xf>
    <xf numFmtId="0" fontId="14" fillId="0" borderId="4" xfId="0" applyFont="1" applyBorder="1" applyAlignment="1"/>
    <xf numFmtId="0" fontId="14" fillId="0" borderId="22" xfId="0" applyFont="1" applyBorder="1" applyAlignment="1"/>
    <xf numFmtId="0" fontId="14" fillId="0" borderId="2" xfId="0" applyFont="1" applyBorder="1" applyAlignment="1"/>
    <xf numFmtId="0" fontId="18" fillId="15" borderId="7" xfId="0" applyFont="1" applyFill="1" applyBorder="1" applyAlignment="1">
      <alignment horizontal="center" vertical="center" wrapText="1"/>
    </xf>
    <xf numFmtId="15" fontId="1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4" fontId="12" fillId="0" borderId="0" xfId="0" applyNumberFormat="1" applyFont="1" applyBorder="1" applyAlignment="1">
      <alignment horizontal="center" vertical="center" wrapText="1"/>
    </xf>
    <xf numFmtId="4" fontId="19" fillId="13" borderId="1" xfId="0" applyNumberFormat="1" applyFont="1" applyFill="1" applyBorder="1" applyAlignment="1">
      <alignment horizontal="center" vertical="center" wrapText="1"/>
    </xf>
    <xf numFmtId="4" fontId="20" fillId="14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4" fillId="0" borderId="23" xfId="0" applyFont="1" applyBorder="1" applyAlignment="1"/>
    <xf numFmtId="0" fontId="14" fillId="0" borderId="24" xfId="0" applyFont="1" applyBorder="1" applyAlignment="1"/>
    <xf numFmtId="0" fontId="14" fillId="0" borderId="25" xfId="0" applyFont="1" applyBorder="1" applyAlignment="1"/>
    <xf numFmtId="0" fontId="14" fillId="0" borderId="26" xfId="0" applyFont="1" applyBorder="1" applyAlignment="1"/>
    <xf numFmtId="0" fontId="14" fillId="0" borderId="27" xfId="0" applyFont="1" applyBorder="1" applyAlignment="1"/>
    <xf numFmtId="0" fontId="14" fillId="0" borderId="28" xfId="0" applyFont="1" applyBorder="1" applyAlignment="1"/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left" vertical="center"/>
    </xf>
    <xf numFmtId="0" fontId="17" fillId="15" borderId="8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  <color rgb="FF000099"/>
      <color rgb="FFFF0066"/>
      <color rgb="FF339966"/>
      <color rgb="FF006600"/>
      <color rgb="FFFF33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162770</xdr:colOff>
      <xdr:row>7</xdr:row>
      <xdr:rowOff>28575</xdr:rowOff>
    </xdr:from>
    <xdr:to>
      <xdr:col>3</xdr:col>
      <xdr:colOff>428625</xdr:colOff>
      <xdr:row>7</xdr:row>
      <xdr:rowOff>219075</xdr:rowOff>
    </xdr:to>
    <xdr:grpSp>
      <xdr:nvGrpSpPr>
        <xdr:cNvPr id="2" name="Group 1"/>
        <xdr:cNvGrpSpPr/>
      </xdr:nvGrpSpPr>
      <xdr:grpSpPr>
        <a:xfrm>
          <a:off x="2267795" y="1962150"/>
          <a:ext cx="265855" cy="190500"/>
          <a:chOff x="3401270" y="47625"/>
          <a:chExt cx="5961806" cy="3429000"/>
        </a:xfrm>
      </xdr:grpSpPr>
      <xdr:sp macro="" textlink="">
        <xdr:nvSpPr>
          <xdr:cNvPr id="3" name="Rounded Rectangle 2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Sun 3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162770</xdr:colOff>
      <xdr:row>4</xdr:row>
      <xdr:rowOff>28575</xdr:rowOff>
    </xdr:from>
    <xdr:to>
      <xdr:col>3</xdr:col>
      <xdr:colOff>428625</xdr:colOff>
      <xdr:row>4</xdr:row>
      <xdr:rowOff>219075</xdr:rowOff>
    </xdr:to>
    <xdr:grpSp>
      <xdr:nvGrpSpPr>
        <xdr:cNvPr id="5" name="Group 4"/>
        <xdr:cNvGrpSpPr/>
      </xdr:nvGrpSpPr>
      <xdr:grpSpPr>
        <a:xfrm>
          <a:off x="2267795" y="1190625"/>
          <a:ext cx="265855" cy="190500"/>
          <a:chOff x="3401270" y="47625"/>
          <a:chExt cx="5961806" cy="3429000"/>
        </a:xfrm>
      </xdr:grpSpPr>
      <xdr:sp macro="" textlink="">
        <xdr:nvSpPr>
          <xdr:cNvPr id="6" name="Rounded Rectangle 5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Sun 6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162770</xdr:colOff>
      <xdr:row>5</xdr:row>
      <xdr:rowOff>28575</xdr:rowOff>
    </xdr:from>
    <xdr:to>
      <xdr:col>3</xdr:col>
      <xdr:colOff>428625</xdr:colOff>
      <xdr:row>5</xdr:row>
      <xdr:rowOff>219075</xdr:rowOff>
    </xdr:to>
    <xdr:grpSp>
      <xdr:nvGrpSpPr>
        <xdr:cNvPr id="8" name="Group 7"/>
        <xdr:cNvGrpSpPr/>
      </xdr:nvGrpSpPr>
      <xdr:grpSpPr>
        <a:xfrm>
          <a:off x="2267795" y="1447800"/>
          <a:ext cx="265855" cy="190500"/>
          <a:chOff x="3401270" y="47625"/>
          <a:chExt cx="5961806" cy="3429000"/>
        </a:xfrm>
      </xdr:grpSpPr>
      <xdr:sp macro="" textlink="">
        <xdr:nvSpPr>
          <xdr:cNvPr id="9" name="Rounded Rectangle 8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Sun 9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162770</xdr:colOff>
      <xdr:row>4</xdr:row>
      <xdr:rowOff>28575</xdr:rowOff>
    </xdr:from>
    <xdr:to>
      <xdr:col>4</xdr:col>
      <xdr:colOff>428625</xdr:colOff>
      <xdr:row>4</xdr:row>
      <xdr:rowOff>219075</xdr:rowOff>
    </xdr:to>
    <xdr:grpSp>
      <xdr:nvGrpSpPr>
        <xdr:cNvPr id="11" name="Group 10"/>
        <xdr:cNvGrpSpPr/>
      </xdr:nvGrpSpPr>
      <xdr:grpSpPr>
        <a:xfrm>
          <a:off x="2877395" y="1190625"/>
          <a:ext cx="265855" cy="190500"/>
          <a:chOff x="3401270" y="47625"/>
          <a:chExt cx="5961806" cy="3429000"/>
        </a:xfrm>
      </xdr:grpSpPr>
      <xdr:sp macro="" textlink="">
        <xdr:nvSpPr>
          <xdr:cNvPr id="12" name="Rounded Rectangle 11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Sun 12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162770</xdr:colOff>
      <xdr:row>5</xdr:row>
      <xdr:rowOff>28575</xdr:rowOff>
    </xdr:from>
    <xdr:to>
      <xdr:col>4</xdr:col>
      <xdr:colOff>428625</xdr:colOff>
      <xdr:row>5</xdr:row>
      <xdr:rowOff>219075</xdr:rowOff>
    </xdr:to>
    <xdr:grpSp>
      <xdr:nvGrpSpPr>
        <xdr:cNvPr id="14" name="Group 13"/>
        <xdr:cNvGrpSpPr/>
      </xdr:nvGrpSpPr>
      <xdr:grpSpPr>
        <a:xfrm>
          <a:off x="2877395" y="1447800"/>
          <a:ext cx="265855" cy="190500"/>
          <a:chOff x="3401270" y="47625"/>
          <a:chExt cx="5961806" cy="3429000"/>
        </a:xfrm>
      </xdr:grpSpPr>
      <xdr:sp macro="" textlink="">
        <xdr:nvSpPr>
          <xdr:cNvPr id="15" name="Rounded Rectangle 14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Sun 15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162770</xdr:colOff>
      <xdr:row>7</xdr:row>
      <xdr:rowOff>28575</xdr:rowOff>
    </xdr:from>
    <xdr:to>
      <xdr:col>4</xdr:col>
      <xdr:colOff>428625</xdr:colOff>
      <xdr:row>7</xdr:row>
      <xdr:rowOff>219075</xdr:rowOff>
    </xdr:to>
    <xdr:grpSp>
      <xdr:nvGrpSpPr>
        <xdr:cNvPr id="17" name="Group 16"/>
        <xdr:cNvGrpSpPr/>
      </xdr:nvGrpSpPr>
      <xdr:grpSpPr>
        <a:xfrm>
          <a:off x="2877395" y="1962150"/>
          <a:ext cx="265855" cy="190500"/>
          <a:chOff x="3401270" y="47625"/>
          <a:chExt cx="5961806" cy="3429000"/>
        </a:xfrm>
      </xdr:grpSpPr>
      <xdr:sp macro="" textlink="">
        <xdr:nvSpPr>
          <xdr:cNvPr id="18" name="Rounded Rectangle 17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Sun 18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162770</xdr:colOff>
      <xdr:row>10</xdr:row>
      <xdr:rowOff>28575</xdr:rowOff>
    </xdr:from>
    <xdr:to>
      <xdr:col>4</xdr:col>
      <xdr:colOff>428625</xdr:colOff>
      <xdr:row>10</xdr:row>
      <xdr:rowOff>219075</xdr:rowOff>
    </xdr:to>
    <xdr:grpSp>
      <xdr:nvGrpSpPr>
        <xdr:cNvPr id="20" name="Group 19"/>
        <xdr:cNvGrpSpPr/>
      </xdr:nvGrpSpPr>
      <xdr:grpSpPr>
        <a:xfrm>
          <a:off x="2877395" y="2733675"/>
          <a:ext cx="265855" cy="190500"/>
          <a:chOff x="3401270" y="47625"/>
          <a:chExt cx="5961806" cy="3429000"/>
        </a:xfrm>
      </xdr:grpSpPr>
      <xdr:sp macro="" textlink="">
        <xdr:nvSpPr>
          <xdr:cNvPr id="21" name="Rounded Rectangle 20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Sun 21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162770</xdr:colOff>
      <xdr:row>4</xdr:row>
      <xdr:rowOff>28575</xdr:rowOff>
    </xdr:from>
    <xdr:to>
      <xdr:col>5</xdr:col>
      <xdr:colOff>428625</xdr:colOff>
      <xdr:row>4</xdr:row>
      <xdr:rowOff>219075</xdr:rowOff>
    </xdr:to>
    <xdr:grpSp>
      <xdr:nvGrpSpPr>
        <xdr:cNvPr id="23" name="Group 22"/>
        <xdr:cNvGrpSpPr/>
      </xdr:nvGrpSpPr>
      <xdr:grpSpPr>
        <a:xfrm>
          <a:off x="3486995" y="1190625"/>
          <a:ext cx="265855" cy="190500"/>
          <a:chOff x="3401270" y="47625"/>
          <a:chExt cx="5961806" cy="3429000"/>
        </a:xfrm>
      </xdr:grpSpPr>
      <xdr:sp macro="" textlink="">
        <xdr:nvSpPr>
          <xdr:cNvPr id="24" name="Rounded Rectangle 23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Sun 24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162770</xdr:colOff>
      <xdr:row>5</xdr:row>
      <xdr:rowOff>28575</xdr:rowOff>
    </xdr:from>
    <xdr:to>
      <xdr:col>5</xdr:col>
      <xdr:colOff>428625</xdr:colOff>
      <xdr:row>5</xdr:row>
      <xdr:rowOff>219075</xdr:rowOff>
    </xdr:to>
    <xdr:grpSp>
      <xdr:nvGrpSpPr>
        <xdr:cNvPr id="26" name="Group 25"/>
        <xdr:cNvGrpSpPr/>
      </xdr:nvGrpSpPr>
      <xdr:grpSpPr>
        <a:xfrm>
          <a:off x="3486995" y="1447800"/>
          <a:ext cx="265855" cy="190500"/>
          <a:chOff x="3401270" y="47625"/>
          <a:chExt cx="5961806" cy="3429000"/>
        </a:xfrm>
      </xdr:grpSpPr>
      <xdr:sp macro="" textlink="">
        <xdr:nvSpPr>
          <xdr:cNvPr id="27" name="Rounded Rectangle 26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Sun 27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162770</xdr:colOff>
      <xdr:row>7</xdr:row>
      <xdr:rowOff>28575</xdr:rowOff>
    </xdr:from>
    <xdr:to>
      <xdr:col>5</xdr:col>
      <xdr:colOff>428625</xdr:colOff>
      <xdr:row>7</xdr:row>
      <xdr:rowOff>219075</xdr:rowOff>
    </xdr:to>
    <xdr:grpSp>
      <xdr:nvGrpSpPr>
        <xdr:cNvPr id="29" name="Group 28"/>
        <xdr:cNvGrpSpPr/>
      </xdr:nvGrpSpPr>
      <xdr:grpSpPr>
        <a:xfrm>
          <a:off x="3486995" y="1962150"/>
          <a:ext cx="265855" cy="190500"/>
          <a:chOff x="3401270" y="47625"/>
          <a:chExt cx="5961806" cy="3429000"/>
        </a:xfrm>
      </xdr:grpSpPr>
      <xdr:sp macro="" textlink="">
        <xdr:nvSpPr>
          <xdr:cNvPr id="30" name="Rounded Rectangle 29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Sun 30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162770</xdr:colOff>
      <xdr:row>4</xdr:row>
      <xdr:rowOff>28575</xdr:rowOff>
    </xdr:from>
    <xdr:to>
      <xdr:col>6</xdr:col>
      <xdr:colOff>428625</xdr:colOff>
      <xdr:row>4</xdr:row>
      <xdr:rowOff>219075</xdr:rowOff>
    </xdr:to>
    <xdr:grpSp>
      <xdr:nvGrpSpPr>
        <xdr:cNvPr id="32" name="Group 31"/>
        <xdr:cNvGrpSpPr/>
      </xdr:nvGrpSpPr>
      <xdr:grpSpPr>
        <a:xfrm>
          <a:off x="4096595" y="1190625"/>
          <a:ext cx="265855" cy="190500"/>
          <a:chOff x="3401270" y="47625"/>
          <a:chExt cx="5961806" cy="3429000"/>
        </a:xfrm>
      </xdr:grpSpPr>
      <xdr:sp macro="" textlink="">
        <xdr:nvSpPr>
          <xdr:cNvPr id="33" name="Rounded Rectangle 32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Sun 33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162770</xdr:colOff>
      <xdr:row>7</xdr:row>
      <xdr:rowOff>28575</xdr:rowOff>
    </xdr:from>
    <xdr:to>
      <xdr:col>6</xdr:col>
      <xdr:colOff>428625</xdr:colOff>
      <xdr:row>7</xdr:row>
      <xdr:rowOff>219075</xdr:rowOff>
    </xdr:to>
    <xdr:grpSp>
      <xdr:nvGrpSpPr>
        <xdr:cNvPr id="35" name="Group 34"/>
        <xdr:cNvGrpSpPr/>
      </xdr:nvGrpSpPr>
      <xdr:grpSpPr>
        <a:xfrm>
          <a:off x="4096595" y="1962150"/>
          <a:ext cx="265855" cy="190500"/>
          <a:chOff x="3401270" y="47625"/>
          <a:chExt cx="5961806" cy="3429000"/>
        </a:xfrm>
      </xdr:grpSpPr>
      <xdr:sp macro="" textlink="">
        <xdr:nvSpPr>
          <xdr:cNvPr id="36" name="Rounded Rectangle 35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Sun 36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162770</xdr:colOff>
      <xdr:row>10</xdr:row>
      <xdr:rowOff>28575</xdr:rowOff>
    </xdr:from>
    <xdr:to>
      <xdr:col>6</xdr:col>
      <xdr:colOff>428625</xdr:colOff>
      <xdr:row>10</xdr:row>
      <xdr:rowOff>219075</xdr:rowOff>
    </xdr:to>
    <xdr:grpSp>
      <xdr:nvGrpSpPr>
        <xdr:cNvPr id="38" name="Group 37"/>
        <xdr:cNvGrpSpPr/>
      </xdr:nvGrpSpPr>
      <xdr:grpSpPr>
        <a:xfrm>
          <a:off x="4096595" y="2733675"/>
          <a:ext cx="265855" cy="190500"/>
          <a:chOff x="3401270" y="47625"/>
          <a:chExt cx="5961806" cy="3429000"/>
        </a:xfrm>
      </xdr:grpSpPr>
      <xdr:sp macro="" textlink="">
        <xdr:nvSpPr>
          <xdr:cNvPr id="39" name="Rounded Rectangle 38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0" name="Sun 39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162770</xdr:colOff>
      <xdr:row>5</xdr:row>
      <xdr:rowOff>28575</xdr:rowOff>
    </xdr:from>
    <xdr:to>
      <xdr:col>6</xdr:col>
      <xdr:colOff>428625</xdr:colOff>
      <xdr:row>5</xdr:row>
      <xdr:rowOff>219075</xdr:rowOff>
    </xdr:to>
    <xdr:grpSp>
      <xdr:nvGrpSpPr>
        <xdr:cNvPr id="41" name="Group 40"/>
        <xdr:cNvGrpSpPr/>
      </xdr:nvGrpSpPr>
      <xdr:grpSpPr>
        <a:xfrm>
          <a:off x="4096595" y="1447800"/>
          <a:ext cx="265855" cy="190500"/>
          <a:chOff x="3401270" y="47625"/>
          <a:chExt cx="5961806" cy="3429000"/>
        </a:xfrm>
      </xdr:grpSpPr>
      <xdr:sp macro="" textlink="">
        <xdr:nvSpPr>
          <xdr:cNvPr id="42" name="Rounded Rectangle 41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Sun 42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162770</xdr:colOff>
      <xdr:row>4</xdr:row>
      <xdr:rowOff>28575</xdr:rowOff>
    </xdr:from>
    <xdr:to>
      <xdr:col>7</xdr:col>
      <xdr:colOff>428625</xdr:colOff>
      <xdr:row>4</xdr:row>
      <xdr:rowOff>219075</xdr:rowOff>
    </xdr:to>
    <xdr:grpSp>
      <xdr:nvGrpSpPr>
        <xdr:cNvPr id="44" name="Group 43"/>
        <xdr:cNvGrpSpPr/>
      </xdr:nvGrpSpPr>
      <xdr:grpSpPr>
        <a:xfrm>
          <a:off x="4706195" y="1190625"/>
          <a:ext cx="265855" cy="190500"/>
          <a:chOff x="3401270" y="47625"/>
          <a:chExt cx="5961806" cy="3429000"/>
        </a:xfrm>
      </xdr:grpSpPr>
      <xdr:sp macro="" textlink="">
        <xdr:nvSpPr>
          <xdr:cNvPr id="45" name="Rounded Rectangle 44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6" name="Sun 45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162770</xdr:colOff>
      <xdr:row>7</xdr:row>
      <xdr:rowOff>28575</xdr:rowOff>
    </xdr:from>
    <xdr:to>
      <xdr:col>7</xdr:col>
      <xdr:colOff>428625</xdr:colOff>
      <xdr:row>7</xdr:row>
      <xdr:rowOff>219075</xdr:rowOff>
    </xdr:to>
    <xdr:grpSp>
      <xdr:nvGrpSpPr>
        <xdr:cNvPr id="47" name="Group 46"/>
        <xdr:cNvGrpSpPr/>
      </xdr:nvGrpSpPr>
      <xdr:grpSpPr>
        <a:xfrm>
          <a:off x="4706195" y="1962150"/>
          <a:ext cx="265855" cy="190500"/>
          <a:chOff x="3401270" y="47625"/>
          <a:chExt cx="5961806" cy="3429000"/>
        </a:xfrm>
      </xdr:grpSpPr>
      <xdr:sp macro="" textlink="">
        <xdr:nvSpPr>
          <xdr:cNvPr id="48" name="Rounded Rectangle 47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Sun 48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162770</xdr:colOff>
      <xdr:row>5</xdr:row>
      <xdr:rowOff>28575</xdr:rowOff>
    </xdr:from>
    <xdr:to>
      <xdr:col>7</xdr:col>
      <xdr:colOff>428625</xdr:colOff>
      <xdr:row>5</xdr:row>
      <xdr:rowOff>219075</xdr:rowOff>
    </xdr:to>
    <xdr:grpSp>
      <xdr:nvGrpSpPr>
        <xdr:cNvPr id="50" name="Group 49"/>
        <xdr:cNvGrpSpPr/>
      </xdr:nvGrpSpPr>
      <xdr:grpSpPr>
        <a:xfrm>
          <a:off x="4706195" y="1447800"/>
          <a:ext cx="265855" cy="190500"/>
          <a:chOff x="3401270" y="47625"/>
          <a:chExt cx="5961806" cy="3429000"/>
        </a:xfrm>
      </xdr:grpSpPr>
      <xdr:sp macro="" textlink="">
        <xdr:nvSpPr>
          <xdr:cNvPr id="51" name="Rounded Rectangle 50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Sun 51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162770</xdr:colOff>
      <xdr:row>4</xdr:row>
      <xdr:rowOff>28575</xdr:rowOff>
    </xdr:from>
    <xdr:to>
      <xdr:col>8</xdr:col>
      <xdr:colOff>428625</xdr:colOff>
      <xdr:row>4</xdr:row>
      <xdr:rowOff>219075</xdr:rowOff>
    </xdr:to>
    <xdr:grpSp>
      <xdr:nvGrpSpPr>
        <xdr:cNvPr id="53" name="Group 52"/>
        <xdr:cNvGrpSpPr/>
      </xdr:nvGrpSpPr>
      <xdr:grpSpPr>
        <a:xfrm>
          <a:off x="5344370" y="1190625"/>
          <a:ext cx="265855" cy="190500"/>
          <a:chOff x="3401270" y="47625"/>
          <a:chExt cx="5961806" cy="3429000"/>
        </a:xfrm>
      </xdr:grpSpPr>
      <xdr:sp macro="" textlink="">
        <xdr:nvSpPr>
          <xdr:cNvPr id="54" name="Rounded Rectangle 53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5" name="Sun 54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162770</xdr:colOff>
      <xdr:row>7</xdr:row>
      <xdr:rowOff>28575</xdr:rowOff>
    </xdr:from>
    <xdr:to>
      <xdr:col>8</xdr:col>
      <xdr:colOff>428625</xdr:colOff>
      <xdr:row>7</xdr:row>
      <xdr:rowOff>219075</xdr:rowOff>
    </xdr:to>
    <xdr:grpSp>
      <xdr:nvGrpSpPr>
        <xdr:cNvPr id="56" name="Group 55"/>
        <xdr:cNvGrpSpPr/>
      </xdr:nvGrpSpPr>
      <xdr:grpSpPr>
        <a:xfrm>
          <a:off x="5344370" y="1962150"/>
          <a:ext cx="265855" cy="190500"/>
          <a:chOff x="3401270" y="47625"/>
          <a:chExt cx="5961806" cy="3429000"/>
        </a:xfrm>
      </xdr:grpSpPr>
      <xdr:sp macro="" textlink="">
        <xdr:nvSpPr>
          <xdr:cNvPr id="57" name="Rounded Rectangle 56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Sun 57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162770</xdr:colOff>
      <xdr:row>10</xdr:row>
      <xdr:rowOff>28575</xdr:rowOff>
    </xdr:from>
    <xdr:to>
      <xdr:col>8</xdr:col>
      <xdr:colOff>428625</xdr:colOff>
      <xdr:row>10</xdr:row>
      <xdr:rowOff>219075</xdr:rowOff>
    </xdr:to>
    <xdr:grpSp>
      <xdr:nvGrpSpPr>
        <xdr:cNvPr id="59" name="Group 58"/>
        <xdr:cNvGrpSpPr/>
      </xdr:nvGrpSpPr>
      <xdr:grpSpPr>
        <a:xfrm>
          <a:off x="5344370" y="2733675"/>
          <a:ext cx="265855" cy="190500"/>
          <a:chOff x="3401270" y="47625"/>
          <a:chExt cx="5961806" cy="3429000"/>
        </a:xfrm>
      </xdr:grpSpPr>
      <xdr:sp macro="" textlink="">
        <xdr:nvSpPr>
          <xdr:cNvPr id="60" name="Rounded Rectangle 59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Sun 60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162770</xdr:colOff>
      <xdr:row>5</xdr:row>
      <xdr:rowOff>28575</xdr:rowOff>
    </xdr:from>
    <xdr:to>
      <xdr:col>8</xdr:col>
      <xdr:colOff>428625</xdr:colOff>
      <xdr:row>5</xdr:row>
      <xdr:rowOff>219075</xdr:rowOff>
    </xdr:to>
    <xdr:grpSp>
      <xdr:nvGrpSpPr>
        <xdr:cNvPr id="62" name="Group 61"/>
        <xdr:cNvGrpSpPr/>
      </xdr:nvGrpSpPr>
      <xdr:grpSpPr>
        <a:xfrm>
          <a:off x="5344370" y="1447800"/>
          <a:ext cx="265855" cy="190500"/>
          <a:chOff x="3401270" y="47625"/>
          <a:chExt cx="5961806" cy="3429000"/>
        </a:xfrm>
      </xdr:grpSpPr>
      <xdr:sp macro="" textlink="">
        <xdr:nvSpPr>
          <xdr:cNvPr id="63" name="Rounded Rectangle 62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Sun 63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162770</xdr:colOff>
      <xdr:row>4</xdr:row>
      <xdr:rowOff>28575</xdr:rowOff>
    </xdr:from>
    <xdr:to>
      <xdr:col>9</xdr:col>
      <xdr:colOff>428625</xdr:colOff>
      <xdr:row>4</xdr:row>
      <xdr:rowOff>219075</xdr:rowOff>
    </xdr:to>
    <xdr:grpSp>
      <xdr:nvGrpSpPr>
        <xdr:cNvPr id="65" name="Group 64"/>
        <xdr:cNvGrpSpPr/>
      </xdr:nvGrpSpPr>
      <xdr:grpSpPr>
        <a:xfrm>
          <a:off x="5953970" y="1190625"/>
          <a:ext cx="265855" cy="190500"/>
          <a:chOff x="3401270" y="47625"/>
          <a:chExt cx="5961806" cy="3429000"/>
        </a:xfrm>
      </xdr:grpSpPr>
      <xdr:sp macro="" textlink="">
        <xdr:nvSpPr>
          <xdr:cNvPr id="66" name="Rounded Rectangle 65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7" name="Sun 66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162770</xdr:colOff>
      <xdr:row>5</xdr:row>
      <xdr:rowOff>28575</xdr:rowOff>
    </xdr:from>
    <xdr:to>
      <xdr:col>9</xdr:col>
      <xdr:colOff>428625</xdr:colOff>
      <xdr:row>5</xdr:row>
      <xdr:rowOff>219075</xdr:rowOff>
    </xdr:to>
    <xdr:grpSp>
      <xdr:nvGrpSpPr>
        <xdr:cNvPr id="68" name="Group 67"/>
        <xdr:cNvGrpSpPr/>
      </xdr:nvGrpSpPr>
      <xdr:grpSpPr>
        <a:xfrm>
          <a:off x="5953970" y="1447800"/>
          <a:ext cx="265855" cy="190500"/>
          <a:chOff x="3401270" y="47625"/>
          <a:chExt cx="5961806" cy="3429000"/>
        </a:xfrm>
      </xdr:grpSpPr>
      <xdr:sp macro="" textlink="">
        <xdr:nvSpPr>
          <xdr:cNvPr id="69" name="Rounded Rectangle 68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0" name="Sun 69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162770</xdr:colOff>
      <xdr:row>7</xdr:row>
      <xdr:rowOff>28575</xdr:rowOff>
    </xdr:from>
    <xdr:to>
      <xdr:col>9</xdr:col>
      <xdr:colOff>428625</xdr:colOff>
      <xdr:row>7</xdr:row>
      <xdr:rowOff>219075</xdr:rowOff>
    </xdr:to>
    <xdr:grpSp>
      <xdr:nvGrpSpPr>
        <xdr:cNvPr id="71" name="Group 70"/>
        <xdr:cNvGrpSpPr/>
      </xdr:nvGrpSpPr>
      <xdr:grpSpPr>
        <a:xfrm>
          <a:off x="5953970" y="1962150"/>
          <a:ext cx="265855" cy="190500"/>
          <a:chOff x="3401270" y="47625"/>
          <a:chExt cx="5961806" cy="3429000"/>
        </a:xfrm>
      </xdr:grpSpPr>
      <xdr:sp macro="" textlink="">
        <xdr:nvSpPr>
          <xdr:cNvPr id="72" name="Rounded Rectangle 71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3" name="Sun 72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162770</xdr:colOff>
      <xdr:row>4</xdr:row>
      <xdr:rowOff>28575</xdr:rowOff>
    </xdr:from>
    <xdr:to>
      <xdr:col>10</xdr:col>
      <xdr:colOff>428625</xdr:colOff>
      <xdr:row>4</xdr:row>
      <xdr:rowOff>219075</xdr:rowOff>
    </xdr:to>
    <xdr:grpSp>
      <xdr:nvGrpSpPr>
        <xdr:cNvPr id="74" name="Group 73"/>
        <xdr:cNvGrpSpPr/>
      </xdr:nvGrpSpPr>
      <xdr:grpSpPr>
        <a:xfrm>
          <a:off x="6563570" y="1190625"/>
          <a:ext cx="265855" cy="190500"/>
          <a:chOff x="3401270" y="47625"/>
          <a:chExt cx="5961806" cy="3429000"/>
        </a:xfrm>
      </xdr:grpSpPr>
      <xdr:sp macro="" textlink="">
        <xdr:nvSpPr>
          <xdr:cNvPr id="75" name="Rounded Rectangle 74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Sun 75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162770</xdr:colOff>
      <xdr:row>10</xdr:row>
      <xdr:rowOff>28575</xdr:rowOff>
    </xdr:from>
    <xdr:to>
      <xdr:col>10</xdr:col>
      <xdr:colOff>428625</xdr:colOff>
      <xdr:row>10</xdr:row>
      <xdr:rowOff>219075</xdr:rowOff>
    </xdr:to>
    <xdr:grpSp>
      <xdr:nvGrpSpPr>
        <xdr:cNvPr id="77" name="Group 76"/>
        <xdr:cNvGrpSpPr/>
      </xdr:nvGrpSpPr>
      <xdr:grpSpPr>
        <a:xfrm>
          <a:off x="6563570" y="2733675"/>
          <a:ext cx="265855" cy="190500"/>
          <a:chOff x="3401270" y="47625"/>
          <a:chExt cx="5961806" cy="3429000"/>
        </a:xfrm>
      </xdr:grpSpPr>
      <xdr:sp macro="" textlink="">
        <xdr:nvSpPr>
          <xdr:cNvPr id="78" name="Rounded Rectangle 77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9" name="Sun 78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162770</xdr:colOff>
      <xdr:row>5</xdr:row>
      <xdr:rowOff>28575</xdr:rowOff>
    </xdr:from>
    <xdr:to>
      <xdr:col>10</xdr:col>
      <xdr:colOff>428625</xdr:colOff>
      <xdr:row>5</xdr:row>
      <xdr:rowOff>219075</xdr:rowOff>
    </xdr:to>
    <xdr:grpSp>
      <xdr:nvGrpSpPr>
        <xdr:cNvPr id="80" name="Group 79"/>
        <xdr:cNvGrpSpPr/>
      </xdr:nvGrpSpPr>
      <xdr:grpSpPr>
        <a:xfrm>
          <a:off x="6563570" y="1447800"/>
          <a:ext cx="265855" cy="190500"/>
          <a:chOff x="3401270" y="47625"/>
          <a:chExt cx="5961806" cy="3429000"/>
        </a:xfrm>
      </xdr:grpSpPr>
      <xdr:sp macro="" textlink="">
        <xdr:nvSpPr>
          <xdr:cNvPr id="81" name="Rounded Rectangle 80"/>
          <xdr:cNvSpPr/>
        </xdr:nvSpPr>
        <xdr:spPr>
          <a:xfrm>
            <a:off x="3401270" y="47625"/>
            <a:ext cx="5933230" cy="3429000"/>
          </a:xfrm>
          <a:prstGeom prst="roundRect">
            <a:avLst/>
          </a:prstGeom>
          <a:ln>
            <a:solidFill>
              <a:srgbClr val="FFC000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2" name="Sun 81"/>
          <xdr:cNvSpPr/>
        </xdr:nvSpPr>
        <xdr:spPr>
          <a:xfrm>
            <a:off x="3419476" y="76200"/>
            <a:ext cx="5943600" cy="3371850"/>
          </a:xfrm>
          <a:prstGeom prst="sun">
            <a:avLst/>
          </a:prstGeom>
          <a:solidFill>
            <a:srgbClr val="C00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100741</xdr:colOff>
      <xdr:row>0</xdr:row>
      <xdr:rowOff>42867</xdr:rowOff>
    </xdr:from>
    <xdr:to>
      <xdr:col>1</xdr:col>
      <xdr:colOff>247650</xdr:colOff>
      <xdr:row>0</xdr:row>
      <xdr:rowOff>466725</xdr:rowOff>
    </xdr:to>
    <xdr:grpSp>
      <xdr:nvGrpSpPr>
        <xdr:cNvPr id="7" name="Group 6"/>
        <xdr:cNvGrpSpPr/>
      </xdr:nvGrpSpPr>
      <xdr:grpSpPr>
        <a:xfrm>
          <a:off x="100741" y="42867"/>
          <a:ext cx="623159" cy="423858"/>
          <a:chOff x="2796315" y="995368"/>
          <a:chExt cx="3566387" cy="3138478"/>
        </a:xfrm>
        <a:solidFill>
          <a:srgbClr val="000066"/>
        </a:solidFill>
      </xdr:grpSpPr>
      <xdr:grpSp>
        <xdr:nvGrpSpPr>
          <xdr:cNvPr id="5" name="Group 4"/>
          <xdr:cNvGrpSpPr/>
        </xdr:nvGrpSpPr>
        <xdr:grpSpPr>
          <a:xfrm>
            <a:off x="2796315" y="995368"/>
            <a:ext cx="3566387" cy="3138478"/>
            <a:chOff x="2783048" y="690654"/>
            <a:chExt cx="3506947" cy="3930327"/>
          </a:xfrm>
          <a:grpFill/>
        </xdr:grpSpPr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2808FB89-3EA7-4DA2-BA2A-9EB33BC5488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3202" t="39366" r="13231" b="39590"/>
            <a:stretch/>
          </xdr:blipFill>
          <xdr:spPr>
            <a:xfrm>
              <a:off x="3058636" y="1627249"/>
              <a:ext cx="3006566" cy="2076867"/>
            </a:xfrm>
            <a:prstGeom prst="round2DiagRect">
              <a:avLst>
                <a:gd name="adj1" fmla="val 16667"/>
                <a:gd name="adj2" fmla="val 0"/>
              </a:avLst>
            </a:prstGeom>
            <a:grpFill/>
            <a:ln w="88900" cap="sq">
              <a:solidFill>
                <a:srgbClr val="FFFFFF"/>
              </a:solidFill>
              <a:miter lim="800000"/>
            </a:ln>
            <a:effectLst>
              <a:outerShdw blurRad="254000" algn="tl" rotWithShape="0">
                <a:srgbClr val="000000">
                  <a:alpha val="43000"/>
                </a:srgbClr>
              </a:outerShdw>
            </a:effectLst>
          </xdr:spPr>
        </xdr:pic>
        <xdr:sp macro="" textlink="">
          <xdr:nvSpPr>
            <xdr:cNvPr id="3" name="Moon 2"/>
            <xdr:cNvSpPr/>
          </xdr:nvSpPr>
          <xdr:spPr>
            <a:xfrm rot="16200000">
              <a:off x="4127422" y="2467773"/>
              <a:ext cx="819150" cy="3487265"/>
            </a:xfrm>
            <a:prstGeom prst="moon">
              <a:avLst>
                <a:gd name="adj" fmla="val 87500"/>
              </a:avLst>
            </a:prstGeom>
            <a:grpFill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" name="Moon 3"/>
            <xdr:cNvSpPr/>
          </xdr:nvSpPr>
          <xdr:spPr>
            <a:xfrm rot="5400000">
              <a:off x="4126947" y="-653245"/>
              <a:ext cx="819149" cy="3506947"/>
            </a:xfrm>
            <a:prstGeom prst="moon">
              <a:avLst>
                <a:gd name="adj" fmla="val 87500"/>
              </a:avLst>
            </a:prstGeom>
            <a:grpFill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6" name="Frame 5"/>
          <xdr:cNvSpPr/>
        </xdr:nvSpPr>
        <xdr:spPr>
          <a:xfrm>
            <a:off x="2800350" y="1562100"/>
            <a:ext cx="3562350" cy="1990725"/>
          </a:xfrm>
          <a:prstGeom prst="frame">
            <a:avLst/>
          </a:prstGeom>
          <a:grp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390525</xdr:colOff>
      <xdr:row>22</xdr:row>
      <xdr:rowOff>266700</xdr:rowOff>
    </xdr:from>
    <xdr:to>
      <xdr:col>2</xdr:col>
      <xdr:colOff>390526</xdr:colOff>
      <xdr:row>24</xdr:row>
      <xdr:rowOff>276225</xdr:rowOff>
    </xdr:to>
    <xdr:cxnSp macro="">
      <xdr:nvCxnSpPr>
        <xdr:cNvPr id="9" name="Straight Connector 8"/>
        <xdr:cNvCxnSpPr/>
      </xdr:nvCxnSpPr>
      <xdr:spPr>
        <a:xfrm flipH="1">
          <a:off x="2066925" y="6772275"/>
          <a:ext cx="1" cy="581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22</xdr:row>
      <xdr:rowOff>276225</xdr:rowOff>
    </xdr:from>
    <xdr:to>
      <xdr:col>4</xdr:col>
      <xdr:colOff>333376</xdr:colOff>
      <xdr:row>25</xdr:row>
      <xdr:rowOff>0</xdr:rowOff>
    </xdr:to>
    <xdr:cxnSp macro="">
      <xdr:nvCxnSpPr>
        <xdr:cNvPr id="12" name="Straight Connector 11"/>
        <xdr:cNvCxnSpPr/>
      </xdr:nvCxnSpPr>
      <xdr:spPr>
        <a:xfrm flipH="1">
          <a:off x="4114800" y="6781800"/>
          <a:ext cx="1" cy="581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390525</xdr:colOff>
      <xdr:row>22</xdr:row>
      <xdr:rowOff>266700</xdr:rowOff>
    </xdr:from>
    <xdr:to>
      <xdr:col>6</xdr:col>
      <xdr:colOff>390526</xdr:colOff>
      <xdr:row>24</xdr:row>
      <xdr:rowOff>276225</xdr:rowOff>
    </xdr:to>
    <xdr:cxnSp macro="">
      <xdr:nvCxnSpPr>
        <xdr:cNvPr id="13" name="Straight Connector 12"/>
        <xdr:cNvCxnSpPr/>
      </xdr:nvCxnSpPr>
      <xdr:spPr>
        <a:xfrm flipH="1">
          <a:off x="6276975" y="6772275"/>
          <a:ext cx="1" cy="581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563857</xdr:colOff>
      <xdr:row>27</xdr:row>
      <xdr:rowOff>102684</xdr:rowOff>
    </xdr:from>
    <xdr:ext cx="388643" cy="264560"/>
    <xdr:sp macro="" textlink="">
      <xdr:nvSpPr>
        <xdr:cNvPr id="8" name="Rectangle 7"/>
        <xdr:cNvSpPr/>
      </xdr:nvSpPr>
      <xdr:spPr>
        <a:xfrm>
          <a:off x="2240257" y="8075109"/>
          <a:ext cx="388643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EB</a:t>
          </a:r>
        </a:p>
      </xdr:txBody>
    </xdr:sp>
    <xdr:clientData/>
  </xdr:oneCellAnchor>
  <xdr:oneCellAnchor>
    <xdr:from>
      <xdr:col>4</xdr:col>
      <xdr:colOff>542925</xdr:colOff>
      <xdr:row>27</xdr:row>
      <xdr:rowOff>95250</xdr:rowOff>
    </xdr:from>
    <xdr:ext cx="388643" cy="264560"/>
    <xdr:sp macro="" textlink="">
      <xdr:nvSpPr>
        <xdr:cNvPr id="14" name="Rectangle 13"/>
        <xdr:cNvSpPr/>
      </xdr:nvSpPr>
      <xdr:spPr>
        <a:xfrm>
          <a:off x="4324350" y="8067675"/>
          <a:ext cx="388643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EB</a:t>
          </a:r>
        </a:p>
      </xdr:txBody>
    </xdr:sp>
    <xdr:clientData/>
  </xdr:oneCellAnchor>
  <xdr:oneCellAnchor>
    <xdr:from>
      <xdr:col>6</xdr:col>
      <xdr:colOff>542925</xdr:colOff>
      <xdr:row>27</xdr:row>
      <xdr:rowOff>95250</xdr:rowOff>
    </xdr:from>
    <xdr:ext cx="388643" cy="264560"/>
    <xdr:sp macro="" textlink="">
      <xdr:nvSpPr>
        <xdr:cNvPr id="15" name="Rectangle 14"/>
        <xdr:cNvSpPr/>
      </xdr:nvSpPr>
      <xdr:spPr>
        <a:xfrm>
          <a:off x="6429375" y="8067675"/>
          <a:ext cx="388643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EB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6"/>
  <sheetViews>
    <sheetView tabSelected="1" workbookViewId="0">
      <selection activeCell="S4" sqref="S4"/>
    </sheetView>
  </sheetViews>
  <sheetFormatPr defaultRowHeight="15" x14ac:dyDescent="0.25"/>
  <cols>
    <col min="1" max="1" width="5.85546875" customWidth="1"/>
    <col min="2" max="2" width="19.7109375" bestFit="1" customWidth="1"/>
    <col min="3" max="3" width="6" style="1" bestFit="1" customWidth="1"/>
    <col min="4" max="4" width="9.140625" customWidth="1"/>
    <col min="8" max="8" width="9.5703125" bestFit="1" customWidth="1"/>
  </cols>
  <sheetData>
    <row r="1" spans="1:18" ht="30.75" customHeight="1" x14ac:dyDescent="0.25">
      <c r="A1" s="13" t="s">
        <v>90</v>
      </c>
      <c r="B1" s="13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  <c r="I1" s="14" t="s">
        <v>51</v>
      </c>
      <c r="J1" s="14" t="s">
        <v>52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</row>
    <row r="2" spans="1:18" ht="20.25" customHeight="1" x14ac:dyDescent="0.25">
      <c r="A2" s="19">
        <v>1</v>
      </c>
      <c r="B2" s="15" t="s">
        <v>58</v>
      </c>
      <c r="C2" s="21" t="s">
        <v>59</v>
      </c>
      <c r="D2" s="16">
        <v>4108</v>
      </c>
      <c r="E2" s="16">
        <v>5412</v>
      </c>
      <c r="F2" s="16">
        <v>4149</v>
      </c>
      <c r="G2" s="16">
        <v>4513</v>
      </c>
      <c r="H2" s="16">
        <v>4651</v>
      </c>
      <c r="I2" s="16">
        <v>5633</v>
      </c>
      <c r="J2" s="16">
        <v>5691</v>
      </c>
      <c r="K2" s="16">
        <v>2868</v>
      </c>
      <c r="L2" s="16"/>
      <c r="M2" s="16"/>
      <c r="N2" s="16"/>
      <c r="O2" s="16"/>
    </row>
    <row r="3" spans="1:18" ht="20.25" customHeight="1" x14ac:dyDescent="0.25">
      <c r="A3" s="19">
        <v>2</v>
      </c>
      <c r="B3" s="15" t="s">
        <v>60</v>
      </c>
      <c r="C3" s="21" t="s">
        <v>61</v>
      </c>
      <c r="D3" s="16">
        <v>13050</v>
      </c>
      <c r="E3" s="19">
        <v>13050</v>
      </c>
      <c r="F3" s="16">
        <v>12976</v>
      </c>
      <c r="G3" s="19">
        <v>12976</v>
      </c>
      <c r="H3" s="19">
        <v>12893</v>
      </c>
      <c r="I3" s="19">
        <v>12893</v>
      </c>
      <c r="J3" s="16">
        <v>12745</v>
      </c>
      <c r="K3" s="19">
        <v>12745</v>
      </c>
      <c r="L3" s="16"/>
      <c r="M3" s="16"/>
      <c r="N3" s="16"/>
      <c r="O3" s="16"/>
    </row>
    <row r="4" spans="1:18" ht="20.25" customHeight="1" x14ac:dyDescent="0.25">
      <c r="A4" s="19">
        <v>3</v>
      </c>
      <c r="B4" s="15" t="s">
        <v>62</v>
      </c>
      <c r="C4" s="21" t="s">
        <v>63</v>
      </c>
      <c r="D4" s="16">
        <v>69580</v>
      </c>
      <c r="E4" s="16">
        <v>7965</v>
      </c>
      <c r="F4" s="16">
        <v>75960</v>
      </c>
      <c r="G4" s="16">
        <f>98000+2500</f>
        <v>100500</v>
      </c>
      <c r="H4" s="32">
        <v>102318.29</v>
      </c>
      <c r="I4" s="16">
        <v>98326</v>
      </c>
      <c r="J4" s="19">
        <v>11718.4</v>
      </c>
      <c r="K4" s="16">
        <v>167408.5</v>
      </c>
      <c r="L4" s="16"/>
      <c r="M4" s="16"/>
      <c r="N4" s="16"/>
      <c r="O4" s="16"/>
    </row>
    <row r="5" spans="1:18" ht="20.25" customHeight="1" x14ac:dyDescent="0.25">
      <c r="A5" s="19">
        <v>4</v>
      </c>
      <c r="B5" s="15" t="s">
        <v>64</v>
      </c>
      <c r="C5" s="21" t="s">
        <v>65</v>
      </c>
      <c r="D5" s="16"/>
      <c r="E5" s="19"/>
      <c r="F5" s="19"/>
      <c r="G5" s="19"/>
      <c r="H5" s="19"/>
      <c r="I5" s="19"/>
      <c r="J5" s="19"/>
      <c r="K5" s="19"/>
      <c r="L5" s="16"/>
      <c r="M5" s="16"/>
      <c r="N5" s="16"/>
      <c r="O5" s="16"/>
    </row>
    <row r="6" spans="1:18" ht="20.25" customHeight="1" x14ac:dyDescent="0.25">
      <c r="A6" s="19">
        <v>5</v>
      </c>
      <c r="B6" s="15" t="s">
        <v>66</v>
      </c>
      <c r="C6" s="21" t="s">
        <v>67</v>
      </c>
      <c r="D6" s="16"/>
      <c r="E6" s="19"/>
      <c r="F6" s="19"/>
      <c r="G6" s="19"/>
      <c r="H6" s="19"/>
      <c r="I6" s="19"/>
      <c r="J6" s="19"/>
      <c r="K6" s="19"/>
      <c r="L6" s="16"/>
      <c r="M6" s="16"/>
      <c r="N6" s="16"/>
      <c r="O6" s="16"/>
    </row>
    <row r="7" spans="1:18" ht="20.25" customHeight="1" x14ac:dyDescent="0.25">
      <c r="A7" s="19">
        <v>6</v>
      </c>
      <c r="B7" s="15" t="s">
        <v>68</v>
      </c>
      <c r="C7" s="21" t="s">
        <v>69</v>
      </c>
      <c r="D7" s="16">
        <f>106000+14500</f>
        <v>120500</v>
      </c>
      <c r="E7" s="16">
        <f>74050+17000+2000+15000</f>
        <v>108050</v>
      </c>
      <c r="F7" s="16">
        <v>107500</v>
      </c>
      <c r="G7" s="16">
        <f>100000+3200+5500+25000</f>
        <v>133700</v>
      </c>
      <c r="H7" s="16">
        <f>91500+4000+8000+5000+2000+5000</f>
        <v>115500</v>
      </c>
      <c r="I7" s="16">
        <f>94000+11000+2500</f>
        <v>107500</v>
      </c>
      <c r="J7" s="16">
        <f>110000+4000+9000+2000+2000+1000</f>
        <v>128000</v>
      </c>
      <c r="K7" s="16"/>
      <c r="L7" s="16"/>
      <c r="M7" s="16"/>
      <c r="N7" s="16"/>
      <c r="O7" s="16"/>
    </row>
    <row r="8" spans="1:18" ht="20.25" customHeight="1" x14ac:dyDescent="0.25">
      <c r="A8" s="19">
        <v>7</v>
      </c>
      <c r="B8" s="15" t="s">
        <v>70</v>
      </c>
      <c r="C8" s="21" t="s">
        <v>69</v>
      </c>
      <c r="D8" s="16"/>
      <c r="E8" s="19"/>
      <c r="F8" s="19"/>
      <c r="G8" s="19"/>
      <c r="H8" s="19"/>
      <c r="I8" s="19"/>
      <c r="J8" s="19"/>
      <c r="K8" s="16"/>
      <c r="L8" s="16"/>
      <c r="M8" s="16"/>
      <c r="N8" s="16"/>
      <c r="O8" s="16"/>
    </row>
    <row r="9" spans="1:18" ht="20.25" customHeight="1" x14ac:dyDescent="0.25">
      <c r="A9" s="19">
        <v>8</v>
      </c>
      <c r="B9" s="15" t="s">
        <v>71</v>
      </c>
      <c r="C9" s="21" t="s">
        <v>72</v>
      </c>
      <c r="D9" s="16">
        <v>30000</v>
      </c>
      <c r="E9" s="19">
        <v>30000</v>
      </c>
      <c r="F9" s="19">
        <v>30000</v>
      </c>
      <c r="G9" s="19">
        <v>30000</v>
      </c>
      <c r="H9" s="19">
        <v>30000</v>
      </c>
      <c r="I9" s="19">
        <v>30000</v>
      </c>
      <c r="J9" s="19">
        <v>30000</v>
      </c>
      <c r="K9" s="16"/>
      <c r="L9" s="16"/>
      <c r="M9" s="16"/>
      <c r="N9" s="16"/>
      <c r="O9" s="16"/>
    </row>
    <row r="10" spans="1:18" ht="20.25" customHeight="1" x14ac:dyDescent="0.25">
      <c r="A10" s="19">
        <v>9</v>
      </c>
      <c r="B10" s="15" t="s">
        <v>73</v>
      </c>
      <c r="C10" s="21" t="s">
        <v>72</v>
      </c>
      <c r="D10" s="16">
        <v>1000</v>
      </c>
      <c r="E10" s="16">
        <v>1000</v>
      </c>
      <c r="F10" s="16">
        <v>1500</v>
      </c>
      <c r="G10" s="19">
        <v>1500</v>
      </c>
      <c r="H10" s="16">
        <v>1200</v>
      </c>
      <c r="I10" s="16">
        <v>1400</v>
      </c>
      <c r="J10" s="16">
        <v>1500</v>
      </c>
      <c r="K10" s="16"/>
      <c r="L10" s="16"/>
      <c r="M10" s="16"/>
      <c r="N10" s="16"/>
      <c r="O10" s="16"/>
    </row>
    <row r="11" spans="1:18" ht="20.25" customHeight="1" x14ac:dyDescent="0.25">
      <c r="A11" s="19">
        <v>10</v>
      </c>
      <c r="B11" s="15" t="s">
        <v>74</v>
      </c>
      <c r="C11" s="21" t="s">
        <v>75</v>
      </c>
      <c r="D11" s="17" t="s">
        <v>142</v>
      </c>
      <c r="E11" s="19"/>
      <c r="F11" s="17" t="s">
        <v>150</v>
      </c>
      <c r="G11" s="19"/>
      <c r="H11" s="17" t="s">
        <v>177</v>
      </c>
      <c r="I11" s="19"/>
      <c r="J11" s="17" t="s">
        <v>448</v>
      </c>
      <c r="K11" s="19"/>
      <c r="L11" s="16"/>
      <c r="M11" s="16"/>
      <c r="N11" s="16"/>
      <c r="O11" s="16"/>
    </row>
    <row r="12" spans="1:18" ht="20.25" customHeight="1" x14ac:dyDescent="0.25">
      <c r="A12" s="19">
        <v>11</v>
      </c>
      <c r="B12" s="15" t="s">
        <v>76</v>
      </c>
      <c r="C12" s="21" t="s">
        <v>77</v>
      </c>
      <c r="D12" s="16">
        <v>198766</v>
      </c>
      <c r="E12" s="16">
        <v>0</v>
      </c>
      <c r="F12" s="16">
        <v>90506</v>
      </c>
      <c r="G12" s="16">
        <v>80698</v>
      </c>
      <c r="H12" s="16">
        <v>87804</v>
      </c>
      <c r="I12" s="16">
        <v>39198</v>
      </c>
      <c r="J12" s="16">
        <v>36240</v>
      </c>
      <c r="K12" s="16"/>
      <c r="L12" s="16"/>
      <c r="M12" s="16"/>
      <c r="N12" s="16"/>
      <c r="O12" s="16"/>
    </row>
    <row r="13" spans="1:18" ht="20.25" customHeight="1" x14ac:dyDescent="0.25">
      <c r="A13" s="19">
        <v>12</v>
      </c>
      <c r="B13" s="15" t="s">
        <v>78</v>
      </c>
      <c r="C13" s="21" t="s">
        <v>79</v>
      </c>
      <c r="D13" s="16">
        <v>20030</v>
      </c>
      <c r="E13" s="16">
        <v>19833</v>
      </c>
      <c r="F13" s="16">
        <v>19551</v>
      </c>
      <c r="G13" s="16">
        <v>75158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</row>
    <row r="14" spans="1:18" ht="20.25" customHeight="1" x14ac:dyDescent="0.25">
      <c r="A14" s="19">
        <v>13</v>
      </c>
      <c r="B14" s="15" t="s">
        <v>80</v>
      </c>
      <c r="C14" s="21" t="s">
        <v>81</v>
      </c>
      <c r="D14" s="16">
        <v>109758</v>
      </c>
      <c r="E14" s="16">
        <v>105978</v>
      </c>
      <c r="F14" s="16">
        <v>106270</v>
      </c>
      <c r="G14" s="16">
        <v>106360</v>
      </c>
      <c r="H14" s="16">
        <v>104143</v>
      </c>
      <c r="I14" s="16">
        <v>103760</v>
      </c>
      <c r="J14" s="19">
        <v>101349</v>
      </c>
      <c r="K14" s="16"/>
      <c r="L14" s="16"/>
      <c r="M14" s="16"/>
      <c r="N14" s="16"/>
      <c r="O14" s="16"/>
      <c r="R14" s="18"/>
    </row>
    <row r="15" spans="1:18" ht="20.25" customHeight="1" x14ac:dyDescent="0.25">
      <c r="A15" s="19">
        <v>14</v>
      </c>
      <c r="B15" s="15" t="s">
        <v>82</v>
      </c>
      <c r="C15" s="21" t="s">
        <v>81</v>
      </c>
      <c r="D15" s="16">
        <v>17000</v>
      </c>
      <c r="E15" s="19">
        <v>17000</v>
      </c>
      <c r="F15" s="19">
        <v>17000</v>
      </c>
      <c r="G15" s="19">
        <v>17000</v>
      </c>
      <c r="H15" s="16">
        <v>21000</v>
      </c>
      <c r="I15" s="16">
        <v>20500</v>
      </c>
      <c r="J15" s="62">
        <v>20500</v>
      </c>
      <c r="K15" s="16"/>
      <c r="L15" s="16"/>
      <c r="M15" s="16"/>
      <c r="N15" s="33">
        <v>0</v>
      </c>
      <c r="O15" s="33">
        <v>0</v>
      </c>
    </row>
    <row r="16" spans="1:18" ht="25.5" customHeight="1" x14ac:dyDescent="0.25">
      <c r="A16" s="70" t="s">
        <v>83</v>
      </c>
      <c r="B16" s="71"/>
      <c r="C16" s="72"/>
      <c r="D16" s="22">
        <f>SUM(D2:D15)</f>
        <v>583792</v>
      </c>
      <c r="E16" s="22">
        <f t="shared" ref="E16:O16" si="0">SUM(E2:E15)</f>
        <v>308288</v>
      </c>
      <c r="F16" s="22">
        <f t="shared" si="0"/>
        <v>465412</v>
      </c>
      <c r="G16" s="22">
        <f t="shared" si="0"/>
        <v>562405</v>
      </c>
      <c r="H16" s="22">
        <f t="shared" si="0"/>
        <v>479509.29</v>
      </c>
      <c r="I16" s="22">
        <f t="shared" si="0"/>
        <v>419210</v>
      </c>
      <c r="J16" s="22">
        <f t="shared" si="0"/>
        <v>347743.4</v>
      </c>
      <c r="K16" s="22">
        <f t="shared" si="0"/>
        <v>183021.5</v>
      </c>
      <c r="L16" s="22">
        <f t="shared" si="0"/>
        <v>0</v>
      </c>
      <c r="M16" s="22">
        <f t="shared" si="0"/>
        <v>0</v>
      </c>
      <c r="N16" s="22">
        <f t="shared" si="0"/>
        <v>0</v>
      </c>
      <c r="O16" s="22">
        <f t="shared" si="0"/>
        <v>0</v>
      </c>
    </row>
  </sheetData>
  <mergeCells count="1">
    <mergeCell ref="A16:C16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3"/>
  <sheetViews>
    <sheetView workbookViewId="0">
      <selection activeCell="U10" sqref="U10"/>
    </sheetView>
  </sheetViews>
  <sheetFormatPr defaultRowHeight="15" x14ac:dyDescent="0.25"/>
  <cols>
    <col min="1" max="1" width="5.85546875" customWidth="1"/>
    <col min="2" max="2" width="25.28515625" customWidth="1"/>
    <col min="3" max="3" width="7.28515625" customWidth="1"/>
    <col min="4" max="4" width="7" bestFit="1" customWidth="1"/>
    <col min="5" max="5" width="7.28515625" customWidth="1"/>
    <col min="6" max="9" width="7" bestFit="1" customWidth="1"/>
    <col min="10" max="10" width="7.85546875" bestFit="1" customWidth="1"/>
    <col min="11" max="18" width="7" bestFit="1" customWidth="1"/>
  </cols>
  <sheetData>
    <row r="1" spans="1:18" ht="30.75" customHeight="1" x14ac:dyDescent="0.25">
      <c r="A1" s="26" t="s">
        <v>90</v>
      </c>
      <c r="B1" s="26" t="s">
        <v>109</v>
      </c>
      <c r="C1" s="73" t="s">
        <v>46</v>
      </c>
      <c r="D1" s="74"/>
      <c r="E1" s="73" t="s">
        <v>47</v>
      </c>
      <c r="F1" s="74"/>
      <c r="G1" s="73" t="s">
        <v>48</v>
      </c>
      <c r="H1" s="74"/>
      <c r="I1" s="73" t="s">
        <v>49</v>
      </c>
      <c r="J1" s="74"/>
      <c r="K1" s="73" t="s">
        <v>50</v>
      </c>
      <c r="L1" s="74"/>
      <c r="M1" s="73" t="s">
        <v>51</v>
      </c>
      <c r="N1" s="74"/>
      <c r="O1" s="73" t="s">
        <v>52</v>
      </c>
      <c r="P1" s="74"/>
      <c r="Q1" s="73" t="s">
        <v>53</v>
      </c>
      <c r="R1" s="74"/>
    </row>
    <row r="2" spans="1:18" ht="25.5" customHeight="1" x14ac:dyDescent="0.25">
      <c r="A2" s="19">
        <v>1</v>
      </c>
      <c r="B2" s="15" t="s">
        <v>111</v>
      </c>
      <c r="C2" s="27">
        <v>128387</v>
      </c>
      <c r="D2" s="25" t="s">
        <v>118</v>
      </c>
      <c r="E2" s="27">
        <v>143613</v>
      </c>
      <c r="F2" s="25" t="s">
        <v>141</v>
      </c>
      <c r="G2" s="27">
        <v>77631</v>
      </c>
      <c r="H2" s="25" t="s">
        <v>149</v>
      </c>
      <c r="I2" s="27"/>
      <c r="J2" s="25"/>
      <c r="K2" s="27"/>
      <c r="L2" s="25"/>
      <c r="M2" s="27"/>
      <c r="N2" s="25"/>
      <c r="O2" s="27"/>
      <c r="P2" s="25"/>
      <c r="Q2" s="27"/>
      <c r="R2" s="25"/>
    </row>
    <row r="3" spans="1:18" ht="25.5" customHeight="1" x14ac:dyDescent="0.25">
      <c r="A3" s="19">
        <v>2</v>
      </c>
      <c r="B3" s="15" t="s">
        <v>110</v>
      </c>
      <c r="C3" s="27"/>
      <c r="D3" s="25"/>
      <c r="E3" s="27">
        <v>252840</v>
      </c>
      <c r="F3" s="25" t="s">
        <v>120</v>
      </c>
      <c r="G3" s="27"/>
      <c r="H3" s="25"/>
      <c r="I3" s="27"/>
      <c r="J3" s="25"/>
      <c r="K3" s="27"/>
      <c r="L3" s="25"/>
      <c r="M3" s="27"/>
      <c r="N3" s="25"/>
      <c r="O3" s="27"/>
      <c r="P3" s="25"/>
      <c r="Q3" s="27"/>
      <c r="R3" s="25"/>
    </row>
    <row r="4" spans="1:18" ht="25.5" customHeight="1" x14ac:dyDescent="0.25">
      <c r="A4" s="19">
        <v>3</v>
      </c>
      <c r="B4" s="15" t="s">
        <v>112</v>
      </c>
      <c r="C4" s="27" t="s">
        <v>117</v>
      </c>
      <c r="D4" s="25"/>
      <c r="E4" s="27" t="s">
        <v>117</v>
      </c>
      <c r="F4" s="25"/>
      <c r="G4" s="27"/>
      <c r="H4" s="25"/>
      <c r="I4" s="27"/>
      <c r="J4" s="25"/>
      <c r="K4" s="27"/>
      <c r="L4" s="25"/>
      <c r="M4" s="27"/>
      <c r="N4" s="25"/>
      <c r="O4" s="27"/>
      <c r="P4" s="25"/>
      <c r="Q4" s="27"/>
      <c r="R4" s="25"/>
    </row>
    <row r="5" spans="1:18" ht="25.5" customHeight="1" x14ac:dyDescent="0.25">
      <c r="A5" s="19">
        <v>4</v>
      </c>
      <c r="B5" s="15" t="s">
        <v>119</v>
      </c>
      <c r="C5" s="27">
        <v>78910</v>
      </c>
      <c r="D5" s="25" t="s">
        <v>123</v>
      </c>
      <c r="E5" s="27">
        <v>119960</v>
      </c>
      <c r="F5" s="25" t="s">
        <v>124</v>
      </c>
      <c r="G5" s="27">
        <v>115900</v>
      </c>
      <c r="H5" s="25" t="s">
        <v>143</v>
      </c>
      <c r="I5" s="27"/>
      <c r="J5" s="25"/>
      <c r="K5" s="27"/>
      <c r="L5" s="25"/>
      <c r="M5" s="27"/>
      <c r="N5" s="25"/>
      <c r="O5" s="27"/>
      <c r="P5" s="25"/>
      <c r="Q5" s="27"/>
      <c r="R5" s="25"/>
    </row>
    <row r="6" spans="1:18" ht="25.5" customHeight="1" x14ac:dyDescent="0.25">
      <c r="A6" s="19">
        <v>5</v>
      </c>
      <c r="B6" s="15" t="s">
        <v>148</v>
      </c>
      <c r="C6" s="27"/>
      <c r="D6" s="25"/>
      <c r="E6" s="27"/>
      <c r="F6" s="25"/>
      <c r="G6" s="27">
        <v>72322</v>
      </c>
      <c r="H6" s="25" t="s">
        <v>147</v>
      </c>
      <c r="I6" s="27"/>
      <c r="J6" s="25"/>
      <c r="K6" s="27"/>
      <c r="L6" s="25"/>
      <c r="M6" s="27"/>
      <c r="N6" s="25"/>
      <c r="O6" s="27"/>
      <c r="P6" s="25"/>
      <c r="Q6" s="27"/>
      <c r="R6" s="25"/>
    </row>
    <row r="7" spans="1:18" ht="25.5" customHeight="1" x14ac:dyDescent="0.25">
      <c r="A7" s="19">
        <v>6</v>
      </c>
      <c r="B7" s="15" t="s">
        <v>113</v>
      </c>
      <c r="C7" s="27"/>
      <c r="D7" s="25"/>
      <c r="E7" s="27"/>
      <c r="F7" s="25"/>
      <c r="G7" s="27">
        <v>15821</v>
      </c>
      <c r="H7" s="25" t="s">
        <v>144</v>
      </c>
      <c r="I7" s="27"/>
      <c r="J7" s="25"/>
      <c r="K7" s="27"/>
      <c r="L7" s="25"/>
      <c r="M7" s="27"/>
      <c r="N7" s="25"/>
      <c r="O7" s="27"/>
      <c r="P7" s="25"/>
      <c r="Q7" s="27"/>
      <c r="R7" s="25"/>
    </row>
    <row r="8" spans="1:18" ht="25.5" customHeight="1" x14ac:dyDescent="0.25">
      <c r="A8" s="19">
        <v>7</v>
      </c>
      <c r="B8" s="15" t="s">
        <v>105</v>
      </c>
      <c r="C8" s="27"/>
      <c r="D8" s="25"/>
      <c r="E8" s="27">
        <v>76846</v>
      </c>
      <c r="F8" s="25" t="s">
        <v>121</v>
      </c>
      <c r="G8" s="27">
        <v>120790</v>
      </c>
      <c r="H8" s="25" t="s">
        <v>168</v>
      </c>
      <c r="I8" s="27"/>
      <c r="J8" s="25"/>
      <c r="K8" s="27"/>
      <c r="L8" s="25"/>
      <c r="M8" s="27"/>
      <c r="N8" s="25"/>
      <c r="O8" s="27"/>
      <c r="P8" s="25"/>
      <c r="Q8" s="27"/>
      <c r="R8" s="25"/>
    </row>
    <row r="9" spans="1:18" ht="25.5" customHeight="1" x14ac:dyDescent="0.25">
      <c r="A9" s="19">
        <v>8</v>
      </c>
      <c r="B9" s="15" t="s">
        <v>114</v>
      </c>
      <c r="C9" s="27"/>
      <c r="D9" s="25"/>
      <c r="E9" s="27"/>
      <c r="F9" s="25"/>
      <c r="G9" s="27">
        <v>14309</v>
      </c>
      <c r="H9" s="25" t="s">
        <v>145</v>
      </c>
      <c r="I9" s="27"/>
      <c r="J9" s="31"/>
      <c r="K9" s="27"/>
      <c r="L9" s="25"/>
      <c r="M9" s="27"/>
      <c r="N9" s="25"/>
      <c r="O9" s="27"/>
      <c r="P9" s="25"/>
      <c r="Q9" s="27"/>
      <c r="R9" s="25"/>
    </row>
    <row r="10" spans="1:18" ht="25.5" customHeight="1" x14ac:dyDescent="0.25">
      <c r="A10" s="19">
        <v>9</v>
      </c>
      <c r="B10" s="15" t="s">
        <v>115</v>
      </c>
      <c r="C10" s="27" t="s">
        <v>117</v>
      </c>
      <c r="D10" s="25"/>
      <c r="E10" s="27" t="s">
        <v>117</v>
      </c>
      <c r="F10" s="25"/>
      <c r="G10" s="27">
        <v>35400</v>
      </c>
      <c r="H10" s="25" t="s">
        <v>146</v>
      </c>
      <c r="I10" s="27"/>
      <c r="J10" s="25"/>
      <c r="K10" s="27"/>
      <c r="L10" s="25"/>
      <c r="M10" s="27"/>
      <c r="N10" s="25"/>
      <c r="O10" s="27"/>
      <c r="P10" s="25"/>
      <c r="Q10" s="27"/>
      <c r="R10" s="25"/>
    </row>
    <row r="11" spans="1:18" ht="25.5" customHeight="1" x14ac:dyDescent="0.25">
      <c r="A11" s="19">
        <v>10</v>
      </c>
      <c r="B11" s="15" t="s">
        <v>116</v>
      </c>
      <c r="C11" s="27"/>
      <c r="D11" s="25"/>
      <c r="E11" s="27">
        <v>47200</v>
      </c>
      <c r="F11" s="25" t="s">
        <v>122</v>
      </c>
      <c r="G11" s="27"/>
      <c r="H11" s="25"/>
      <c r="I11" s="27"/>
      <c r="J11" s="25"/>
      <c r="K11" s="27"/>
      <c r="L11" s="25"/>
      <c r="M11" s="27"/>
      <c r="N11" s="25"/>
      <c r="O11" s="27"/>
      <c r="P11" s="25"/>
      <c r="Q11" s="27"/>
      <c r="R11" s="25"/>
    </row>
    <row r="12" spans="1:18" ht="25.5" customHeight="1" x14ac:dyDescent="0.25">
      <c r="A12" s="19"/>
      <c r="B12" s="15"/>
      <c r="C12" s="27"/>
      <c r="D12" s="25"/>
      <c r="E12" s="27"/>
      <c r="F12" s="25"/>
      <c r="G12" s="27"/>
      <c r="H12" s="25"/>
      <c r="I12" s="27"/>
      <c r="J12" s="25"/>
      <c r="K12" s="27"/>
      <c r="L12" s="25"/>
      <c r="M12" s="27"/>
      <c r="N12" s="25"/>
      <c r="O12" s="27"/>
      <c r="P12" s="25"/>
      <c r="Q12" s="27"/>
      <c r="R12" s="25"/>
    </row>
    <row r="13" spans="1:18" ht="25.5" customHeight="1" x14ac:dyDescent="0.25">
      <c r="A13" s="75" t="s">
        <v>83</v>
      </c>
      <c r="B13" s="77"/>
      <c r="C13" s="75">
        <f>SUM(C2:C12)</f>
        <v>207297</v>
      </c>
      <c r="D13" s="76"/>
      <c r="E13" s="75">
        <f>SUM(E2:E12)</f>
        <v>640459</v>
      </c>
      <c r="F13" s="76"/>
      <c r="G13" s="75">
        <f>SUM(G2:G12)</f>
        <v>452173</v>
      </c>
      <c r="H13" s="76"/>
      <c r="I13" s="75">
        <f>SUM(I2:I12)</f>
        <v>0</v>
      </c>
      <c r="J13" s="76"/>
      <c r="K13" s="75">
        <f>SUM(K2:K12)</f>
        <v>0</v>
      </c>
      <c r="L13" s="76"/>
      <c r="M13" s="75">
        <f>SUM(M2:M12)</f>
        <v>0</v>
      </c>
      <c r="N13" s="76"/>
      <c r="O13" s="75">
        <f>SUM(O2:O12)</f>
        <v>0</v>
      </c>
      <c r="P13" s="76"/>
      <c r="Q13" s="75">
        <f>SUM(Q2:Q12)</f>
        <v>0</v>
      </c>
      <c r="R13" s="76"/>
    </row>
  </sheetData>
  <mergeCells count="17">
    <mergeCell ref="G1:H1"/>
    <mergeCell ref="G13:H13"/>
    <mergeCell ref="A13:B13"/>
    <mergeCell ref="C1:D1"/>
    <mergeCell ref="C13:D13"/>
    <mergeCell ref="E1:F1"/>
    <mergeCell ref="E13:F13"/>
    <mergeCell ref="O1:P1"/>
    <mergeCell ref="O13:P13"/>
    <mergeCell ref="Q1:R1"/>
    <mergeCell ref="Q13:R13"/>
    <mergeCell ref="I1:J1"/>
    <mergeCell ref="I13:J13"/>
    <mergeCell ref="K1:L1"/>
    <mergeCell ref="K13:L13"/>
    <mergeCell ref="M1:N1"/>
    <mergeCell ref="M13:N13"/>
  </mergeCell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>
      <selection activeCell="I2" sqref="I2"/>
    </sheetView>
  </sheetViews>
  <sheetFormatPr defaultRowHeight="15" x14ac:dyDescent="0.25"/>
  <cols>
    <col min="1" max="1" width="15.85546875" customWidth="1"/>
    <col min="2" max="2" width="21.42578125" customWidth="1"/>
    <col min="3" max="5" width="11.85546875" customWidth="1"/>
    <col min="6" max="6" width="17.140625" customWidth="1"/>
    <col min="7" max="7" width="18.5703125" customWidth="1"/>
  </cols>
  <sheetData>
    <row r="1" spans="1:7" ht="27.75" customHeight="1" x14ac:dyDescent="0.25">
      <c r="A1" s="78" t="s">
        <v>160</v>
      </c>
      <c r="B1" s="78"/>
      <c r="C1" s="78"/>
      <c r="D1" s="78"/>
      <c r="E1" s="78"/>
      <c r="F1" s="78"/>
      <c r="G1" s="78"/>
    </row>
    <row r="2" spans="1:7" ht="24.75" customHeight="1" x14ac:dyDescent="0.25">
      <c r="A2" s="41" t="s">
        <v>0</v>
      </c>
      <c r="B2" s="41" t="s">
        <v>2</v>
      </c>
      <c r="C2" s="41" t="s">
        <v>163</v>
      </c>
      <c r="D2" s="41" t="s">
        <v>161</v>
      </c>
      <c r="E2" s="41" t="s">
        <v>162</v>
      </c>
      <c r="F2" s="41" t="s">
        <v>167</v>
      </c>
      <c r="G2" s="41" t="s">
        <v>6</v>
      </c>
    </row>
    <row r="3" spans="1:7" ht="18.75" customHeight="1" x14ac:dyDescent="0.25">
      <c r="A3" s="19" t="s">
        <v>151</v>
      </c>
      <c r="B3" s="19" t="s">
        <v>152</v>
      </c>
      <c r="C3" s="19">
        <v>2170</v>
      </c>
      <c r="D3" s="32">
        <v>27</v>
      </c>
      <c r="E3" s="19">
        <f>C3*D3</f>
        <v>58590</v>
      </c>
      <c r="F3" s="19" t="s">
        <v>165</v>
      </c>
      <c r="G3" s="19" t="s">
        <v>164</v>
      </c>
    </row>
    <row r="4" spans="1:7" ht="18.75" customHeight="1" x14ac:dyDescent="0.25">
      <c r="A4" s="19" t="s">
        <v>153</v>
      </c>
      <c r="B4" s="19" t="s">
        <v>152</v>
      </c>
      <c r="C4" s="19">
        <v>1180</v>
      </c>
      <c r="D4" s="32">
        <v>28</v>
      </c>
      <c r="E4" s="19">
        <f>C4*D4</f>
        <v>33040</v>
      </c>
      <c r="F4" s="19" t="s">
        <v>166</v>
      </c>
      <c r="G4" s="19" t="s">
        <v>164</v>
      </c>
    </row>
    <row r="5" spans="1:7" ht="18.75" customHeight="1" x14ac:dyDescent="0.25">
      <c r="A5" s="19" t="s">
        <v>153</v>
      </c>
      <c r="B5" s="19" t="s">
        <v>154</v>
      </c>
      <c r="C5" s="19">
        <v>1390</v>
      </c>
      <c r="D5" s="32">
        <v>33</v>
      </c>
      <c r="E5" s="19">
        <f t="shared" ref="E5:E11" si="0">C5*D5</f>
        <v>45870</v>
      </c>
      <c r="F5" s="19" t="s">
        <v>166</v>
      </c>
      <c r="G5" s="19" t="s">
        <v>164</v>
      </c>
    </row>
    <row r="6" spans="1:7" ht="18.75" customHeight="1" x14ac:dyDescent="0.25">
      <c r="A6" s="19" t="s">
        <v>155</v>
      </c>
      <c r="B6" s="19" t="s">
        <v>152</v>
      </c>
      <c r="C6" s="19">
        <v>2540</v>
      </c>
      <c r="D6" s="32">
        <v>28</v>
      </c>
      <c r="E6" s="19">
        <f t="shared" si="0"/>
        <v>71120</v>
      </c>
      <c r="F6" s="19" t="s">
        <v>166</v>
      </c>
      <c r="G6" s="19" t="s">
        <v>164</v>
      </c>
    </row>
    <row r="7" spans="1:7" ht="18.75" customHeight="1" x14ac:dyDescent="0.25">
      <c r="A7" s="19" t="s">
        <v>156</v>
      </c>
      <c r="B7" s="19" t="s">
        <v>154</v>
      </c>
      <c r="C7" s="19">
        <v>1480</v>
      </c>
      <c r="D7" s="32">
        <v>33</v>
      </c>
      <c r="E7" s="19">
        <f t="shared" si="0"/>
        <v>48840</v>
      </c>
      <c r="F7" s="19" t="s">
        <v>166</v>
      </c>
      <c r="G7" s="19" t="s">
        <v>164</v>
      </c>
    </row>
    <row r="8" spans="1:7" ht="18.75" customHeight="1" x14ac:dyDescent="0.25">
      <c r="A8" s="19" t="s">
        <v>157</v>
      </c>
      <c r="B8" s="19" t="s">
        <v>152</v>
      </c>
      <c r="C8" s="19">
        <v>2230</v>
      </c>
      <c r="D8" s="32">
        <v>28</v>
      </c>
      <c r="E8" s="19">
        <f t="shared" si="0"/>
        <v>62440</v>
      </c>
      <c r="F8" s="19" t="s">
        <v>166</v>
      </c>
      <c r="G8" s="19" t="s">
        <v>164</v>
      </c>
    </row>
    <row r="9" spans="1:7" ht="18.75" customHeight="1" x14ac:dyDescent="0.25">
      <c r="A9" s="19" t="s">
        <v>158</v>
      </c>
      <c r="B9" s="19" t="s">
        <v>152</v>
      </c>
      <c r="C9" s="19">
        <v>900</v>
      </c>
      <c r="D9" s="32">
        <v>28</v>
      </c>
      <c r="E9" s="19">
        <f t="shared" si="0"/>
        <v>25200</v>
      </c>
      <c r="F9" s="19" t="s">
        <v>166</v>
      </c>
      <c r="G9" s="19" t="s">
        <v>164</v>
      </c>
    </row>
    <row r="10" spans="1:7" ht="18.75" customHeight="1" x14ac:dyDescent="0.25">
      <c r="A10" s="19" t="s">
        <v>158</v>
      </c>
      <c r="B10" s="19" t="s">
        <v>154</v>
      </c>
      <c r="C10" s="19">
        <v>870</v>
      </c>
      <c r="D10" s="32">
        <v>33.5</v>
      </c>
      <c r="E10" s="19">
        <f t="shared" si="0"/>
        <v>29145</v>
      </c>
      <c r="F10" s="19" t="s">
        <v>166</v>
      </c>
      <c r="G10" s="19" t="s">
        <v>164</v>
      </c>
    </row>
    <row r="11" spans="1:7" ht="18.75" customHeight="1" x14ac:dyDescent="0.25">
      <c r="A11" s="19" t="s">
        <v>159</v>
      </c>
      <c r="B11" s="19" t="s">
        <v>152</v>
      </c>
      <c r="C11" s="19">
        <v>2270</v>
      </c>
      <c r="D11" s="32">
        <v>27</v>
      </c>
      <c r="E11" s="19">
        <f t="shared" si="0"/>
        <v>61290</v>
      </c>
      <c r="F11" s="19" t="s">
        <v>165</v>
      </c>
      <c r="G11" s="19" t="s">
        <v>164</v>
      </c>
    </row>
    <row r="12" spans="1:7" ht="18.75" customHeight="1" x14ac:dyDescent="0.25">
      <c r="A12" s="19" t="s">
        <v>169</v>
      </c>
      <c r="B12" s="19" t="s">
        <v>152</v>
      </c>
      <c r="C12" s="19">
        <v>2020</v>
      </c>
      <c r="D12" s="32">
        <v>28</v>
      </c>
      <c r="E12" s="19">
        <f t="shared" ref="E12:E13" si="1">C12*D12</f>
        <v>56560</v>
      </c>
      <c r="F12" s="19" t="s">
        <v>166</v>
      </c>
      <c r="G12" s="19" t="s">
        <v>164</v>
      </c>
    </row>
    <row r="13" spans="1:7" ht="18.75" customHeight="1" x14ac:dyDescent="0.25">
      <c r="A13" s="19" t="s">
        <v>170</v>
      </c>
      <c r="B13" s="19" t="s">
        <v>154</v>
      </c>
      <c r="C13" s="19">
        <v>950</v>
      </c>
      <c r="D13" s="32">
        <v>33</v>
      </c>
      <c r="E13" s="19">
        <f t="shared" si="1"/>
        <v>31350</v>
      </c>
      <c r="F13" s="19" t="s">
        <v>166</v>
      </c>
      <c r="G13" s="19" t="s">
        <v>164</v>
      </c>
    </row>
    <row r="14" spans="1:7" ht="18.75" customHeight="1" x14ac:dyDescent="0.25">
      <c r="A14" s="19" t="s">
        <v>171</v>
      </c>
      <c r="B14" s="19" t="s">
        <v>152</v>
      </c>
      <c r="C14" s="19">
        <v>2470</v>
      </c>
      <c r="D14" s="32">
        <v>29</v>
      </c>
      <c r="E14" s="19">
        <f t="shared" ref="E14:E16" si="2">C14*D14</f>
        <v>71630</v>
      </c>
      <c r="F14" s="19" t="s">
        <v>166</v>
      </c>
      <c r="G14" s="19" t="s">
        <v>164</v>
      </c>
    </row>
    <row r="15" spans="1:7" ht="18.75" customHeight="1" x14ac:dyDescent="0.25">
      <c r="A15" s="19" t="s">
        <v>172</v>
      </c>
      <c r="B15" s="19" t="s">
        <v>173</v>
      </c>
      <c r="C15" s="19">
        <v>93.2</v>
      </c>
      <c r="D15" s="32">
        <v>200</v>
      </c>
      <c r="E15" s="19">
        <f t="shared" si="2"/>
        <v>18640</v>
      </c>
      <c r="F15" s="19" t="s">
        <v>166</v>
      </c>
      <c r="G15" s="19" t="s">
        <v>174</v>
      </c>
    </row>
    <row r="16" spans="1:7" ht="18.75" customHeight="1" x14ac:dyDescent="0.25">
      <c r="A16" s="19" t="s">
        <v>175</v>
      </c>
      <c r="B16" s="19" t="s">
        <v>154</v>
      </c>
      <c r="C16" s="19">
        <v>800</v>
      </c>
      <c r="D16" s="32">
        <v>34</v>
      </c>
      <c r="E16" s="19">
        <f t="shared" si="2"/>
        <v>27200</v>
      </c>
      <c r="F16" s="19" t="s">
        <v>166</v>
      </c>
      <c r="G16" s="19" t="s">
        <v>164</v>
      </c>
    </row>
    <row r="17" spans="1:7" ht="18.75" customHeight="1" x14ac:dyDescent="0.25">
      <c r="A17" s="19" t="s">
        <v>176</v>
      </c>
      <c r="B17" s="19" t="s">
        <v>152</v>
      </c>
      <c r="C17" s="19">
        <v>1760</v>
      </c>
      <c r="D17" s="32">
        <v>29</v>
      </c>
      <c r="E17" s="19">
        <f t="shared" ref="E17:E18" si="3">C17*D17</f>
        <v>51040</v>
      </c>
      <c r="F17" s="19" t="s">
        <v>166</v>
      </c>
      <c r="G17" s="19" t="s">
        <v>164</v>
      </c>
    </row>
    <row r="18" spans="1:7" ht="18.75" customHeight="1" x14ac:dyDescent="0.25">
      <c r="A18" s="19" t="s">
        <v>178</v>
      </c>
      <c r="B18" s="19" t="s">
        <v>154</v>
      </c>
      <c r="C18" s="19">
        <v>3810</v>
      </c>
      <c r="D18" s="32">
        <v>34</v>
      </c>
      <c r="E18" s="19">
        <f t="shared" si="3"/>
        <v>129540</v>
      </c>
      <c r="F18" s="19" t="s">
        <v>166</v>
      </c>
      <c r="G18" s="19" t="s">
        <v>164</v>
      </c>
    </row>
    <row r="19" spans="1:7" ht="18.75" customHeight="1" x14ac:dyDescent="0.25">
      <c r="A19" s="19" t="s">
        <v>403</v>
      </c>
      <c r="B19" s="19" t="s">
        <v>154</v>
      </c>
      <c r="C19" s="19">
        <v>3590</v>
      </c>
      <c r="D19" s="32">
        <v>32.5</v>
      </c>
      <c r="E19" s="19">
        <f t="shared" ref="E19" si="4">C19*D19</f>
        <v>116675</v>
      </c>
      <c r="F19" s="19" t="s">
        <v>165</v>
      </c>
      <c r="G19" s="19" t="s">
        <v>164</v>
      </c>
    </row>
    <row r="20" spans="1:7" ht="18.75" customHeight="1" x14ac:dyDescent="0.25">
      <c r="A20" s="40" t="s">
        <v>427</v>
      </c>
      <c r="B20" s="19" t="s">
        <v>154</v>
      </c>
      <c r="C20" s="19">
        <v>3910</v>
      </c>
      <c r="D20" s="32">
        <v>32.5</v>
      </c>
      <c r="E20" s="19">
        <f t="shared" ref="E20:E21" si="5">C20*D20</f>
        <v>127075</v>
      </c>
      <c r="F20" s="19" t="s">
        <v>165</v>
      </c>
      <c r="G20" s="19" t="s">
        <v>164</v>
      </c>
    </row>
    <row r="21" spans="1:7" ht="18.75" customHeight="1" x14ac:dyDescent="0.25">
      <c r="A21" s="19" t="s">
        <v>447</v>
      </c>
      <c r="B21" s="19" t="s">
        <v>154</v>
      </c>
      <c r="C21" s="19">
        <v>3450</v>
      </c>
      <c r="D21" s="32">
        <v>33</v>
      </c>
      <c r="E21" s="19">
        <f t="shared" si="5"/>
        <v>113850</v>
      </c>
      <c r="F21" s="19" t="s">
        <v>166</v>
      </c>
      <c r="G21" s="19" t="s">
        <v>164</v>
      </c>
    </row>
    <row r="22" spans="1:7" ht="18.75" customHeight="1" x14ac:dyDescent="0.25">
      <c r="A22" s="19" t="s">
        <v>506</v>
      </c>
      <c r="B22" s="19" t="s">
        <v>154</v>
      </c>
      <c r="C22" s="19">
        <v>3700</v>
      </c>
      <c r="D22" s="32">
        <v>32.5</v>
      </c>
      <c r="E22" s="19">
        <f t="shared" ref="E22" si="6">C22*D22</f>
        <v>120250</v>
      </c>
      <c r="F22" s="19" t="s">
        <v>166</v>
      </c>
      <c r="G22" s="19" t="s">
        <v>164</v>
      </c>
    </row>
    <row r="23" spans="1:7" ht="18.75" customHeight="1" x14ac:dyDescent="0.25"/>
    <row r="24" spans="1:7" ht="18.75" customHeight="1" x14ac:dyDescent="0.25"/>
    <row r="25" spans="1:7" ht="18.75" customHeight="1" x14ac:dyDescent="0.25"/>
    <row r="26" spans="1:7" ht="18.75" customHeight="1" x14ac:dyDescent="0.25"/>
    <row r="27" spans="1:7" ht="18.75" customHeight="1" x14ac:dyDescent="0.25"/>
    <row r="28" spans="1:7" ht="18.75" customHeight="1" x14ac:dyDescent="0.25"/>
    <row r="29" spans="1:7" ht="18.75" customHeight="1" x14ac:dyDescent="0.25"/>
    <row r="30" spans="1:7" ht="18.75" customHeight="1" x14ac:dyDescent="0.25"/>
    <row r="31" spans="1:7" ht="18.75" customHeight="1" x14ac:dyDescent="0.25"/>
    <row r="32" spans="1:7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</sheetData>
  <autoFilter ref="A2:G17"/>
  <mergeCells count="1">
    <mergeCell ref="A1:G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11"/>
  <sheetViews>
    <sheetView workbookViewId="0">
      <selection activeCell="D10" sqref="D10:D100"/>
    </sheetView>
  </sheetViews>
  <sheetFormatPr defaultRowHeight="15" x14ac:dyDescent="0.25"/>
  <cols>
    <col min="1" max="1" width="9.85546875" style="1" customWidth="1"/>
    <col min="2" max="2" width="35.85546875" style="1" customWidth="1"/>
    <col min="3" max="5" width="9.85546875" style="1" customWidth="1"/>
    <col min="6" max="7" width="17.42578125" style="1" customWidth="1"/>
    <col min="8" max="16384" width="9.140625" style="1"/>
  </cols>
  <sheetData>
    <row r="1" spans="1:7" ht="35.25" customHeight="1" x14ac:dyDescent="0.25">
      <c r="A1" s="79" t="s">
        <v>179</v>
      </c>
      <c r="B1" s="80"/>
      <c r="C1" s="80"/>
      <c r="D1" s="80"/>
      <c r="E1" s="80"/>
      <c r="F1" s="80"/>
      <c r="G1" s="80"/>
    </row>
    <row r="2" spans="1:7" ht="36.75" customHeight="1" x14ac:dyDescent="0.25">
      <c r="A2" s="34" t="s">
        <v>0</v>
      </c>
      <c r="B2" s="34" t="s">
        <v>180</v>
      </c>
      <c r="C2" s="35" t="s">
        <v>181</v>
      </c>
      <c r="D2" s="36" t="s">
        <v>24</v>
      </c>
      <c r="E2" s="34" t="s">
        <v>182</v>
      </c>
      <c r="F2" s="34" t="s">
        <v>183</v>
      </c>
      <c r="G2" s="34" t="s">
        <v>6</v>
      </c>
    </row>
    <row r="3" spans="1:7" ht="14.25" hidden="1" customHeight="1" x14ac:dyDescent="0.25">
      <c r="A3" s="37">
        <v>45661</v>
      </c>
      <c r="B3" s="38" t="s">
        <v>184</v>
      </c>
      <c r="C3" s="39">
        <v>13050</v>
      </c>
      <c r="D3" s="39"/>
      <c r="E3" s="39">
        <v>13043.4</v>
      </c>
      <c r="F3" s="39" t="s">
        <v>16</v>
      </c>
      <c r="G3" s="39" t="s">
        <v>400</v>
      </c>
    </row>
    <row r="4" spans="1:7" ht="14.25" hidden="1" customHeight="1" x14ac:dyDescent="0.25">
      <c r="A4" s="37">
        <v>45664</v>
      </c>
      <c r="B4" s="38" t="s">
        <v>185</v>
      </c>
      <c r="C4" s="39"/>
      <c r="D4" s="39">
        <v>5000</v>
      </c>
      <c r="E4" s="39">
        <v>18043.400000000001</v>
      </c>
      <c r="F4" s="39" t="s">
        <v>23</v>
      </c>
      <c r="G4" s="39"/>
    </row>
    <row r="5" spans="1:7" ht="14.25" hidden="1" customHeight="1" x14ac:dyDescent="0.25">
      <c r="A5" s="37">
        <v>45669</v>
      </c>
      <c r="B5" s="38" t="s">
        <v>186</v>
      </c>
      <c r="C5" s="39"/>
      <c r="D5" s="39">
        <v>50000</v>
      </c>
      <c r="E5" s="39">
        <v>68043.399999999994</v>
      </c>
      <c r="F5" s="39" t="s">
        <v>187</v>
      </c>
      <c r="G5" s="39"/>
    </row>
    <row r="6" spans="1:7" ht="14.25" hidden="1" customHeight="1" x14ac:dyDescent="0.25">
      <c r="A6" s="37">
        <v>45673</v>
      </c>
      <c r="B6" s="38" t="s">
        <v>188</v>
      </c>
      <c r="C6" s="39">
        <v>20000</v>
      </c>
      <c r="D6" s="39"/>
      <c r="E6" s="39">
        <v>48043.4</v>
      </c>
      <c r="F6" s="39" t="s">
        <v>31</v>
      </c>
      <c r="G6" s="39" t="s">
        <v>29</v>
      </c>
    </row>
    <row r="7" spans="1:7" ht="14.25" hidden="1" customHeight="1" x14ac:dyDescent="0.25">
      <c r="A7" s="37">
        <v>45674</v>
      </c>
      <c r="B7" s="38" t="s">
        <v>189</v>
      </c>
      <c r="C7" s="39">
        <v>20000</v>
      </c>
      <c r="D7" s="39"/>
      <c r="E7" s="39">
        <v>28043.4</v>
      </c>
      <c r="F7" s="39" t="s">
        <v>31</v>
      </c>
      <c r="G7" s="39" t="s">
        <v>29</v>
      </c>
    </row>
    <row r="8" spans="1:7" ht="14.25" hidden="1" customHeight="1" x14ac:dyDescent="0.25">
      <c r="A8" s="37">
        <v>45674</v>
      </c>
      <c r="B8" s="38" t="s">
        <v>190</v>
      </c>
      <c r="C8" s="39">
        <v>5000</v>
      </c>
      <c r="D8" s="39"/>
      <c r="E8" s="39">
        <v>23043.4</v>
      </c>
      <c r="F8" s="39" t="s">
        <v>31</v>
      </c>
      <c r="G8" s="39" t="s">
        <v>29</v>
      </c>
    </row>
    <row r="9" spans="1:7" ht="14.25" hidden="1" customHeight="1" x14ac:dyDescent="0.25">
      <c r="A9" s="37">
        <v>45681</v>
      </c>
      <c r="B9" s="38" t="s">
        <v>191</v>
      </c>
      <c r="C9" s="39">
        <v>20030</v>
      </c>
      <c r="D9" s="39"/>
      <c r="E9" s="39">
        <v>3013.4</v>
      </c>
      <c r="F9" s="39" t="s">
        <v>192</v>
      </c>
      <c r="G9" s="39" t="s">
        <v>400</v>
      </c>
    </row>
    <row r="10" spans="1:7" ht="14.25" customHeight="1" x14ac:dyDescent="0.25">
      <c r="A10" s="37">
        <v>45685</v>
      </c>
      <c r="B10" s="38" t="s">
        <v>193</v>
      </c>
      <c r="C10" s="39"/>
      <c r="D10" s="39" t="s">
        <v>194</v>
      </c>
      <c r="E10" s="39" t="s">
        <v>195</v>
      </c>
      <c r="F10" s="39" t="s">
        <v>196</v>
      </c>
      <c r="G10" s="39" t="s">
        <v>401</v>
      </c>
    </row>
    <row r="11" spans="1:7" ht="14.25" hidden="1" customHeight="1" x14ac:dyDescent="0.25">
      <c r="A11" s="37">
        <v>45687</v>
      </c>
      <c r="B11" s="38" t="s">
        <v>197</v>
      </c>
      <c r="C11" s="39" t="s">
        <v>198</v>
      </c>
      <c r="D11" s="39"/>
      <c r="E11" s="39">
        <v>21642.400000000001</v>
      </c>
      <c r="F11" s="39" t="s">
        <v>192</v>
      </c>
      <c r="G11" s="39" t="s">
        <v>400</v>
      </c>
    </row>
    <row r="12" spans="1:7" ht="14.25" hidden="1" customHeight="1" x14ac:dyDescent="0.25">
      <c r="A12" s="37">
        <v>45688</v>
      </c>
      <c r="B12" s="38" t="s">
        <v>199</v>
      </c>
      <c r="C12" s="39">
        <v>17000</v>
      </c>
      <c r="D12" s="39"/>
      <c r="E12" s="39">
        <v>4642.3999999999996</v>
      </c>
      <c r="F12" s="39" t="s">
        <v>200</v>
      </c>
      <c r="G12" s="39"/>
    </row>
    <row r="13" spans="1:7" ht="14.25" hidden="1" customHeight="1" x14ac:dyDescent="0.25">
      <c r="A13" s="37">
        <v>45689</v>
      </c>
      <c r="B13" s="38" t="s">
        <v>201</v>
      </c>
      <c r="C13" s="39">
        <v>6</v>
      </c>
      <c r="D13" s="39"/>
      <c r="E13" s="39">
        <v>4636.3999999999996</v>
      </c>
      <c r="F13" s="39" t="s">
        <v>202</v>
      </c>
      <c r="G13" s="39"/>
    </row>
    <row r="14" spans="1:7" ht="14.25" hidden="1" customHeight="1" x14ac:dyDescent="0.25">
      <c r="A14" s="37">
        <v>45689</v>
      </c>
      <c r="B14" s="38" t="s">
        <v>203</v>
      </c>
      <c r="C14" s="39"/>
      <c r="D14" s="39">
        <v>25000</v>
      </c>
      <c r="E14" s="39">
        <v>29636.400000000001</v>
      </c>
      <c r="F14" s="39" t="s">
        <v>187</v>
      </c>
      <c r="G14" s="39"/>
    </row>
    <row r="15" spans="1:7" ht="14.25" hidden="1" customHeight="1" x14ac:dyDescent="0.25">
      <c r="A15" s="37">
        <v>45691</v>
      </c>
      <c r="B15" s="38" t="s">
        <v>204</v>
      </c>
      <c r="C15" s="39"/>
      <c r="D15" s="39" t="s">
        <v>205</v>
      </c>
      <c r="E15" s="39" t="s">
        <v>206</v>
      </c>
      <c r="F15" s="39" t="s">
        <v>207</v>
      </c>
      <c r="G15" s="39" t="s">
        <v>401</v>
      </c>
    </row>
    <row r="16" spans="1:7" ht="14.25" hidden="1" customHeight="1" x14ac:dyDescent="0.25">
      <c r="A16" s="37">
        <v>45691</v>
      </c>
      <c r="B16" s="38" t="s">
        <v>197</v>
      </c>
      <c r="C16" s="39">
        <v>64.31</v>
      </c>
      <c r="D16" s="39"/>
      <c r="E16" s="39" t="s">
        <v>208</v>
      </c>
      <c r="F16" s="39" t="s">
        <v>97</v>
      </c>
      <c r="G16" s="39"/>
    </row>
    <row r="17" spans="1:7" ht="14.25" hidden="1" customHeight="1" x14ac:dyDescent="0.25">
      <c r="A17" s="37">
        <v>45692</v>
      </c>
      <c r="B17" s="38" t="s">
        <v>184</v>
      </c>
      <c r="C17" s="39">
        <v>13050</v>
      </c>
      <c r="D17" s="39"/>
      <c r="E17" s="39" t="s">
        <v>209</v>
      </c>
      <c r="F17" s="39" t="s">
        <v>16</v>
      </c>
      <c r="G17" s="39" t="s">
        <v>400</v>
      </c>
    </row>
    <row r="18" spans="1:7" ht="14.25" hidden="1" customHeight="1" x14ac:dyDescent="0.25">
      <c r="A18" s="37">
        <v>45693</v>
      </c>
      <c r="B18" s="38" t="s">
        <v>210</v>
      </c>
      <c r="C18" s="39">
        <v>34000</v>
      </c>
      <c r="D18" s="39"/>
      <c r="E18" s="39" t="s">
        <v>211</v>
      </c>
      <c r="F18" s="39" t="s">
        <v>212</v>
      </c>
      <c r="G18" s="39"/>
    </row>
    <row r="19" spans="1:7" ht="14.25" hidden="1" customHeight="1" x14ac:dyDescent="0.25">
      <c r="A19" s="37">
        <v>45693</v>
      </c>
      <c r="B19" s="38" t="s">
        <v>201</v>
      </c>
      <c r="C19" s="39">
        <v>6</v>
      </c>
      <c r="D19" s="39"/>
      <c r="E19" s="39" t="s">
        <v>213</v>
      </c>
      <c r="F19" s="39" t="s">
        <v>202</v>
      </c>
      <c r="G19" s="39"/>
    </row>
    <row r="20" spans="1:7" ht="14.25" hidden="1" customHeight="1" x14ac:dyDescent="0.25">
      <c r="A20" s="37">
        <v>45693</v>
      </c>
      <c r="B20" s="38" t="s">
        <v>214</v>
      </c>
      <c r="C20" s="39" t="s">
        <v>215</v>
      </c>
      <c r="D20" s="39"/>
      <c r="E20" s="39">
        <v>35356.089999999997</v>
      </c>
      <c r="F20" s="39" t="s">
        <v>216</v>
      </c>
      <c r="G20" s="39"/>
    </row>
    <row r="21" spans="1:7" ht="14.25" hidden="1" customHeight="1" x14ac:dyDescent="0.25">
      <c r="A21" s="37">
        <v>45712</v>
      </c>
      <c r="B21" s="38" t="s">
        <v>191</v>
      </c>
      <c r="C21" s="39">
        <v>19833</v>
      </c>
      <c r="D21" s="39"/>
      <c r="E21" s="39">
        <v>15523.09</v>
      </c>
      <c r="F21" s="39" t="s">
        <v>192</v>
      </c>
      <c r="G21" s="39" t="s">
        <v>400</v>
      </c>
    </row>
    <row r="22" spans="1:7" ht="14.25" customHeight="1" x14ac:dyDescent="0.25">
      <c r="A22" s="37">
        <v>45715</v>
      </c>
      <c r="B22" s="38" t="s">
        <v>217</v>
      </c>
      <c r="C22" s="39"/>
      <c r="D22" s="39" t="s">
        <v>218</v>
      </c>
      <c r="E22" s="39" t="s">
        <v>219</v>
      </c>
      <c r="F22" s="39" t="s">
        <v>196</v>
      </c>
      <c r="G22" s="39" t="s">
        <v>401</v>
      </c>
    </row>
    <row r="23" spans="1:7" ht="14.25" hidden="1" customHeight="1" x14ac:dyDescent="0.25">
      <c r="A23" s="37">
        <v>45716</v>
      </c>
      <c r="B23" s="38" t="s">
        <v>197</v>
      </c>
      <c r="C23" s="39" t="s">
        <v>220</v>
      </c>
      <c r="D23" s="39"/>
      <c r="E23" s="39">
        <v>53158.09</v>
      </c>
      <c r="F23" s="39" t="s">
        <v>192</v>
      </c>
      <c r="G23" s="39" t="s">
        <v>400</v>
      </c>
    </row>
    <row r="24" spans="1:7" ht="14.25" hidden="1" customHeight="1" x14ac:dyDescent="0.25">
      <c r="A24" s="37">
        <v>45717</v>
      </c>
      <c r="B24" s="38" t="s">
        <v>197</v>
      </c>
      <c r="C24" s="39">
        <v>1770</v>
      </c>
      <c r="D24" s="39"/>
      <c r="E24" s="39">
        <v>51388.09</v>
      </c>
      <c r="F24" s="39" t="s">
        <v>200</v>
      </c>
      <c r="G24" s="39"/>
    </row>
    <row r="25" spans="1:7" ht="14.25" hidden="1" customHeight="1" x14ac:dyDescent="0.25">
      <c r="A25" s="37">
        <v>45719</v>
      </c>
      <c r="B25" s="38" t="s">
        <v>221</v>
      </c>
      <c r="C25" s="39"/>
      <c r="D25" s="39">
        <v>15821</v>
      </c>
      <c r="E25" s="39">
        <v>67209.09</v>
      </c>
      <c r="F25" s="39" t="s">
        <v>222</v>
      </c>
      <c r="G25" s="39" t="s">
        <v>401</v>
      </c>
    </row>
    <row r="26" spans="1:7" ht="14.25" hidden="1" customHeight="1" x14ac:dyDescent="0.25">
      <c r="A26" s="37">
        <v>45720</v>
      </c>
      <c r="B26" s="38" t="s">
        <v>184</v>
      </c>
      <c r="C26" s="39">
        <v>12976</v>
      </c>
      <c r="D26" s="39"/>
      <c r="E26" s="39">
        <v>54233.09</v>
      </c>
      <c r="F26" s="39" t="s">
        <v>16</v>
      </c>
      <c r="G26" s="39" t="s">
        <v>400</v>
      </c>
    </row>
    <row r="27" spans="1:7" ht="14.25" hidden="1" customHeight="1" x14ac:dyDescent="0.25">
      <c r="A27" s="37">
        <v>45720</v>
      </c>
      <c r="B27" s="38" t="s">
        <v>223</v>
      </c>
      <c r="C27" s="39"/>
      <c r="D27" s="39">
        <v>27000</v>
      </c>
      <c r="E27" s="39">
        <v>81233.09</v>
      </c>
      <c r="F27" s="39" t="s">
        <v>23</v>
      </c>
      <c r="G27" s="39"/>
    </row>
    <row r="28" spans="1:7" ht="14.25" hidden="1" customHeight="1" x14ac:dyDescent="0.25">
      <c r="A28" s="37">
        <v>45723</v>
      </c>
      <c r="B28" s="38" t="s">
        <v>224</v>
      </c>
      <c r="C28" s="39">
        <v>80000</v>
      </c>
      <c r="D28" s="39"/>
      <c r="E28" s="39">
        <v>1233.0899999999999</v>
      </c>
      <c r="F28" s="39" t="s">
        <v>212</v>
      </c>
      <c r="G28" s="39"/>
    </row>
    <row r="29" spans="1:7" ht="14.25" hidden="1" customHeight="1" x14ac:dyDescent="0.25">
      <c r="A29" s="37">
        <v>45723</v>
      </c>
      <c r="B29" s="38" t="s">
        <v>201</v>
      </c>
      <c r="C29" s="39">
        <v>6</v>
      </c>
      <c r="D29" s="39"/>
      <c r="E29" s="39">
        <v>1227.0899999999999</v>
      </c>
      <c r="F29" s="39" t="s">
        <v>202</v>
      </c>
      <c r="G29" s="39"/>
    </row>
    <row r="30" spans="1:7" ht="14.25" hidden="1" customHeight="1" x14ac:dyDescent="0.25">
      <c r="A30" s="37">
        <v>45724</v>
      </c>
      <c r="B30" s="38" t="s">
        <v>191</v>
      </c>
      <c r="C30" s="39">
        <v>1227.0899999999999</v>
      </c>
      <c r="D30" s="39"/>
      <c r="E30" s="39">
        <v>0</v>
      </c>
      <c r="F30" s="39" t="s">
        <v>225</v>
      </c>
      <c r="G30" s="39"/>
    </row>
    <row r="31" spans="1:7" ht="14.25" hidden="1" customHeight="1" x14ac:dyDescent="0.25">
      <c r="A31" s="37">
        <v>45730</v>
      </c>
      <c r="B31" s="38" t="s">
        <v>226</v>
      </c>
      <c r="C31" s="39"/>
      <c r="D31" s="39">
        <v>8000</v>
      </c>
      <c r="E31" s="39">
        <v>8000</v>
      </c>
      <c r="F31" s="39" t="s">
        <v>187</v>
      </c>
      <c r="G31" s="39"/>
    </row>
    <row r="32" spans="1:7" ht="14.25" hidden="1" customHeight="1" x14ac:dyDescent="0.25">
      <c r="A32" s="37">
        <v>45730</v>
      </c>
      <c r="B32" s="38" t="s">
        <v>191</v>
      </c>
      <c r="C32" s="39">
        <v>894.92</v>
      </c>
      <c r="D32" s="39"/>
      <c r="E32" s="39">
        <v>7105.08</v>
      </c>
      <c r="F32" s="39" t="s">
        <v>225</v>
      </c>
      <c r="G32" s="39"/>
    </row>
    <row r="33" spans="1:7" ht="14.25" hidden="1" customHeight="1" x14ac:dyDescent="0.25">
      <c r="A33" s="37">
        <v>45731</v>
      </c>
      <c r="B33" s="38" t="s">
        <v>227</v>
      </c>
      <c r="C33" s="39">
        <v>5000</v>
      </c>
      <c r="D33" s="39"/>
      <c r="E33" s="39">
        <v>2105.08</v>
      </c>
      <c r="F33" s="39" t="s">
        <v>225</v>
      </c>
      <c r="G33" s="39"/>
    </row>
    <row r="34" spans="1:7" ht="14.25" hidden="1" customHeight="1" x14ac:dyDescent="0.25">
      <c r="A34" s="37">
        <v>45731</v>
      </c>
      <c r="B34" s="38" t="s">
        <v>201</v>
      </c>
      <c r="C34" s="39">
        <v>3</v>
      </c>
      <c r="D34" s="39"/>
      <c r="E34" s="39">
        <v>2102.08</v>
      </c>
      <c r="F34" s="39" t="s">
        <v>202</v>
      </c>
      <c r="G34" s="39"/>
    </row>
    <row r="35" spans="1:7" ht="14.25" hidden="1" customHeight="1" x14ac:dyDescent="0.25">
      <c r="A35" s="37">
        <v>45734</v>
      </c>
      <c r="B35" s="38" t="s">
        <v>197</v>
      </c>
      <c r="C35" s="39">
        <v>2102.08</v>
      </c>
      <c r="D35" s="39"/>
      <c r="E35" s="39">
        <v>0</v>
      </c>
      <c r="F35" s="39" t="s">
        <v>200</v>
      </c>
      <c r="G35" s="39"/>
    </row>
    <row r="36" spans="1:7" ht="14.25" hidden="1" customHeight="1" x14ac:dyDescent="0.25">
      <c r="A36" s="37">
        <v>45739</v>
      </c>
      <c r="B36" s="38" t="s">
        <v>228</v>
      </c>
      <c r="C36" s="39"/>
      <c r="D36" s="39">
        <v>70000</v>
      </c>
      <c r="E36" s="39">
        <v>70000</v>
      </c>
      <c r="F36" s="39" t="s">
        <v>187</v>
      </c>
      <c r="G36" s="39"/>
    </row>
    <row r="37" spans="1:7" ht="14.25" hidden="1" customHeight="1" x14ac:dyDescent="0.25">
      <c r="A37" s="37">
        <v>45739</v>
      </c>
      <c r="B37" s="38" t="s">
        <v>197</v>
      </c>
      <c r="C37" s="39">
        <v>10216.92</v>
      </c>
      <c r="D37" s="39"/>
      <c r="E37" s="39">
        <v>59783.08</v>
      </c>
      <c r="F37" s="39" t="s">
        <v>97</v>
      </c>
      <c r="G37" s="39"/>
    </row>
    <row r="38" spans="1:7" ht="14.25" hidden="1" customHeight="1" x14ac:dyDescent="0.25">
      <c r="A38" s="37">
        <v>45740</v>
      </c>
      <c r="B38" s="38" t="s">
        <v>229</v>
      </c>
      <c r="C38" s="39">
        <v>6</v>
      </c>
      <c r="D38" s="39"/>
      <c r="E38" s="39">
        <v>59777.08</v>
      </c>
      <c r="F38" s="39" t="s">
        <v>230</v>
      </c>
      <c r="G38" s="39"/>
    </row>
    <row r="39" spans="1:7" ht="14.25" hidden="1" customHeight="1" x14ac:dyDescent="0.25">
      <c r="A39" s="37">
        <v>45740</v>
      </c>
      <c r="B39" s="38" t="s">
        <v>191</v>
      </c>
      <c r="C39" s="39">
        <v>19551</v>
      </c>
      <c r="D39" s="39"/>
      <c r="E39" s="39">
        <v>40226.080000000002</v>
      </c>
      <c r="F39" s="39" t="s">
        <v>192</v>
      </c>
      <c r="G39" s="39" t="s">
        <v>400</v>
      </c>
    </row>
    <row r="40" spans="1:7" ht="14.25" hidden="1" customHeight="1" x14ac:dyDescent="0.25">
      <c r="A40" s="37">
        <v>45741</v>
      </c>
      <c r="B40" s="38" t="s">
        <v>231</v>
      </c>
      <c r="C40" s="39">
        <v>1180</v>
      </c>
      <c r="D40" s="39"/>
      <c r="E40" s="39">
        <v>39046.080000000002</v>
      </c>
      <c r="F40" s="39" t="s">
        <v>232</v>
      </c>
      <c r="G40" s="39"/>
    </row>
    <row r="41" spans="1:7" ht="14.25" hidden="1" customHeight="1" x14ac:dyDescent="0.25">
      <c r="A41" s="37">
        <v>45741</v>
      </c>
      <c r="B41" s="38" t="s">
        <v>233</v>
      </c>
      <c r="C41" s="39">
        <v>354</v>
      </c>
      <c r="D41" s="39"/>
      <c r="E41" s="39">
        <v>38692.080000000002</v>
      </c>
      <c r="F41" s="39" t="s">
        <v>232</v>
      </c>
      <c r="G41" s="39"/>
    </row>
    <row r="42" spans="1:7" ht="14.25" hidden="1" customHeight="1" x14ac:dyDescent="0.25">
      <c r="A42" s="37">
        <v>45741</v>
      </c>
      <c r="B42" s="38" t="s">
        <v>234</v>
      </c>
      <c r="C42" s="39"/>
      <c r="D42" s="39">
        <v>35400</v>
      </c>
      <c r="E42" s="39">
        <v>74092.08</v>
      </c>
      <c r="F42" s="39" t="s">
        <v>235</v>
      </c>
      <c r="G42" s="39" t="s">
        <v>401</v>
      </c>
    </row>
    <row r="43" spans="1:7" ht="14.25" customHeight="1" x14ac:dyDescent="0.25">
      <c r="A43" s="37">
        <v>45743</v>
      </c>
      <c r="B43" s="38" t="s">
        <v>236</v>
      </c>
      <c r="C43" s="39"/>
      <c r="D43" s="39">
        <v>77631</v>
      </c>
      <c r="E43" s="39" t="s">
        <v>237</v>
      </c>
      <c r="F43" s="39" t="s">
        <v>196</v>
      </c>
      <c r="G43" s="39" t="s">
        <v>401</v>
      </c>
    </row>
    <row r="44" spans="1:7" ht="14.25" hidden="1" customHeight="1" x14ac:dyDescent="0.25">
      <c r="A44" s="37">
        <v>45744</v>
      </c>
      <c r="B44" s="38" t="s">
        <v>238</v>
      </c>
      <c r="C44" s="39">
        <v>17000</v>
      </c>
      <c r="D44" s="39"/>
      <c r="E44" s="39" t="s">
        <v>239</v>
      </c>
      <c r="F44" s="39" t="s">
        <v>240</v>
      </c>
      <c r="G44" s="39" t="s">
        <v>400</v>
      </c>
    </row>
    <row r="45" spans="1:7" ht="14.25" hidden="1" customHeight="1" x14ac:dyDescent="0.25">
      <c r="A45" s="37">
        <v>45744</v>
      </c>
      <c r="B45" s="38" t="s">
        <v>201</v>
      </c>
      <c r="C45" s="39">
        <v>6</v>
      </c>
      <c r="D45" s="39"/>
      <c r="E45" s="39" t="s">
        <v>241</v>
      </c>
      <c r="F45" s="39" t="s">
        <v>202</v>
      </c>
      <c r="G45" s="39"/>
    </row>
    <row r="46" spans="1:7" ht="14.25" hidden="1" customHeight="1" x14ac:dyDescent="0.25">
      <c r="A46" s="37">
        <v>45745</v>
      </c>
      <c r="B46" s="38" t="s">
        <v>242</v>
      </c>
      <c r="C46" s="39">
        <v>2000</v>
      </c>
      <c r="D46" s="39"/>
      <c r="E46" s="39" t="s">
        <v>243</v>
      </c>
      <c r="F46" s="39" t="s">
        <v>212</v>
      </c>
      <c r="G46" s="39"/>
    </row>
    <row r="47" spans="1:7" ht="14.25" hidden="1" customHeight="1" x14ac:dyDescent="0.25">
      <c r="A47" s="37">
        <v>45745</v>
      </c>
      <c r="B47" s="38" t="s">
        <v>201</v>
      </c>
      <c r="C47" s="39">
        <v>3</v>
      </c>
      <c r="D47" s="39"/>
      <c r="E47" s="39" t="s">
        <v>244</v>
      </c>
      <c r="F47" s="39" t="s">
        <v>202</v>
      </c>
      <c r="G47" s="39"/>
    </row>
    <row r="48" spans="1:7" ht="14.25" hidden="1" customHeight="1" x14ac:dyDescent="0.25">
      <c r="A48" s="37">
        <v>45745</v>
      </c>
      <c r="B48" s="38" t="s">
        <v>245</v>
      </c>
      <c r="C48" s="39"/>
      <c r="D48" s="39">
        <v>12.98</v>
      </c>
      <c r="E48" s="39" t="s">
        <v>246</v>
      </c>
      <c r="F48" s="39" t="s">
        <v>202</v>
      </c>
      <c r="G48" s="39"/>
    </row>
    <row r="49" spans="1:7" ht="14.25" hidden="1" customHeight="1" x14ac:dyDescent="0.25">
      <c r="A49" s="37">
        <v>45746</v>
      </c>
      <c r="B49" s="38" t="s">
        <v>197</v>
      </c>
      <c r="C49" s="39" t="s">
        <v>247</v>
      </c>
      <c r="D49" s="39"/>
      <c r="E49" s="39">
        <v>26457.06</v>
      </c>
      <c r="F49" s="39" t="s">
        <v>192</v>
      </c>
      <c r="G49" s="39" t="s">
        <v>400</v>
      </c>
    </row>
    <row r="50" spans="1:7" ht="14.25" hidden="1" customHeight="1" x14ac:dyDescent="0.25">
      <c r="A50" s="37">
        <v>45750</v>
      </c>
      <c r="B50" s="38" t="s">
        <v>248</v>
      </c>
      <c r="C50" s="39"/>
      <c r="D50" s="39">
        <v>2500</v>
      </c>
      <c r="E50" s="39">
        <v>23957.06</v>
      </c>
      <c r="F50" s="39" t="s">
        <v>31</v>
      </c>
      <c r="G50" s="39"/>
    </row>
    <row r="51" spans="1:7" ht="14.25" hidden="1" customHeight="1" x14ac:dyDescent="0.25">
      <c r="A51" s="37">
        <v>45750</v>
      </c>
      <c r="B51" s="38" t="s">
        <v>249</v>
      </c>
      <c r="C51" s="39">
        <v>158</v>
      </c>
      <c r="D51" s="39"/>
      <c r="E51" s="39">
        <v>23799.06</v>
      </c>
      <c r="F51" s="39" t="s">
        <v>250</v>
      </c>
      <c r="G51" s="39" t="s">
        <v>400</v>
      </c>
    </row>
    <row r="52" spans="1:7" ht="14.25" hidden="1" customHeight="1" x14ac:dyDescent="0.25">
      <c r="A52" s="37">
        <v>45751</v>
      </c>
      <c r="B52" s="38" t="s">
        <v>184</v>
      </c>
      <c r="C52" s="39">
        <v>12976</v>
      </c>
      <c r="D52" s="39"/>
      <c r="E52" s="39">
        <v>10823.06</v>
      </c>
      <c r="F52" s="39" t="s">
        <v>16</v>
      </c>
      <c r="G52" s="39" t="s">
        <v>400</v>
      </c>
    </row>
    <row r="53" spans="1:7" ht="14.25" hidden="1" customHeight="1" x14ac:dyDescent="0.25">
      <c r="A53" s="37">
        <v>45757</v>
      </c>
      <c r="B53" s="38" t="s">
        <v>251</v>
      </c>
      <c r="C53" s="39"/>
      <c r="D53" s="39" t="s">
        <v>252</v>
      </c>
      <c r="E53" s="39" t="s">
        <v>253</v>
      </c>
      <c r="F53" s="39" t="s">
        <v>254</v>
      </c>
      <c r="G53" s="39" t="s">
        <v>401</v>
      </c>
    </row>
    <row r="54" spans="1:7" ht="14.25" hidden="1" customHeight="1" x14ac:dyDescent="0.25">
      <c r="A54" s="37">
        <v>45761</v>
      </c>
      <c r="B54" s="38" t="s">
        <v>255</v>
      </c>
      <c r="C54" s="39"/>
      <c r="D54" s="39" t="s">
        <v>256</v>
      </c>
      <c r="E54" s="39" t="s">
        <v>257</v>
      </c>
      <c r="F54" s="39" t="s">
        <v>207</v>
      </c>
      <c r="G54" s="39" t="s">
        <v>401</v>
      </c>
    </row>
    <row r="55" spans="1:7" ht="14.25" hidden="1" customHeight="1" x14ac:dyDescent="0.25">
      <c r="A55" s="37">
        <v>45763</v>
      </c>
      <c r="B55" s="38" t="s">
        <v>197</v>
      </c>
      <c r="C55" s="39">
        <v>6000</v>
      </c>
      <c r="D55" s="39" t="s">
        <v>258</v>
      </c>
      <c r="E55" s="39"/>
      <c r="F55" s="39" t="s">
        <v>259</v>
      </c>
      <c r="G55" s="39"/>
    </row>
    <row r="56" spans="1:7" ht="14.25" hidden="1" customHeight="1" x14ac:dyDescent="0.25">
      <c r="A56" s="37">
        <v>45764</v>
      </c>
      <c r="B56" s="38" t="s">
        <v>260</v>
      </c>
      <c r="C56" s="39">
        <v>30000</v>
      </c>
      <c r="D56" s="39"/>
      <c r="E56" s="39" t="s">
        <v>261</v>
      </c>
      <c r="F56" s="39" t="s">
        <v>36</v>
      </c>
      <c r="G56" s="39" t="s">
        <v>402</v>
      </c>
    </row>
    <row r="57" spans="1:7" ht="14.25" hidden="1" customHeight="1" x14ac:dyDescent="0.25">
      <c r="A57" s="37">
        <v>45764</v>
      </c>
      <c r="B57" s="38" t="s">
        <v>262</v>
      </c>
      <c r="C57" s="39">
        <v>9.44</v>
      </c>
      <c r="D57" s="39"/>
      <c r="E57" s="39" t="s">
        <v>263</v>
      </c>
      <c r="F57" s="39" t="s">
        <v>202</v>
      </c>
      <c r="G57" s="39"/>
    </row>
    <row r="58" spans="1:7" ht="14.25" hidden="1" customHeight="1" x14ac:dyDescent="0.25">
      <c r="A58" s="37">
        <v>45764</v>
      </c>
      <c r="B58" s="38" t="s">
        <v>264</v>
      </c>
      <c r="C58" s="39" t="s">
        <v>215</v>
      </c>
      <c r="D58" s="39"/>
      <c r="E58" s="39">
        <v>63334.62</v>
      </c>
      <c r="F58" s="39" t="s">
        <v>216</v>
      </c>
      <c r="G58" s="39"/>
    </row>
    <row r="59" spans="1:7" ht="14.25" hidden="1" customHeight="1" x14ac:dyDescent="0.25">
      <c r="A59" s="37">
        <v>45764</v>
      </c>
      <c r="B59" s="38" t="s">
        <v>265</v>
      </c>
      <c r="C59" s="39">
        <v>12000</v>
      </c>
      <c r="D59" s="39"/>
      <c r="E59" s="39">
        <v>51334.62</v>
      </c>
      <c r="F59" s="39" t="s">
        <v>212</v>
      </c>
      <c r="G59" s="39"/>
    </row>
    <row r="60" spans="1:7" ht="14.25" hidden="1" customHeight="1" x14ac:dyDescent="0.25">
      <c r="A60" s="37">
        <v>45764</v>
      </c>
      <c r="B60" s="38" t="s">
        <v>262</v>
      </c>
      <c r="C60" s="39">
        <v>5.9</v>
      </c>
      <c r="D60" s="39"/>
      <c r="E60" s="39">
        <v>51328.72</v>
      </c>
      <c r="F60" s="39" t="s">
        <v>202</v>
      </c>
      <c r="G60" s="39"/>
    </row>
    <row r="61" spans="1:7" ht="14.25" customHeight="1" x14ac:dyDescent="0.25">
      <c r="A61" s="37">
        <v>45773</v>
      </c>
      <c r="B61" s="38" t="s">
        <v>266</v>
      </c>
      <c r="C61" s="39"/>
      <c r="D61" s="39" t="s">
        <v>267</v>
      </c>
      <c r="E61" s="39" t="s">
        <v>268</v>
      </c>
      <c r="F61" s="39" t="s">
        <v>196</v>
      </c>
      <c r="G61" s="39" t="s">
        <v>401</v>
      </c>
    </row>
    <row r="62" spans="1:7" ht="14.25" hidden="1" customHeight="1" x14ac:dyDescent="0.25">
      <c r="A62" s="37">
        <v>45777</v>
      </c>
      <c r="B62" s="38" t="s">
        <v>269</v>
      </c>
      <c r="C62" s="39">
        <v>17000</v>
      </c>
      <c r="D62" s="39"/>
      <c r="E62" s="39" t="s">
        <v>270</v>
      </c>
      <c r="F62" s="39" t="s">
        <v>240</v>
      </c>
      <c r="G62" s="39" t="s">
        <v>400</v>
      </c>
    </row>
    <row r="63" spans="1:7" ht="14.25" hidden="1" customHeight="1" x14ac:dyDescent="0.25">
      <c r="A63" s="37">
        <v>45777</v>
      </c>
      <c r="B63" s="38" t="s">
        <v>201</v>
      </c>
      <c r="C63" s="39">
        <v>6</v>
      </c>
      <c r="D63" s="39"/>
      <c r="E63" s="39" t="s">
        <v>271</v>
      </c>
      <c r="F63" s="39" t="s">
        <v>202</v>
      </c>
      <c r="G63" s="39"/>
    </row>
    <row r="64" spans="1:7" ht="14.25" hidden="1" customHeight="1" x14ac:dyDescent="0.25">
      <c r="A64" s="37">
        <v>45777</v>
      </c>
      <c r="B64" s="38" t="s">
        <v>197</v>
      </c>
      <c r="C64" s="39" t="s">
        <v>272</v>
      </c>
      <c r="D64" s="39"/>
      <c r="E64" s="39">
        <v>67758.720000000001</v>
      </c>
      <c r="F64" s="39" t="s">
        <v>192</v>
      </c>
      <c r="G64" s="39" t="s">
        <v>400</v>
      </c>
    </row>
    <row r="65" spans="1:7" ht="14.25" hidden="1" customHeight="1" x14ac:dyDescent="0.25">
      <c r="A65" s="37">
        <v>45780</v>
      </c>
      <c r="B65" s="38" t="s">
        <v>273</v>
      </c>
      <c r="C65" s="39">
        <v>20000</v>
      </c>
      <c r="D65" s="39"/>
      <c r="E65" s="39">
        <v>47758.720000000001</v>
      </c>
      <c r="F65" s="39" t="s">
        <v>212</v>
      </c>
      <c r="G65" s="39"/>
    </row>
    <row r="66" spans="1:7" ht="14.25" hidden="1" customHeight="1" x14ac:dyDescent="0.25">
      <c r="A66" s="37">
        <v>45780</v>
      </c>
      <c r="B66" s="38" t="s">
        <v>262</v>
      </c>
      <c r="C66" s="39">
        <v>5.9</v>
      </c>
      <c r="D66" s="39"/>
      <c r="E66" s="39">
        <v>47752.82</v>
      </c>
      <c r="F66" s="39" t="s">
        <v>202</v>
      </c>
      <c r="G66" s="39"/>
    </row>
    <row r="67" spans="1:7" ht="14.25" hidden="1" customHeight="1" x14ac:dyDescent="0.25">
      <c r="A67" s="37">
        <v>45780</v>
      </c>
      <c r="B67" s="38" t="s">
        <v>274</v>
      </c>
      <c r="C67" s="39">
        <v>2000</v>
      </c>
      <c r="D67" s="39"/>
      <c r="E67" s="39">
        <v>45752.82</v>
      </c>
      <c r="F67" s="39" t="s">
        <v>31</v>
      </c>
      <c r="G67" s="39"/>
    </row>
    <row r="68" spans="1:7" ht="14.25" hidden="1" customHeight="1" x14ac:dyDescent="0.25">
      <c r="A68" s="37">
        <v>45781</v>
      </c>
      <c r="B68" s="38" t="s">
        <v>184</v>
      </c>
      <c r="C68" s="39">
        <v>12893</v>
      </c>
      <c r="D68" s="39"/>
      <c r="E68" s="39">
        <v>32859.82</v>
      </c>
      <c r="F68" s="39" t="s">
        <v>16</v>
      </c>
      <c r="G68" s="39" t="s">
        <v>400</v>
      </c>
    </row>
    <row r="69" spans="1:7" ht="14.25" customHeight="1" x14ac:dyDescent="0.25">
      <c r="A69" s="37">
        <v>45804</v>
      </c>
      <c r="B69" s="38" t="s">
        <v>275</v>
      </c>
      <c r="C69" s="39"/>
      <c r="D69" s="39" t="s">
        <v>276</v>
      </c>
      <c r="E69" s="39" t="s">
        <v>277</v>
      </c>
      <c r="F69" s="39" t="s">
        <v>196</v>
      </c>
      <c r="G69" s="39" t="s">
        <v>401</v>
      </c>
    </row>
    <row r="70" spans="1:7" ht="14.25" hidden="1" customHeight="1" x14ac:dyDescent="0.25">
      <c r="A70" s="37">
        <v>45804</v>
      </c>
      <c r="B70" s="38" t="s">
        <v>278</v>
      </c>
      <c r="C70" s="39"/>
      <c r="D70" s="39" t="s">
        <v>279</v>
      </c>
      <c r="E70" s="39" t="s">
        <v>280</v>
      </c>
      <c r="F70" s="39" t="s">
        <v>207</v>
      </c>
      <c r="G70" s="39" t="s">
        <v>401</v>
      </c>
    </row>
    <row r="71" spans="1:7" ht="14.25" hidden="1" customHeight="1" x14ac:dyDescent="0.25">
      <c r="A71" s="37">
        <v>45806</v>
      </c>
      <c r="B71" s="38" t="s">
        <v>281</v>
      </c>
      <c r="C71" s="39">
        <v>10000</v>
      </c>
      <c r="D71" s="39"/>
      <c r="E71" s="39" t="s">
        <v>282</v>
      </c>
      <c r="F71" s="39" t="s">
        <v>283</v>
      </c>
      <c r="G71" s="39"/>
    </row>
    <row r="72" spans="1:7" ht="14.25" hidden="1" customHeight="1" x14ac:dyDescent="0.25">
      <c r="A72" s="37">
        <v>45806</v>
      </c>
      <c r="B72" s="38" t="s">
        <v>262</v>
      </c>
      <c r="C72" s="39">
        <v>5.9</v>
      </c>
      <c r="D72" s="39"/>
      <c r="E72" s="39" t="s">
        <v>284</v>
      </c>
      <c r="F72" s="39" t="s">
        <v>31</v>
      </c>
      <c r="G72" s="39"/>
    </row>
    <row r="73" spans="1:7" ht="14.25" hidden="1" customHeight="1" x14ac:dyDescent="0.25">
      <c r="A73" s="37">
        <v>45806</v>
      </c>
      <c r="B73" s="38" t="s">
        <v>285</v>
      </c>
      <c r="C73" s="39">
        <v>10000</v>
      </c>
      <c r="D73" s="39"/>
      <c r="E73" s="39" t="s">
        <v>286</v>
      </c>
      <c r="F73" s="39" t="s">
        <v>212</v>
      </c>
      <c r="G73" s="39"/>
    </row>
    <row r="74" spans="1:7" ht="14.25" hidden="1" customHeight="1" x14ac:dyDescent="0.25">
      <c r="A74" s="37">
        <v>45807</v>
      </c>
      <c r="B74" s="38" t="s">
        <v>197</v>
      </c>
      <c r="C74" s="39" t="s">
        <v>287</v>
      </c>
      <c r="D74" s="39"/>
      <c r="E74" s="39" t="s">
        <v>288</v>
      </c>
      <c r="F74" s="39" t="s">
        <v>192</v>
      </c>
      <c r="G74" s="39" t="s">
        <v>400</v>
      </c>
    </row>
    <row r="75" spans="1:7" ht="14.25" hidden="1" customHeight="1" x14ac:dyDescent="0.25">
      <c r="A75" s="37">
        <v>45808</v>
      </c>
      <c r="B75" s="38" t="s">
        <v>289</v>
      </c>
      <c r="C75" s="39">
        <v>21000</v>
      </c>
      <c r="D75" s="39"/>
      <c r="E75" s="39">
        <v>89045.92</v>
      </c>
      <c r="F75" s="39" t="s">
        <v>240</v>
      </c>
      <c r="G75" s="39" t="s">
        <v>400</v>
      </c>
    </row>
    <row r="76" spans="1:7" ht="14.25" hidden="1" customHeight="1" x14ac:dyDescent="0.25">
      <c r="A76" s="37">
        <v>45808</v>
      </c>
      <c r="B76" s="38" t="s">
        <v>201</v>
      </c>
      <c r="C76" s="39">
        <v>6</v>
      </c>
      <c r="D76" s="39"/>
      <c r="E76" s="39">
        <v>89039.92</v>
      </c>
      <c r="F76" s="39" t="s">
        <v>202</v>
      </c>
      <c r="G76" s="39"/>
    </row>
    <row r="77" spans="1:7" ht="14.25" hidden="1" customHeight="1" x14ac:dyDescent="0.25">
      <c r="A77" s="37">
        <v>45809</v>
      </c>
      <c r="B77" s="38" t="s">
        <v>197</v>
      </c>
      <c r="C77" s="39">
        <v>1770</v>
      </c>
      <c r="D77" s="39"/>
      <c r="E77" s="39">
        <v>87269.92</v>
      </c>
      <c r="F77" s="39" t="s">
        <v>200</v>
      </c>
      <c r="G77" s="39"/>
    </row>
    <row r="78" spans="1:7" ht="14.25" hidden="1" customHeight="1" x14ac:dyDescent="0.25">
      <c r="A78" s="37">
        <v>45812</v>
      </c>
      <c r="B78" s="38" t="s">
        <v>184</v>
      </c>
      <c r="C78" s="39">
        <v>12893</v>
      </c>
      <c r="D78" s="39"/>
      <c r="E78" s="39">
        <v>74376.92</v>
      </c>
      <c r="F78" s="39" t="s">
        <v>16</v>
      </c>
      <c r="G78" s="39" t="s">
        <v>400</v>
      </c>
    </row>
    <row r="79" spans="1:7" ht="14.25" hidden="1" customHeight="1" x14ac:dyDescent="0.25">
      <c r="A79" s="37">
        <v>45820</v>
      </c>
      <c r="B79" s="38" t="s">
        <v>290</v>
      </c>
      <c r="C79" s="39">
        <v>30000</v>
      </c>
      <c r="D79" s="39"/>
      <c r="E79" s="39">
        <v>44376.92</v>
      </c>
      <c r="F79" s="39" t="s">
        <v>36</v>
      </c>
      <c r="G79" s="39" t="s">
        <v>402</v>
      </c>
    </row>
    <row r="80" spans="1:7" ht="14.25" hidden="1" customHeight="1" x14ac:dyDescent="0.25">
      <c r="A80" s="37">
        <v>45821</v>
      </c>
      <c r="B80" s="38" t="s">
        <v>201</v>
      </c>
      <c r="C80" s="39">
        <v>6</v>
      </c>
      <c r="D80" s="39"/>
      <c r="E80" s="39">
        <v>44370.92</v>
      </c>
      <c r="F80" s="39" t="s">
        <v>202</v>
      </c>
      <c r="G80" s="39"/>
    </row>
    <row r="81" spans="1:7" ht="14.25" hidden="1" customHeight="1" x14ac:dyDescent="0.25">
      <c r="A81" s="37">
        <v>45824</v>
      </c>
      <c r="B81" s="38" t="s">
        <v>291</v>
      </c>
      <c r="C81" s="39">
        <v>2065</v>
      </c>
      <c r="D81" s="39"/>
      <c r="E81" s="39">
        <v>42305.919999999998</v>
      </c>
      <c r="F81" s="39" t="s">
        <v>292</v>
      </c>
      <c r="G81" s="39"/>
    </row>
    <row r="82" spans="1:7" ht="14.25" hidden="1" customHeight="1" x14ac:dyDescent="0.25">
      <c r="A82" s="37">
        <v>45824</v>
      </c>
      <c r="B82" s="38" t="s">
        <v>201</v>
      </c>
      <c r="C82" s="39">
        <v>3</v>
      </c>
      <c r="D82" s="39"/>
      <c r="E82" s="39">
        <v>42302.92</v>
      </c>
      <c r="F82" s="39" t="s">
        <v>202</v>
      </c>
      <c r="G82" s="39"/>
    </row>
    <row r="83" spans="1:7" ht="12" hidden="1" customHeight="1" x14ac:dyDescent="0.25">
      <c r="A83" s="37">
        <v>45827</v>
      </c>
      <c r="B83" s="38" t="s">
        <v>450</v>
      </c>
      <c r="D83" s="39" t="s">
        <v>451</v>
      </c>
      <c r="E83" s="39" t="s">
        <v>452</v>
      </c>
      <c r="F83" s="39" t="s">
        <v>207</v>
      </c>
      <c r="G83" s="39" t="s">
        <v>401</v>
      </c>
    </row>
    <row r="84" spans="1:7" ht="12" customHeight="1" x14ac:dyDescent="0.25">
      <c r="A84" s="37">
        <v>45836</v>
      </c>
      <c r="B84" s="38" t="s">
        <v>453</v>
      </c>
      <c r="D84" s="39">
        <v>95395</v>
      </c>
      <c r="E84" s="39" t="s">
        <v>454</v>
      </c>
      <c r="F84" s="39" t="s">
        <v>196</v>
      </c>
      <c r="G84" s="39" t="s">
        <v>401</v>
      </c>
    </row>
    <row r="85" spans="1:7" ht="12" hidden="1" customHeight="1" x14ac:dyDescent="0.25">
      <c r="A85" s="37">
        <v>45836</v>
      </c>
      <c r="B85" s="38" t="s">
        <v>455</v>
      </c>
      <c r="C85" s="39"/>
      <c r="D85" s="39" t="s">
        <v>456</v>
      </c>
      <c r="E85" s="39" t="s">
        <v>457</v>
      </c>
      <c r="F85" s="39" t="s">
        <v>254</v>
      </c>
      <c r="G85" s="39" t="s">
        <v>401</v>
      </c>
    </row>
    <row r="86" spans="1:7" ht="12" hidden="1" customHeight="1" x14ac:dyDescent="0.25">
      <c r="A86" s="37">
        <v>45836</v>
      </c>
      <c r="B86" s="38" t="s">
        <v>348</v>
      </c>
      <c r="C86" s="39">
        <v>8</v>
      </c>
      <c r="D86" s="39"/>
      <c r="E86" s="39" t="s">
        <v>458</v>
      </c>
      <c r="F86" s="39" t="s">
        <v>230</v>
      </c>
      <c r="G86" s="39"/>
    </row>
    <row r="87" spans="1:7" ht="12" hidden="1" customHeight="1" x14ac:dyDescent="0.25">
      <c r="A87" s="37">
        <v>45837</v>
      </c>
      <c r="B87" s="38" t="s">
        <v>459</v>
      </c>
      <c r="C87" s="39" t="s">
        <v>460</v>
      </c>
      <c r="D87" s="39"/>
      <c r="E87" s="39" t="s">
        <v>461</v>
      </c>
      <c r="F87" s="39" t="s">
        <v>216</v>
      </c>
      <c r="G87" s="39"/>
    </row>
    <row r="88" spans="1:7" ht="12" hidden="1" customHeight="1" x14ac:dyDescent="0.25">
      <c r="A88" s="37">
        <v>45837</v>
      </c>
      <c r="B88" s="38" t="s">
        <v>462</v>
      </c>
      <c r="C88" s="39">
        <v>30000</v>
      </c>
      <c r="D88" s="39"/>
      <c r="E88" s="39" t="s">
        <v>463</v>
      </c>
      <c r="F88" s="39" t="s">
        <v>212</v>
      </c>
      <c r="G88" s="39"/>
    </row>
    <row r="89" spans="1:7" ht="12" hidden="1" customHeight="1" x14ac:dyDescent="0.25">
      <c r="A89" s="37">
        <v>45837</v>
      </c>
      <c r="B89" s="38" t="s">
        <v>201</v>
      </c>
      <c r="C89" s="39">
        <v>6</v>
      </c>
      <c r="D89" s="39"/>
      <c r="E89" s="39" t="s">
        <v>464</v>
      </c>
      <c r="F89" s="39" t="s">
        <v>504</v>
      </c>
      <c r="G89" s="39"/>
    </row>
    <row r="90" spans="1:7" ht="12" hidden="1" customHeight="1" x14ac:dyDescent="0.25">
      <c r="A90" s="37">
        <v>45838</v>
      </c>
      <c r="B90" s="38" t="s">
        <v>197</v>
      </c>
      <c r="C90" s="39" t="s">
        <v>465</v>
      </c>
      <c r="D90" s="39"/>
      <c r="E90" s="39">
        <v>67367.92</v>
      </c>
      <c r="F90" s="39" t="s">
        <v>192</v>
      </c>
      <c r="G90" s="39" t="s">
        <v>400</v>
      </c>
    </row>
    <row r="91" spans="1:7" ht="12" hidden="1" customHeight="1" x14ac:dyDescent="0.25">
      <c r="A91" s="37">
        <v>45838</v>
      </c>
      <c r="B91" s="38" t="s">
        <v>466</v>
      </c>
      <c r="C91" s="39">
        <v>20500</v>
      </c>
      <c r="D91" s="39"/>
      <c r="E91" s="39">
        <v>46867.92</v>
      </c>
      <c r="F91" s="39" t="s">
        <v>416</v>
      </c>
      <c r="G91" s="39" t="s">
        <v>400</v>
      </c>
    </row>
    <row r="92" spans="1:7" ht="12" hidden="1" customHeight="1" x14ac:dyDescent="0.25">
      <c r="A92" s="37">
        <v>45838</v>
      </c>
      <c r="B92" s="38" t="s">
        <v>201</v>
      </c>
      <c r="C92" s="39">
        <v>6</v>
      </c>
      <c r="D92" s="39"/>
      <c r="E92" s="39">
        <v>46861.919999999998</v>
      </c>
      <c r="F92" s="39" t="s">
        <v>504</v>
      </c>
      <c r="G92" s="39"/>
    </row>
    <row r="93" spans="1:7" ht="12" hidden="1" customHeight="1" x14ac:dyDescent="0.25">
      <c r="A93" s="37">
        <v>45839</v>
      </c>
      <c r="B93" s="38" t="s">
        <v>467</v>
      </c>
      <c r="C93" s="39">
        <v>21.24</v>
      </c>
      <c r="D93" s="39"/>
      <c r="E93" s="39">
        <v>46883.16</v>
      </c>
      <c r="F93" s="39" t="s">
        <v>31</v>
      </c>
      <c r="G93" s="39"/>
    </row>
    <row r="94" spans="1:7" ht="12" hidden="1" customHeight="1" x14ac:dyDescent="0.25">
      <c r="A94" s="37">
        <v>45842</v>
      </c>
      <c r="B94" s="38" t="s">
        <v>184</v>
      </c>
      <c r="C94" s="39">
        <v>12745</v>
      </c>
      <c r="D94" s="39"/>
      <c r="E94" s="39">
        <v>34138.160000000003</v>
      </c>
      <c r="F94" s="39" t="s">
        <v>16</v>
      </c>
      <c r="G94" s="39" t="s">
        <v>400</v>
      </c>
    </row>
    <row r="95" spans="1:7" ht="12" hidden="1" customHeight="1" x14ac:dyDescent="0.25">
      <c r="A95" s="37">
        <v>45843</v>
      </c>
      <c r="B95" s="38" t="s">
        <v>468</v>
      </c>
      <c r="C95" s="39">
        <v>11802</v>
      </c>
      <c r="D95" s="39"/>
      <c r="E95" s="39">
        <v>45940.160000000003</v>
      </c>
      <c r="F95" s="39" t="s">
        <v>222</v>
      </c>
      <c r="G95" s="39" t="s">
        <v>401</v>
      </c>
    </row>
    <row r="96" spans="1:7" ht="12" hidden="1" customHeight="1" x14ac:dyDescent="0.25">
      <c r="A96" s="37">
        <v>45845</v>
      </c>
      <c r="B96" s="38" t="s">
        <v>469</v>
      </c>
      <c r="C96" s="39">
        <v>11718.4</v>
      </c>
      <c r="D96" s="39"/>
      <c r="E96" s="39">
        <v>34221.760000000002</v>
      </c>
      <c r="F96" s="39" t="s">
        <v>505</v>
      </c>
      <c r="G96" s="39"/>
    </row>
    <row r="97" spans="1:7" ht="12" hidden="1" customHeight="1" x14ac:dyDescent="0.25">
      <c r="A97" s="37">
        <v>45849</v>
      </c>
      <c r="B97" s="38" t="s">
        <v>470</v>
      </c>
      <c r="C97" s="39">
        <v>17327</v>
      </c>
      <c r="D97" s="39"/>
      <c r="E97" s="39">
        <v>51548.76</v>
      </c>
      <c r="F97" s="39" t="s">
        <v>222</v>
      </c>
      <c r="G97" s="39" t="s">
        <v>401</v>
      </c>
    </row>
    <row r="98" spans="1:7" ht="12" hidden="1" customHeight="1" x14ac:dyDescent="0.25">
      <c r="A98" s="37">
        <v>45852</v>
      </c>
      <c r="B98" s="38" t="s">
        <v>471</v>
      </c>
      <c r="C98" s="39">
        <v>10000</v>
      </c>
      <c r="D98" s="39"/>
      <c r="E98" s="39">
        <v>41548.76</v>
      </c>
      <c r="F98" s="39" t="s">
        <v>31</v>
      </c>
      <c r="G98" s="39"/>
    </row>
    <row r="99" spans="1:7" ht="12" hidden="1" customHeight="1" x14ac:dyDescent="0.25">
      <c r="A99" s="37">
        <v>45852</v>
      </c>
      <c r="B99" s="38" t="s">
        <v>472</v>
      </c>
      <c r="C99" s="39">
        <v>10000</v>
      </c>
      <c r="D99" s="39"/>
      <c r="E99" s="39">
        <v>31548.76</v>
      </c>
      <c r="F99" s="39" t="s">
        <v>31</v>
      </c>
      <c r="G99" s="39"/>
    </row>
    <row r="100" spans="1:7" ht="12" customHeight="1" x14ac:dyDescent="0.25">
      <c r="A100" s="37">
        <v>45864</v>
      </c>
      <c r="B100" s="38" t="s">
        <v>473</v>
      </c>
      <c r="D100" s="39">
        <v>96079</v>
      </c>
      <c r="E100" s="39" t="s">
        <v>474</v>
      </c>
      <c r="F100" s="39" t="s">
        <v>196</v>
      </c>
      <c r="G100" s="39" t="s">
        <v>401</v>
      </c>
    </row>
    <row r="111" spans="1:7" ht="24.75" customHeight="1" x14ac:dyDescent="0.25">
      <c r="C111" s="60">
        <f>SUM(C3:C110)</f>
        <v>641272.10000000009</v>
      </c>
      <c r="D111" s="61">
        <f>SUM(D3:D110)</f>
        <v>507838.98</v>
      </c>
    </row>
  </sheetData>
  <autoFilter ref="A2:G100">
    <filterColumn colId="5">
      <filters>
        <filter val="Yathra Automotive"/>
      </filters>
    </filterColumn>
    <filterColumn colId="6">
      <filters>
        <filter val="Cutomer"/>
      </filters>
    </filterColumn>
  </autoFilter>
  <mergeCells count="1">
    <mergeCell ref="A1:G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opLeftCell="A63" workbookViewId="0">
      <selection activeCell="J80" sqref="J80"/>
    </sheetView>
  </sheetViews>
  <sheetFormatPr defaultRowHeight="15" x14ac:dyDescent="0.25"/>
  <cols>
    <col min="1" max="1" width="10" customWidth="1"/>
    <col min="2" max="2" width="33.85546875" customWidth="1"/>
    <col min="3" max="4" width="10" customWidth="1"/>
    <col min="5" max="5" width="13" customWidth="1"/>
    <col min="6" max="6" width="22" customWidth="1"/>
    <col min="7" max="7" width="15.42578125" customWidth="1"/>
  </cols>
  <sheetData>
    <row r="1" spans="1:7" ht="35.25" customHeight="1" x14ac:dyDescent="0.25">
      <c r="A1" s="79" t="s">
        <v>293</v>
      </c>
      <c r="B1" s="80"/>
      <c r="C1" s="80"/>
      <c r="D1" s="80"/>
      <c r="E1" s="80"/>
      <c r="F1" s="80"/>
      <c r="G1" s="80"/>
    </row>
    <row r="2" spans="1:7" ht="31.5" x14ac:dyDescent="0.25">
      <c r="A2" s="34" t="s">
        <v>0</v>
      </c>
      <c r="B2" s="34" t="s">
        <v>180</v>
      </c>
      <c r="C2" s="35" t="s">
        <v>181</v>
      </c>
      <c r="D2" s="36" t="s">
        <v>24</v>
      </c>
      <c r="E2" s="34" t="s">
        <v>182</v>
      </c>
      <c r="F2" s="34" t="s">
        <v>183</v>
      </c>
      <c r="G2" s="34" t="s">
        <v>6</v>
      </c>
    </row>
    <row r="3" spans="1:7" ht="15" customHeight="1" x14ac:dyDescent="0.25">
      <c r="A3" s="37">
        <v>45662</v>
      </c>
      <c r="B3" s="38" t="s">
        <v>294</v>
      </c>
      <c r="C3" s="39">
        <v>36000</v>
      </c>
      <c r="D3" s="39"/>
      <c r="E3" s="39" t="s">
        <v>295</v>
      </c>
      <c r="F3" s="38" t="s">
        <v>404</v>
      </c>
      <c r="G3" s="38"/>
    </row>
    <row r="4" spans="1:7" ht="15" customHeight="1" x14ac:dyDescent="0.25">
      <c r="A4" s="37">
        <v>45663</v>
      </c>
      <c r="B4" s="38" t="s">
        <v>201</v>
      </c>
      <c r="C4" s="39">
        <v>6</v>
      </c>
      <c r="D4" s="39"/>
      <c r="E4" s="39" t="s">
        <v>296</v>
      </c>
      <c r="F4" s="38"/>
      <c r="G4" s="38"/>
    </row>
    <row r="5" spans="1:7" ht="15" customHeight="1" x14ac:dyDescent="0.25">
      <c r="A5" s="37">
        <v>45663</v>
      </c>
      <c r="B5" s="38" t="s">
        <v>297</v>
      </c>
      <c r="C5" s="39">
        <v>70000</v>
      </c>
      <c r="D5" s="39"/>
      <c r="E5" s="39" t="s">
        <v>298</v>
      </c>
      <c r="F5" s="38" t="s">
        <v>405</v>
      </c>
      <c r="G5" s="38"/>
    </row>
    <row r="6" spans="1:7" ht="15" customHeight="1" x14ac:dyDescent="0.25">
      <c r="A6" s="37">
        <v>45663</v>
      </c>
      <c r="B6" s="38" t="s">
        <v>201</v>
      </c>
      <c r="C6" s="39">
        <v>6</v>
      </c>
      <c r="D6" s="39"/>
      <c r="E6" s="39" t="s">
        <v>299</v>
      </c>
      <c r="F6" s="38"/>
      <c r="G6" s="38"/>
    </row>
    <row r="7" spans="1:7" ht="15" customHeight="1" x14ac:dyDescent="0.25">
      <c r="A7" s="37">
        <v>45665</v>
      </c>
      <c r="B7" s="38" t="s">
        <v>300</v>
      </c>
      <c r="C7" s="39" t="s">
        <v>279</v>
      </c>
      <c r="D7" s="39"/>
      <c r="E7" s="39" t="s">
        <v>301</v>
      </c>
      <c r="F7" s="38" t="s">
        <v>406</v>
      </c>
      <c r="G7" s="38"/>
    </row>
    <row r="8" spans="1:7" ht="15" customHeight="1" x14ac:dyDescent="0.25">
      <c r="A8" s="37">
        <v>45665</v>
      </c>
      <c r="B8" s="38" t="s">
        <v>201</v>
      </c>
      <c r="C8" s="39">
        <v>6</v>
      </c>
      <c r="D8" s="39"/>
      <c r="E8" s="39" t="s">
        <v>302</v>
      </c>
      <c r="F8" s="38"/>
      <c r="G8" s="38"/>
    </row>
    <row r="9" spans="1:7" ht="15" customHeight="1" x14ac:dyDescent="0.25">
      <c r="A9" s="37">
        <v>45669</v>
      </c>
      <c r="B9" s="38" t="s">
        <v>303</v>
      </c>
      <c r="C9" s="39">
        <v>50000</v>
      </c>
      <c r="D9" s="39"/>
      <c r="E9" s="39" t="s">
        <v>304</v>
      </c>
      <c r="F9" s="38" t="s">
        <v>29</v>
      </c>
      <c r="G9" s="38"/>
    </row>
    <row r="10" spans="1:7" ht="15" customHeight="1" x14ac:dyDescent="0.25">
      <c r="A10" s="37">
        <v>45677</v>
      </c>
      <c r="B10" s="38" t="s">
        <v>305</v>
      </c>
      <c r="C10" s="39">
        <v>30000</v>
      </c>
      <c r="D10" s="39"/>
      <c r="E10" s="39" t="s">
        <v>306</v>
      </c>
      <c r="F10" s="38" t="s">
        <v>132</v>
      </c>
      <c r="G10" s="38"/>
    </row>
    <row r="11" spans="1:7" ht="15" customHeight="1" x14ac:dyDescent="0.25">
      <c r="A11" s="37">
        <v>45678</v>
      </c>
      <c r="B11" s="38" t="s">
        <v>201</v>
      </c>
      <c r="C11" s="39">
        <v>6</v>
      </c>
      <c r="D11" s="39"/>
      <c r="E11" s="39" t="s">
        <v>307</v>
      </c>
      <c r="F11" s="38"/>
      <c r="G11" s="38"/>
    </row>
    <row r="12" spans="1:7" ht="15" customHeight="1" x14ac:dyDescent="0.25">
      <c r="A12" s="37">
        <v>45688</v>
      </c>
      <c r="B12" s="38" t="s">
        <v>308</v>
      </c>
      <c r="C12" s="39">
        <v>5412</v>
      </c>
      <c r="D12" s="39"/>
      <c r="E12" s="39" t="s">
        <v>309</v>
      </c>
      <c r="F12" s="38" t="s">
        <v>407</v>
      </c>
      <c r="G12" s="38"/>
    </row>
    <row r="13" spans="1:7" ht="15" customHeight="1" x14ac:dyDescent="0.25">
      <c r="A13" s="37">
        <v>45689</v>
      </c>
      <c r="B13" s="38" t="s">
        <v>310</v>
      </c>
      <c r="C13" s="39">
        <v>25000</v>
      </c>
      <c r="D13" s="39"/>
      <c r="E13" s="39" t="s">
        <v>311</v>
      </c>
      <c r="F13" s="38" t="s">
        <v>187</v>
      </c>
      <c r="G13" s="38" t="s">
        <v>408</v>
      </c>
    </row>
    <row r="14" spans="1:7" ht="15" customHeight="1" x14ac:dyDescent="0.25">
      <c r="A14" s="37">
        <v>45691</v>
      </c>
      <c r="B14" s="38" t="s">
        <v>312</v>
      </c>
      <c r="C14" s="39"/>
      <c r="D14" s="39">
        <v>76846</v>
      </c>
      <c r="E14" s="39" t="s">
        <v>313</v>
      </c>
      <c r="F14" s="38" t="s">
        <v>409</v>
      </c>
      <c r="G14" s="38" t="s">
        <v>85</v>
      </c>
    </row>
    <row r="15" spans="1:7" ht="15" customHeight="1" x14ac:dyDescent="0.25">
      <c r="A15" s="37">
        <v>45693</v>
      </c>
      <c r="B15" s="38" t="s">
        <v>314</v>
      </c>
      <c r="C15" s="39"/>
      <c r="D15" s="39" t="s">
        <v>215</v>
      </c>
      <c r="E15" s="39" t="s">
        <v>315</v>
      </c>
      <c r="F15" s="38" t="s">
        <v>410</v>
      </c>
      <c r="G15" s="38"/>
    </row>
    <row r="16" spans="1:7" ht="15" customHeight="1" x14ac:dyDescent="0.25">
      <c r="A16" s="37">
        <v>45698</v>
      </c>
      <c r="B16" s="38" t="s">
        <v>316</v>
      </c>
      <c r="C16" s="39" t="s">
        <v>317</v>
      </c>
      <c r="D16" s="39"/>
      <c r="E16" s="39" t="s">
        <v>318</v>
      </c>
      <c r="F16" s="38" t="s">
        <v>29</v>
      </c>
      <c r="G16" s="38" t="s">
        <v>29</v>
      </c>
    </row>
    <row r="17" spans="1:7" ht="15" customHeight="1" x14ac:dyDescent="0.25">
      <c r="A17" s="37">
        <v>45703</v>
      </c>
      <c r="B17" s="38" t="s">
        <v>319</v>
      </c>
      <c r="C17" s="39"/>
      <c r="D17" s="39">
        <v>47200</v>
      </c>
      <c r="E17" s="39" t="s">
        <v>320</v>
      </c>
      <c r="F17" s="38" t="s">
        <v>411</v>
      </c>
      <c r="G17" s="38" t="s">
        <v>412</v>
      </c>
    </row>
    <row r="18" spans="1:7" ht="15" customHeight="1" x14ac:dyDescent="0.25">
      <c r="A18" s="37">
        <v>45706</v>
      </c>
      <c r="B18" s="38" t="s">
        <v>321</v>
      </c>
      <c r="C18" s="39">
        <v>30000</v>
      </c>
      <c r="D18" s="39"/>
      <c r="E18" s="39" t="s">
        <v>322</v>
      </c>
      <c r="F18" s="38" t="s">
        <v>132</v>
      </c>
      <c r="G18" s="38"/>
    </row>
    <row r="19" spans="1:7" ht="15" customHeight="1" x14ac:dyDescent="0.25">
      <c r="A19" s="37">
        <v>45706</v>
      </c>
      <c r="B19" s="38" t="s">
        <v>201</v>
      </c>
      <c r="C19" s="39">
        <v>6</v>
      </c>
      <c r="D19" s="39"/>
      <c r="E19" s="39" t="s">
        <v>323</v>
      </c>
      <c r="F19" s="38"/>
      <c r="G19" s="38"/>
    </row>
    <row r="20" spans="1:7" ht="15" customHeight="1" x14ac:dyDescent="0.25">
      <c r="A20" s="37">
        <v>45709</v>
      </c>
      <c r="B20" s="38" t="s">
        <v>324</v>
      </c>
      <c r="C20" s="39"/>
      <c r="D20" s="39" t="s">
        <v>279</v>
      </c>
      <c r="E20" s="39" t="s">
        <v>325</v>
      </c>
      <c r="F20" s="38" t="s">
        <v>413</v>
      </c>
      <c r="G20" s="38" t="s">
        <v>414</v>
      </c>
    </row>
    <row r="21" spans="1:7" ht="15" customHeight="1" x14ac:dyDescent="0.25">
      <c r="A21" s="37">
        <v>45712</v>
      </c>
      <c r="B21" s="38" t="s">
        <v>326</v>
      </c>
      <c r="C21" s="39">
        <v>5900</v>
      </c>
      <c r="D21" s="39"/>
      <c r="E21" s="39" t="s">
        <v>327</v>
      </c>
      <c r="F21" s="38" t="s">
        <v>415</v>
      </c>
      <c r="G21" s="38"/>
    </row>
    <row r="22" spans="1:7" ht="15" customHeight="1" x14ac:dyDescent="0.25">
      <c r="A22" s="37">
        <v>45714</v>
      </c>
      <c r="B22" s="38" t="s">
        <v>328</v>
      </c>
      <c r="C22" s="39">
        <v>17000</v>
      </c>
      <c r="D22" s="39"/>
      <c r="E22" s="39" t="s">
        <v>329</v>
      </c>
      <c r="F22" s="38" t="s">
        <v>416</v>
      </c>
      <c r="G22" s="38"/>
    </row>
    <row r="23" spans="1:7" ht="15" customHeight="1" x14ac:dyDescent="0.25">
      <c r="A23" s="37">
        <v>45714</v>
      </c>
      <c r="B23" s="38" t="s">
        <v>201</v>
      </c>
      <c r="C23" s="39">
        <v>6</v>
      </c>
      <c r="D23" s="39"/>
      <c r="E23" s="39" t="s">
        <v>330</v>
      </c>
      <c r="F23" s="38"/>
      <c r="G23" s="38"/>
    </row>
    <row r="24" spans="1:7" ht="15" customHeight="1" x14ac:dyDescent="0.25">
      <c r="A24" s="37">
        <v>45715</v>
      </c>
      <c r="B24" s="38" t="s">
        <v>331</v>
      </c>
      <c r="C24" s="39">
        <v>27000</v>
      </c>
      <c r="D24" s="39"/>
      <c r="E24" s="39" t="s">
        <v>332</v>
      </c>
      <c r="F24" s="38" t="s">
        <v>23</v>
      </c>
      <c r="G24" s="38"/>
    </row>
    <row r="25" spans="1:7" ht="15" customHeight="1" x14ac:dyDescent="0.25">
      <c r="A25" s="37">
        <v>45716</v>
      </c>
      <c r="B25" s="38" t="s">
        <v>308</v>
      </c>
      <c r="C25" s="39">
        <v>4149</v>
      </c>
      <c r="D25" s="39"/>
      <c r="E25" s="39" t="s">
        <v>333</v>
      </c>
      <c r="F25" s="38" t="s">
        <v>407</v>
      </c>
      <c r="G25" s="38"/>
    </row>
    <row r="26" spans="1:7" ht="15" customHeight="1" x14ac:dyDescent="0.25">
      <c r="A26" s="37">
        <v>45724</v>
      </c>
      <c r="B26" s="38" t="s">
        <v>334</v>
      </c>
      <c r="C26" s="39">
        <v>1770</v>
      </c>
      <c r="D26" s="39"/>
      <c r="E26" s="39" t="s">
        <v>335</v>
      </c>
      <c r="F26" s="38" t="s">
        <v>417</v>
      </c>
      <c r="G26" s="38"/>
    </row>
    <row r="27" spans="1:7" ht="15" customHeight="1" x14ac:dyDescent="0.25">
      <c r="A27" s="37">
        <v>45730</v>
      </c>
      <c r="B27" s="38" t="s">
        <v>336</v>
      </c>
      <c r="C27" s="39">
        <v>8000</v>
      </c>
      <c r="D27" s="39"/>
      <c r="E27" s="39" t="s">
        <v>337</v>
      </c>
      <c r="F27" s="38" t="s">
        <v>417</v>
      </c>
      <c r="G27" s="38"/>
    </row>
    <row r="28" spans="1:7" ht="15" customHeight="1" x14ac:dyDescent="0.25">
      <c r="A28" s="37">
        <v>45730</v>
      </c>
      <c r="B28" s="38" t="s">
        <v>338</v>
      </c>
      <c r="C28" s="39">
        <v>30000</v>
      </c>
      <c r="D28" s="39"/>
      <c r="E28" s="39" t="s">
        <v>339</v>
      </c>
      <c r="F28" s="38" t="s">
        <v>132</v>
      </c>
      <c r="G28" s="38"/>
    </row>
    <row r="29" spans="1:7" ht="15" customHeight="1" x14ac:dyDescent="0.25">
      <c r="A29" s="37">
        <v>45730</v>
      </c>
      <c r="B29" s="38" t="s">
        <v>201</v>
      </c>
      <c r="C29" s="39">
        <v>6</v>
      </c>
      <c r="D29" s="39"/>
      <c r="E29" s="39" t="s">
        <v>340</v>
      </c>
      <c r="F29" s="38"/>
      <c r="G29" s="38"/>
    </row>
    <row r="30" spans="1:7" ht="15" customHeight="1" x14ac:dyDescent="0.25">
      <c r="A30" s="37">
        <v>45731</v>
      </c>
      <c r="B30" s="38" t="s">
        <v>341</v>
      </c>
      <c r="C30" s="39"/>
      <c r="D30" s="39">
        <v>1</v>
      </c>
      <c r="E30" s="39" t="s">
        <v>342</v>
      </c>
      <c r="F30" s="38" t="s">
        <v>418</v>
      </c>
      <c r="G30" s="38" t="s">
        <v>85</v>
      </c>
    </row>
    <row r="31" spans="1:7" ht="15" customHeight="1" x14ac:dyDescent="0.25">
      <c r="A31" s="37">
        <v>45734</v>
      </c>
      <c r="B31" s="38" t="s">
        <v>343</v>
      </c>
      <c r="C31" s="39">
        <v>15000</v>
      </c>
      <c r="D31" s="39"/>
      <c r="E31" s="39" t="s">
        <v>344</v>
      </c>
      <c r="F31" s="38" t="s">
        <v>419</v>
      </c>
      <c r="G31" s="38" t="s">
        <v>420</v>
      </c>
    </row>
    <row r="32" spans="1:7" ht="15" customHeight="1" x14ac:dyDescent="0.25">
      <c r="A32" s="37">
        <v>45734</v>
      </c>
      <c r="B32" s="38" t="s">
        <v>201</v>
      </c>
      <c r="C32" s="39">
        <v>6</v>
      </c>
      <c r="D32" s="39"/>
      <c r="E32" s="39" t="s">
        <v>345</v>
      </c>
      <c r="F32" s="38"/>
      <c r="G32" s="38"/>
    </row>
    <row r="33" spans="1:7" ht="15" customHeight="1" x14ac:dyDescent="0.25">
      <c r="A33" s="37">
        <v>45737</v>
      </c>
      <c r="B33" s="38" t="s">
        <v>346</v>
      </c>
      <c r="C33" s="39"/>
      <c r="D33" s="39">
        <v>14309</v>
      </c>
      <c r="E33" s="39" t="s">
        <v>347</v>
      </c>
      <c r="F33" s="38" t="s">
        <v>418</v>
      </c>
      <c r="G33" s="38" t="s">
        <v>85</v>
      </c>
    </row>
    <row r="34" spans="1:7" ht="15" customHeight="1" x14ac:dyDescent="0.25">
      <c r="A34" s="37">
        <v>45738</v>
      </c>
      <c r="B34" s="38" t="s">
        <v>348</v>
      </c>
      <c r="C34" s="39">
        <v>4</v>
      </c>
      <c r="D34" s="39"/>
      <c r="E34" s="39" t="s">
        <v>349</v>
      </c>
      <c r="F34" s="38" t="s">
        <v>230</v>
      </c>
      <c r="G34" s="38"/>
    </row>
    <row r="35" spans="1:7" ht="15" customHeight="1" x14ac:dyDescent="0.25">
      <c r="A35" s="37">
        <v>45739</v>
      </c>
      <c r="B35" s="38" t="s">
        <v>350</v>
      </c>
      <c r="C35" s="39">
        <v>70000</v>
      </c>
      <c r="D35" s="39"/>
      <c r="E35" s="39" t="s">
        <v>351</v>
      </c>
      <c r="F35" s="38" t="s">
        <v>187</v>
      </c>
      <c r="G35" s="38" t="s">
        <v>421</v>
      </c>
    </row>
    <row r="36" spans="1:7" ht="15" customHeight="1" x14ac:dyDescent="0.25">
      <c r="A36" s="37">
        <v>45741</v>
      </c>
      <c r="B36" s="38" t="s">
        <v>352</v>
      </c>
      <c r="C36" s="39">
        <v>189.33</v>
      </c>
      <c r="D36" s="39"/>
      <c r="E36" s="39" t="s">
        <v>353</v>
      </c>
      <c r="F36" s="38" t="s">
        <v>422</v>
      </c>
      <c r="G36" s="38"/>
    </row>
    <row r="37" spans="1:7" ht="15" customHeight="1" x14ac:dyDescent="0.25">
      <c r="A37" s="37">
        <v>45742</v>
      </c>
      <c r="B37" s="38" t="s">
        <v>354</v>
      </c>
      <c r="C37" s="39"/>
      <c r="D37" s="39">
        <v>72322</v>
      </c>
      <c r="E37" s="39" t="s">
        <v>355</v>
      </c>
      <c r="F37" s="38" t="s">
        <v>423</v>
      </c>
      <c r="G37" s="38" t="s">
        <v>414</v>
      </c>
    </row>
    <row r="38" spans="1:7" ht="15" customHeight="1" x14ac:dyDescent="0.25">
      <c r="A38" s="37">
        <v>45745</v>
      </c>
      <c r="B38" s="38" t="s">
        <v>356</v>
      </c>
      <c r="C38" s="39"/>
      <c r="D38" s="39" t="s">
        <v>357</v>
      </c>
      <c r="E38" s="39" t="s">
        <v>358</v>
      </c>
      <c r="F38" s="38" t="s">
        <v>409</v>
      </c>
      <c r="G38" s="38" t="s">
        <v>414</v>
      </c>
    </row>
    <row r="39" spans="1:7" ht="15" customHeight="1" x14ac:dyDescent="0.25">
      <c r="A39" s="37">
        <v>45747</v>
      </c>
      <c r="B39" s="38" t="s">
        <v>359</v>
      </c>
      <c r="C39" s="39">
        <v>75000</v>
      </c>
      <c r="D39" s="39"/>
      <c r="E39" s="39" t="s">
        <v>360</v>
      </c>
      <c r="F39" s="38" t="s">
        <v>187</v>
      </c>
      <c r="G39" s="38"/>
    </row>
    <row r="40" spans="1:7" ht="15" customHeight="1" x14ac:dyDescent="0.25">
      <c r="A40" s="37">
        <v>45747</v>
      </c>
      <c r="B40" s="38" t="s">
        <v>361</v>
      </c>
      <c r="C40" s="39">
        <v>148</v>
      </c>
      <c r="D40" s="39"/>
      <c r="E40" s="39" t="s">
        <v>362</v>
      </c>
      <c r="F40" s="38"/>
      <c r="G40" s="38"/>
    </row>
    <row r="41" spans="1:7" ht="15" customHeight="1" x14ac:dyDescent="0.25">
      <c r="A41" s="37">
        <v>45747</v>
      </c>
      <c r="B41" s="38" t="s">
        <v>308</v>
      </c>
      <c r="C41" s="39">
        <v>4513</v>
      </c>
      <c r="D41" s="39"/>
      <c r="E41" s="39" t="s">
        <v>363</v>
      </c>
      <c r="F41" s="38" t="s">
        <v>407</v>
      </c>
      <c r="G41" s="38"/>
    </row>
    <row r="42" spans="1:7" ht="15" customHeight="1" x14ac:dyDescent="0.25">
      <c r="A42" s="37">
        <v>45753</v>
      </c>
      <c r="B42" s="38" t="s">
        <v>364</v>
      </c>
      <c r="C42" s="39" t="s">
        <v>365</v>
      </c>
      <c r="D42" s="39"/>
      <c r="E42" s="39" t="s">
        <v>366</v>
      </c>
      <c r="F42" s="38" t="s">
        <v>405</v>
      </c>
      <c r="G42" s="38"/>
    </row>
    <row r="43" spans="1:7" ht="15" customHeight="1" x14ac:dyDescent="0.25">
      <c r="A43" s="37">
        <v>45753</v>
      </c>
      <c r="B43" s="38" t="s">
        <v>201</v>
      </c>
      <c r="C43" s="39">
        <v>17</v>
      </c>
      <c r="D43" s="39"/>
      <c r="E43" s="39" t="s">
        <v>367</v>
      </c>
      <c r="F43" s="38"/>
      <c r="G43" s="38"/>
    </row>
    <row r="44" spans="1:7" ht="15" customHeight="1" x14ac:dyDescent="0.25">
      <c r="A44" s="37">
        <v>45755</v>
      </c>
      <c r="B44" s="38" t="s">
        <v>368</v>
      </c>
      <c r="C44" s="39">
        <v>92276</v>
      </c>
      <c r="D44" s="39"/>
      <c r="E44" s="39" t="s">
        <v>369</v>
      </c>
      <c r="F44" s="38" t="s">
        <v>424</v>
      </c>
      <c r="G44" s="38" t="s">
        <v>105</v>
      </c>
    </row>
    <row r="45" spans="1:7" ht="15" customHeight="1" x14ac:dyDescent="0.25">
      <c r="A45" s="37">
        <v>45755</v>
      </c>
      <c r="B45" s="38" t="s">
        <v>262</v>
      </c>
      <c r="C45" s="39">
        <v>9.44</v>
      </c>
      <c r="D45" s="39"/>
      <c r="E45" s="39" t="s">
        <v>370</v>
      </c>
      <c r="F45" s="38"/>
      <c r="G45" s="38"/>
    </row>
    <row r="46" spans="1:7" ht="15" customHeight="1" x14ac:dyDescent="0.25">
      <c r="A46" s="37">
        <v>45764</v>
      </c>
      <c r="B46" s="38" t="s">
        <v>371</v>
      </c>
      <c r="C46" s="39"/>
      <c r="D46" s="39" t="s">
        <v>215</v>
      </c>
      <c r="E46" s="39" t="s">
        <v>372</v>
      </c>
      <c r="F46" s="38" t="s">
        <v>410</v>
      </c>
      <c r="G46" s="38"/>
    </row>
    <row r="47" spans="1:7" ht="15" customHeight="1" x14ac:dyDescent="0.25">
      <c r="A47" s="37">
        <v>45777</v>
      </c>
      <c r="B47" s="38" t="s">
        <v>308</v>
      </c>
      <c r="C47" s="39">
        <v>4651</v>
      </c>
      <c r="D47" s="39"/>
      <c r="E47" s="39" t="s">
        <v>373</v>
      </c>
      <c r="F47" s="38" t="s">
        <v>407</v>
      </c>
      <c r="G47" s="38"/>
    </row>
    <row r="48" spans="1:7" ht="15" customHeight="1" x14ac:dyDescent="0.25">
      <c r="A48" s="37">
        <v>45777</v>
      </c>
      <c r="B48" s="38" t="s">
        <v>374</v>
      </c>
      <c r="C48" s="39">
        <v>184</v>
      </c>
      <c r="D48" s="39"/>
      <c r="E48" s="39" t="s">
        <v>375</v>
      </c>
      <c r="F48" s="38" t="s">
        <v>415</v>
      </c>
      <c r="G48" s="38"/>
    </row>
    <row r="49" spans="1:7" ht="15" customHeight="1" x14ac:dyDescent="0.25">
      <c r="A49" s="37">
        <v>45780</v>
      </c>
      <c r="B49" s="38" t="s">
        <v>352</v>
      </c>
      <c r="C49" s="39">
        <v>2272</v>
      </c>
      <c r="D49" s="39"/>
      <c r="E49" s="39" t="s">
        <v>376</v>
      </c>
      <c r="F49" s="38" t="s">
        <v>422</v>
      </c>
      <c r="G49" s="38"/>
    </row>
    <row r="50" spans="1:7" ht="15" customHeight="1" x14ac:dyDescent="0.25">
      <c r="A50" s="37">
        <v>45780</v>
      </c>
      <c r="B50" s="38" t="s">
        <v>377</v>
      </c>
      <c r="C50" s="39">
        <v>1298</v>
      </c>
      <c r="D50" s="39"/>
      <c r="E50" s="39" t="s">
        <v>378</v>
      </c>
      <c r="F50" s="38" t="s">
        <v>425</v>
      </c>
      <c r="G50" s="38"/>
    </row>
    <row r="51" spans="1:7" ht="15" customHeight="1" x14ac:dyDescent="0.25">
      <c r="A51" s="37">
        <v>45783</v>
      </c>
      <c r="B51" s="38" t="s">
        <v>379</v>
      </c>
      <c r="C51" s="39"/>
      <c r="D51" s="39">
        <v>17468</v>
      </c>
      <c r="E51" s="39" t="s">
        <v>380</v>
      </c>
      <c r="F51" s="38" t="s">
        <v>418</v>
      </c>
      <c r="G51" s="38" t="s">
        <v>85</v>
      </c>
    </row>
    <row r="52" spans="1:7" ht="15" customHeight="1" x14ac:dyDescent="0.25">
      <c r="A52" s="37">
        <v>45784</v>
      </c>
      <c r="B52" s="38" t="s">
        <v>381</v>
      </c>
      <c r="C52" s="39" t="s">
        <v>382</v>
      </c>
      <c r="D52" s="39"/>
      <c r="E52" s="39" t="s">
        <v>383</v>
      </c>
      <c r="F52" s="38" t="s">
        <v>405</v>
      </c>
      <c r="G52" s="38" t="s">
        <v>426</v>
      </c>
    </row>
    <row r="53" spans="1:7" ht="15" customHeight="1" x14ac:dyDescent="0.25">
      <c r="A53" s="37">
        <v>45785</v>
      </c>
      <c r="B53" s="38" t="s">
        <v>201</v>
      </c>
      <c r="C53" s="39">
        <v>17</v>
      </c>
      <c r="D53" s="39"/>
      <c r="E53" s="39" t="s">
        <v>384</v>
      </c>
      <c r="F53" s="38"/>
      <c r="G53" s="38"/>
    </row>
    <row r="54" spans="1:7" ht="15" customHeight="1" x14ac:dyDescent="0.25">
      <c r="A54" s="37">
        <v>45789</v>
      </c>
      <c r="B54" s="38" t="s">
        <v>316</v>
      </c>
      <c r="C54" s="39" t="s">
        <v>279</v>
      </c>
      <c r="D54" s="39"/>
      <c r="E54" s="39" t="s">
        <v>385</v>
      </c>
      <c r="F54" s="38" t="s">
        <v>29</v>
      </c>
      <c r="G54" s="38"/>
    </row>
    <row r="55" spans="1:7" ht="15" customHeight="1" x14ac:dyDescent="0.25">
      <c r="A55" s="37">
        <v>45795</v>
      </c>
      <c r="B55" s="38" t="s">
        <v>386</v>
      </c>
      <c r="C55" s="39">
        <v>30000</v>
      </c>
      <c r="D55" s="39"/>
      <c r="E55" s="39" t="s">
        <v>387</v>
      </c>
      <c r="F55" s="38" t="s">
        <v>132</v>
      </c>
      <c r="G55" s="38"/>
    </row>
    <row r="56" spans="1:7" ht="15" customHeight="1" x14ac:dyDescent="0.25">
      <c r="A56" s="37">
        <v>45795</v>
      </c>
      <c r="B56" s="38" t="s">
        <v>201</v>
      </c>
      <c r="C56" s="39"/>
      <c r="D56" s="39">
        <v>6</v>
      </c>
      <c r="E56" s="39" t="s">
        <v>388</v>
      </c>
      <c r="F56" s="38"/>
      <c r="G56" s="38"/>
    </row>
    <row r="57" spans="1:7" ht="15" customHeight="1" x14ac:dyDescent="0.25">
      <c r="A57" s="37">
        <v>45800</v>
      </c>
      <c r="B57" s="38" t="s">
        <v>324</v>
      </c>
      <c r="C57" s="39"/>
      <c r="D57" s="39">
        <v>50000</v>
      </c>
      <c r="E57" s="39" t="s">
        <v>389</v>
      </c>
      <c r="F57" s="38" t="s">
        <v>413</v>
      </c>
      <c r="G57" s="38" t="s">
        <v>414</v>
      </c>
    </row>
    <row r="58" spans="1:7" ht="15" customHeight="1" x14ac:dyDescent="0.25">
      <c r="A58" s="37">
        <v>45808</v>
      </c>
      <c r="B58" s="38" t="s">
        <v>308</v>
      </c>
      <c r="C58" s="39">
        <v>5633</v>
      </c>
      <c r="D58" s="39"/>
      <c r="E58" s="39" t="s">
        <v>390</v>
      </c>
      <c r="F58" s="38" t="s">
        <v>407</v>
      </c>
      <c r="G58" s="38"/>
    </row>
    <row r="59" spans="1:7" ht="15" customHeight="1" x14ac:dyDescent="0.25">
      <c r="A59" s="37">
        <v>45808</v>
      </c>
      <c r="B59" s="38" t="s">
        <v>374</v>
      </c>
      <c r="C59" s="39">
        <v>62</v>
      </c>
      <c r="D59" s="39"/>
      <c r="E59" s="39" t="s">
        <v>391</v>
      </c>
      <c r="F59" s="38" t="s">
        <v>415</v>
      </c>
      <c r="G59" s="38"/>
    </row>
    <row r="60" spans="1:7" ht="15" customHeight="1" x14ac:dyDescent="0.25">
      <c r="A60" s="37">
        <v>45810</v>
      </c>
      <c r="B60" s="38" t="s">
        <v>392</v>
      </c>
      <c r="C60" s="39">
        <v>54.5</v>
      </c>
      <c r="D60" s="39"/>
      <c r="E60" s="39" t="s">
        <v>393</v>
      </c>
      <c r="F60" s="38" t="s">
        <v>422</v>
      </c>
      <c r="G60" s="38"/>
    </row>
    <row r="61" spans="1:7" ht="15" customHeight="1" x14ac:dyDescent="0.25">
      <c r="A61" s="37">
        <v>45810</v>
      </c>
      <c r="B61" s="38" t="s">
        <v>394</v>
      </c>
      <c r="C61" s="39">
        <v>9.81</v>
      </c>
      <c r="D61" s="39"/>
      <c r="E61" s="39" t="s">
        <v>395</v>
      </c>
      <c r="F61" s="38" t="s">
        <v>422</v>
      </c>
      <c r="G61" s="38"/>
    </row>
    <row r="62" spans="1:7" ht="15" customHeight="1" x14ac:dyDescent="0.25">
      <c r="A62" s="37">
        <v>45814</v>
      </c>
      <c r="B62" s="38" t="s">
        <v>396</v>
      </c>
      <c r="C62" s="39" t="s">
        <v>279</v>
      </c>
      <c r="D62" s="39"/>
      <c r="E62" s="39" t="s">
        <v>397</v>
      </c>
      <c r="F62" s="38" t="s">
        <v>405</v>
      </c>
      <c r="G62" s="38" t="s">
        <v>426</v>
      </c>
    </row>
    <row r="63" spans="1:7" ht="15" customHeight="1" x14ac:dyDescent="0.25">
      <c r="A63" s="37">
        <v>45814</v>
      </c>
      <c r="B63" s="38" t="s">
        <v>201</v>
      </c>
      <c r="C63" s="39">
        <v>6</v>
      </c>
      <c r="D63" s="39"/>
      <c r="E63" s="39" t="s">
        <v>398</v>
      </c>
      <c r="F63" s="38"/>
      <c r="G63" s="38"/>
    </row>
    <row r="64" spans="1:7" ht="15" customHeight="1" x14ac:dyDescent="0.25">
      <c r="A64" s="37">
        <v>45816</v>
      </c>
      <c r="B64" s="38" t="s">
        <v>334</v>
      </c>
      <c r="C64" s="39">
        <v>1770</v>
      </c>
      <c r="D64" s="39"/>
      <c r="E64" s="39" t="s">
        <v>399</v>
      </c>
      <c r="F64" s="38" t="s">
        <v>417</v>
      </c>
      <c r="G64" s="38"/>
    </row>
    <row r="65" spans="1:7" ht="12" customHeight="1" x14ac:dyDescent="0.25">
      <c r="A65" s="37">
        <v>45810</v>
      </c>
      <c r="B65" s="38" t="s">
        <v>392</v>
      </c>
      <c r="C65" s="39">
        <v>54.5</v>
      </c>
      <c r="D65" s="39"/>
      <c r="E65" s="39" t="s">
        <v>393</v>
      </c>
      <c r="F65" s="38" t="s">
        <v>499</v>
      </c>
      <c r="G65" s="38"/>
    </row>
    <row r="66" spans="1:7" ht="12" customHeight="1" x14ac:dyDescent="0.25">
      <c r="A66" s="37">
        <v>45810</v>
      </c>
      <c r="B66" s="38" t="s">
        <v>394</v>
      </c>
      <c r="C66" s="39">
        <v>9.81</v>
      </c>
      <c r="D66" s="39"/>
      <c r="E66" s="39" t="s">
        <v>395</v>
      </c>
      <c r="F66" s="38" t="s">
        <v>499</v>
      </c>
      <c r="G66" s="38"/>
    </row>
    <row r="67" spans="1:7" ht="12" customHeight="1" x14ac:dyDescent="0.25">
      <c r="A67" s="37">
        <v>45814</v>
      </c>
      <c r="B67" s="38" t="s">
        <v>396</v>
      </c>
      <c r="C67" s="39" t="s">
        <v>279</v>
      </c>
      <c r="D67" s="39"/>
      <c r="E67" s="39" t="s">
        <v>397</v>
      </c>
      <c r="F67" s="38"/>
      <c r="G67" s="38"/>
    </row>
    <row r="68" spans="1:7" ht="12" customHeight="1" x14ac:dyDescent="0.25">
      <c r="A68" s="37">
        <v>45814</v>
      </c>
      <c r="B68" s="38" t="s">
        <v>201</v>
      </c>
      <c r="C68" s="39">
        <v>6</v>
      </c>
      <c r="D68" s="39"/>
      <c r="E68" s="39" t="s">
        <v>398</v>
      </c>
      <c r="F68" s="38" t="s">
        <v>499</v>
      </c>
      <c r="G68" s="38"/>
    </row>
    <row r="69" spans="1:7" ht="12" customHeight="1" x14ac:dyDescent="0.25">
      <c r="A69" s="37">
        <v>45816</v>
      </c>
      <c r="B69" s="38" t="s">
        <v>334</v>
      </c>
      <c r="C69" s="39">
        <v>1770</v>
      </c>
      <c r="D69" s="39"/>
      <c r="E69" s="39" t="s">
        <v>399</v>
      </c>
      <c r="F69" s="38" t="s">
        <v>417</v>
      </c>
      <c r="G69" s="38"/>
    </row>
    <row r="70" spans="1:7" ht="12" customHeight="1" x14ac:dyDescent="0.25">
      <c r="A70" s="37">
        <v>45828</v>
      </c>
      <c r="B70" s="38" t="s">
        <v>475</v>
      </c>
      <c r="D70" s="39" t="s">
        <v>476</v>
      </c>
      <c r="E70" s="39" t="s">
        <v>477</v>
      </c>
      <c r="F70" s="38" t="s">
        <v>423</v>
      </c>
      <c r="G70" s="38" t="s">
        <v>85</v>
      </c>
    </row>
    <row r="71" spans="1:7" ht="12" customHeight="1" x14ac:dyDescent="0.25">
      <c r="A71" s="37">
        <v>45836</v>
      </c>
      <c r="B71" s="38" t="s">
        <v>348</v>
      </c>
      <c r="C71" s="39">
        <v>3</v>
      </c>
      <c r="D71" s="39"/>
      <c r="E71" s="39" t="s">
        <v>478</v>
      </c>
      <c r="F71" s="38" t="s">
        <v>230</v>
      </c>
      <c r="G71" s="38"/>
    </row>
    <row r="72" spans="1:7" ht="12" customHeight="1" x14ac:dyDescent="0.25">
      <c r="A72" s="37">
        <v>45837</v>
      </c>
      <c r="B72" s="38" t="s">
        <v>479</v>
      </c>
      <c r="C72" s="39" t="s">
        <v>460</v>
      </c>
      <c r="D72" s="39"/>
      <c r="E72" s="39" t="s">
        <v>480</v>
      </c>
      <c r="F72" s="38" t="s">
        <v>410</v>
      </c>
      <c r="G72" s="38"/>
    </row>
    <row r="73" spans="1:7" ht="12" customHeight="1" x14ac:dyDescent="0.25">
      <c r="A73" s="37">
        <v>45838</v>
      </c>
      <c r="B73" s="38" t="s">
        <v>361</v>
      </c>
      <c r="C73" s="39">
        <v>148</v>
      </c>
      <c r="D73" s="39"/>
      <c r="E73" s="39" t="s">
        <v>481</v>
      </c>
      <c r="F73" s="38" t="s">
        <v>499</v>
      </c>
      <c r="G73" s="38"/>
    </row>
    <row r="74" spans="1:7" ht="12" customHeight="1" x14ac:dyDescent="0.25">
      <c r="A74" s="37">
        <v>45838</v>
      </c>
      <c r="B74" s="38" t="s">
        <v>308</v>
      </c>
      <c r="C74" s="39">
        <v>5691</v>
      </c>
      <c r="D74" s="39"/>
      <c r="E74" s="39" t="s">
        <v>482</v>
      </c>
      <c r="F74" s="38" t="s">
        <v>503</v>
      </c>
      <c r="G74" s="38"/>
    </row>
    <row r="75" spans="1:7" ht="12" customHeight="1" x14ac:dyDescent="0.25">
      <c r="A75" s="37">
        <v>45845</v>
      </c>
      <c r="B75" s="38" t="s">
        <v>483</v>
      </c>
      <c r="D75" s="39" t="s">
        <v>484</v>
      </c>
      <c r="E75" s="39" t="s">
        <v>485</v>
      </c>
      <c r="F75" s="38" t="s">
        <v>423</v>
      </c>
      <c r="G75" s="38" t="s">
        <v>85</v>
      </c>
    </row>
    <row r="76" spans="1:7" ht="12" customHeight="1" x14ac:dyDescent="0.25">
      <c r="A76" s="37">
        <v>45847</v>
      </c>
      <c r="B76" s="38" t="s">
        <v>486</v>
      </c>
      <c r="C76" s="39" t="s">
        <v>279</v>
      </c>
      <c r="D76" s="39"/>
      <c r="E76" s="39" t="s">
        <v>487</v>
      </c>
      <c r="F76" s="38" t="s">
        <v>500</v>
      </c>
      <c r="G76" s="38"/>
    </row>
    <row r="77" spans="1:7" ht="12" customHeight="1" x14ac:dyDescent="0.25">
      <c r="A77" s="37">
        <v>45847</v>
      </c>
      <c r="B77" s="38" t="s">
        <v>201</v>
      </c>
      <c r="C77" s="39">
        <v>6</v>
      </c>
      <c r="D77" s="39"/>
      <c r="E77" s="39" t="s">
        <v>488</v>
      </c>
      <c r="F77" s="38" t="s">
        <v>499</v>
      </c>
      <c r="G77" s="38"/>
    </row>
    <row r="78" spans="1:7" ht="12" customHeight="1" x14ac:dyDescent="0.25">
      <c r="A78" s="37">
        <v>45852</v>
      </c>
      <c r="B78" s="38" t="s">
        <v>489</v>
      </c>
      <c r="C78" s="39">
        <v>30000</v>
      </c>
      <c r="D78" s="39"/>
      <c r="E78" s="39" t="s">
        <v>490</v>
      </c>
      <c r="F78" s="38" t="s">
        <v>132</v>
      </c>
      <c r="G78" s="38"/>
    </row>
    <row r="79" spans="1:7" ht="12" customHeight="1" x14ac:dyDescent="0.25">
      <c r="A79" s="37">
        <v>45852</v>
      </c>
      <c r="B79" s="38" t="s">
        <v>201</v>
      </c>
      <c r="C79" s="39">
        <v>6</v>
      </c>
      <c r="D79" s="39"/>
      <c r="E79" s="39" t="s">
        <v>491</v>
      </c>
      <c r="F79" s="38" t="s">
        <v>499</v>
      </c>
      <c r="G79" s="38"/>
    </row>
    <row r="80" spans="1:7" ht="12" customHeight="1" x14ac:dyDescent="0.25">
      <c r="A80" s="37">
        <v>45852</v>
      </c>
      <c r="B80" s="38" t="s">
        <v>492</v>
      </c>
      <c r="C80" s="39">
        <v>20000</v>
      </c>
      <c r="D80" s="39"/>
      <c r="E80" s="39" t="s">
        <v>493</v>
      </c>
      <c r="F80" s="38" t="s">
        <v>419</v>
      </c>
      <c r="G80" s="38"/>
    </row>
    <row r="81" spans="1:7" ht="12" customHeight="1" x14ac:dyDescent="0.25">
      <c r="A81" s="37">
        <v>45852</v>
      </c>
      <c r="B81" s="38" t="s">
        <v>201</v>
      </c>
      <c r="C81" s="39">
        <v>6</v>
      </c>
      <c r="D81" s="39"/>
      <c r="E81" s="39" t="s">
        <v>494</v>
      </c>
      <c r="F81" s="38" t="s">
        <v>499</v>
      </c>
      <c r="G81" s="38"/>
    </row>
    <row r="82" spans="1:7" ht="12" customHeight="1" x14ac:dyDescent="0.25">
      <c r="A82" s="37">
        <v>45858</v>
      </c>
      <c r="B82" s="38" t="s">
        <v>495</v>
      </c>
      <c r="C82" s="39">
        <v>19729</v>
      </c>
      <c r="D82" s="39"/>
      <c r="E82" s="39" t="s">
        <v>496</v>
      </c>
      <c r="F82" s="38" t="s">
        <v>501</v>
      </c>
      <c r="G82" s="38" t="s">
        <v>502</v>
      </c>
    </row>
    <row r="83" spans="1:7" ht="12" customHeight="1" x14ac:dyDescent="0.25">
      <c r="A83" s="37">
        <v>45860</v>
      </c>
      <c r="B83" s="38" t="s">
        <v>497</v>
      </c>
      <c r="C83" s="39">
        <v>1474</v>
      </c>
      <c r="D83" s="39"/>
      <c r="E83" s="39" t="s">
        <v>498</v>
      </c>
      <c r="F83" s="38" t="s">
        <v>259</v>
      </c>
      <c r="G83" s="38"/>
    </row>
    <row r="84" spans="1:7" ht="15" customHeight="1" x14ac:dyDescent="0.25">
      <c r="A84" s="57"/>
      <c r="B84" s="58"/>
      <c r="C84" s="59"/>
      <c r="D84" s="59"/>
      <c r="E84" s="59"/>
      <c r="F84" s="58"/>
      <c r="G84" s="58"/>
    </row>
    <row r="85" spans="1:7" ht="15" customHeight="1" x14ac:dyDescent="0.25">
      <c r="A85" s="57"/>
      <c r="B85" s="58"/>
      <c r="C85" s="59"/>
      <c r="D85" s="59"/>
      <c r="E85" s="59"/>
      <c r="F85" s="58"/>
      <c r="G85" s="58"/>
    </row>
    <row r="86" spans="1:7" ht="15" customHeight="1" x14ac:dyDescent="0.25">
      <c r="A86" s="57"/>
      <c r="B86" s="58"/>
      <c r="C86" s="59"/>
      <c r="D86" s="59"/>
      <c r="E86" s="59"/>
      <c r="F86" s="58"/>
      <c r="G86" s="58"/>
    </row>
    <row r="87" spans="1:7" ht="15" customHeight="1" x14ac:dyDescent="0.25">
      <c r="A87" s="57"/>
      <c r="B87" s="58"/>
      <c r="C87" s="59"/>
      <c r="D87" s="59"/>
      <c r="E87" s="59"/>
      <c r="F87" s="58"/>
      <c r="G87" s="58"/>
    </row>
    <row r="88" spans="1:7" ht="15" customHeight="1" x14ac:dyDescent="0.25">
      <c r="A88" s="57"/>
      <c r="B88" s="58"/>
      <c r="C88" s="59"/>
      <c r="D88" s="59"/>
      <c r="E88" s="59"/>
      <c r="F88" s="58"/>
      <c r="G88" s="58"/>
    </row>
    <row r="89" spans="1:7" ht="15" customHeight="1" x14ac:dyDescent="0.25">
      <c r="A89" s="57"/>
      <c r="B89" s="58"/>
      <c r="C89" s="59"/>
      <c r="D89" s="59"/>
      <c r="E89" s="59"/>
      <c r="F89" s="58"/>
      <c r="G89" s="58"/>
    </row>
    <row r="90" spans="1:7" ht="15" customHeight="1" x14ac:dyDescent="0.25">
      <c r="A90" s="57"/>
      <c r="B90" s="58"/>
      <c r="C90" s="59"/>
      <c r="D90" s="59"/>
      <c r="E90" s="59"/>
      <c r="F90" s="58"/>
      <c r="G90" s="58"/>
    </row>
    <row r="91" spans="1:7" ht="15" customHeight="1" x14ac:dyDescent="0.25">
      <c r="A91" s="57"/>
      <c r="B91" s="58"/>
      <c r="C91" s="59"/>
      <c r="D91" s="59"/>
      <c r="E91" s="59"/>
      <c r="F91" s="58"/>
      <c r="G91" s="58"/>
    </row>
    <row r="92" spans="1:7" ht="15" customHeight="1" x14ac:dyDescent="0.25">
      <c r="A92" s="57"/>
      <c r="B92" s="58"/>
      <c r="C92" s="59"/>
      <c r="D92" s="59"/>
      <c r="E92" s="59"/>
      <c r="F92" s="58"/>
      <c r="G92" s="58"/>
    </row>
    <row r="93" spans="1:7" ht="15" customHeight="1" x14ac:dyDescent="0.25">
      <c r="A93" s="57"/>
      <c r="B93" s="58"/>
      <c r="C93" s="59"/>
      <c r="D93" s="59"/>
      <c r="E93" s="59"/>
      <c r="F93" s="58"/>
      <c r="G93" s="58"/>
    </row>
    <row r="94" spans="1:7" ht="15" customHeight="1" x14ac:dyDescent="0.25">
      <c r="A94" s="57"/>
      <c r="B94" s="58"/>
      <c r="C94" s="59"/>
      <c r="D94" s="59"/>
      <c r="E94" s="59"/>
      <c r="F94" s="58"/>
      <c r="G94" s="58"/>
    </row>
    <row r="95" spans="1:7" ht="15" customHeight="1" x14ac:dyDescent="0.25">
      <c r="A95" s="57"/>
      <c r="B95" s="58"/>
      <c r="C95" s="59"/>
      <c r="D95" s="59"/>
      <c r="E95" s="59"/>
      <c r="F95" s="58"/>
      <c r="G95" s="58"/>
    </row>
    <row r="96" spans="1:7" ht="15" customHeight="1" x14ac:dyDescent="0.25">
      <c r="A96" s="57"/>
      <c r="B96" s="58"/>
      <c r="C96" s="59"/>
      <c r="D96" s="59"/>
      <c r="E96" s="59"/>
      <c r="F96" s="58"/>
      <c r="G96" s="58"/>
    </row>
    <row r="97" spans="1:7" ht="15" customHeight="1" x14ac:dyDescent="0.25">
      <c r="A97" s="57"/>
      <c r="B97" s="58"/>
      <c r="C97" s="59"/>
      <c r="D97" s="59"/>
      <c r="E97" s="59"/>
      <c r="F97" s="58"/>
      <c r="G97" s="58"/>
    </row>
    <row r="98" spans="1:7" ht="15" customHeight="1" x14ac:dyDescent="0.25">
      <c r="A98" s="57"/>
      <c r="B98" s="58"/>
      <c r="C98" s="59"/>
      <c r="D98" s="59"/>
      <c r="E98" s="59"/>
      <c r="F98" s="58"/>
      <c r="G98" s="58"/>
    </row>
    <row r="99" spans="1:7" ht="15" customHeight="1" x14ac:dyDescent="0.25">
      <c r="A99" s="57"/>
      <c r="B99" s="58"/>
      <c r="C99" s="59"/>
      <c r="D99" s="59"/>
      <c r="E99" s="59"/>
      <c r="F99" s="58"/>
      <c r="G99" s="58"/>
    </row>
    <row r="100" spans="1:7" ht="15" customHeight="1" x14ac:dyDescent="0.25">
      <c r="A100" s="57"/>
      <c r="B100" s="58"/>
      <c r="C100" s="59"/>
      <c r="D100" s="59"/>
      <c r="E100" s="59"/>
      <c r="F100" s="58"/>
      <c r="G100" s="58"/>
    </row>
    <row r="101" spans="1:7" ht="15" customHeight="1" x14ac:dyDescent="0.25">
      <c r="A101" s="57"/>
      <c r="B101" s="58"/>
      <c r="C101" s="59"/>
      <c r="D101" s="59"/>
      <c r="E101" s="59"/>
      <c r="F101" s="58"/>
      <c r="G101" s="58"/>
    </row>
    <row r="102" spans="1:7" ht="15" customHeight="1" x14ac:dyDescent="0.25">
      <c r="A102" s="57"/>
      <c r="B102" s="58"/>
      <c r="C102" s="59"/>
      <c r="D102" s="59"/>
      <c r="E102" s="59"/>
      <c r="F102" s="58"/>
      <c r="G102" s="58"/>
    </row>
    <row r="105" spans="1:7" ht="36" customHeight="1" x14ac:dyDescent="0.25">
      <c r="C105" s="35">
        <f>SUM(C3:C104)</f>
        <v>722296.39000000013</v>
      </c>
      <c r="D105" s="36">
        <f>SUM(D3:D104)</f>
        <v>278152</v>
      </c>
    </row>
  </sheetData>
  <autoFilter ref="A2:G64"/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Normal="100" workbookViewId="0">
      <selection activeCell="J4" sqref="J4"/>
    </sheetView>
  </sheetViews>
  <sheetFormatPr defaultRowHeight="15.75" x14ac:dyDescent="0.3"/>
  <cols>
    <col min="1" max="1" width="7.140625" style="44" customWidth="1"/>
    <col min="2" max="2" width="18" style="42" customWidth="1"/>
    <col min="3" max="3" width="13.5703125" style="42" customWidth="1"/>
    <col min="4" max="4" width="18" style="42" customWidth="1"/>
    <col min="5" max="5" width="13.5703125" style="42" customWidth="1"/>
    <col min="6" max="6" width="18" style="42" customWidth="1"/>
    <col min="7" max="7" width="13.5703125" style="42" customWidth="1"/>
    <col min="8" max="11" width="9.140625" style="42"/>
    <col min="12" max="12" width="12.7109375" style="42" customWidth="1"/>
    <col min="13" max="16384" width="9.140625" style="42"/>
  </cols>
  <sheetData>
    <row r="1" spans="1:9" ht="41.25" customHeight="1" x14ac:dyDescent="0.3">
      <c r="A1" s="81" t="s">
        <v>435</v>
      </c>
      <c r="B1" s="82"/>
      <c r="C1" s="82"/>
      <c r="D1" s="82"/>
      <c r="E1" s="82"/>
      <c r="F1" s="82"/>
      <c r="G1" s="83"/>
    </row>
    <row r="2" spans="1:9" ht="18" customHeight="1" x14ac:dyDescent="0.3">
      <c r="A2" s="84" t="s">
        <v>436</v>
      </c>
      <c r="B2" s="85"/>
      <c r="C2" s="85"/>
      <c r="D2" s="85"/>
      <c r="E2" s="85"/>
      <c r="F2" s="85"/>
      <c r="G2" s="86"/>
    </row>
    <row r="3" spans="1:9" ht="25.5" customHeight="1" x14ac:dyDescent="0.3">
      <c r="A3" s="56" t="s">
        <v>446</v>
      </c>
      <c r="B3" s="89" t="s">
        <v>449</v>
      </c>
      <c r="C3" s="89"/>
      <c r="D3" s="89" t="s">
        <v>437</v>
      </c>
      <c r="E3" s="89"/>
      <c r="F3" s="89" t="s">
        <v>437</v>
      </c>
      <c r="G3" s="90"/>
    </row>
    <row r="4" spans="1:9" ht="23.1" customHeight="1" x14ac:dyDescent="0.3">
      <c r="A4" s="87" t="s">
        <v>429</v>
      </c>
      <c r="B4" s="49"/>
      <c r="C4" s="50"/>
      <c r="D4" s="49"/>
      <c r="E4" s="50"/>
      <c r="F4" s="49"/>
      <c r="G4" s="51"/>
      <c r="H4" s="43"/>
      <c r="I4" s="43"/>
    </row>
    <row r="5" spans="1:9" ht="23.1" customHeight="1" x14ac:dyDescent="0.3">
      <c r="A5" s="87"/>
      <c r="B5" s="48"/>
      <c r="C5" s="45"/>
      <c r="D5" s="48"/>
      <c r="E5" s="45"/>
      <c r="F5" s="48"/>
      <c r="G5" s="46"/>
      <c r="H5" s="43"/>
      <c r="I5" s="43"/>
    </row>
    <row r="6" spans="1:9" ht="23.1" customHeight="1" x14ac:dyDescent="0.3">
      <c r="A6" s="87" t="s">
        <v>442</v>
      </c>
      <c r="B6" s="49"/>
      <c r="C6" s="50"/>
      <c r="D6" s="49"/>
      <c r="E6" s="50"/>
      <c r="F6" s="49"/>
      <c r="G6" s="51"/>
      <c r="H6" s="43"/>
      <c r="I6" s="43"/>
    </row>
    <row r="7" spans="1:9" ht="23.1" customHeight="1" x14ac:dyDescent="0.3">
      <c r="A7" s="87"/>
      <c r="B7" s="48"/>
      <c r="C7" s="45"/>
      <c r="D7" s="48"/>
      <c r="E7" s="45"/>
      <c r="F7" s="48"/>
      <c r="G7" s="46"/>
      <c r="H7" s="43"/>
      <c r="I7" s="43"/>
    </row>
    <row r="8" spans="1:9" ht="23.1" customHeight="1" x14ac:dyDescent="0.3">
      <c r="A8" s="87" t="s">
        <v>441</v>
      </c>
      <c r="B8" s="49"/>
      <c r="C8" s="50"/>
      <c r="D8" s="49"/>
      <c r="E8" s="50"/>
      <c r="F8" s="49"/>
      <c r="G8" s="51"/>
      <c r="H8" s="43"/>
      <c r="I8" s="43"/>
    </row>
    <row r="9" spans="1:9" ht="23.1" customHeight="1" x14ac:dyDescent="0.3">
      <c r="A9" s="87"/>
      <c r="B9" s="48"/>
      <c r="C9" s="45"/>
      <c r="D9" s="48"/>
      <c r="E9" s="45"/>
      <c r="F9" s="48"/>
      <c r="G9" s="46"/>
      <c r="H9" s="43"/>
      <c r="I9" s="43"/>
    </row>
    <row r="10" spans="1:9" ht="23.1" customHeight="1" x14ac:dyDescent="0.3">
      <c r="A10" s="87" t="s">
        <v>443</v>
      </c>
      <c r="B10" s="49"/>
      <c r="C10" s="50"/>
      <c r="D10" s="49"/>
      <c r="E10" s="50"/>
      <c r="F10" s="49"/>
      <c r="G10" s="51"/>
      <c r="H10" s="43"/>
      <c r="I10" s="43"/>
    </row>
    <row r="11" spans="1:9" ht="23.1" customHeight="1" x14ac:dyDescent="0.3">
      <c r="A11" s="87"/>
      <c r="B11" s="48"/>
      <c r="C11" s="45"/>
      <c r="D11" s="48"/>
      <c r="E11" s="45"/>
      <c r="F11" s="48"/>
      <c r="G11" s="46"/>
      <c r="H11" s="43"/>
      <c r="I11" s="43"/>
    </row>
    <row r="12" spans="1:9" ht="23.1" customHeight="1" x14ac:dyDescent="0.3">
      <c r="A12" s="87" t="s">
        <v>430</v>
      </c>
      <c r="B12" s="49"/>
      <c r="C12" s="50"/>
      <c r="D12" s="49"/>
      <c r="E12" s="50"/>
      <c r="F12" s="49"/>
      <c r="G12" s="51"/>
      <c r="H12" s="43"/>
      <c r="I12" s="43"/>
    </row>
    <row r="13" spans="1:9" ht="23.1" customHeight="1" x14ac:dyDescent="0.3">
      <c r="A13" s="87"/>
      <c r="B13" s="48"/>
      <c r="C13" s="45"/>
      <c r="D13" s="48"/>
      <c r="E13" s="45"/>
      <c r="F13" s="48"/>
      <c r="G13" s="46"/>
      <c r="H13" s="43"/>
      <c r="I13" s="43"/>
    </row>
    <row r="14" spans="1:9" ht="23.1" customHeight="1" x14ac:dyDescent="0.3">
      <c r="A14" s="87" t="s">
        <v>431</v>
      </c>
      <c r="B14" s="49"/>
      <c r="C14" s="50"/>
      <c r="D14" s="49"/>
      <c r="E14" s="50"/>
      <c r="F14" s="49"/>
      <c r="G14" s="51"/>
      <c r="H14" s="43"/>
      <c r="I14" s="43"/>
    </row>
    <row r="15" spans="1:9" ht="23.1" customHeight="1" x14ac:dyDescent="0.3">
      <c r="A15" s="87"/>
      <c r="B15" s="48"/>
      <c r="C15" s="45"/>
      <c r="D15" s="48"/>
      <c r="E15" s="45"/>
      <c r="F15" s="48"/>
      <c r="G15" s="46"/>
      <c r="H15" s="43"/>
      <c r="I15" s="43"/>
    </row>
    <row r="16" spans="1:9" ht="23.1" customHeight="1" x14ac:dyDescent="0.3">
      <c r="A16" s="87" t="s">
        <v>433</v>
      </c>
      <c r="B16" s="49"/>
      <c r="C16" s="50"/>
      <c r="D16" s="49"/>
      <c r="E16" s="50"/>
      <c r="F16" s="49"/>
      <c r="G16" s="51"/>
      <c r="H16" s="43"/>
      <c r="I16" s="43"/>
    </row>
    <row r="17" spans="1:9" ht="23.1" customHeight="1" x14ac:dyDescent="0.3">
      <c r="A17" s="87"/>
      <c r="B17" s="48"/>
      <c r="C17" s="45"/>
      <c r="D17" s="48"/>
      <c r="E17" s="45"/>
      <c r="F17" s="48"/>
      <c r="G17" s="46"/>
      <c r="H17" s="43"/>
      <c r="I17" s="43"/>
    </row>
    <row r="18" spans="1:9" ht="23.1" customHeight="1" x14ac:dyDescent="0.3">
      <c r="A18" s="87" t="s">
        <v>434</v>
      </c>
      <c r="B18" s="49"/>
      <c r="C18" s="50"/>
      <c r="D18" s="49"/>
      <c r="E18" s="50"/>
      <c r="F18" s="49"/>
      <c r="G18" s="51"/>
      <c r="H18" s="43"/>
      <c r="I18" s="43"/>
    </row>
    <row r="19" spans="1:9" ht="23.1" customHeight="1" x14ac:dyDescent="0.3">
      <c r="A19" s="87"/>
      <c r="B19" s="48"/>
      <c r="C19" s="45"/>
      <c r="D19" s="48"/>
      <c r="E19" s="45"/>
      <c r="F19" s="48"/>
      <c r="G19" s="46"/>
      <c r="H19" s="43"/>
      <c r="I19" s="43"/>
    </row>
    <row r="20" spans="1:9" ht="23.1" customHeight="1" x14ac:dyDescent="0.3">
      <c r="A20" s="87" t="s">
        <v>428</v>
      </c>
      <c r="B20" s="49"/>
      <c r="C20" s="50"/>
      <c r="D20" s="49"/>
      <c r="E20" s="50"/>
      <c r="F20" s="49"/>
      <c r="G20" s="51"/>
      <c r="H20" s="43"/>
      <c r="I20" s="43"/>
    </row>
    <row r="21" spans="1:9" ht="23.1" customHeight="1" x14ac:dyDescent="0.3">
      <c r="A21" s="87"/>
      <c r="B21" s="48"/>
      <c r="C21" s="45"/>
      <c r="D21" s="48"/>
      <c r="E21" s="45"/>
      <c r="F21" s="48"/>
      <c r="G21" s="46"/>
      <c r="H21" s="43"/>
      <c r="I21" s="43"/>
    </row>
    <row r="22" spans="1:9" ht="23.1" customHeight="1" x14ac:dyDescent="0.3">
      <c r="A22" s="87" t="s">
        <v>432</v>
      </c>
      <c r="B22" s="49"/>
      <c r="C22" s="50"/>
      <c r="D22" s="49"/>
      <c r="E22" s="50"/>
      <c r="F22" s="49"/>
      <c r="G22" s="51"/>
      <c r="H22" s="43"/>
      <c r="I22" s="43"/>
    </row>
    <row r="23" spans="1:9" ht="23.1" customHeight="1" thickBot="1" x14ac:dyDescent="0.35">
      <c r="A23" s="93"/>
      <c r="B23" s="64"/>
      <c r="C23" s="65"/>
      <c r="D23" s="64"/>
      <c r="E23" s="65"/>
      <c r="F23" s="64"/>
      <c r="G23" s="66"/>
      <c r="H23" s="43"/>
      <c r="I23" s="43"/>
    </row>
    <row r="24" spans="1:9" ht="23.1" customHeight="1" x14ac:dyDescent="0.3">
      <c r="A24" s="88" t="s">
        <v>444</v>
      </c>
      <c r="B24" s="67"/>
      <c r="C24" s="68"/>
      <c r="D24" s="67"/>
      <c r="E24" s="68"/>
      <c r="F24" s="67"/>
      <c r="G24" s="69"/>
      <c r="H24" s="43"/>
      <c r="I24" s="43"/>
    </row>
    <row r="25" spans="1:9" ht="23.1" customHeight="1" x14ac:dyDescent="0.3">
      <c r="A25" s="87"/>
      <c r="B25" s="47"/>
      <c r="C25" s="45"/>
      <c r="D25" s="47"/>
      <c r="E25" s="45"/>
      <c r="F25" s="47"/>
      <c r="G25" s="46"/>
      <c r="H25" s="43"/>
      <c r="I25" s="43"/>
    </row>
    <row r="26" spans="1:9" ht="24" customHeight="1" x14ac:dyDescent="0.3">
      <c r="A26" s="87" t="s">
        <v>439</v>
      </c>
      <c r="B26" s="91"/>
      <c r="C26" s="91"/>
      <c r="D26" s="91"/>
      <c r="E26" s="91"/>
      <c r="F26" s="91"/>
      <c r="G26" s="92"/>
      <c r="H26" s="43"/>
      <c r="I26" s="43"/>
    </row>
    <row r="27" spans="1:9" ht="24" customHeight="1" x14ac:dyDescent="0.3">
      <c r="A27" s="87"/>
      <c r="B27" s="91"/>
      <c r="C27" s="91"/>
      <c r="D27" s="91"/>
      <c r="E27" s="91"/>
      <c r="F27" s="91"/>
      <c r="G27" s="92"/>
      <c r="H27" s="43"/>
      <c r="I27" s="43"/>
    </row>
    <row r="28" spans="1:9" ht="35.25" customHeight="1" x14ac:dyDescent="0.3">
      <c r="A28" s="63" t="s">
        <v>438</v>
      </c>
      <c r="B28" s="55"/>
      <c r="C28" s="53"/>
      <c r="D28" s="55"/>
      <c r="E28" s="53"/>
      <c r="F28" s="55"/>
      <c r="G28" s="54"/>
      <c r="H28" s="43"/>
      <c r="I28" s="43"/>
    </row>
    <row r="29" spans="1:9" ht="35.25" customHeight="1" x14ac:dyDescent="0.3">
      <c r="A29" s="52" t="s">
        <v>440</v>
      </c>
      <c r="B29" s="47"/>
      <c r="C29" s="45"/>
      <c r="D29" s="47"/>
      <c r="E29" s="45"/>
      <c r="F29" s="47"/>
      <c r="G29" s="46"/>
    </row>
    <row r="30" spans="1:9" ht="35.25" customHeight="1" x14ac:dyDescent="0.3">
      <c r="A30" s="87" t="s">
        <v>445</v>
      </c>
      <c r="B30" s="91"/>
      <c r="C30" s="91"/>
      <c r="D30" s="91"/>
      <c r="E30" s="91"/>
      <c r="F30" s="91"/>
      <c r="G30" s="92"/>
    </row>
    <row r="31" spans="1:9" ht="35.25" customHeight="1" thickBot="1" x14ac:dyDescent="0.35">
      <c r="A31" s="93"/>
      <c r="B31" s="94"/>
      <c r="C31" s="94"/>
      <c r="D31" s="94"/>
      <c r="E31" s="94"/>
      <c r="F31" s="94"/>
      <c r="G31" s="95"/>
    </row>
  </sheetData>
  <mergeCells count="24">
    <mergeCell ref="B26:C27"/>
    <mergeCell ref="D26:E27"/>
    <mergeCell ref="F26:G27"/>
    <mergeCell ref="A30:A31"/>
    <mergeCell ref="A4:A5"/>
    <mergeCell ref="A6:A7"/>
    <mergeCell ref="A8:A9"/>
    <mergeCell ref="A10:A11"/>
    <mergeCell ref="A12:A13"/>
    <mergeCell ref="A14:A15"/>
    <mergeCell ref="A16:A17"/>
    <mergeCell ref="A26:A27"/>
    <mergeCell ref="A22:A23"/>
    <mergeCell ref="B30:C31"/>
    <mergeCell ref="D30:E31"/>
    <mergeCell ref="F30:G31"/>
    <mergeCell ref="A1:G1"/>
    <mergeCell ref="A2:G2"/>
    <mergeCell ref="A18:A19"/>
    <mergeCell ref="A20:A21"/>
    <mergeCell ref="A24:A25"/>
    <mergeCell ref="B3:C3"/>
    <mergeCell ref="D3:E3"/>
    <mergeCell ref="F3:G3"/>
  </mergeCells>
  <printOptions horizontalCentered="1" verticalCentered="1"/>
  <pageMargins left="0" right="0" top="0" bottom="0" header="0" footer="0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K20" sqref="K20"/>
    </sheetView>
  </sheetViews>
  <sheetFormatPr defaultColWidth="8.85546875" defaultRowHeight="15" x14ac:dyDescent="0.25"/>
  <cols>
    <col min="1" max="1" width="8.85546875" style="1"/>
    <col min="3" max="3" width="14.42578125" customWidth="1"/>
    <col min="5" max="5" width="9.140625" style="1" bestFit="1" customWidth="1"/>
    <col min="7" max="7" width="8.85546875" style="1"/>
    <col min="8" max="8" width="10.140625" customWidth="1"/>
    <col min="9" max="9" width="1" customWidth="1"/>
    <col min="11" max="11" width="6.85546875" customWidth="1"/>
    <col min="12" max="12" width="19.5703125" bestFit="1" customWidth="1"/>
    <col min="13" max="13" width="9.28515625" customWidth="1"/>
    <col min="14" max="14" width="10.85546875" bestFit="1" customWidth="1"/>
    <col min="15" max="15" width="5.42578125" customWidth="1"/>
    <col min="16" max="16" width="12.28515625" customWidth="1"/>
    <col min="17" max="17" width="12.7109375" customWidth="1"/>
    <col min="18" max="18" width="12.140625" customWidth="1"/>
  </cols>
  <sheetData>
    <row r="1" spans="1:18" ht="33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4" t="s">
        <v>0</v>
      </c>
      <c r="K1" s="4" t="s">
        <v>1</v>
      </c>
      <c r="L1" s="4" t="s">
        <v>2</v>
      </c>
      <c r="M1" s="4" t="s">
        <v>3</v>
      </c>
      <c r="N1" s="4" t="s">
        <v>4</v>
      </c>
      <c r="O1" s="4" t="s">
        <v>5</v>
      </c>
      <c r="P1" s="5" t="s">
        <v>11</v>
      </c>
      <c r="Q1" s="4" t="s">
        <v>12</v>
      </c>
      <c r="R1" s="4" t="s">
        <v>6</v>
      </c>
    </row>
    <row r="2" spans="1:18" ht="15" customHeight="1" x14ac:dyDescent="0.25">
      <c r="A2" s="96" t="s">
        <v>10</v>
      </c>
      <c r="B2" s="97"/>
      <c r="C2" s="97"/>
      <c r="D2" s="97"/>
      <c r="E2" s="97"/>
      <c r="F2" s="97"/>
      <c r="G2" s="97"/>
      <c r="H2" s="8">
        <v>26093.4</v>
      </c>
      <c r="J2" s="98" t="s">
        <v>39</v>
      </c>
      <c r="K2" s="99"/>
      <c r="L2" s="99"/>
      <c r="M2" s="99"/>
      <c r="N2" s="99"/>
      <c r="O2" s="99"/>
      <c r="P2" s="7">
        <v>570929.81999999995</v>
      </c>
      <c r="Q2" s="7">
        <v>-458642.31</v>
      </c>
      <c r="R2" s="10">
        <f>-(P2-Q2)</f>
        <v>-1029572.1299999999</v>
      </c>
    </row>
    <row r="3" spans="1:18" x14ac:dyDescent="0.25">
      <c r="A3" s="1" t="s">
        <v>21</v>
      </c>
      <c r="B3" s="9" t="s">
        <v>13</v>
      </c>
      <c r="C3" s="11" t="s">
        <v>16</v>
      </c>
      <c r="D3" s="1"/>
      <c r="E3" s="2">
        <v>13050</v>
      </c>
      <c r="F3" s="6" t="s">
        <v>8</v>
      </c>
      <c r="G3" s="1" t="s">
        <v>17</v>
      </c>
      <c r="H3" s="2">
        <f>H2-E3</f>
        <v>13043.400000000001</v>
      </c>
      <c r="J3" s="1" t="s">
        <v>9</v>
      </c>
      <c r="K3" s="9" t="s">
        <v>13</v>
      </c>
      <c r="L3" s="1" t="s">
        <v>14</v>
      </c>
      <c r="M3" s="1"/>
      <c r="N3" s="2">
        <v>-148</v>
      </c>
      <c r="O3" s="6" t="s">
        <v>8</v>
      </c>
      <c r="P3" s="2">
        <f>P2+N3</f>
        <v>570781.81999999995</v>
      </c>
      <c r="Q3" s="2">
        <f>Q2+N3</f>
        <v>-458790.31</v>
      </c>
      <c r="R3" s="12">
        <v>-1100000</v>
      </c>
    </row>
    <row r="4" spans="1:18" x14ac:dyDescent="0.25">
      <c r="A4" s="1" t="s">
        <v>22</v>
      </c>
      <c r="C4" s="11" t="s">
        <v>23</v>
      </c>
      <c r="D4" s="1">
        <v>5000</v>
      </c>
      <c r="F4" s="6" t="s">
        <v>8</v>
      </c>
      <c r="G4" s="1" t="s">
        <v>24</v>
      </c>
      <c r="H4" s="2">
        <f>H3+D4</f>
        <v>18043.400000000001</v>
      </c>
      <c r="J4" s="1" t="s">
        <v>9</v>
      </c>
      <c r="K4" s="9" t="s">
        <v>13</v>
      </c>
      <c r="L4" t="s">
        <v>15</v>
      </c>
      <c r="N4" s="2">
        <v>-4108</v>
      </c>
      <c r="O4" s="6" t="s">
        <v>8</v>
      </c>
      <c r="P4" s="2">
        <f>P3+N4</f>
        <v>566673.81999999995</v>
      </c>
      <c r="Q4" s="2">
        <f>Q3+N4</f>
        <v>-462898.31</v>
      </c>
    </row>
    <row r="5" spans="1:18" x14ac:dyDescent="0.25">
      <c r="A5" s="1" t="s">
        <v>27</v>
      </c>
      <c r="C5" t="s">
        <v>28</v>
      </c>
      <c r="D5" s="1">
        <v>50000</v>
      </c>
      <c r="F5" s="6" t="s">
        <v>8</v>
      </c>
      <c r="G5" s="1" t="s">
        <v>29</v>
      </c>
      <c r="H5" s="2">
        <f>H4+D5</f>
        <v>68043.399999999994</v>
      </c>
      <c r="J5" s="1" t="s">
        <v>18</v>
      </c>
      <c r="K5" s="1" t="s">
        <v>19</v>
      </c>
      <c r="L5" t="s">
        <v>20</v>
      </c>
      <c r="N5" s="2">
        <v>-36006</v>
      </c>
      <c r="O5" s="6" t="s">
        <v>8</v>
      </c>
      <c r="P5" s="2">
        <f>P4+N5</f>
        <v>530667.81999999995</v>
      </c>
      <c r="Q5" s="2">
        <f>Q4+N5</f>
        <v>-498904.31</v>
      </c>
    </row>
    <row r="6" spans="1:18" x14ac:dyDescent="0.25">
      <c r="A6" s="1" t="s">
        <v>30</v>
      </c>
      <c r="C6" t="s">
        <v>31</v>
      </c>
      <c r="D6" s="1"/>
      <c r="E6" s="1">
        <v>20000</v>
      </c>
      <c r="F6" s="6" t="s">
        <v>8</v>
      </c>
      <c r="G6" s="1" t="s">
        <v>29</v>
      </c>
      <c r="H6" s="2">
        <f>H5-E6</f>
        <v>48043.399999999994</v>
      </c>
      <c r="J6" s="1" t="s">
        <v>40</v>
      </c>
      <c r="K6" s="1" t="s">
        <v>41</v>
      </c>
      <c r="L6" s="1" t="s">
        <v>42</v>
      </c>
      <c r="N6" s="2">
        <v>-70000</v>
      </c>
      <c r="O6" s="6" t="s">
        <v>8</v>
      </c>
      <c r="R6" s="1" t="s">
        <v>43</v>
      </c>
    </row>
    <row r="7" spans="1:18" x14ac:dyDescent="0.25">
      <c r="A7" s="1" t="s">
        <v>32</v>
      </c>
      <c r="C7" t="s">
        <v>31</v>
      </c>
      <c r="D7" s="1"/>
      <c r="E7" s="1">
        <v>20000</v>
      </c>
      <c r="F7" s="6" t="s">
        <v>8</v>
      </c>
      <c r="G7" s="1" t="s">
        <v>29</v>
      </c>
      <c r="H7" s="2">
        <f>H6-E7</f>
        <v>28043.399999999994</v>
      </c>
      <c r="J7" s="1" t="s">
        <v>25</v>
      </c>
      <c r="K7" s="1" t="s">
        <v>19</v>
      </c>
      <c r="L7" t="s">
        <v>26</v>
      </c>
      <c r="N7" s="2">
        <v>-100006</v>
      </c>
      <c r="O7" s="6" t="s">
        <v>8</v>
      </c>
      <c r="P7" s="2">
        <f>P5+N7</f>
        <v>430661.81999999995</v>
      </c>
      <c r="Q7" s="2">
        <f>Q5+N7</f>
        <v>-598910.31000000006</v>
      </c>
    </row>
    <row r="8" spans="1:18" x14ac:dyDescent="0.25">
      <c r="A8" s="1" t="s">
        <v>32</v>
      </c>
      <c r="C8" t="s">
        <v>31</v>
      </c>
      <c r="D8" s="1"/>
      <c r="E8" s="1">
        <v>5000</v>
      </c>
      <c r="F8" s="6" t="s">
        <v>8</v>
      </c>
      <c r="G8" s="1" t="s">
        <v>29</v>
      </c>
      <c r="H8" s="2">
        <f>H7-E8</f>
        <v>23043.399999999994</v>
      </c>
      <c r="J8" s="1" t="s">
        <v>27</v>
      </c>
      <c r="L8" t="s">
        <v>28</v>
      </c>
      <c r="N8" s="1">
        <v>-50000</v>
      </c>
      <c r="O8" s="6" t="s">
        <v>8</v>
      </c>
      <c r="P8" s="1"/>
      <c r="Q8" s="2">
        <f>Q7+N8</f>
        <v>-648910.31000000006</v>
      </c>
      <c r="R8" s="1" t="s">
        <v>29</v>
      </c>
    </row>
    <row r="9" spans="1:18" x14ac:dyDescent="0.25">
      <c r="A9" s="1" t="s">
        <v>33</v>
      </c>
      <c r="B9" s="9" t="s">
        <v>13</v>
      </c>
      <c r="C9" t="s">
        <v>88</v>
      </c>
      <c r="E9" s="1">
        <v>20030</v>
      </c>
      <c r="F9" s="6" t="s">
        <v>8</v>
      </c>
      <c r="G9" s="1" t="s">
        <v>34</v>
      </c>
      <c r="H9" s="2">
        <f>H8-E9</f>
        <v>3013.3999999999942</v>
      </c>
      <c r="J9" s="1" t="s">
        <v>35</v>
      </c>
      <c r="L9" t="s">
        <v>37</v>
      </c>
      <c r="N9" s="2">
        <v>-30006</v>
      </c>
      <c r="O9" s="6" t="s">
        <v>8</v>
      </c>
      <c r="P9" s="1" t="s">
        <v>38</v>
      </c>
      <c r="Q9" s="1">
        <v>-748922.31</v>
      </c>
      <c r="R9" s="1" t="s">
        <v>36</v>
      </c>
    </row>
    <row r="10" spans="1:18" x14ac:dyDescent="0.25">
      <c r="A10" s="1" t="s">
        <v>84</v>
      </c>
      <c r="B10" t="s">
        <v>85</v>
      </c>
      <c r="C10" t="s">
        <v>86</v>
      </c>
      <c r="D10">
        <v>128387</v>
      </c>
      <c r="F10" s="6" t="s">
        <v>8</v>
      </c>
      <c r="H10" s="20">
        <f>H9+D10</f>
        <v>131400.4</v>
      </c>
      <c r="N10" s="2"/>
    </row>
    <row r="11" spans="1:18" x14ac:dyDescent="0.25">
      <c r="A11" s="1" t="s">
        <v>87</v>
      </c>
      <c r="B11" s="9" t="s">
        <v>13</v>
      </c>
      <c r="C11" t="s">
        <v>89</v>
      </c>
      <c r="E11" s="1">
        <v>109758</v>
      </c>
      <c r="F11" s="6" t="s">
        <v>8</v>
      </c>
      <c r="G11" s="1" t="s">
        <v>34</v>
      </c>
      <c r="H11" s="2">
        <f>H10-E11</f>
        <v>21642.399999999994</v>
      </c>
      <c r="N11" s="2"/>
    </row>
    <row r="12" spans="1:18" x14ac:dyDescent="0.25">
      <c r="A12" s="1" t="s">
        <v>103</v>
      </c>
      <c r="C12" t="s">
        <v>104</v>
      </c>
      <c r="E12" s="1">
        <v>17000</v>
      </c>
      <c r="F12" s="6" t="s">
        <v>8</v>
      </c>
      <c r="H12" s="2">
        <f>H11-E12</f>
        <v>4642.3999999999942</v>
      </c>
      <c r="N12" s="2"/>
    </row>
    <row r="13" spans="1:18" x14ac:dyDescent="0.25">
      <c r="N13" s="2"/>
    </row>
    <row r="14" spans="1:18" x14ac:dyDescent="0.25">
      <c r="N14" s="2"/>
    </row>
    <row r="15" spans="1:18" x14ac:dyDescent="0.25">
      <c r="N15" s="2"/>
    </row>
    <row r="16" spans="1:18" x14ac:dyDescent="0.25">
      <c r="N16" s="2"/>
    </row>
    <row r="17" spans="14:14" x14ac:dyDescent="0.25">
      <c r="N17" s="2"/>
    </row>
    <row r="18" spans="14:14" x14ac:dyDescent="0.25">
      <c r="N18" s="2"/>
    </row>
    <row r="19" spans="14:14" x14ac:dyDescent="0.25">
      <c r="N19" s="2"/>
    </row>
  </sheetData>
  <mergeCells count="2">
    <mergeCell ref="A2:G2"/>
    <mergeCell ref="J2:O2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activeCell="N17" sqref="N17"/>
    </sheetView>
  </sheetViews>
  <sheetFormatPr defaultRowHeight="15" x14ac:dyDescent="0.25"/>
  <cols>
    <col min="2" max="2" width="9.5703125" bestFit="1" customWidth="1"/>
    <col min="3" max="3" width="16.28515625" style="1" bestFit="1" customWidth="1"/>
    <col min="8" max="8" width="10.140625" bestFit="1" customWidth="1"/>
    <col min="9" max="9" width="2.42578125" customWidth="1"/>
    <col min="10" max="10" width="9.140625" style="1"/>
    <col min="12" max="12" width="11.140625" style="1" bestFit="1" customWidth="1"/>
    <col min="16" max="16" width="10" bestFit="1" customWidth="1"/>
    <col min="17" max="17" width="11.140625" customWidth="1"/>
    <col min="18" max="18" width="15.42578125" customWidth="1"/>
  </cols>
  <sheetData>
    <row r="1" spans="1:18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4" t="s">
        <v>0</v>
      </c>
      <c r="K1" s="4" t="s">
        <v>1</v>
      </c>
      <c r="L1" s="4" t="s">
        <v>2</v>
      </c>
      <c r="M1" s="4" t="s">
        <v>3</v>
      </c>
      <c r="N1" s="4" t="s">
        <v>4</v>
      </c>
      <c r="O1" s="4" t="s">
        <v>5</v>
      </c>
      <c r="P1" s="5" t="s">
        <v>11</v>
      </c>
      <c r="Q1" s="4" t="s">
        <v>12</v>
      </c>
      <c r="R1" s="4" t="s">
        <v>6</v>
      </c>
    </row>
    <row r="2" spans="1:18" x14ac:dyDescent="0.25">
      <c r="A2" s="96" t="s">
        <v>10</v>
      </c>
      <c r="B2" s="97"/>
      <c r="C2" s="97"/>
      <c r="D2" s="97"/>
      <c r="E2" s="97"/>
      <c r="F2" s="97"/>
      <c r="G2" s="97"/>
      <c r="H2" s="8">
        <v>4636.3999999999996</v>
      </c>
      <c r="J2" s="98" t="s">
        <v>39</v>
      </c>
      <c r="K2" s="99"/>
      <c r="L2" s="99"/>
      <c r="M2" s="99"/>
      <c r="N2" s="99"/>
      <c r="O2" s="99"/>
      <c r="P2" s="7">
        <v>345665.69</v>
      </c>
      <c r="Q2" s="7">
        <v>-754334.31</v>
      </c>
      <c r="R2" s="10"/>
    </row>
    <row r="3" spans="1:18" x14ac:dyDescent="0.25">
      <c r="A3" s="1" t="s">
        <v>91</v>
      </c>
      <c r="C3" s="1" t="s">
        <v>92</v>
      </c>
      <c r="D3">
        <v>25000</v>
      </c>
      <c r="F3" s="23" t="s">
        <v>8</v>
      </c>
      <c r="G3" t="s">
        <v>93</v>
      </c>
      <c r="H3" s="24">
        <f>H2+D3</f>
        <v>29636.400000000001</v>
      </c>
      <c r="J3" s="1" t="s">
        <v>91</v>
      </c>
      <c r="L3" s="1" t="s">
        <v>92</v>
      </c>
      <c r="M3">
        <v>-25000</v>
      </c>
      <c r="O3" s="23" t="s">
        <v>8</v>
      </c>
      <c r="Q3">
        <f>Q2+M3</f>
        <v>-779334.31</v>
      </c>
      <c r="R3" t="s">
        <v>93</v>
      </c>
    </row>
    <row r="4" spans="1:18" x14ac:dyDescent="0.25">
      <c r="A4" s="1" t="s">
        <v>94</v>
      </c>
      <c r="B4" t="s">
        <v>85</v>
      </c>
      <c r="C4" s="1" t="s">
        <v>95</v>
      </c>
      <c r="D4">
        <v>252840</v>
      </c>
      <c r="F4" s="23" t="s">
        <v>8</v>
      </c>
      <c r="H4" s="24">
        <f>H3+D4</f>
        <v>282476.40000000002</v>
      </c>
      <c r="J4" s="1" t="s">
        <v>94</v>
      </c>
      <c r="K4" s="28" t="s">
        <v>85</v>
      </c>
      <c r="L4" s="1" t="s">
        <v>105</v>
      </c>
      <c r="N4">
        <v>76846</v>
      </c>
      <c r="O4" s="23" t="s">
        <v>8</v>
      </c>
      <c r="Q4">
        <f>Q3+N4</f>
        <v>-702488.31</v>
      </c>
    </row>
    <row r="5" spans="1:18" x14ac:dyDescent="0.25">
      <c r="A5" s="1" t="s">
        <v>96</v>
      </c>
      <c r="B5" s="9" t="s">
        <v>13</v>
      </c>
      <c r="C5" s="1" t="s">
        <v>97</v>
      </c>
      <c r="E5">
        <v>64.31</v>
      </c>
      <c r="F5" s="23" t="s">
        <v>8</v>
      </c>
      <c r="H5" s="24">
        <f>H4-E5</f>
        <v>282412.09000000003</v>
      </c>
      <c r="J5" s="1" t="s">
        <v>99</v>
      </c>
      <c r="L5" s="1" t="s">
        <v>106</v>
      </c>
      <c r="N5">
        <v>200000</v>
      </c>
      <c r="O5" s="23" t="s">
        <v>8</v>
      </c>
      <c r="Q5">
        <f>Q4+N5</f>
        <v>-502488.31000000006</v>
      </c>
    </row>
    <row r="6" spans="1:18" x14ac:dyDescent="0.25">
      <c r="A6" s="1" t="s">
        <v>96</v>
      </c>
      <c r="B6" s="9" t="s">
        <v>13</v>
      </c>
      <c r="C6" s="1" t="s">
        <v>16</v>
      </c>
      <c r="E6">
        <v>13050</v>
      </c>
      <c r="F6" s="23" t="s">
        <v>8</v>
      </c>
      <c r="G6" t="s">
        <v>98</v>
      </c>
      <c r="H6" s="24">
        <f>H5-E6</f>
        <v>269362.09000000003</v>
      </c>
      <c r="J6" s="1" t="s">
        <v>107</v>
      </c>
      <c r="L6" s="1" t="s">
        <v>29</v>
      </c>
      <c r="M6">
        <v>-120000</v>
      </c>
      <c r="O6" s="23" t="s">
        <v>8</v>
      </c>
      <c r="Q6">
        <f>Q5+M6</f>
        <v>-622488.31000000006</v>
      </c>
      <c r="R6" t="s">
        <v>108</v>
      </c>
    </row>
    <row r="7" spans="1:18" x14ac:dyDescent="0.25">
      <c r="A7" s="1" t="s">
        <v>99</v>
      </c>
      <c r="C7" s="1" t="s">
        <v>100</v>
      </c>
      <c r="E7">
        <v>34006</v>
      </c>
      <c r="F7" s="23" t="s">
        <v>8</v>
      </c>
      <c r="G7" t="s">
        <v>101</v>
      </c>
      <c r="H7" s="24">
        <f>H6-E7</f>
        <v>235356.09000000003</v>
      </c>
      <c r="J7" s="1" t="s">
        <v>127</v>
      </c>
      <c r="K7" s="28" t="s">
        <v>85</v>
      </c>
      <c r="L7" s="1" t="s">
        <v>128</v>
      </c>
      <c r="N7">
        <v>47200</v>
      </c>
      <c r="O7" s="23" t="s">
        <v>8</v>
      </c>
      <c r="Q7">
        <f>Q6+N7</f>
        <v>-575288.31000000006</v>
      </c>
      <c r="R7" t="s">
        <v>129</v>
      </c>
    </row>
    <row r="8" spans="1:18" x14ac:dyDescent="0.25">
      <c r="A8" s="1" t="s">
        <v>99</v>
      </c>
      <c r="C8" s="1" t="s">
        <v>102</v>
      </c>
      <c r="E8">
        <v>200000</v>
      </c>
      <c r="F8" s="23" t="s">
        <v>8</v>
      </c>
      <c r="H8" s="24">
        <f>H7-E8</f>
        <v>35356.090000000026</v>
      </c>
      <c r="J8" s="1" t="s">
        <v>130</v>
      </c>
      <c r="L8" s="1" t="s">
        <v>131</v>
      </c>
      <c r="M8">
        <v>-30006</v>
      </c>
      <c r="O8" s="23" t="s">
        <v>8</v>
      </c>
      <c r="Q8">
        <f>Q7+M8</f>
        <v>-605294.31000000006</v>
      </c>
      <c r="R8" t="s">
        <v>132</v>
      </c>
    </row>
    <row r="9" spans="1:18" x14ac:dyDescent="0.25">
      <c r="A9" s="1" t="s">
        <v>125</v>
      </c>
      <c r="B9" s="9" t="s">
        <v>13</v>
      </c>
      <c r="C9" s="1" t="s">
        <v>97</v>
      </c>
      <c r="E9">
        <v>19833</v>
      </c>
      <c r="F9" s="23" t="s">
        <v>8</v>
      </c>
      <c r="G9" t="s">
        <v>126</v>
      </c>
      <c r="H9" s="24">
        <f>H8-E9</f>
        <v>15523.090000000026</v>
      </c>
      <c r="J9" s="1" t="s">
        <v>133</v>
      </c>
      <c r="L9" s="1" t="s">
        <v>134</v>
      </c>
      <c r="N9">
        <v>100000</v>
      </c>
      <c r="O9" s="23" t="s">
        <v>8</v>
      </c>
      <c r="Q9">
        <f>Q8+N9</f>
        <v>-505294.31000000006</v>
      </c>
      <c r="R9" t="s">
        <v>135</v>
      </c>
    </row>
    <row r="10" spans="1:18" x14ac:dyDescent="0.25">
      <c r="A10" s="1" t="s">
        <v>138</v>
      </c>
      <c r="B10" t="s">
        <v>85</v>
      </c>
      <c r="C10" t="s">
        <v>86</v>
      </c>
      <c r="D10">
        <v>143613</v>
      </c>
      <c r="E10" s="1"/>
      <c r="F10" s="23" t="s">
        <v>8</v>
      </c>
      <c r="G10" s="1"/>
      <c r="H10" s="20">
        <f>H9+D10</f>
        <v>159136.09000000003</v>
      </c>
      <c r="J10" s="1" t="s">
        <v>125</v>
      </c>
      <c r="K10" s="9" t="s">
        <v>13</v>
      </c>
      <c r="L10" s="1" t="s">
        <v>136</v>
      </c>
      <c r="M10">
        <v>-5900</v>
      </c>
      <c r="O10" s="23" t="s">
        <v>8</v>
      </c>
      <c r="Q10">
        <f>Q9+M10</f>
        <v>-511194.31000000006</v>
      </c>
      <c r="R10" t="s">
        <v>137</v>
      </c>
    </row>
    <row r="11" spans="1:18" x14ac:dyDescent="0.25">
      <c r="J11" s="1" t="s">
        <v>139</v>
      </c>
      <c r="L11" t="s">
        <v>104</v>
      </c>
      <c r="M11">
        <v>-17006</v>
      </c>
      <c r="N11" s="29"/>
      <c r="O11" s="23" t="s">
        <v>8</v>
      </c>
      <c r="P11" s="1">
        <v>571799.68999999994</v>
      </c>
      <c r="Q11" s="30">
        <f>Q10+M11</f>
        <v>-528200.31000000006</v>
      </c>
    </row>
    <row r="12" spans="1:18" x14ac:dyDescent="0.25">
      <c r="J12" s="1" t="s">
        <v>138</v>
      </c>
      <c r="L12" s="1" t="s">
        <v>23</v>
      </c>
      <c r="M12">
        <v>-27000</v>
      </c>
      <c r="O12" s="23" t="s">
        <v>8</v>
      </c>
      <c r="Q12" s="30">
        <f>Q11+M12</f>
        <v>-555200.31000000006</v>
      </c>
      <c r="R12" t="s">
        <v>140</v>
      </c>
    </row>
  </sheetData>
  <mergeCells count="2">
    <mergeCell ref="A2:G2"/>
    <mergeCell ref="J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Activities</vt:lpstr>
      <vt:lpstr>Creditors</vt:lpstr>
      <vt:lpstr>Scrap</vt:lpstr>
      <vt:lpstr>613 - '25</vt:lpstr>
      <vt:lpstr> OD - 25</vt:lpstr>
      <vt:lpstr>Prod</vt:lpstr>
      <vt:lpstr>Jan 25</vt:lpstr>
      <vt:lpstr>Feb'25</vt:lpstr>
      <vt:lpstr>Prod!Print_Area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2025-08-09T16:22:39Z</dcterms:modified>
</cp:coreProperties>
</file>