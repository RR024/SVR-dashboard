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4"/>
  </bookViews>
  <sheets>
    <sheet name="Apr'25" sheetId="1" r:id="rId1"/>
    <sheet name="May'25" sheetId="3" r:id="rId2"/>
    <sheet name="Jun'25" sheetId="2" r:id="rId3"/>
    <sheet name="Jul'25" sheetId="5" r:id="rId4"/>
    <sheet name="Aug'25" sheetId="6" r:id="rId5"/>
  </sheets>
  <definedNames>
    <definedName name="_xlnm._FilterDatabase" localSheetId="0" hidden="1">'Apr''25'!$A$1:$AF$27</definedName>
    <definedName name="_xlnm._FilterDatabase" localSheetId="4" hidden="1">'Aug''25'!$A$1:$AF$6</definedName>
    <definedName name="_xlnm._FilterDatabase" localSheetId="3" hidden="1">'Jul''25'!$A$1:$AF$42</definedName>
    <definedName name="_xlnm._FilterDatabase" localSheetId="2" hidden="1">'Jun''25'!$A$1:$AF$43</definedName>
    <definedName name="_xlnm._FilterDatabase" localSheetId="1" hidden="1">'May''25'!$A$26:$AF$37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13" i="6" l="1"/>
  <c r="AF13" i="6" s="1"/>
  <c r="X13" i="6"/>
  <c r="V13" i="6"/>
  <c r="S13" i="6"/>
  <c r="P13" i="6"/>
  <c r="T13" i="6" s="1"/>
  <c r="J13" i="6"/>
  <c r="K13" i="6" s="1"/>
  <c r="I13" i="6"/>
  <c r="AD12" i="6"/>
  <c r="AF12" i="6" s="1"/>
  <c r="X12" i="6"/>
  <c r="V12" i="6"/>
  <c r="S12" i="6"/>
  <c r="P12" i="6"/>
  <c r="T12" i="6" s="1"/>
  <c r="J12" i="6"/>
  <c r="K12" i="6" s="1"/>
  <c r="I12" i="6"/>
  <c r="Y12" i="6" s="1"/>
  <c r="AD11" i="6"/>
  <c r="AF11" i="6" s="1"/>
  <c r="X11" i="6"/>
  <c r="Y11" i="6" s="1"/>
  <c r="V11" i="6"/>
  <c r="T11" i="6"/>
  <c r="S11" i="6"/>
  <c r="P11" i="6"/>
  <c r="J11" i="6"/>
  <c r="K11" i="6" s="1"/>
  <c r="I11" i="6"/>
  <c r="AD10" i="6"/>
  <c r="AF10" i="6" s="1"/>
  <c r="X10" i="6"/>
  <c r="V10" i="6"/>
  <c r="S10" i="6"/>
  <c r="P10" i="6"/>
  <c r="T10" i="6" s="1"/>
  <c r="J10" i="6"/>
  <c r="K10" i="6" s="1"/>
  <c r="I10" i="6"/>
  <c r="AD9" i="6"/>
  <c r="AF9" i="6" s="1"/>
  <c r="X9" i="6"/>
  <c r="V9" i="6"/>
  <c r="S9" i="6"/>
  <c r="P9" i="6"/>
  <c r="T9" i="6" s="1"/>
  <c r="J9" i="6"/>
  <c r="K9" i="6" s="1"/>
  <c r="I9" i="6"/>
  <c r="J4" i="6"/>
  <c r="AD8" i="6"/>
  <c r="AF8" i="6" s="1"/>
  <c r="X8" i="6"/>
  <c r="V8" i="6"/>
  <c r="T8" i="6"/>
  <c r="S8" i="6"/>
  <c r="P8" i="6"/>
  <c r="J8" i="6"/>
  <c r="K8" i="6" s="1"/>
  <c r="I8" i="6"/>
  <c r="Y8" i="6" s="1"/>
  <c r="G18" i="6"/>
  <c r="Y13" i="6" l="1"/>
  <c r="Z13" i="6"/>
  <c r="AA13" i="6" s="1"/>
  <c r="Z12" i="6"/>
  <c r="AA12" i="6" s="1"/>
  <c r="Z11" i="6"/>
  <c r="AA11" i="6" s="1"/>
  <c r="I18" i="6"/>
  <c r="Y10" i="6"/>
  <c r="Z10" i="6"/>
  <c r="AA10" i="6" s="1"/>
  <c r="Y9" i="6"/>
  <c r="Z9" i="6"/>
  <c r="AA9" i="6" s="1"/>
  <c r="Z8" i="6"/>
  <c r="AA8" i="6" s="1"/>
  <c r="AD7" i="6"/>
  <c r="AF7" i="6" s="1"/>
  <c r="X7" i="6"/>
  <c r="V7" i="6"/>
  <c r="S7" i="6"/>
  <c r="P7" i="6"/>
  <c r="T7" i="6" s="1"/>
  <c r="K7" i="6"/>
  <c r="J7" i="6"/>
  <c r="I7" i="6"/>
  <c r="Y7" i="6" l="1"/>
  <c r="Z7" i="6"/>
  <c r="AA7" i="6" s="1"/>
  <c r="AD6" i="6"/>
  <c r="AF6" i="6" s="1"/>
  <c r="X6" i="6"/>
  <c r="V6" i="6"/>
  <c r="T6" i="6"/>
  <c r="S6" i="6"/>
  <c r="P6" i="6"/>
  <c r="J6" i="6"/>
  <c r="K6" i="6" s="1"/>
  <c r="I6" i="6"/>
  <c r="AD5" i="6"/>
  <c r="AF5" i="6" s="1"/>
  <c r="X5" i="6"/>
  <c r="V5" i="6"/>
  <c r="T5" i="6"/>
  <c r="S5" i="6"/>
  <c r="P5" i="6"/>
  <c r="J5" i="6"/>
  <c r="K5" i="6" s="1"/>
  <c r="I5" i="6"/>
  <c r="AD4" i="6"/>
  <c r="X4" i="6"/>
  <c r="V4" i="6"/>
  <c r="T4" i="6"/>
  <c r="S4" i="6"/>
  <c r="P4" i="6"/>
  <c r="K4" i="6"/>
  <c r="I4" i="6"/>
  <c r="M3" i="6"/>
  <c r="AD3" i="6" s="1"/>
  <c r="AF3" i="6" s="1"/>
  <c r="I3" i="6"/>
  <c r="AD2" i="6"/>
  <c r="AF2" i="6" s="1"/>
  <c r="X2" i="6"/>
  <c r="V2" i="6"/>
  <c r="S2" i="6"/>
  <c r="P2" i="6"/>
  <c r="T2" i="6" s="1"/>
  <c r="J2" i="6"/>
  <c r="K2" i="6" s="1"/>
  <c r="I2" i="6"/>
  <c r="AF4" i="6" l="1"/>
  <c r="AF18" i="6" s="1"/>
  <c r="AD18" i="6"/>
  <c r="Y6" i="6"/>
  <c r="Z6" i="6" s="1"/>
  <c r="AA6" i="6" s="1"/>
  <c r="Y5" i="6"/>
  <c r="Z5" i="6"/>
  <c r="AA5" i="6" s="1"/>
  <c r="Y4" i="6"/>
  <c r="Z4" i="6"/>
  <c r="AA4" i="6" s="1"/>
  <c r="AA18" i="6" s="1"/>
  <c r="P3" i="6"/>
  <c r="Q3" i="6" s="1"/>
  <c r="X3" i="6" s="1"/>
  <c r="Y3" i="6" s="1"/>
  <c r="Z3" i="6" s="1"/>
  <c r="V3" i="6"/>
  <c r="Y2" i="6"/>
  <c r="Z2" i="6" s="1"/>
  <c r="AA2" i="6" s="1"/>
  <c r="AD42" i="5"/>
  <c r="AF42" i="5" s="1"/>
  <c r="X42" i="5"/>
  <c r="V42" i="5"/>
  <c r="S42" i="5"/>
  <c r="P42" i="5"/>
  <c r="T42" i="5" s="1"/>
  <c r="J42" i="5"/>
  <c r="K42" i="5" s="1"/>
  <c r="I42" i="5"/>
  <c r="AD41" i="5"/>
  <c r="AF41" i="5" s="1"/>
  <c r="X41" i="5"/>
  <c r="V41" i="5"/>
  <c r="S41" i="5"/>
  <c r="P41" i="5"/>
  <c r="T41" i="5" s="1"/>
  <c r="J41" i="5"/>
  <c r="K41" i="5" s="1"/>
  <c r="I41" i="5"/>
  <c r="T3" i="6" l="1"/>
  <c r="R3" i="6"/>
  <c r="S3" i="6" s="1"/>
  <c r="AA3" i="6"/>
  <c r="Y42" i="5"/>
  <c r="Z42" i="5" s="1"/>
  <c r="AA42" i="5" s="1"/>
  <c r="Y41" i="5"/>
  <c r="Z41" i="5"/>
  <c r="AA41" i="5" s="1"/>
  <c r="AD40" i="5" l="1"/>
  <c r="AF40" i="5" s="1"/>
  <c r="X40" i="5"/>
  <c r="V40" i="5"/>
  <c r="T40" i="5"/>
  <c r="S40" i="5"/>
  <c r="P40" i="5"/>
  <c r="J40" i="5"/>
  <c r="K40" i="5" s="1"/>
  <c r="I40" i="5"/>
  <c r="AD39" i="5"/>
  <c r="AF39" i="5" s="1"/>
  <c r="X39" i="5"/>
  <c r="V39" i="5"/>
  <c r="T39" i="5"/>
  <c r="S39" i="5"/>
  <c r="P39" i="5"/>
  <c r="J39" i="5"/>
  <c r="K39" i="5" s="1"/>
  <c r="I39" i="5"/>
  <c r="K38" i="5"/>
  <c r="AD38" i="5"/>
  <c r="AF38" i="5" s="1"/>
  <c r="X38" i="5"/>
  <c r="V38" i="5"/>
  <c r="S38" i="5"/>
  <c r="P38" i="5"/>
  <c r="T38" i="5" s="1"/>
  <c r="J38" i="5"/>
  <c r="I38" i="5"/>
  <c r="AD37" i="5"/>
  <c r="AF37" i="5" s="1"/>
  <c r="X37" i="5"/>
  <c r="V37" i="5"/>
  <c r="T37" i="5"/>
  <c r="S37" i="5"/>
  <c r="P37" i="5"/>
  <c r="J37" i="5"/>
  <c r="K37" i="5" s="1"/>
  <c r="I37" i="5"/>
  <c r="Y40" i="5" l="1"/>
  <c r="Z40" i="5"/>
  <c r="AA40" i="5" s="1"/>
  <c r="Y39" i="5"/>
  <c r="Z39" i="5" s="1"/>
  <c r="AA39" i="5" s="1"/>
  <c r="Y38" i="5"/>
  <c r="Z38" i="5" s="1"/>
  <c r="AA38" i="5" s="1"/>
  <c r="Y37" i="5"/>
  <c r="Z37" i="5" s="1"/>
  <c r="AA37" i="5" s="1"/>
  <c r="J38" i="2"/>
  <c r="AD36" i="5" l="1"/>
  <c r="AF36" i="5" s="1"/>
  <c r="X36" i="5"/>
  <c r="V36" i="5"/>
  <c r="S36" i="5"/>
  <c r="P36" i="5"/>
  <c r="T36" i="5" s="1"/>
  <c r="J36" i="5"/>
  <c r="K36" i="5" s="1"/>
  <c r="I36" i="5"/>
  <c r="AD35" i="5"/>
  <c r="AF35" i="5" s="1"/>
  <c r="X35" i="5"/>
  <c r="V35" i="5"/>
  <c r="S35" i="5"/>
  <c r="P35" i="5"/>
  <c r="T35" i="5" s="1"/>
  <c r="J35" i="5"/>
  <c r="K35" i="5" s="1"/>
  <c r="I35" i="5"/>
  <c r="Y35" i="5" l="1"/>
  <c r="Y36" i="5"/>
  <c r="Z36" i="5"/>
  <c r="AA36" i="5" s="1"/>
  <c r="Z35" i="5"/>
  <c r="AA35" i="5" s="1"/>
  <c r="M34" i="5"/>
  <c r="AD34" i="5" s="1"/>
  <c r="AF34" i="5" s="1"/>
  <c r="I34" i="5"/>
  <c r="P34" i="5" l="1"/>
  <c r="P33" i="5"/>
  <c r="Q34" i="5" l="1"/>
  <c r="T34" i="5" s="1"/>
  <c r="K33" i="5"/>
  <c r="I33" i="5"/>
  <c r="AD33" i="5"/>
  <c r="AF33" i="5" s="1"/>
  <c r="X33" i="5"/>
  <c r="V33" i="5"/>
  <c r="S33" i="5"/>
  <c r="T33" i="5"/>
  <c r="J33" i="5"/>
  <c r="AD32" i="5"/>
  <c r="AF32" i="5" s="1"/>
  <c r="X32" i="5"/>
  <c r="V32" i="5"/>
  <c r="S32" i="5"/>
  <c r="P32" i="5"/>
  <c r="T32" i="5" s="1"/>
  <c r="J32" i="5"/>
  <c r="K32" i="5" s="1"/>
  <c r="I32" i="5"/>
  <c r="X34" i="5" l="1"/>
  <c r="Y34" i="5" s="1"/>
  <c r="Z34" i="5" s="1"/>
  <c r="R34" i="5"/>
  <c r="S34" i="5" s="1"/>
  <c r="V34" i="5"/>
  <c r="Y33" i="5"/>
  <c r="Z33" i="5" s="1"/>
  <c r="AA33" i="5" s="1"/>
  <c r="Y32" i="5"/>
  <c r="Z32" i="5" s="1"/>
  <c r="AA32" i="5" s="1"/>
  <c r="AD31" i="5"/>
  <c r="AF31" i="5" s="1"/>
  <c r="X31" i="5"/>
  <c r="V31" i="5"/>
  <c r="S31" i="5"/>
  <c r="P31" i="5"/>
  <c r="T31" i="5" s="1"/>
  <c r="J31" i="5"/>
  <c r="K31" i="5" s="1"/>
  <c r="I31" i="5"/>
  <c r="AA34" i="5" l="1"/>
  <c r="Y31" i="5"/>
  <c r="Z31" i="5" s="1"/>
  <c r="AA31" i="5" s="1"/>
  <c r="AD30" i="5"/>
  <c r="AF30" i="5" s="1"/>
  <c r="X30" i="5"/>
  <c r="V30" i="5"/>
  <c r="S30" i="5"/>
  <c r="P30" i="5"/>
  <c r="T30" i="5" s="1"/>
  <c r="J30" i="5"/>
  <c r="K30" i="5" s="1"/>
  <c r="I30" i="5"/>
  <c r="AD29" i="5"/>
  <c r="AF29" i="5" s="1"/>
  <c r="X29" i="5"/>
  <c r="V29" i="5"/>
  <c r="S29" i="5"/>
  <c r="P29" i="5"/>
  <c r="T29" i="5" s="1"/>
  <c r="J29" i="5"/>
  <c r="K29" i="5" s="1"/>
  <c r="I29" i="5"/>
  <c r="AD28" i="5"/>
  <c r="AF28" i="5" s="1"/>
  <c r="P28" i="5"/>
  <c r="J28" i="5"/>
  <c r="K28" i="5" s="1"/>
  <c r="I28" i="5"/>
  <c r="AD27" i="5"/>
  <c r="Y30" i="5" l="1"/>
  <c r="Z30" i="5" s="1"/>
  <c r="AA30" i="5" s="1"/>
  <c r="Y29" i="5"/>
  <c r="Z29" i="5"/>
  <c r="AA29" i="5" s="1"/>
  <c r="Q28" i="5"/>
  <c r="T28" i="5" s="1"/>
  <c r="X28" i="5" l="1"/>
  <c r="Y28" i="5" s="1"/>
  <c r="Z28" i="5" s="1"/>
  <c r="V28" i="5"/>
  <c r="R28" i="5"/>
  <c r="S28" i="5" s="1"/>
  <c r="AA28" i="5" l="1"/>
  <c r="AF27" i="5" l="1"/>
  <c r="X27" i="5"/>
  <c r="V27" i="5"/>
  <c r="S27" i="5"/>
  <c r="P27" i="5"/>
  <c r="T27" i="5" s="1"/>
  <c r="K27" i="5"/>
  <c r="J27" i="5"/>
  <c r="I27" i="5"/>
  <c r="AD26" i="5"/>
  <c r="AF26" i="5" s="1"/>
  <c r="X26" i="5"/>
  <c r="V26" i="5"/>
  <c r="S26" i="5"/>
  <c r="P26" i="5"/>
  <c r="T26" i="5" s="1"/>
  <c r="J26" i="5"/>
  <c r="K26" i="5" s="1"/>
  <c r="I26" i="5"/>
  <c r="I25" i="5"/>
  <c r="M25" i="5"/>
  <c r="AD25" i="5" s="1"/>
  <c r="AF25" i="5" s="1"/>
  <c r="M24" i="5"/>
  <c r="AD24" i="5" s="1"/>
  <c r="AF24" i="5" s="1"/>
  <c r="I24" i="5"/>
  <c r="P25" i="5" l="1"/>
  <c r="Q25" i="5" s="1"/>
  <c r="R25" i="5" s="1"/>
  <c r="Y27" i="5"/>
  <c r="Z27" i="5" s="1"/>
  <c r="AA27" i="5" s="1"/>
  <c r="Y26" i="5"/>
  <c r="Z26" i="5" s="1"/>
  <c r="AA26" i="5" s="1"/>
  <c r="P24" i="5"/>
  <c r="S25" i="5" l="1"/>
  <c r="T25" i="5"/>
  <c r="V25" i="5"/>
  <c r="X25" i="5"/>
  <c r="Y25" i="5" s="1"/>
  <c r="Z25" i="5" s="1"/>
  <c r="Q24" i="5"/>
  <c r="AD22" i="5"/>
  <c r="AF22" i="5" s="1"/>
  <c r="X22" i="5"/>
  <c r="V22" i="5"/>
  <c r="S22" i="5"/>
  <c r="P22" i="5"/>
  <c r="T22" i="5" s="1"/>
  <c r="J22" i="5"/>
  <c r="K22" i="5" s="1"/>
  <c r="I22" i="5"/>
  <c r="AD23" i="5"/>
  <c r="AF23" i="5" s="1"/>
  <c r="X23" i="5"/>
  <c r="V23" i="5"/>
  <c r="S23" i="5"/>
  <c r="P23" i="5"/>
  <c r="T23" i="5" s="1"/>
  <c r="J23" i="5"/>
  <c r="K23" i="5" s="1"/>
  <c r="I23" i="5"/>
  <c r="AA25" i="5" l="1"/>
  <c r="X24" i="5"/>
  <c r="Y24" i="5" s="1"/>
  <c r="Z24" i="5" s="1"/>
  <c r="R24" i="5"/>
  <c r="S24" i="5" s="1"/>
  <c r="V24" i="5"/>
  <c r="T24" i="5"/>
  <c r="Y23" i="5"/>
  <c r="Z23" i="5" s="1"/>
  <c r="AA23" i="5" s="1"/>
  <c r="Y22" i="5"/>
  <c r="Z22" i="5" s="1"/>
  <c r="AA22" i="5" s="1"/>
  <c r="AD21" i="5"/>
  <c r="AF21" i="5" s="1"/>
  <c r="X21" i="5"/>
  <c r="V21" i="5"/>
  <c r="S21" i="5"/>
  <c r="P21" i="5"/>
  <c r="T21" i="5" s="1"/>
  <c r="J21" i="5"/>
  <c r="K21" i="5" s="1"/>
  <c r="I21" i="5"/>
  <c r="AA24" i="5" l="1"/>
  <c r="Y21" i="5"/>
  <c r="Z21" i="5" s="1"/>
  <c r="AA21" i="5" s="1"/>
  <c r="X19" i="5" l="1"/>
  <c r="X20" i="5"/>
  <c r="AD20" i="5" l="1"/>
  <c r="AF20" i="5" s="1"/>
  <c r="V20" i="5"/>
  <c r="S20" i="5"/>
  <c r="P20" i="5"/>
  <c r="T20" i="5" s="1"/>
  <c r="J20" i="5"/>
  <c r="K20" i="5" s="1"/>
  <c r="I20" i="5"/>
  <c r="Y20" i="5" s="1"/>
  <c r="AD19" i="5"/>
  <c r="AF19" i="5" s="1"/>
  <c r="V19" i="5"/>
  <c r="S19" i="5"/>
  <c r="P19" i="5"/>
  <c r="T19" i="5" s="1"/>
  <c r="J19" i="5"/>
  <c r="K19" i="5" s="1"/>
  <c r="I19" i="5"/>
  <c r="AD18" i="5"/>
  <c r="AF18" i="5" s="1"/>
  <c r="X18" i="5"/>
  <c r="V18" i="5"/>
  <c r="S18" i="5"/>
  <c r="P18" i="5"/>
  <c r="T18" i="5" s="1"/>
  <c r="J18" i="5"/>
  <c r="K18" i="5" s="1"/>
  <c r="I18" i="5"/>
  <c r="Y18" i="5" l="1"/>
  <c r="Z18" i="5" s="1"/>
  <c r="AA18" i="5" s="1"/>
  <c r="Y19" i="5"/>
  <c r="Z19" i="5" s="1"/>
  <c r="AA19" i="5" s="1"/>
  <c r="Z20" i="5"/>
  <c r="AA20" i="5" s="1"/>
  <c r="AD17" i="5"/>
  <c r="AF17" i="5" s="1"/>
  <c r="X17" i="5"/>
  <c r="V17" i="5"/>
  <c r="S17" i="5"/>
  <c r="P17" i="5"/>
  <c r="T17" i="5" s="1"/>
  <c r="J17" i="5"/>
  <c r="K17" i="5" s="1"/>
  <c r="I17" i="5"/>
  <c r="AD16" i="5"/>
  <c r="AF16" i="5" s="1"/>
  <c r="X16" i="5"/>
  <c r="V16" i="5"/>
  <c r="S16" i="5"/>
  <c r="P16" i="5"/>
  <c r="T16" i="5" s="1"/>
  <c r="J16" i="5"/>
  <c r="K16" i="5" s="1"/>
  <c r="I16" i="5"/>
  <c r="Y17" i="5" l="1"/>
  <c r="Z17" i="5" s="1"/>
  <c r="AA17" i="5" s="1"/>
  <c r="Y16" i="5"/>
  <c r="Z16" i="5" s="1"/>
  <c r="AA16" i="5" s="1"/>
  <c r="AD15" i="5" l="1"/>
  <c r="AF15" i="5" s="1"/>
  <c r="X15" i="5"/>
  <c r="V15" i="5"/>
  <c r="S15" i="5"/>
  <c r="P15" i="5"/>
  <c r="T15" i="5" s="1"/>
  <c r="J15" i="5"/>
  <c r="K15" i="5" s="1"/>
  <c r="I15" i="5"/>
  <c r="Y15" i="5" l="1"/>
  <c r="Z15" i="5" s="1"/>
  <c r="AA15" i="5" s="1"/>
  <c r="S14" i="5"/>
  <c r="AD14" i="5"/>
  <c r="AF14" i="5" s="1"/>
  <c r="X14" i="5"/>
  <c r="V14" i="5"/>
  <c r="P14" i="5"/>
  <c r="T14" i="5" s="1"/>
  <c r="J14" i="5"/>
  <c r="K14" i="5" s="1"/>
  <c r="I14" i="5"/>
  <c r="Y14" i="5" l="1"/>
  <c r="Z14" i="5" s="1"/>
  <c r="AA14" i="5" s="1"/>
  <c r="AD13" i="5" l="1"/>
  <c r="AF13" i="5" s="1"/>
  <c r="X13" i="5"/>
  <c r="V13" i="5"/>
  <c r="S13" i="5"/>
  <c r="P13" i="5"/>
  <c r="T13" i="5" s="1"/>
  <c r="J13" i="5"/>
  <c r="K13" i="5" s="1"/>
  <c r="I13" i="5"/>
  <c r="AD12" i="5"/>
  <c r="AF12" i="5" s="1"/>
  <c r="X12" i="5"/>
  <c r="V12" i="5"/>
  <c r="S12" i="5"/>
  <c r="P12" i="5"/>
  <c r="T12" i="5" s="1"/>
  <c r="J12" i="5"/>
  <c r="K12" i="5" s="1"/>
  <c r="I12" i="5"/>
  <c r="AD11" i="5"/>
  <c r="AF11" i="5" s="1"/>
  <c r="P11" i="5"/>
  <c r="Q11" i="5" s="1"/>
  <c r="J11" i="5"/>
  <c r="K11" i="5" s="1"/>
  <c r="I11" i="5"/>
  <c r="Y13" i="5" l="1"/>
  <c r="Z13" i="5" s="1"/>
  <c r="AA13" i="5" s="1"/>
  <c r="Y12" i="5"/>
  <c r="Z12" i="5" s="1"/>
  <c r="AA12" i="5" s="1"/>
  <c r="X11" i="5"/>
  <c r="Y11" i="5" s="1"/>
  <c r="Z11" i="5" s="1"/>
  <c r="R11" i="5"/>
  <c r="S11" i="5" s="1"/>
  <c r="V11" i="5"/>
  <c r="T11" i="5"/>
  <c r="X10" i="5"/>
  <c r="V10" i="5"/>
  <c r="J10" i="5"/>
  <c r="K10" i="5" s="1"/>
  <c r="AD10" i="5"/>
  <c r="AF10" i="5" s="1"/>
  <c r="P10" i="5"/>
  <c r="I10" i="5"/>
  <c r="Y10" i="5" l="1"/>
  <c r="Z10" i="5" s="1"/>
  <c r="AA10" i="5" s="1"/>
  <c r="AA11" i="5"/>
  <c r="I9" i="5"/>
  <c r="AD8" i="5"/>
  <c r="AF8" i="5" s="1"/>
  <c r="X8" i="5"/>
  <c r="V8" i="5"/>
  <c r="S8" i="5"/>
  <c r="P8" i="5"/>
  <c r="T8" i="5" s="1"/>
  <c r="J8" i="5"/>
  <c r="K8" i="5" s="1"/>
  <c r="I8" i="5"/>
  <c r="AD7" i="5"/>
  <c r="AF7" i="5" s="1"/>
  <c r="X7" i="5"/>
  <c r="V7" i="5"/>
  <c r="S7" i="5"/>
  <c r="P7" i="5"/>
  <c r="T7" i="5" s="1"/>
  <c r="J7" i="5"/>
  <c r="K7" i="5" s="1"/>
  <c r="I7" i="5"/>
  <c r="Y8" i="5" l="1"/>
  <c r="Z8" i="5" s="1"/>
  <c r="AA8" i="5" s="1"/>
  <c r="Y7" i="5"/>
  <c r="Z7" i="5" s="1"/>
  <c r="AA7" i="5" s="1"/>
  <c r="AD6" i="5" l="1"/>
  <c r="AF6" i="5" s="1"/>
  <c r="X6" i="5"/>
  <c r="V6" i="5"/>
  <c r="S6" i="5"/>
  <c r="P6" i="5"/>
  <c r="T6" i="5" s="1"/>
  <c r="J6" i="5"/>
  <c r="K6" i="5" s="1"/>
  <c r="I6" i="5"/>
  <c r="AD4" i="5"/>
  <c r="AF4" i="5" s="1"/>
  <c r="X4" i="5"/>
  <c r="V4" i="5"/>
  <c r="S4" i="5"/>
  <c r="P4" i="5"/>
  <c r="T4" i="5" s="1"/>
  <c r="J4" i="5"/>
  <c r="K4" i="5" s="1"/>
  <c r="I4" i="5"/>
  <c r="Y6" i="5" l="1"/>
  <c r="Z6" i="5" s="1"/>
  <c r="AA6" i="5" s="1"/>
  <c r="Y4" i="5"/>
  <c r="Z4" i="5" s="1"/>
  <c r="AA4" i="5" s="1"/>
  <c r="AD43" i="2" l="1"/>
  <c r="AF43" i="2" s="1"/>
  <c r="X43" i="2"/>
  <c r="V43" i="2"/>
  <c r="S43" i="2"/>
  <c r="P43" i="2"/>
  <c r="T43" i="2" s="1"/>
  <c r="J43" i="2"/>
  <c r="K43" i="2" s="1"/>
  <c r="I43" i="2"/>
  <c r="AD42" i="2"/>
  <c r="AF42" i="2" s="1"/>
  <c r="P42" i="2"/>
  <c r="J42" i="2"/>
  <c r="K42" i="2" s="1"/>
  <c r="I42" i="2"/>
  <c r="AD41" i="2"/>
  <c r="AF41" i="2" s="1"/>
  <c r="X41" i="2"/>
  <c r="V41" i="2"/>
  <c r="S41" i="2"/>
  <c r="P41" i="2"/>
  <c r="T41" i="2" s="1"/>
  <c r="J41" i="2"/>
  <c r="K41" i="2" s="1"/>
  <c r="I41" i="2"/>
  <c r="AD40" i="2"/>
  <c r="AF40" i="2" s="1"/>
  <c r="X40" i="2"/>
  <c r="V40" i="2"/>
  <c r="S40" i="2"/>
  <c r="P40" i="2"/>
  <c r="T40" i="2" s="1"/>
  <c r="J40" i="2"/>
  <c r="K40" i="2" s="1"/>
  <c r="I40" i="2"/>
  <c r="AD39" i="2"/>
  <c r="AF39" i="2" s="1"/>
  <c r="X39" i="2"/>
  <c r="V39" i="2"/>
  <c r="S39" i="2"/>
  <c r="P39" i="2"/>
  <c r="T39" i="2" s="1"/>
  <c r="J39" i="2"/>
  <c r="K39" i="2" s="1"/>
  <c r="I39" i="2"/>
  <c r="AD38" i="2"/>
  <c r="AF38" i="2" s="1"/>
  <c r="X38" i="2"/>
  <c r="V38" i="2"/>
  <c r="S38" i="2"/>
  <c r="P38" i="2"/>
  <c r="T38" i="2" s="1"/>
  <c r="K38" i="2"/>
  <c r="I38" i="2"/>
  <c r="AD37" i="2"/>
  <c r="AF37" i="2" s="1"/>
  <c r="X37" i="2"/>
  <c r="V37" i="2"/>
  <c r="S37" i="2"/>
  <c r="P37" i="2"/>
  <c r="T37" i="2" s="1"/>
  <c r="J37" i="2"/>
  <c r="K37" i="2" s="1"/>
  <c r="I37" i="2"/>
  <c r="Y40" i="2" l="1"/>
  <c r="Z40" i="2" s="1"/>
  <c r="AA40" i="2" s="1"/>
  <c r="Y43" i="2"/>
  <c r="Z43" i="2" s="1"/>
  <c r="AA43" i="2" s="1"/>
  <c r="Q42" i="2"/>
  <c r="Y41" i="2"/>
  <c r="Z41" i="2" s="1"/>
  <c r="AA41" i="2" s="1"/>
  <c r="Y39" i="2"/>
  <c r="Z39" i="2" s="1"/>
  <c r="AA39" i="2" s="1"/>
  <c r="Y38" i="2"/>
  <c r="Z38" i="2" s="1"/>
  <c r="AA38" i="2" s="1"/>
  <c r="Y37" i="2"/>
  <c r="Z37" i="2" s="1"/>
  <c r="AA37" i="2" s="1"/>
  <c r="R42" i="2" l="1"/>
  <c r="S42" i="2" s="1"/>
  <c r="X42" i="2"/>
  <c r="Y42" i="2" s="1"/>
  <c r="Z42" i="2" s="1"/>
  <c r="V42" i="2"/>
  <c r="T42" i="2"/>
  <c r="AA42" i="2" l="1"/>
  <c r="AD36" i="2" l="1"/>
  <c r="AF36" i="2" s="1"/>
  <c r="X36" i="2"/>
  <c r="V36" i="2"/>
  <c r="T36" i="2"/>
  <c r="S36" i="2"/>
  <c r="P36" i="2"/>
  <c r="J36" i="2"/>
  <c r="K36" i="2" s="1"/>
  <c r="I36" i="2"/>
  <c r="AD35" i="2"/>
  <c r="AF35" i="2" s="1"/>
  <c r="X35" i="2"/>
  <c r="V35" i="2"/>
  <c r="S35" i="2"/>
  <c r="P35" i="2"/>
  <c r="T35" i="2" s="1"/>
  <c r="J35" i="2"/>
  <c r="K35" i="2" s="1"/>
  <c r="I35" i="2"/>
  <c r="AD34" i="2"/>
  <c r="AF34" i="2" s="1"/>
  <c r="X34" i="2"/>
  <c r="V34" i="2"/>
  <c r="S34" i="2"/>
  <c r="P34" i="2"/>
  <c r="T34" i="2" s="1"/>
  <c r="J34" i="2"/>
  <c r="K34" i="2" s="1"/>
  <c r="I34" i="2"/>
  <c r="AF33" i="2"/>
  <c r="X33" i="2"/>
  <c r="V33" i="2"/>
  <c r="S33" i="2"/>
  <c r="P33" i="2"/>
  <c r="T33" i="2" s="1"/>
  <c r="J33" i="2"/>
  <c r="K33" i="2" s="1"/>
  <c r="I33" i="2"/>
  <c r="Y35" i="2" l="1"/>
  <c r="Z35" i="2" s="1"/>
  <c r="AA35" i="2" s="1"/>
  <c r="Y36" i="2"/>
  <c r="Z36" i="2"/>
  <c r="AA36" i="2" s="1"/>
  <c r="Y34" i="2"/>
  <c r="Z34" i="2" s="1"/>
  <c r="AA34" i="2" s="1"/>
  <c r="Y33" i="2"/>
  <c r="Z33" i="2" s="1"/>
  <c r="AA33" i="2" s="1"/>
  <c r="AD5" i="5"/>
  <c r="AF5" i="5" s="1"/>
  <c r="X5" i="5"/>
  <c r="V5" i="5"/>
  <c r="S5" i="5"/>
  <c r="P5" i="5"/>
  <c r="T5" i="5" s="1"/>
  <c r="J5" i="5"/>
  <c r="K5" i="5" s="1"/>
  <c r="I5" i="5"/>
  <c r="AD3" i="5"/>
  <c r="AF3" i="5" s="1"/>
  <c r="X3" i="5"/>
  <c r="V3" i="5"/>
  <c r="S3" i="5"/>
  <c r="P3" i="5"/>
  <c r="T3" i="5" s="1"/>
  <c r="J3" i="5"/>
  <c r="K3" i="5" s="1"/>
  <c r="I3" i="5"/>
  <c r="AD2" i="5"/>
  <c r="AF2" i="5" s="1"/>
  <c r="X2" i="5"/>
  <c r="V2" i="5"/>
  <c r="S2" i="5"/>
  <c r="P2" i="5"/>
  <c r="T2" i="5" s="1"/>
  <c r="J2" i="5"/>
  <c r="K2" i="5" s="1"/>
  <c r="I2" i="5"/>
  <c r="G44" i="5"/>
  <c r="Y5" i="5" l="1"/>
  <c r="Z5" i="5" s="1"/>
  <c r="AA5" i="5" s="1"/>
  <c r="Y3" i="5"/>
  <c r="Z3" i="5" s="1"/>
  <c r="AA3" i="5" s="1"/>
  <c r="Y2" i="5"/>
  <c r="Z2" i="5" s="1"/>
  <c r="AA2" i="5" s="1"/>
  <c r="I44" i="5"/>
  <c r="J69" i="2"/>
  <c r="AD44" i="5" l="1"/>
  <c r="AF44" i="5"/>
  <c r="AD32" i="2"/>
  <c r="AF32" i="2" s="1"/>
  <c r="X32" i="2"/>
  <c r="V32" i="2"/>
  <c r="S32" i="2"/>
  <c r="P32" i="2"/>
  <c r="T32" i="2" s="1"/>
  <c r="J32" i="2"/>
  <c r="K32" i="2" s="1"/>
  <c r="I32" i="2"/>
  <c r="AD31" i="2"/>
  <c r="AF31" i="2" s="1"/>
  <c r="X31" i="2"/>
  <c r="V31" i="2"/>
  <c r="S31" i="2"/>
  <c r="P31" i="2"/>
  <c r="T31" i="2" s="1"/>
  <c r="J31" i="2"/>
  <c r="K31" i="2" s="1"/>
  <c r="I31" i="2"/>
  <c r="AD30" i="2"/>
  <c r="AF30" i="2" s="1"/>
  <c r="X30" i="2"/>
  <c r="V30" i="2"/>
  <c r="S30" i="2"/>
  <c r="P30" i="2"/>
  <c r="T30" i="2" s="1"/>
  <c r="J30" i="2"/>
  <c r="K30" i="2" s="1"/>
  <c r="I30" i="2"/>
  <c r="AD29" i="2"/>
  <c r="AF29" i="2" s="1"/>
  <c r="X29" i="2"/>
  <c r="V29" i="2"/>
  <c r="S29" i="2"/>
  <c r="P29" i="2"/>
  <c r="T29" i="2" s="1"/>
  <c r="J29" i="2"/>
  <c r="K29" i="2" s="1"/>
  <c r="I29" i="2"/>
  <c r="G73" i="2"/>
  <c r="V69" i="2"/>
  <c r="AD69" i="2"/>
  <c r="AF69" i="2" s="1"/>
  <c r="X69" i="2"/>
  <c r="S69" i="2"/>
  <c r="P69" i="2"/>
  <c r="T69" i="2" s="1"/>
  <c r="K69" i="2"/>
  <c r="I69" i="2"/>
  <c r="Y29" i="2" l="1"/>
  <c r="Z29" i="2" s="1"/>
  <c r="AA29" i="2" s="1"/>
  <c r="Y32" i="2"/>
  <c r="Z32" i="2" s="1"/>
  <c r="AA32" i="2" s="1"/>
  <c r="Y31" i="2"/>
  <c r="Z31" i="2" s="1"/>
  <c r="AA31" i="2" s="1"/>
  <c r="Y30" i="2"/>
  <c r="Z30" i="2" s="1"/>
  <c r="AA30" i="2" s="1"/>
  <c r="Y69" i="2"/>
  <c r="Z69" i="2" s="1"/>
  <c r="AA69" i="2" s="1"/>
  <c r="J28" i="2" l="1"/>
  <c r="I28" i="2"/>
  <c r="K28" i="2"/>
  <c r="P28" i="2"/>
  <c r="T28" i="2" s="1"/>
  <c r="S28" i="2"/>
  <c r="V28" i="2"/>
  <c r="X28" i="2"/>
  <c r="Y28" i="2" s="1"/>
  <c r="AD28" i="2"/>
  <c r="AF28" i="2" s="1"/>
  <c r="AD27" i="2"/>
  <c r="AF27" i="2" s="1"/>
  <c r="X27" i="2"/>
  <c r="V27" i="2"/>
  <c r="S27" i="2"/>
  <c r="P27" i="2"/>
  <c r="T27" i="2" s="1"/>
  <c r="J27" i="2"/>
  <c r="K27" i="2" s="1"/>
  <c r="I27" i="2"/>
  <c r="Y27" i="2" s="1"/>
  <c r="AD26" i="2"/>
  <c r="AF26" i="2" s="1"/>
  <c r="X26" i="2"/>
  <c r="V26" i="2"/>
  <c r="S26" i="2"/>
  <c r="P26" i="2"/>
  <c r="T26" i="2" s="1"/>
  <c r="J26" i="2"/>
  <c r="K26" i="2" s="1"/>
  <c r="I26" i="2"/>
  <c r="AF25" i="2"/>
  <c r="X25" i="2"/>
  <c r="V25" i="2"/>
  <c r="S25" i="2"/>
  <c r="P25" i="2"/>
  <c r="T25" i="2" s="1"/>
  <c r="J25" i="2"/>
  <c r="K25" i="2" s="1"/>
  <c r="I25" i="2"/>
  <c r="AD24" i="2"/>
  <c r="AF24" i="2" s="1"/>
  <c r="X24" i="2"/>
  <c r="V24" i="2"/>
  <c r="S24" i="2"/>
  <c r="P24" i="2"/>
  <c r="T24" i="2" s="1"/>
  <c r="J24" i="2"/>
  <c r="K24" i="2" s="1"/>
  <c r="I24" i="2"/>
  <c r="Z28" i="2" l="1"/>
  <c r="AA28" i="2" s="1"/>
  <c r="AA44" i="5"/>
  <c r="Y24" i="2"/>
  <c r="Z24" i="2" s="1"/>
  <c r="AA24" i="2" s="1"/>
  <c r="Y25" i="2"/>
  <c r="Z25" i="2" s="1"/>
  <c r="AA25" i="2" s="1"/>
  <c r="Z27" i="2"/>
  <c r="AA27" i="2" s="1"/>
  <c r="Y26" i="2"/>
  <c r="Z26" i="2" s="1"/>
  <c r="AA26" i="2" s="1"/>
  <c r="AD23" i="2"/>
  <c r="AF23" i="2" s="1"/>
  <c r="X23" i="2"/>
  <c r="V23" i="2"/>
  <c r="S23" i="2"/>
  <c r="P23" i="2"/>
  <c r="T23" i="2" s="1"/>
  <c r="J23" i="2"/>
  <c r="K23" i="2" s="1"/>
  <c r="I23" i="2"/>
  <c r="Y23" i="2" l="1"/>
  <c r="Z23" i="2" s="1"/>
  <c r="AA23" i="2" s="1"/>
  <c r="AD22" i="2"/>
  <c r="AF22" i="2" s="1"/>
  <c r="X22" i="2"/>
  <c r="V22" i="2"/>
  <c r="S22" i="2"/>
  <c r="P22" i="2"/>
  <c r="T22" i="2" s="1"/>
  <c r="J22" i="2"/>
  <c r="K22" i="2" s="1"/>
  <c r="I22" i="2"/>
  <c r="AD21" i="2"/>
  <c r="AF21" i="2" s="1"/>
  <c r="X21" i="2"/>
  <c r="V21" i="2"/>
  <c r="S21" i="2"/>
  <c r="P21" i="2"/>
  <c r="T21" i="2" s="1"/>
  <c r="J21" i="2"/>
  <c r="K21" i="2" s="1"/>
  <c r="I21" i="2"/>
  <c r="I20" i="2"/>
  <c r="M20" i="2"/>
  <c r="AD20" i="2" s="1"/>
  <c r="AF20" i="2" s="1"/>
  <c r="M19" i="2"/>
  <c r="AD19" i="2" s="1"/>
  <c r="AF19" i="2" s="1"/>
  <c r="I19" i="2"/>
  <c r="AD18" i="2"/>
  <c r="AF18" i="2" s="1"/>
  <c r="X18" i="2"/>
  <c r="V18" i="2"/>
  <c r="S18" i="2"/>
  <c r="P18" i="2"/>
  <c r="J18" i="2"/>
  <c r="K18" i="2" s="1"/>
  <c r="I18" i="2"/>
  <c r="P20" i="2" l="1"/>
  <c r="Q20" i="2" s="1"/>
  <c r="R20" i="2" s="1"/>
  <c r="Y18" i="2"/>
  <c r="Z18" i="2" s="1"/>
  <c r="AA18" i="2" s="1"/>
  <c r="Y22" i="2"/>
  <c r="Z22" i="2" s="1"/>
  <c r="AA22" i="2" s="1"/>
  <c r="Y21" i="2"/>
  <c r="Z21" i="2" s="1"/>
  <c r="AA21" i="2" s="1"/>
  <c r="X20" i="2"/>
  <c r="Y20" i="2" s="1"/>
  <c r="Z20" i="2" s="1"/>
  <c r="P19" i="2"/>
  <c r="Q19" i="2" s="1"/>
  <c r="X19" i="2" s="1"/>
  <c r="Y19" i="2" s="1"/>
  <c r="Z19" i="2" s="1"/>
  <c r="T18" i="2"/>
  <c r="AD17" i="2"/>
  <c r="AF17" i="2" s="1"/>
  <c r="X17" i="2"/>
  <c r="V17" i="2"/>
  <c r="S17" i="2"/>
  <c r="P17" i="2"/>
  <c r="T17" i="2" s="1"/>
  <c r="J17" i="2"/>
  <c r="K17" i="2" s="1"/>
  <c r="I17" i="2"/>
  <c r="AD16" i="2"/>
  <c r="AF16" i="2" s="1"/>
  <c r="X16" i="2"/>
  <c r="V16" i="2"/>
  <c r="S16" i="2"/>
  <c r="P16" i="2"/>
  <c r="T16" i="2" s="1"/>
  <c r="J16" i="2"/>
  <c r="K16" i="2" s="1"/>
  <c r="I16" i="2"/>
  <c r="AD15" i="2"/>
  <c r="AF15" i="2" s="1"/>
  <c r="X15" i="2"/>
  <c r="V15" i="2"/>
  <c r="S15" i="2"/>
  <c r="P15" i="2"/>
  <c r="T15" i="2" s="1"/>
  <c r="J15" i="2"/>
  <c r="K15" i="2" s="1"/>
  <c r="I15" i="2"/>
  <c r="AD14" i="2"/>
  <c r="AF14" i="2" s="1"/>
  <c r="X14" i="2"/>
  <c r="V14" i="2"/>
  <c r="S14" i="2"/>
  <c r="P14" i="2"/>
  <c r="T14" i="2" s="1"/>
  <c r="J14" i="2"/>
  <c r="K14" i="2" s="1"/>
  <c r="I14" i="2"/>
  <c r="AD13" i="2"/>
  <c r="AF13" i="2" s="1"/>
  <c r="X13" i="2"/>
  <c r="V13" i="2"/>
  <c r="S13" i="2"/>
  <c r="P13" i="2"/>
  <c r="T13" i="2" s="1"/>
  <c r="J13" i="2"/>
  <c r="K13" i="2" s="1"/>
  <c r="I13" i="2"/>
  <c r="AD12" i="2"/>
  <c r="AF12" i="2" s="1"/>
  <c r="P12" i="2"/>
  <c r="J12" i="2"/>
  <c r="K12" i="2" s="1"/>
  <c r="I12" i="2"/>
  <c r="AD11" i="2"/>
  <c r="AF11" i="2" s="1"/>
  <c r="X11" i="2"/>
  <c r="V11" i="2"/>
  <c r="S11" i="2"/>
  <c r="P11" i="2"/>
  <c r="T11" i="2" s="1"/>
  <c r="J11" i="2"/>
  <c r="K11" i="2" s="1"/>
  <c r="I11" i="2"/>
  <c r="AD10" i="2"/>
  <c r="AF10" i="2" s="1"/>
  <c r="X10" i="2"/>
  <c r="V10" i="2"/>
  <c r="S10" i="2"/>
  <c r="P10" i="2"/>
  <c r="T10" i="2" s="1"/>
  <c r="J10" i="2"/>
  <c r="K10" i="2" s="1"/>
  <c r="I10" i="2"/>
  <c r="AD9" i="2"/>
  <c r="AF9" i="2" s="1"/>
  <c r="X9" i="2"/>
  <c r="V9" i="2"/>
  <c r="S9" i="2"/>
  <c r="P9" i="2"/>
  <c r="T9" i="2" s="1"/>
  <c r="J9" i="2"/>
  <c r="K9" i="2" s="1"/>
  <c r="I9" i="2"/>
  <c r="T20" i="2" l="1"/>
  <c r="T19" i="2"/>
  <c r="V19" i="2"/>
  <c r="AA19" i="2" s="1"/>
  <c r="S20" i="2"/>
  <c r="R19" i="2"/>
  <c r="S19" i="2" s="1"/>
  <c r="V20" i="2"/>
  <c r="AA20" i="2" s="1"/>
  <c r="Y17" i="2"/>
  <c r="Z17" i="2" s="1"/>
  <c r="AA17" i="2" s="1"/>
  <c r="Y16" i="2"/>
  <c r="Z16" i="2" s="1"/>
  <c r="AA16" i="2" s="1"/>
  <c r="Y15" i="2"/>
  <c r="Z15" i="2" s="1"/>
  <c r="AA15" i="2" s="1"/>
  <c r="Y14" i="2"/>
  <c r="Z14" i="2" s="1"/>
  <c r="AA14" i="2" s="1"/>
  <c r="Y13" i="2"/>
  <c r="Z13" i="2" s="1"/>
  <c r="AA13" i="2" s="1"/>
  <c r="Q12" i="2"/>
  <c r="Y11" i="2"/>
  <c r="Z11" i="2" s="1"/>
  <c r="AA11" i="2" s="1"/>
  <c r="Y10" i="2"/>
  <c r="Z10" i="2" s="1"/>
  <c r="AA10" i="2" s="1"/>
  <c r="Y9" i="2"/>
  <c r="Z9" i="2" s="1"/>
  <c r="AA9" i="2" s="1"/>
  <c r="X12" i="2" l="1"/>
  <c r="Y12" i="2" s="1"/>
  <c r="Z12" i="2" s="1"/>
  <c r="R12" i="2"/>
  <c r="S12" i="2" s="1"/>
  <c r="V12" i="2"/>
  <c r="T12" i="2"/>
  <c r="AA12" i="2" l="1"/>
  <c r="AD7" i="2" l="1"/>
  <c r="AF7" i="2" s="1"/>
  <c r="X7" i="2"/>
  <c r="V7" i="2"/>
  <c r="S7" i="2"/>
  <c r="P7" i="2"/>
  <c r="T7" i="2" s="1"/>
  <c r="J7" i="2"/>
  <c r="K7" i="2" s="1"/>
  <c r="I7" i="2"/>
  <c r="Y7" i="2" l="1"/>
  <c r="Z7" i="2" s="1"/>
  <c r="AA7" i="2" s="1"/>
  <c r="AD68" i="2"/>
  <c r="AF68" i="2" s="1"/>
  <c r="X68" i="2"/>
  <c r="V68" i="2"/>
  <c r="S68" i="2"/>
  <c r="P68" i="2"/>
  <c r="T68" i="2" s="1"/>
  <c r="J68" i="2"/>
  <c r="K68" i="2" s="1"/>
  <c r="I68" i="2"/>
  <c r="Y68" i="2" l="1"/>
  <c r="Z68" i="2" s="1"/>
  <c r="AA68" i="2" s="1"/>
  <c r="AD67" i="2" l="1"/>
  <c r="AF67" i="2" s="1"/>
  <c r="X67" i="2"/>
  <c r="V67" i="2"/>
  <c r="S67" i="2"/>
  <c r="P67" i="2"/>
  <c r="T67" i="2" s="1"/>
  <c r="J67" i="2"/>
  <c r="K67" i="2" s="1"/>
  <c r="I67" i="2"/>
  <c r="AD66" i="2"/>
  <c r="AF66" i="2" s="1"/>
  <c r="X66" i="2"/>
  <c r="V66" i="2"/>
  <c r="T66" i="2"/>
  <c r="S66" i="2"/>
  <c r="P66" i="2"/>
  <c r="J66" i="2"/>
  <c r="K66" i="2" s="1"/>
  <c r="I66" i="2"/>
  <c r="AD65" i="2"/>
  <c r="AF65" i="2" s="1"/>
  <c r="X65" i="2"/>
  <c r="V65" i="2"/>
  <c r="T65" i="2"/>
  <c r="S65" i="2"/>
  <c r="P65" i="2"/>
  <c r="J65" i="2"/>
  <c r="K65" i="2" s="1"/>
  <c r="I65" i="2"/>
  <c r="AD64" i="2"/>
  <c r="AF64" i="2" s="1"/>
  <c r="X64" i="2"/>
  <c r="V64" i="2"/>
  <c r="S64" i="2"/>
  <c r="P64" i="2"/>
  <c r="T64" i="2" s="1"/>
  <c r="J64" i="2"/>
  <c r="K64" i="2" s="1"/>
  <c r="I64" i="2"/>
  <c r="Y67" i="2" l="1"/>
  <c r="Z67" i="2" s="1"/>
  <c r="AA67" i="2" s="1"/>
  <c r="Y66" i="2"/>
  <c r="Z66" i="2" s="1"/>
  <c r="AA66" i="2" s="1"/>
  <c r="Y65" i="2"/>
  <c r="Z65" i="2" s="1"/>
  <c r="AA65" i="2" s="1"/>
  <c r="Y64" i="2"/>
  <c r="Z64" i="2" s="1"/>
  <c r="AA64" i="2" s="1"/>
  <c r="AD63" i="2" l="1"/>
  <c r="AF63" i="2" s="1"/>
  <c r="X63" i="2"/>
  <c r="V63" i="2"/>
  <c r="S63" i="2"/>
  <c r="P63" i="2"/>
  <c r="T63" i="2" s="1"/>
  <c r="J63" i="2"/>
  <c r="K63" i="2" s="1"/>
  <c r="I63" i="2"/>
  <c r="AD62" i="2"/>
  <c r="AF62" i="2" s="1"/>
  <c r="X62" i="2"/>
  <c r="V62" i="2"/>
  <c r="T62" i="2"/>
  <c r="S62" i="2"/>
  <c r="P62" i="2"/>
  <c r="J62" i="2"/>
  <c r="K62" i="2" s="1"/>
  <c r="I62" i="2"/>
  <c r="AD61" i="2"/>
  <c r="AF61" i="2" s="1"/>
  <c r="X61" i="2"/>
  <c r="V61" i="2"/>
  <c r="S61" i="2"/>
  <c r="P61" i="2"/>
  <c r="T61" i="2" s="1"/>
  <c r="J61" i="2"/>
  <c r="K61" i="2" s="1"/>
  <c r="I61" i="2"/>
  <c r="M6" i="2"/>
  <c r="AD6" i="2" s="1"/>
  <c r="AF6" i="2" s="1"/>
  <c r="J6" i="2"/>
  <c r="K6" i="2" s="1"/>
  <c r="I6" i="2"/>
  <c r="M5" i="2"/>
  <c r="AD5" i="2" s="1"/>
  <c r="AF5" i="2" s="1"/>
  <c r="P5" i="2"/>
  <c r="J5" i="2"/>
  <c r="K5" i="2" s="1"/>
  <c r="I5" i="2"/>
  <c r="P6" i="2" l="1"/>
  <c r="Q6" i="2" s="1"/>
  <c r="R6" i="2" s="1"/>
  <c r="S6" i="2" s="1"/>
  <c r="Q5" i="2"/>
  <c r="T5" i="2" s="1"/>
  <c r="Y63" i="2"/>
  <c r="Z63" i="2" s="1"/>
  <c r="AA63" i="2" s="1"/>
  <c r="Y62" i="2"/>
  <c r="Z62" i="2" s="1"/>
  <c r="AA62" i="2" s="1"/>
  <c r="Y61" i="2"/>
  <c r="Z61" i="2" s="1"/>
  <c r="AA61" i="2" s="1"/>
  <c r="X6" i="2" l="1"/>
  <c r="Y6" i="2" s="1"/>
  <c r="Z6" i="2" s="1"/>
  <c r="V6" i="2"/>
  <c r="T6" i="2"/>
  <c r="V5" i="2"/>
  <c r="X5" i="2"/>
  <c r="Y5" i="2" s="1"/>
  <c r="Z5" i="2" s="1"/>
  <c r="R5" i="2"/>
  <c r="S5" i="2" s="1"/>
  <c r="AD60" i="2"/>
  <c r="AF60" i="2" s="1"/>
  <c r="X60" i="2"/>
  <c r="V60" i="2"/>
  <c r="S60" i="2"/>
  <c r="P60" i="2"/>
  <c r="T60" i="2" s="1"/>
  <c r="J60" i="2"/>
  <c r="K60" i="2" s="1"/>
  <c r="I60" i="2"/>
  <c r="AA6" i="2" l="1"/>
  <c r="AA5" i="2"/>
  <c r="Y60" i="2"/>
  <c r="Z60" i="2" s="1"/>
  <c r="AA60" i="2" s="1"/>
  <c r="AD54" i="2"/>
  <c r="AF54" i="2" s="1"/>
  <c r="P54" i="2"/>
  <c r="Q54" i="2" s="1"/>
  <c r="J54" i="2"/>
  <c r="K54" i="2" s="1"/>
  <c r="I54" i="2"/>
  <c r="X54" i="2" l="1"/>
  <c r="Y54" i="2" s="1"/>
  <c r="Z54" i="2" s="1"/>
  <c r="R54" i="2"/>
  <c r="S54" i="2" s="1"/>
  <c r="V54" i="2"/>
  <c r="T54" i="2"/>
  <c r="AF57" i="2"/>
  <c r="X57" i="2"/>
  <c r="V57" i="2"/>
  <c r="S57" i="2"/>
  <c r="P57" i="2"/>
  <c r="T57" i="2" s="1"/>
  <c r="J57" i="2"/>
  <c r="K57" i="2" s="1"/>
  <c r="I57" i="2"/>
  <c r="AD58" i="2"/>
  <c r="AF58" i="2" s="1"/>
  <c r="X58" i="2"/>
  <c r="V58" i="2"/>
  <c r="S58" i="2"/>
  <c r="P58" i="2"/>
  <c r="T58" i="2" s="1"/>
  <c r="J58" i="2"/>
  <c r="K58" i="2" s="1"/>
  <c r="I58" i="2"/>
  <c r="AD56" i="2"/>
  <c r="AF56" i="2" s="1"/>
  <c r="X56" i="2"/>
  <c r="V56" i="2"/>
  <c r="S56" i="2"/>
  <c r="P56" i="2"/>
  <c r="T56" i="2" s="1"/>
  <c r="J56" i="2"/>
  <c r="K56" i="2" s="1"/>
  <c r="I56" i="2"/>
  <c r="J55" i="2"/>
  <c r="AD55" i="2"/>
  <c r="AF55" i="2" s="1"/>
  <c r="X55" i="2"/>
  <c r="V55" i="2"/>
  <c r="S55" i="2"/>
  <c r="P55" i="2"/>
  <c r="T55" i="2" s="1"/>
  <c r="K55" i="2"/>
  <c r="I55" i="2"/>
  <c r="AD59" i="2"/>
  <c r="AF59" i="2" s="1"/>
  <c r="X59" i="2"/>
  <c r="V59" i="2"/>
  <c r="S59" i="2"/>
  <c r="P59" i="2"/>
  <c r="T59" i="2" s="1"/>
  <c r="J59" i="2"/>
  <c r="K59" i="2" s="1"/>
  <c r="I59" i="2"/>
  <c r="AA54" i="2" l="1"/>
  <c r="Y57" i="2"/>
  <c r="Z57" i="2" s="1"/>
  <c r="AA57" i="2" s="1"/>
  <c r="Y58" i="2"/>
  <c r="Z58" i="2" s="1"/>
  <c r="AA58" i="2" s="1"/>
  <c r="Y56" i="2"/>
  <c r="Z56" i="2" s="1"/>
  <c r="AA56" i="2" s="1"/>
  <c r="Y55" i="2"/>
  <c r="Z55" i="2"/>
  <c r="AA55" i="2" s="1"/>
  <c r="Y59" i="2"/>
  <c r="Z59" i="2" s="1"/>
  <c r="AA59" i="2" s="1"/>
  <c r="AD49" i="2"/>
  <c r="G46" i="2" l="1"/>
  <c r="J53" i="2"/>
  <c r="K53" i="2" s="1"/>
  <c r="I53" i="2"/>
  <c r="P53" i="2"/>
  <c r="T53" i="2" s="1"/>
  <c r="S53" i="2"/>
  <c r="V53" i="2"/>
  <c r="X53" i="2"/>
  <c r="AD53" i="2"/>
  <c r="AF53" i="2" s="1"/>
  <c r="J52" i="2"/>
  <c r="K52" i="2" s="1"/>
  <c r="I52" i="2"/>
  <c r="P52" i="2"/>
  <c r="T52" i="2" s="1"/>
  <c r="S52" i="2"/>
  <c r="V52" i="2"/>
  <c r="X52" i="2"/>
  <c r="AD52" i="2"/>
  <c r="AF52" i="2" s="1"/>
  <c r="AD51" i="2"/>
  <c r="AD73" i="2" s="1"/>
  <c r="X51" i="2"/>
  <c r="V51" i="2"/>
  <c r="S51" i="2"/>
  <c r="P51" i="2"/>
  <c r="T51" i="2" s="1"/>
  <c r="J51" i="2"/>
  <c r="K51" i="2" s="1"/>
  <c r="I51" i="2"/>
  <c r="AF50" i="2"/>
  <c r="X50" i="2"/>
  <c r="V50" i="2"/>
  <c r="S50" i="2"/>
  <c r="P50" i="2"/>
  <c r="T50" i="2" s="1"/>
  <c r="J50" i="2"/>
  <c r="K50" i="2" s="1"/>
  <c r="I50" i="2"/>
  <c r="Y52" i="2" l="1"/>
  <c r="Y53" i="2"/>
  <c r="Z53" i="2" s="1"/>
  <c r="AA53" i="2" s="1"/>
  <c r="Y50" i="2"/>
  <c r="Z50" i="2" s="1"/>
  <c r="AA50" i="2" s="1"/>
  <c r="AF51" i="2"/>
  <c r="Z51" i="2" s="1"/>
  <c r="AA51" i="2" s="1"/>
  <c r="Z52" i="2"/>
  <c r="AA52" i="2" s="1"/>
  <c r="Y51" i="2"/>
  <c r="AD4" i="2"/>
  <c r="AF4" i="2" s="1"/>
  <c r="X4" i="2"/>
  <c r="V4" i="2"/>
  <c r="S4" i="2"/>
  <c r="P4" i="2"/>
  <c r="T4" i="2" s="1"/>
  <c r="J4" i="2"/>
  <c r="K4" i="2" s="1"/>
  <c r="I4" i="2"/>
  <c r="AD3" i="2"/>
  <c r="AF3" i="2" s="1"/>
  <c r="X3" i="2"/>
  <c r="V3" i="2"/>
  <c r="S3" i="2"/>
  <c r="P3" i="2"/>
  <c r="T3" i="2" s="1"/>
  <c r="J3" i="2"/>
  <c r="K3" i="2" s="1"/>
  <c r="I3" i="2"/>
  <c r="AD2" i="2"/>
  <c r="X2" i="2"/>
  <c r="V2" i="2"/>
  <c r="S2" i="2"/>
  <c r="P2" i="2"/>
  <c r="T2" i="2" s="1"/>
  <c r="J2" i="2"/>
  <c r="K2" i="2" s="1"/>
  <c r="I2" i="2"/>
  <c r="AF2" i="2" l="1"/>
  <c r="AF46" i="2" s="1"/>
  <c r="AD46" i="2"/>
  <c r="Y2" i="2"/>
  <c r="I46" i="2"/>
  <c r="Y4" i="2"/>
  <c r="Z4" i="2" s="1"/>
  <c r="AA4" i="2" s="1"/>
  <c r="Y3" i="2"/>
  <c r="Z3" i="2" s="1"/>
  <c r="AA3" i="2" s="1"/>
  <c r="J42" i="3"/>
  <c r="J43" i="3" s="1"/>
  <c r="J41" i="3"/>
  <c r="Z2" i="2" l="1"/>
  <c r="AA2" i="2" s="1"/>
  <c r="AA46" i="2" s="1"/>
  <c r="J49" i="2"/>
  <c r="AF49" i="2"/>
  <c r="AF73" i="2" s="1"/>
  <c r="X49" i="2"/>
  <c r="V49" i="2"/>
  <c r="S49" i="2"/>
  <c r="P49" i="2"/>
  <c r="T49" i="2" s="1"/>
  <c r="K49" i="2"/>
  <c r="I49" i="2"/>
  <c r="Y49" i="2" l="1"/>
  <c r="Z49" i="2" s="1"/>
  <c r="AA49" i="2" s="1"/>
  <c r="AA73" i="2" s="1"/>
  <c r="J37" i="3"/>
  <c r="I37" i="3"/>
  <c r="K37" i="3"/>
  <c r="P37" i="3"/>
  <c r="T37" i="3" s="1"/>
  <c r="S37" i="3"/>
  <c r="V37" i="3"/>
  <c r="X37" i="3"/>
  <c r="AD37" i="3"/>
  <c r="AF37" i="3" s="1"/>
  <c r="Y37" i="3" l="1"/>
  <c r="G39" i="3"/>
  <c r="G23" i="3"/>
  <c r="I36" i="3"/>
  <c r="J36" i="3"/>
  <c r="K36" i="3" s="1"/>
  <c r="P36" i="3"/>
  <c r="T36" i="3" s="1"/>
  <c r="S36" i="3"/>
  <c r="V36" i="3"/>
  <c r="X36" i="3"/>
  <c r="AD36" i="3"/>
  <c r="AF36" i="3" s="1"/>
  <c r="J35" i="3"/>
  <c r="I35" i="3"/>
  <c r="K35" i="3"/>
  <c r="P35" i="3"/>
  <c r="T35" i="3" s="1"/>
  <c r="S35" i="3"/>
  <c r="V35" i="3"/>
  <c r="X35" i="3"/>
  <c r="AD35" i="3"/>
  <c r="AF35" i="3" s="1"/>
  <c r="AD34" i="3"/>
  <c r="AF34" i="3" s="1"/>
  <c r="X34" i="3"/>
  <c r="V34" i="3"/>
  <c r="S34" i="3"/>
  <c r="P34" i="3"/>
  <c r="T34" i="3" s="1"/>
  <c r="J34" i="3"/>
  <c r="K34" i="3" s="1"/>
  <c r="I34" i="3"/>
  <c r="I33" i="3"/>
  <c r="J33" i="3"/>
  <c r="K33" i="3"/>
  <c r="P33" i="3"/>
  <c r="T33" i="3" s="1"/>
  <c r="S33" i="3"/>
  <c r="V33" i="3"/>
  <c r="X33" i="3"/>
  <c r="AD33" i="3"/>
  <c r="AF33" i="3" s="1"/>
  <c r="AD32" i="3"/>
  <c r="AF32" i="3" s="1"/>
  <c r="X32" i="3"/>
  <c r="V32" i="3"/>
  <c r="S32" i="3"/>
  <c r="P32" i="3"/>
  <c r="T32" i="3" s="1"/>
  <c r="J32" i="3"/>
  <c r="K32" i="3" s="1"/>
  <c r="I32" i="3"/>
  <c r="AD31" i="3"/>
  <c r="AF31" i="3" s="1"/>
  <c r="X31" i="3"/>
  <c r="V31" i="3"/>
  <c r="S31" i="3"/>
  <c r="P31" i="3"/>
  <c r="T31" i="3" s="1"/>
  <c r="J31" i="3"/>
  <c r="K31" i="3" s="1"/>
  <c r="I31" i="3"/>
  <c r="AD30" i="3"/>
  <c r="AF30" i="3" s="1"/>
  <c r="X30" i="3"/>
  <c r="V30" i="3"/>
  <c r="S30" i="3"/>
  <c r="P30" i="3"/>
  <c r="T30" i="3" s="1"/>
  <c r="J30" i="3"/>
  <c r="K30" i="3" s="1"/>
  <c r="I30" i="3"/>
  <c r="J27" i="3"/>
  <c r="K27" i="3" s="1"/>
  <c r="AD27" i="3"/>
  <c r="AF27" i="3" s="1"/>
  <c r="X27" i="3"/>
  <c r="V27" i="3"/>
  <c r="S27" i="3"/>
  <c r="P27" i="3"/>
  <c r="T27" i="3" s="1"/>
  <c r="I27" i="3"/>
  <c r="J29" i="3"/>
  <c r="K29" i="3" s="1"/>
  <c r="I29" i="3"/>
  <c r="P29" i="3"/>
  <c r="T29" i="3" s="1"/>
  <c r="S29" i="3"/>
  <c r="V29" i="3"/>
  <c r="X29" i="3"/>
  <c r="Y29" i="3" s="1"/>
  <c r="AD29" i="3"/>
  <c r="AF29" i="3" s="1"/>
  <c r="J28" i="3"/>
  <c r="Z29" i="3" l="1"/>
  <c r="Z37" i="3"/>
  <c r="AA37" i="3" s="1"/>
  <c r="Y30" i="3"/>
  <c r="Y33" i="3"/>
  <c r="Y36" i="3"/>
  <c r="Z36" i="3" s="1"/>
  <c r="AA36" i="3" s="1"/>
  <c r="Y35" i="3"/>
  <c r="Z35" i="3" s="1"/>
  <c r="AA35" i="3" s="1"/>
  <c r="Y34" i="3"/>
  <c r="Z34" i="3" s="1"/>
  <c r="AA34" i="3" s="1"/>
  <c r="Z33" i="3"/>
  <c r="AA33" i="3" s="1"/>
  <c r="Y32" i="3"/>
  <c r="Z32" i="3" s="1"/>
  <c r="AA32" i="3" s="1"/>
  <c r="Y31" i="3"/>
  <c r="Z31" i="3" s="1"/>
  <c r="AA31" i="3" s="1"/>
  <c r="Z30" i="3"/>
  <c r="AA30" i="3" s="1"/>
  <c r="Y27" i="3"/>
  <c r="Z27" i="3" s="1"/>
  <c r="AA27" i="3" s="1"/>
  <c r="AA29" i="3"/>
  <c r="AD28" i="3"/>
  <c r="AF28" i="3" s="1"/>
  <c r="AF39" i="3" s="1"/>
  <c r="X28" i="3"/>
  <c r="V28" i="3"/>
  <c r="S28" i="3"/>
  <c r="P28" i="3"/>
  <c r="T28" i="3" s="1"/>
  <c r="K28" i="3"/>
  <c r="I28" i="3"/>
  <c r="Y28" i="3" l="1"/>
  <c r="AD39" i="3"/>
  <c r="Z28" i="3"/>
  <c r="AA28" i="3" s="1"/>
  <c r="AA39" i="3" s="1"/>
  <c r="AD21" i="3"/>
  <c r="AF21" i="3" s="1"/>
  <c r="X21" i="3"/>
  <c r="V21" i="3"/>
  <c r="T21" i="3"/>
  <c r="S21" i="3"/>
  <c r="P21" i="3"/>
  <c r="J21" i="3"/>
  <c r="K21" i="3" s="1"/>
  <c r="I21" i="3"/>
  <c r="AD20" i="3"/>
  <c r="AF20" i="3" s="1"/>
  <c r="X20" i="3"/>
  <c r="V20" i="3"/>
  <c r="S20" i="3"/>
  <c r="P20" i="3"/>
  <c r="T20" i="3" s="1"/>
  <c r="J20" i="3"/>
  <c r="K20" i="3" s="1"/>
  <c r="I20" i="3"/>
  <c r="Y21" i="3" l="1"/>
  <c r="Z21" i="3" s="1"/>
  <c r="AA21" i="3" s="1"/>
  <c r="Y20" i="3"/>
  <c r="Z20" i="3" s="1"/>
  <c r="AA20" i="3" s="1"/>
  <c r="AD19" i="3" l="1"/>
  <c r="AF19" i="3" s="1"/>
  <c r="X19" i="3"/>
  <c r="V19" i="3"/>
  <c r="T19" i="3"/>
  <c r="S19" i="3"/>
  <c r="P19" i="3"/>
  <c r="J19" i="3"/>
  <c r="K19" i="3" s="1"/>
  <c r="I19" i="3"/>
  <c r="Y19" i="3" l="1"/>
  <c r="Z19" i="3" s="1"/>
  <c r="AA19" i="3" s="1"/>
  <c r="AD18" i="3" l="1"/>
  <c r="AF18" i="3" s="1"/>
  <c r="X18" i="3"/>
  <c r="V18" i="3"/>
  <c r="S18" i="3"/>
  <c r="P18" i="3"/>
  <c r="T18" i="3" s="1"/>
  <c r="J18" i="3"/>
  <c r="K18" i="3" s="1"/>
  <c r="I18" i="3"/>
  <c r="AD17" i="3"/>
  <c r="AF17" i="3" s="1"/>
  <c r="X17" i="3"/>
  <c r="V17" i="3"/>
  <c r="S17" i="3"/>
  <c r="P17" i="3"/>
  <c r="T17" i="3" s="1"/>
  <c r="K17" i="3"/>
  <c r="J17" i="3"/>
  <c r="I17" i="3"/>
  <c r="AD16" i="3"/>
  <c r="AF16" i="3" s="1"/>
  <c r="X16" i="3"/>
  <c r="V16" i="3"/>
  <c r="S16" i="3"/>
  <c r="P16" i="3"/>
  <c r="T16" i="3" s="1"/>
  <c r="K16" i="3"/>
  <c r="J16" i="3"/>
  <c r="I16" i="3"/>
  <c r="AD15" i="3"/>
  <c r="AF15" i="3" s="1"/>
  <c r="X15" i="3"/>
  <c r="V15" i="3"/>
  <c r="S15" i="3"/>
  <c r="P15" i="3"/>
  <c r="T15" i="3" s="1"/>
  <c r="K15" i="3"/>
  <c r="J15" i="3"/>
  <c r="I15" i="3"/>
  <c r="Y17" i="3" l="1"/>
  <c r="Y18" i="3"/>
  <c r="Z18" i="3" s="1"/>
  <c r="AA18" i="3" s="1"/>
  <c r="Y16" i="3"/>
  <c r="Z16" i="3" s="1"/>
  <c r="AA16" i="3" s="1"/>
  <c r="Z17" i="3"/>
  <c r="AA17" i="3" s="1"/>
  <c r="Y15" i="3"/>
  <c r="Z15" i="3" s="1"/>
  <c r="AA15" i="3" s="1"/>
  <c r="AD14" i="3"/>
  <c r="AF14" i="3" s="1"/>
  <c r="X14" i="3"/>
  <c r="V14" i="3"/>
  <c r="S14" i="3"/>
  <c r="P14" i="3"/>
  <c r="T14" i="3" s="1"/>
  <c r="J14" i="3"/>
  <c r="K14" i="3" s="1"/>
  <c r="I14" i="3"/>
  <c r="I13" i="3"/>
  <c r="J13" i="3"/>
  <c r="K13" i="3"/>
  <c r="P13" i="3"/>
  <c r="Q13" i="3" s="1"/>
  <c r="AD13" i="3"/>
  <c r="AF13" i="3" s="1"/>
  <c r="AD12" i="3"/>
  <c r="AF12" i="3" s="1"/>
  <c r="P12" i="3"/>
  <c r="J12" i="3"/>
  <c r="K12" i="3" s="1"/>
  <c r="I12" i="3"/>
  <c r="AD11" i="3"/>
  <c r="AF11" i="3" s="1"/>
  <c r="X11" i="3"/>
  <c r="V11" i="3"/>
  <c r="S11" i="3"/>
  <c r="P11" i="3"/>
  <c r="T11" i="3" s="1"/>
  <c r="J11" i="3"/>
  <c r="K11" i="3" s="1"/>
  <c r="I11" i="3"/>
  <c r="I10" i="3"/>
  <c r="J10" i="3"/>
  <c r="K10" i="3" s="1"/>
  <c r="P10" i="3"/>
  <c r="Q10" i="3" s="1"/>
  <c r="AD10" i="3"/>
  <c r="AF10" i="3" s="1"/>
  <c r="AD9" i="3"/>
  <c r="AF9" i="3" s="1"/>
  <c r="P9" i="3"/>
  <c r="Q9" i="3" s="1"/>
  <c r="J9" i="3"/>
  <c r="K9" i="3" s="1"/>
  <c r="I9" i="3"/>
  <c r="Y14" i="3" l="1"/>
  <c r="Z14" i="3" s="1"/>
  <c r="AA14" i="3" s="1"/>
  <c r="V13" i="3"/>
  <c r="X13" i="3"/>
  <c r="Y13" i="3" s="1"/>
  <c r="Z13" i="3" s="1"/>
  <c r="R13" i="3"/>
  <c r="S13" i="3" s="1"/>
  <c r="T13" i="3"/>
  <c r="Q12" i="3"/>
  <c r="Y11" i="3"/>
  <c r="Z11" i="3" s="1"/>
  <c r="AA11" i="3" s="1"/>
  <c r="X10" i="3"/>
  <c r="Y10" i="3" s="1"/>
  <c r="Z10" i="3" s="1"/>
  <c r="V10" i="3"/>
  <c r="R10" i="3"/>
  <c r="S10" i="3" s="1"/>
  <c r="T10" i="3"/>
  <c r="X9" i="3"/>
  <c r="Y9" i="3" s="1"/>
  <c r="Z9" i="3" s="1"/>
  <c r="R9" i="3"/>
  <c r="S9" i="3" s="1"/>
  <c r="V9" i="3"/>
  <c r="T9" i="3"/>
  <c r="M8" i="3"/>
  <c r="AD8" i="3" s="1"/>
  <c r="AF8" i="3" s="1"/>
  <c r="I8" i="3"/>
  <c r="I7" i="3"/>
  <c r="J7" i="3"/>
  <c r="K7" i="3"/>
  <c r="P7" i="3"/>
  <c r="AD7" i="3"/>
  <c r="AF7" i="3" s="1"/>
  <c r="AD6" i="3"/>
  <c r="AF6" i="3" s="1"/>
  <c r="X6" i="3"/>
  <c r="V6" i="3"/>
  <c r="S6" i="3"/>
  <c r="P6" i="3"/>
  <c r="T6" i="3" s="1"/>
  <c r="J6" i="3"/>
  <c r="K6" i="3" s="1"/>
  <c r="I6" i="3"/>
  <c r="AD5" i="3"/>
  <c r="AF5" i="3" s="1"/>
  <c r="X5" i="3"/>
  <c r="V5" i="3"/>
  <c r="S5" i="3"/>
  <c r="P5" i="3"/>
  <c r="T5" i="3" s="1"/>
  <c r="J5" i="3"/>
  <c r="K5" i="3" s="1"/>
  <c r="I5" i="3"/>
  <c r="AD4" i="3"/>
  <c r="AF4" i="3" s="1"/>
  <c r="X4" i="3"/>
  <c r="V4" i="3"/>
  <c r="S4" i="3"/>
  <c r="P4" i="3"/>
  <c r="T4" i="3" s="1"/>
  <c r="J4" i="3"/>
  <c r="K4" i="3" s="1"/>
  <c r="I4" i="3"/>
  <c r="AD3" i="3"/>
  <c r="AF3" i="3" s="1"/>
  <c r="X3" i="3"/>
  <c r="V3" i="3"/>
  <c r="S3" i="3"/>
  <c r="P3" i="3"/>
  <c r="T3" i="3" s="1"/>
  <c r="J3" i="3"/>
  <c r="K3" i="3" s="1"/>
  <c r="I3" i="3"/>
  <c r="AD2" i="3"/>
  <c r="AF2" i="3" s="1"/>
  <c r="X2" i="3"/>
  <c r="V2" i="3"/>
  <c r="S2" i="3"/>
  <c r="P2" i="3"/>
  <c r="T2" i="3" s="1"/>
  <c r="K2" i="3"/>
  <c r="J2" i="3"/>
  <c r="I2" i="3"/>
  <c r="P8" i="3" l="1"/>
  <c r="Q8" i="3" s="1"/>
  <c r="V8" i="3" s="1"/>
  <c r="AA10" i="3"/>
  <c r="AA13" i="3"/>
  <c r="Q7" i="3"/>
  <c r="AA9" i="3"/>
  <c r="V12" i="3"/>
  <c r="X12" i="3"/>
  <c r="Y12" i="3" s="1"/>
  <c r="Z12" i="3" s="1"/>
  <c r="R12" i="3"/>
  <c r="S12" i="3" s="1"/>
  <c r="T12" i="3"/>
  <c r="X8" i="3"/>
  <c r="Y8" i="3" s="1"/>
  <c r="Z8" i="3" s="1"/>
  <c r="R8" i="3"/>
  <c r="S8" i="3" s="1"/>
  <c r="T8" i="3"/>
  <c r="Y6" i="3"/>
  <c r="Z6" i="3" s="1"/>
  <c r="AA6" i="3" s="1"/>
  <c r="Y5" i="3"/>
  <c r="Z5" i="3" s="1"/>
  <c r="AA5" i="3" s="1"/>
  <c r="Y4" i="3"/>
  <c r="Z4" i="3" s="1"/>
  <c r="AA4" i="3" s="1"/>
  <c r="Y3" i="3"/>
  <c r="Z3" i="3" s="1"/>
  <c r="AA3" i="3" s="1"/>
  <c r="Y2" i="3"/>
  <c r="Z2" i="3" s="1"/>
  <c r="AA2" i="3" s="1"/>
  <c r="AF23" i="3"/>
  <c r="AD23" i="3"/>
  <c r="I23" i="3"/>
  <c r="AD27" i="1"/>
  <c r="AF27" i="1" s="1"/>
  <c r="X27" i="1"/>
  <c r="V27" i="1"/>
  <c r="S27" i="1"/>
  <c r="P27" i="1"/>
  <c r="T27" i="1" s="1"/>
  <c r="K27" i="1"/>
  <c r="J27" i="1"/>
  <c r="I27" i="1"/>
  <c r="AD26" i="1"/>
  <c r="AF26" i="1" s="1"/>
  <c r="X26" i="1"/>
  <c r="V26" i="1"/>
  <c r="T26" i="1"/>
  <c r="S26" i="1"/>
  <c r="P26" i="1"/>
  <c r="J26" i="1"/>
  <c r="K26" i="1" s="1"/>
  <c r="I26" i="1"/>
  <c r="Y26" i="1" s="1"/>
  <c r="AA8" i="3" l="1"/>
  <c r="V7" i="3"/>
  <c r="X7" i="3"/>
  <c r="Y7" i="3" s="1"/>
  <c r="Z7" i="3" s="1"/>
  <c r="AA7" i="3" s="1"/>
  <c r="R7" i="3"/>
  <c r="S7" i="3" s="1"/>
  <c r="AA12" i="3"/>
  <c r="T7" i="3"/>
  <c r="Y27" i="1"/>
  <c r="Z27" i="1" s="1"/>
  <c r="AA27" i="1" s="1"/>
  <c r="Z26" i="1"/>
  <c r="AA26" i="1" s="1"/>
  <c r="M25" i="1"/>
  <c r="AD25" i="1" s="1"/>
  <c r="AF25" i="1" s="1"/>
  <c r="I25" i="1"/>
  <c r="P25" i="1" l="1"/>
  <c r="Q25" i="1" s="1"/>
  <c r="AA23" i="3" l="1"/>
  <c r="X25" i="1"/>
  <c r="Y25" i="1" s="1"/>
  <c r="Z25" i="1" s="1"/>
  <c r="R25" i="1"/>
  <c r="S25" i="1" s="1"/>
  <c r="V25" i="1"/>
  <c r="T25" i="1"/>
  <c r="AA25" i="1" l="1"/>
  <c r="I24" i="1" l="1"/>
  <c r="J24" i="1"/>
  <c r="K24" i="1"/>
  <c r="P24" i="1"/>
  <c r="T24" i="1" s="1"/>
  <c r="S24" i="1"/>
  <c r="V24" i="1"/>
  <c r="X24" i="1"/>
  <c r="AD24" i="1"/>
  <c r="AF24" i="1" s="1"/>
  <c r="AD23" i="1"/>
  <c r="AF23" i="1" s="1"/>
  <c r="X23" i="1"/>
  <c r="V23" i="1"/>
  <c r="S23" i="1"/>
  <c r="P23" i="1"/>
  <c r="T23" i="1" s="1"/>
  <c r="J23" i="1"/>
  <c r="K23" i="1" s="1"/>
  <c r="I23" i="1"/>
  <c r="M22" i="1"/>
  <c r="AD22" i="1" s="1"/>
  <c r="AF22" i="1" s="1"/>
  <c r="I22" i="1"/>
  <c r="AD21" i="1"/>
  <c r="AF21" i="1" s="1"/>
  <c r="X21" i="1"/>
  <c r="V21" i="1"/>
  <c r="S21" i="1"/>
  <c r="P21" i="1"/>
  <c r="T21" i="1" s="1"/>
  <c r="J21" i="1"/>
  <c r="K21" i="1" s="1"/>
  <c r="I21" i="1"/>
  <c r="AD20" i="1"/>
  <c r="AF20" i="1" s="1"/>
  <c r="X20" i="1"/>
  <c r="V20" i="1"/>
  <c r="S20" i="1"/>
  <c r="P20" i="1"/>
  <c r="T20" i="1" s="1"/>
  <c r="J20" i="1"/>
  <c r="K20" i="1" s="1"/>
  <c r="I20" i="1"/>
  <c r="AD19" i="1"/>
  <c r="AF19" i="1" s="1"/>
  <c r="X19" i="1"/>
  <c r="V19" i="1"/>
  <c r="S19" i="1"/>
  <c r="P19" i="1"/>
  <c r="T19" i="1" s="1"/>
  <c r="J19" i="1"/>
  <c r="K19" i="1" s="1"/>
  <c r="I19" i="1"/>
  <c r="AD18" i="1"/>
  <c r="AF18" i="1" s="1"/>
  <c r="X18" i="1"/>
  <c r="V18" i="1"/>
  <c r="S18" i="1"/>
  <c r="P18" i="1"/>
  <c r="T18" i="1" s="1"/>
  <c r="J18" i="1"/>
  <c r="K18" i="1" s="1"/>
  <c r="I18" i="1"/>
  <c r="AD17" i="1"/>
  <c r="AF17" i="1" s="1"/>
  <c r="X17" i="1"/>
  <c r="V17" i="1"/>
  <c r="S17" i="1"/>
  <c r="P17" i="1"/>
  <c r="T17" i="1" s="1"/>
  <c r="J17" i="1"/>
  <c r="K17" i="1" s="1"/>
  <c r="I17" i="1"/>
  <c r="M16" i="1"/>
  <c r="AD16" i="1" s="1"/>
  <c r="AF16" i="1" s="1"/>
  <c r="I16" i="1"/>
  <c r="AD15" i="1"/>
  <c r="AF15" i="1" s="1"/>
  <c r="X15" i="1"/>
  <c r="V15" i="1"/>
  <c r="S15" i="1"/>
  <c r="P15" i="1"/>
  <c r="T15" i="1" s="1"/>
  <c r="J15" i="1"/>
  <c r="K15" i="1" s="1"/>
  <c r="I15" i="1"/>
  <c r="AD14" i="1"/>
  <c r="AF14" i="1" s="1"/>
  <c r="X14" i="1"/>
  <c r="V14" i="1"/>
  <c r="S14" i="1"/>
  <c r="P14" i="1"/>
  <c r="T14" i="1" s="1"/>
  <c r="J14" i="1"/>
  <c r="K14" i="1" s="1"/>
  <c r="I14" i="1"/>
  <c r="AD13" i="1"/>
  <c r="AF13" i="1" s="1"/>
  <c r="X13" i="1"/>
  <c r="V13" i="1"/>
  <c r="S13" i="1"/>
  <c r="P13" i="1"/>
  <c r="T13" i="1" s="1"/>
  <c r="K13" i="1"/>
  <c r="J13" i="1"/>
  <c r="I13" i="1"/>
  <c r="AD12" i="1"/>
  <c r="AF12" i="1" s="1"/>
  <c r="X12" i="1"/>
  <c r="V12" i="1"/>
  <c r="S12" i="1"/>
  <c r="P12" i="1"/>
  <c r="T12" i="1" s="1"/>
  <c r="J12" i="1"/>
  <c r="K12" i="1" s="1"/>
  <c r="I12" i="1"/>
  <c r="I11" i="1"/>
  <c r="K10" i="1"/>
  <c r="I10" i="1"/>
  <c r="AD10" i="1"/>
  <c r="AF10" i="1" s="1"/>
  <c r="X10" i="1"/>
  <c r="V10" i="1"/>
  <c r="S10" i="1"/>
  <c r="J10" i="1"/>
  <c r="AD11" i="1"/>
  <c r="AF11" i="1" s="1"/>
  <c r="X11" i="1"/>
  <c r="V11" i="1"/>
  <c r="S11" i="1"/>
  <c r="P11" i="1"/>
  <c r="T11" i="1" s="1"/>
  <c r="J11" i="1"/>
  <c r="K11" i="1" s="1"/>
  <c r="AD9" i="1"/>
  <c r="AF9" i="1" s="1"/>
  <c r="X9" i="1"/>
  <c r="V9" i="1"/>
  <c r="S9" i="1"/>
  <c r="P9" i="1"/>
  <c r="T9" i="1" s="1"/>
  <c r="J9" i="1"/>
  <c r="K9" i="1" s="1"/>
  <c r="I9" i="1"/>
  <c r="AD8" i="1"/>
  <c r="AF8" i="1" s="1"/>
  <c r="X8" i="1"/>
  <c r="V8" i="1"/>
  <c r="S8" i="1"/>
  <c r="P8" i="1"/>
  <c r="T8" i="1" s="1"/>
  <c r="J8" i="1"/>
  <c r="K8" i="1" s="1"/>
  <c r="I8" i="1"/>
  <c r="I33" i="1"/>
  <c r="M7" i="1"/>
  <c r="AD7" i="1" s="1"/>
  <c r="I7" i="1"/>
  <c r="AD6" i="1"/>
  <c r="AF6" i="1" s="1"/>
  <c r="X6" i="1"/>
  <c r="V6" i="1"/>
  <c r="S6" i="1"/>
  <c r="P6" i="1"/>
  <c r="T6" i="1" s="1"/>
  <c r="J6" i="1"/>
  <c r="K6" i="1" s="1"/>
  <c r="I6" i="1"/>
  <c r="AD5" i="1"/>
  <c r="AF5" i="1" s="1"/>
  <c r="X5" i="1"/>
  <c r="V5" i="1"/>
  <c r="S5" i="1"/>
  <c r="P5" i="1"/>
  <c r="T5" i="1" s="1"/>
  <c r="J5" i="1"/>
  <c r="K5" i="1" s="1"/>
  <c r="I5" i="1"/>
  <c r="AD4" i="1"/>
  <c r="AF4" i="1" s="1"/>
  <c r="X4" i="1"/>
  <c r="V4" i="1"/>
  <c r="S4" i="1"/>
  <c r="P4" i="1"/>
  <c r="T4" i="1" s="1"/>
  <c r="J4" i="1"/>
  <c r="K4" i="1" s="1"/>
  <c r="I4" i="1"/>
  <c r="AD3" i="1"/>
  <c r="AF3" i="1" s="1"/>
  <c r="X3" i="1"/>
  <c r="V3" i="1"/>
  <c r="S3" i="1"/>
  <c r="P3" i="1"/>
  <c r="T3" i="1" s="1"/>
  <c r="J3" i="1"/>
  <c r="K3" i="1" s="1"/>
  <c r="I3" i="1"/>
  <c r="AD2" i="1"/>
  <c r="AF2" i="1" s="1"/>
  <c r="X2" i="1"/>
  <c r="V2" i="1"/>
  <c r="S2" i="1"/>
  <c r="P2" i="1"/>
  <c r="T2" i="1" s="1"/>
  <c r="K2" i="1"/>
  <c r="J2" i="1"/>
  <c r="I2" i="1"/>
  <c r="Y19" i="1" l="1"/>
  <c r="Y6" i="1"/>
  <c r="P10" i="1"/>
  <c r="T10" i="1" s="1"/>
  <c r="Y24" i="1"/>
  <c r="Z24" i="1" s="1"/>
  <c r="AA24" i="1" s="1"/>
  <c r="I29" i="1"/>
  <c r="Y23" i="1"/>
  <c r="Z23" i="1"/>
  <c r="AA23" i="1" s="1"/>
  <c r="P22" i="1"/>
  <c r="Q22" i="1" s="1"/>
  <c r="V22" i="1" s="1"/>
  <c r="Y21" i="1"/>
  <c r="Z21" i="1" s="1"/>
  <c r="AA21" i="1" s="1"/>
  <c r="Y20" i="1"/>
  <c r="Z20" i="1" s="1"/>
  <c r="AA20" i="1" s="1"/>
  <c r="Z19" i="1"/>
  <c r="AA19" i="1" s="1"/>
  <c r="Y18" i="1"/>
  <c r="Z18" i="1" s="1"/>
  <c r="AA18" i="1" s="1"/>
  <c r="Y17" i="1"/>
  <c r="Z17" i="1" s="1"/>
  <c r="AA17" i="1" s="1"/>
  <c r="P16" i="1"/>
  <c r="Q16" i="1"/>
  <c r="Y15" i="1"/>
  <c r="Z15" i="1" s="1"/>
  <c r="AA15" i="1" s="1"/>
  <c r="Y14" i="1"/>
  <c r="Z14" i="1" s="1"/>
  <c r="AA14" i="1" s="1"/>
  <c r="Y13" i="1"/>
  <c r="Z13" i="1"/>
  <c r="AA13" i="1" s="1"/>
  <c r="Y12" i="1"/>
  <c r="Z12" i="1" s="1"/>
  <c r="AA12" i="1" s="1"/>
  <c r="Y10" i="1"/>
  <c r="Z10" i="1" s="1"/>
  <c r="AA10" i="1" s="1"/>
  <c r="Y11" i="1"/>
  <c r="Z11" i="1"/>
  <c r="AA11" i="1" s="1"/>
  <c r="Y9" i="1"/>
  <c r="Z9" i="1" s="1"/>
  <c r="AA9" i="1" s="1"/>
  <c r="Y8" i="1"/>
  <c r="Z8" i="1" s="1"/>
  <c r="AA8" i="1" s="1"/>
  <c r="P33" i="1"/>
  <c r="Q33" i="1"/>
  <c r="P7" i="1"/>
  <c r="Q7" i="1" s="1"/>
  <c r="R7" i="1" s="1"/>
  <c r="S7" i="1" s="1"/>
  <c r="AF7" i="1"/>
  <c r="AD29" i="1"/>
  <c r="Z6" i="1"/>
  <c r="AA6" i="1" s="1"/>
  <c r="Y5" i="1"/>
  <c r="Z5" i="1" s="1"/>
  <c r="AA5" i="1" s="1"/>
  <c r="Y4" i="1"/>
  <c r="Z4" i="1" s="1"/>
  <c r="AA4" i="1" s="1"/>
  <c r="Y3" i="1"/>
  <c r="Z3" i="1" s="1"/>
  <c r="AA3" i="1" s="1"/>
  <c r="Y2" i="1"/>
  <c r="Z2" i="1" s="1"/>
  <c r="AA2" i="1" s="1"/>
  <c r="V7" i="1" l="1"/>
  <c r="X7" i="1"/>
  <c r="Y7" i="1" s="1"/>
  <c r="Z7" i="1" s="1"/>
  <c r="AA7" i="1" s="1"/>
  <c r="R22" i="1"/>
  <c r="S22" i="1" s="1"/>
  <c r="T22" i="1"/>
  <c r="T7" i="1"/>
  <c r="X22" i="1"/>
  <c r="Y22" i="1" s="1"/>
  <c r="Z22" i="1" s="1"/>
  <c r="AA22" i="1" s="1"/>
  <c r="X16" i="1"/>
  <c r="Y16" i="1" s="1"/>
  <c r="Z16" i="1" s="1"/>
  <c r="R16" i="1"/>
  <c r="S16" i="1" s="1"/>
  <c r="V16" i="1"/>
  <c r="T16" i="1"/>
  <c r="R33" i="1"/>
  <c r="AF29" i="1"/>
  <c r="AA16" i="1" l="1"/>
  <c r="AA29" i="1" s="1"/>
</calcChain>
</file>

<file path=xl/sharedStrings.xml><?xml version="1.0" encoding="utf-8"?>
<sst xmlns="http://schemas.openxmlformats.org/spreadsheetml/2006/main" count="1011" uniqueCount="140">
  <si>
    <t>S.No</t>
  </si>
  <si>
    <t>Inv No.</t>
  </si>
  <si>
    <t>Inv Date</t>
  </si>
  <si>
    <t>Customer</t>
  </si>
  <si>
    <t>Part Name</t>
  </si>
  <si>
    <t>Part No.</t>
  </si>
  <si>
    <t>Incom'g  Wt</t>
  </si>
  <si>
    <t>Rate / Kg</t>
  </si>
  <si>
    <t>Maha Inv Cost</t>
  </si>
  <si>
    <t>Wt/ Strp</t>
  </si>
  <si>
    <t>As per wt</t>
  </si>
  <si>
    <t>Maha</t>
  </si>
  <si>
    <t>SVR</t>
  </si>
  <si>
    <t>No.of   Strk/ strip</t>
  </si>
  <si>
    <t>Cavty / strk</t>
  </si>
  <si>
    <t>Prod Qty</t>
  </si>
  <si>
    <t>Inv Qty</t>
  </si>
  <si>
    <t>Actual Norms</t>
  </si>
  <si>
    <t>Actual Need</t>
  </si>
  <si>
    <t>Diff</t>
  </si>
  <si>
    <t>Process Cost</t>
  </si>
  <si>
    <t>Ttl Strk Cost</t>
  </si>
  <si>
    <t>Maha PO Cost</t>
  </si>
  <si>
    <t>SVR Inv cost</t>
  </si>
  <si>
    <t>Maha Vs SVR Inv</t>
  </si>
  <si>
    <t>Actual Received</t>
  </si>
  <si>
    <t>Profit or Loss</t>
  </si>
  <si>
    <t>P/L</t>
  </si>
  <si>
    <t>Strip Scrp wt</t>
  </si>
  <si>
    <t>Ttl Scrp wt</t>
  </si>
  <si>
    <t>Scrp Cost</t>
  </si>
  <si>
    <t>Scrp Sale Cost</t>
  </si>
  <si>
    <t>ME</t>
  </si>
  <si>
    <t>Washer</t>
  </si>
  <si>
    <t>L</t>
  </si>
  <si>
    <t>Plate Indicator</t>
  </si>
  <si>
    <t>F533A</t>
  </si>
  <si>
    <t>P</t>
  </si>
  <si>
    <t>03.04.25</t>
  </si>
  <si>
    <t>MA</t>
  </si>
  <si>
    <t>Metal Box</t>
  </si>
  <si>
    <t>000</t>
  </si>
  <si>
    <t>02.04.25</t>
  </si>
  <si>
    <t>002</t>
  </si>
  <si>
    <t>Brkt Under Cover</t>
  </si>
  <si>
    <t>08.04.25</t>
  </si>
  <si>
    <t>SKMN</t>
  </si>
  <si>
    <t>Plate Brkt</t>
  </si>
  <si>
    <t>Renif 2</t>
  </si>
  <si>
    <t xml:space="preserve">Plate  </t>
  </si>
  <si>
    <t>09.04.25</t>
  </si>
  <si>
    <t>003</t>
  </si>
  <si>
    <t>11.04.25</t>
  </si>
  <si>
    <t>Reniff</t>
  </si>
  <si>
    <t>05036</t>
  </si>
  <si>
    <t>12.04.25</t>
  </si>
  <si>
    <t>Stay RR fender</t>
  </si>
  <si>
    <t>16.04.25</t>
  </si>
  <si>
    <t>22.04.25</t>
  </si>
  <si>
    <t>19.04.25</t>
  </si>
  <si>
    <t>26.04.25</t>
  </si>
  <si>
    <t>29.04.25</t>
  </si>
  <si>
    <t>30.04.25</t>
  </si>
  <si>
    <t>02.05.25</t>
  </si>
  <si>
    <t>05.05.25</t>
  </si>
  <si>
    <t>08.05.25</t>
  </si>
  <si>
    <t>09.05.25</t>
  </si>
  <si>
    <t>12.05.25</t>
  </si>
  <si>
    <t>13.05.25</t>
  </si>
  <si>
    <t>14.05.25</t>
  </si>
  <si>
    <t>19.05.25</t>
  </si>
  <si>
    <t>27.05.25</t>
  </si>
  <si>
    <t>1342 Brkt</t>
  </si>
  <si>
    <t>16.05.25</t>
  </si>
  <si>
    <t>Brkt</t>
  </si>
  <si>
    <t>7452/62</t>
  </si>
  <si>
    <t>7432/42</t>
  </si>
  <si>
    <t>10.05.25</t>
  </si>
  <si>
    <t>20.05.25</t>
  </si>
  <si>
    <t>23.05.25</t>
  </si>
  <si>
    <t>24.05.25</t>
  </si>
  <si>
    <t>141A</t>
  </si>
  <si>
    <t>28.05.25</t>
  </si>
  <si>
    <t>DC No.</t>
  </si>
  <si>
    <t>DC Date</t>
  </si>
  <si>
    <t>31.05.25</t>
  </si>
  <si>
    <t>02.06.25</t>
  </si>
  <si>
    <t>MP</t>
  </si>
  <si>
    <t>MPF</t>
  </si>
  <si>
    <t>04.06.25</t>
  </si>
  <si>
    <t>Holder wire</t>
  </si>
  <si>
    <t>F3317</t>
  </si>
  <si>
    <t>Gazzet</t>
  </si>
  <si>
    <t>F113A</t>
  </si>
  <si>
    <t>F317E</t>
  </si>
  <si>
    <t>06.06.25</t>
  </si>
  <si>
    <t>F115T</t>
  </si>
  <si>
    <t>1447/48</t>
  </si>
  <si>
    <t>09.06.25</t>
  </si>
  <si>
    <t>11.06.25</t>
  </si>
  <si>
    <t>13.06.25</t>
  </si>
  <si>
    <t>15.06.25</t>
  </si>
  <si>
    <t>17.06.25</t>
  </si>
  <si>
    <t>Brkt Engine</t>
  </si>
  <si>
    <t>18.06.25</t>
  </si>
  <si>
    <t>Brkt Rear Foot Rest</t>
  </si>
  <si>
    <t>19.06.25</t>
  </si>
  <si>
    <t>20.06.25</t>
  </si>
  <si>
    <t>21.06.25</t>
  </si>
  <si>
    <t>23.06.25</t>
  </si>
  <si>
    <t>24.06.25</t>
  </si>
  <si>
    <t>25.06.25</t>
  </si>
  <si>
    <t>Gusset</t>
  </si>
  <si>
    <t>F1135</t>
  </si>
  <si>
    <t>26.06.25</t>
  </si>
  <si>
    <t>01.07.25</t>
  </si>
  <si>
    <t>27.06.25</t>
  </si>
  <si>
    <t>1441</t>
  </si>
  <si>
    <t>30.06.25</t>
  </si>
  <si>
    <t>04.07.25</t>
  </si>
  <si>
    <t>1341 Brkt</t>
  </si>
  <si>
    <t>03.07.25</t>
  </si>
  <si>
    <t>05.07.25</t>
  </si>
  <si>
    <t>138K</t>
  </si>
  <si>
    <t>Stay Base Plate</t>
  </si>
  <si>
    <t>08.07.25</t>
  </si>
  <si>
    <t>Cost Mistake</t>
  </si>
  <si>
    <t>Reinvoice 991</t>
  </si>
  <si>
    <t>09.07.25</t>
  </si>
  <si>
    <t>11.07.25</t>
  </si>
  <si>
    <t>12.07.25</t>
  </si>
  <si>
    <t>16.07.25</t>
  </si>
  <si>
    <t>17.07.25</t>
  </si>
  <si>
    <t>25..07.25</t>
  </si>
  <si>
    <t>30..07.25</t>
  </si>
  <si>
    <t>01.08.25</t>
  </si>
  <si>
    <t>02.08.25</t>
  </si>
  <si>
    <t>04.08.25</t>
  </si>
  <si>
    <t>06.08.25</t>
  </si>
  <si>
    <t>07.08.25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</si>
</sst>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rgb="FFFFC000"/>
      <name val="Arial Narrow"/>
      <family val="2"/>
    </font>
    <font>
      <sz val="9"/>
      <color theme="1"/>
      <name val="Arial Narrow"/>
      <family val="2"/>
    </font>
    <font>
      <b/>
      <sz val="11"/>
      <color rgb="FFFFFF00"/>
      <name val="Calibri"/>
      <family val="2"/>
      <scheme val="minor"/>
    </font>
    <font>
      <b/>
      <sz val="10"/>
      <color rgb="FFFF0000"/>
      <name val="Arial Narrow"/>
      <family val="2"/>
    </font>
    <font>
      <sz val="10"/>
      <color rgb="FFC00000"/>
      <name val="Arial Narrow"/>
      <family val="2"/>
    </font>
    <font>
      <sz val="10"/>
      <color rgb="FFFFFF00"/>
      <name val="Arial Narrow"/>
      <family val="2"/>
    </font>
    <font>
      <b/>
      <sz val="12"/>
      <color rgb="FFFFC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FFC000"/>
      </right>
      <top/>
      <bottom/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/>
      <bottom/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quotePrefix="1" applyNumberFormat="1" applyFont="1" applyFill="1" applyAlignment="1">
      <alignment horizontal="center" vertical="center"/>
    </xf>
    <xf numFmtId="2" fontId="3" fillId="0" borderId="0" xfId="0" applyNumberFormat="1" applyFont="1" applyFill="1" applyAlignment="1">
      <alignment horizontal="center" vertical="center"/>
    </xf>
    <xf numFmtId="164" fontId="3" fillId="0" borderId="0" xfId="0" applyNumberFormat="1" applyFont="1" applyFill="1" applyAlignment="1">
      <alignment horizontal="center" vertical="center"/>
    </xf>
    <xf numFmtId="1" fontId="3" fillId="0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" fontId="4" fillId="4" borderId="0" xfId="0" applyNumberFormat="1" applyFont="1" applyFill="1" applyAlignment="1">
      <alignment horizontal="center" vertical="center"/>
    </xf>
    <xf numFmtId="2" fontId="3" fillId="5" borderId="0" xfId="0" applyNumberFormat="1" applyFont="1" applyFill="1" applyAlignment="1">
      <alignment horizontal="center" vertical="center"/>
    </xf>
    <xf numFmtId="2" fontId="3" fillId="6" borderId="0" xfId="0" applyNumberFormat="1" applyFont="1" applyFill="1" applyAlignment="1">
      <alignment horizontal="center" vertical="center"/>
    </xf>
    <xf numFmtId="2" fontId="3" fillId="7" borderId="0" xfId="0" applyNumberFormat="1" applyFont="1" applyFill="1" applyAlignment="1">
      <alignment horizontal="center" vertical="center"/>
    </xf>
    <xf numFmtId="1" fontId="5" fillId="8" borderId="0" xfId="0" applyNumberFormat="1" applyFont="1" applyFill="1" applyAlignment="1">
      <alignment horizontal="center" vertical="center"/>
    </xf>
    <xf numFmtId="2" fontId="5" fillId="8" borderId="0" xfId="0" applyNumberFormat="1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5" fillId="9" borderId="0" xfId="0" applyNumberFormat="1" applyFont="1" applyFill="1" applyAlignment="1">
      <alignment horizontal="center" vertical="center"/>
    </xf>
    <xf numFmtId="2" fontId="5" fillId="9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7" fillId="10" borderId="0" xfId="0" applyFont="1" applyFill="1" applyAlignment="1">
      <alignment vertical="center"/>
    </xf>
    <xf numFmtId="0" fontId="7" fillId="10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" fontId="1" fillId="11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64" fontId="3" fillId="8" borderId="0" xfId="0" applyNumberFormat="1" applyFont="1" applyFill="1" applyAlignment="1">
      <alignment horizontal="center" vertical="center"/>
    </xf>
    <xf numFmtId="164" fontId="8" fillId="12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left" vertical="center"/>
    </xf>
    <xf numFmtId="0" fontId="3" fillId="13" borderId="0" xfId="0" quotePrefix="1" applyNumberFormat="1" applyFont="1" applyFill="1" applyAlignment="1">
      <alignment horizontal="center" vertical="center"/>
    </xf>
    <xf numFmtId="2" fontId="3" fillId="13" borderId="0" xfId="0" applyNumberFormat="1" applyFont="1" applyFill="1" applyAlignment="1">
      <alignment horizontal="center" vertical="center"/>
    </xf>
    <xf numFmtId="164" fontId="3" fillId="13" borderId="0" xfId="0" applyNumberFormat="1" applyFont="1" applyFill="1" applyAlignment="1">
      <alignment horizontal="center" vertical="center"/>
    </xf>
    <xf numFmtId="1" fontId="3" fillId="13" borderId="0" xfId="0" applyNumberFormat="1" applyFont="1" applyFill="1" applyAlignment="1">
      <alignment horizontal="center" vertical="center"/>
    </xf>
    <xf numFmtId="0" fontId="3" fillId="13" borderId="0" xfId="0" applyFont="1" applyFill="1" applyBorder="1" applyAlignment="1">
      <alignment horizontal="center" vertical="center"/>
    </xf>
    <xf numFmtId="1" fontId="4" fillId="13" borderId="0" xfId="0" applyNumberFormat="1" applyFont="1" applyFill="1" applyAlignment="1">
      <alignment horizontal="center" vertical="center"/>
    </xf>
    <xf numFmtId="1" fontId="5" fillId="13" borderId="0" xfId="0" applyNumberFormat="1" applyFont="1" applyFill="1" applyAlignment="1">
      <alignment horizontal="center" vertical="center"/>
    </xf>
    <xf numFmtId="2" fontId="5" fillId="13" borderId="0" xfId="0" applyNumberFormat="1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2" fontId="10" fillId="10" borderId="0" xfId="0" applyNumberFormat="1" applyFont="1" applyFill="1" applyAlignment="1">
      <alignment horizontal="center" vertical="center"/>
    </xf>
    <xf numFmtId="0" fontId="7" fillId="11" borderId="0" xfId="0" applyFont="1" applyFill="1" applyAlignment="1">
      <alignment vertical="center"/>
    </xf>
    <xf numFmtId="0" fontId="7" fillId="11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12" borderId="0" xfId="0" quotePrefix="1" applyNumberFormat="1" applyFont="1" applyFill="1" applyAlignment="1">
      <alignment horizontal="center" vertical="center"/>
    </xf>
    <xf numFmtId="0" fontId="0" fillId="0" borderId="1" xfId="0" applyBorder="1"/>
    <xf numFmtId="0" fontId="0" fillId="0" borderId="2" xfId="0" applyBorder="1"/>
    <xf numFmtId="1" fontId="11" fillId="9" borderId="4" xfId="0" applyNumberFormat="1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vertical="center"/>
    </xf>
    <xf numFmtId="1" fontId="3" fillId="12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1" fontId="3" fillId="5" borderId="0" xfId="0" applyNumberFormat="1" applyFont="1" applyFill="1" applyAlignment="1">
      <alignment horizontal="center" vertical="center"/>
    </xf>
    <xf numFmtId="1" fontId="5" fillId="15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16" borderId="0" xfId="0" quotePrefix="1" applyFont="1" applyFill="1" applyAlignment="1">
      <alignment horizontal="center" vertical="center"/>
    </xf>
    <xf numFmtId="164" fontId="3" fillId="16" borderId="0" xfId="0" applyNumberFormat="1" applyFont="1" applyFill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2" fontId="3" fillId="17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00"/>
      <color rgb="FF66FF66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3"/>
  <sheetViews>
    <sheetView workbookViewId="0">
      <selection activeCell="A9" sqref="A9:AF9"/>
    </sheetView>
  </sheetViews>
  <sheetFormatPr defaultRowHeight="15" x14ac:dyDescent="0.25"/>
  <cols>
    <col min="1" max="1" width="4.140625" bestFit="1" customWidth="1"/>
    <col min="2" max="2" width="5.7109375" bestFit="1" customWidth="1"/>
    <col min="3" max="3" width="6.28515625" bestFit="1" customWidth="1"/>
    <col min="4" max="4" width="3.5703125" customWidth="1"/>
    <col min="5" max="5" width="6.7109375" customWidth="1"/>
    <col min="6" max="6" width="6.28515625" bestFit="1" customWidth="1"/>
    <col min="7" max="7" width="5.5703125" customWidth="1"/>
    <col min="8" max="8" width="5.7109375" customWidth="1"/>
    <col min="9" max="9" width="8" customWidth="1"/>
    <col min="10" max="10" width="4.7109375" customWidth="1"/>
    <col min="11" max="11" width="4.140625" customWidth="1"/>
    <col min="12" max="12" width="4.42578125" bestFit="1" customWidth="1"/>
    <col min="13" max="13" width="5.7109375" customWidth="1"/>
    <col min="14" max="14" width="4.42578125" customWidth="1"/>
    <col min="15" max="15" width="3.7109375" customWidth="1"/>
    <col min="16" max="16" width="6.7109375" bestFit="1" customWidth="1"/>
    <col min="17" max="17" width="5.5703125" bestFit="1" customWidth="1"/>
    <col min="18" max="18" width="5.42578125" bestFit="1" customWidth="1"/>
    <col min="19" max="19" width="4.28515625" customWidth="1"/>
    <col min="20" max="20" width="2.28515625" customWidth="1"/>
    <col min="21" max="21" width="5.28515625" customWidth="1"/>
    <col min="22" max="22" width="5.42578125" customWidth="1"/>
    <col min="23" max="23" width="5.28515625" customWidth="1"/>
    <col min="24" max="24" width="6.140625" bestFit="1" customWidth="1"/>
    <col min="25" max="25" width="6.42578125" bestFit="1" customWidth="1"/>
    <col min="26" max="26" width="6.7109375" customWidth="1"/>
    <col min="27" max="27" width="8.42578125" customWidth="1"/>
    <col min="28" max="28" width="3.140625" bestFit="1" customWidth="1"/>
    <col min="29" max="29" width="6.140625" customWidth="1"/>
    <col min="30" max="30" width="6.28515625" customWidth="1"/>
    <col min="31" max="31" width="5.42578125" customWidth="1"/>
    <col min="32" max="32" width="6.5703125" customWidth="1"/>
  </cols>
  <sheetData>
    <row r="1" spans="1:32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1</v>
      </c>
      <c r="B2" s="3">
        <v>160</v>
      </c>
      <c r="C2" s="3" t="s">
        <v>38</v>
      </c>
      <c r="D2" s="3" t="s">
        <v>32</v>
      </c>
      <c r="E2" s="2" t="s">
        <v>33</v>
      </c>
      <c r="F2" s="4">
        <v>12028</v>
      </c>
      <c r="G2" s="2">
        <v>192</v>
      </c>
      <c r="H2" s="2">
        <v>64.95</v>
      </c>
      <c r="I2" s="5">
        <f t="shared" ref="I2:I6" si="0">G2*H2</f>
        <v>12470.400000000001</v>
      </c>
      <c r="J2" s="6">
        <f>2*108*1250*7.85/1000000</f>
        <v>2.1194999999999999</v>
      </c>
      <c r="K2" s="7">
        <f t="shared" ref="K2:K6" si="1">G2/J2</f>
        <v>90.587402689313521</v>
      </c>
      <c r="L2" s="2">
        <v>90</v>
      </c>
      <c r="M2" s="2">
        <v>90</v>
      </c>
      <c r="N2" s="8">
        <v>42</v>
      </c>
      <c r="O2" s="2">
        <v>4</v>
      </c>
      <c r="P2" s="2">
        <f t="shared" ref="P2" si="2">M2*N2*O2</f>
        <v>15120</v>
      </c>
      <c r="Q2" s="2">
        <v>15120</v>
      </c>
      <c r="R2" s="2">
        <v>15120</v>
      </c>
      <c r="S2" s="9">
        <f>Q2-R2</f>
        <v>0</v>
      </c>
      <c r="T2" s="2">
        <f>P2-Q2</f>
        <v>0</v>
      </c>
      <c r="U2" s="10">
        <v>0.12</v>
      </c>
      <c r="V2" s="7">
        <f>Q2*U2</f>
        <v>1814.3999999999999</v>
      </c>
      <c r="W2" s="11">
        <v>0.79</v>
      </c>
      <c r="X2" s="2">
        <f>Q2*W2</f>
        <v>11944.800000000001</v>
      </c>
      <c r="Y2" s="12">
        <f>X2-I2</f>
        <v>-525.60000000000036</v>
      </c>
      <c r="Z2" s="7">
        <f>AF2+Y2</f>
        <v>1418.3999999999999</v>
      </c>
      <c r="AA2" s="13">
        <f t="shared" ref="AA2:AA10" si="3">Z2-V2</f>
        <v>-396</v>
      </c>
      <c r="AB2" s="14" t="s">
        <v>34</v>
      </c>
      <c r="AC2" s="6">
        <v>0.67500000000000004</v>
      </c>
      <c r="AD2" s="5">
        <f>M2*AC2</f>
        <v>60.750000000000007</v>
      </c>
      <c r="AE2" s="15">
        <v>32</v>
      </c>
      <c r="AF2" s="2">
        <f t="shared" ref="AF2" si="4">AD2*AE2</f>
        <v>1944.0000000000002</v>
      </c>
    </row>
    <row r="3" spans="1:32" x14ac:dyDescent="0.25">
      <c r="A3" s="2">
        <v>2</v>
      </c>
      <c r="B3" s="3">
        <v>160</v>
      </c>
      <c r="C3" s="3" t="s">
        <v>38</v>
      </c>
      <c r="D3" s="3" t="s">
        <v>32</v>
      </c>
      <c r="E3" s="16" t="s">
        <v>35</v>
      </c>
      <c r="F3" s="3" t="s">
        <v>36</v>
      </c>
      <c r="G3" s="3">
        <v>242</v>
      </c>
      <c r="H3" s="3">
        <v>74.95</v>
      </c>
      <c r="I3" s="17">
        <f t="shared" si="0"/>
        <v>18137.900000000001</v>
      </c>
      <c r="J3" s="18">
        <f>0.6*82*1250*7.85/1000000</f>
        <v>0.48277499999999995</v>
      </c>
      <c r="K3" s="19">
        <f t="shared" si="1"/>
        <v>501.26870695458553</v>
      </c>
      <c r="L3" s="3">
        <v>501</v>
      </c>
      <c r="M3" s="3">
        <v>501</v>
      </c>
      <c r="N3" s="8">
        <v>26</v>
      </c>
      <c r="O3" s="3">
        <v>4</v>
      </c>
      <c r="P3" s="3">
        <f>M3*N3*O3</f>
        <v>52104</v>
      </c>
      <c r="Q3" s="3">
        <v>52104</v>
      </c>
      <c r="R3" s="3">
        <v>52104</v>
      </c>
      <c r="S3" s="9">
        <f t="shared" ref="S3" si="5">Q3-R3</f>
        <v>0</v>
      </c>
      <c r="T3" s="3">
        <f>P3-Q3</f>
        <v>0</v>
      </c>
      <c r="U3" s="10">
        <v>0.12</v>
      </c>
      <c r="V3" s="19">
        <f t="shared" ref="V3:V6" si="6">Q3*U3</f>
        <v>6252.48</v>
      </c>
      <c r="W3" s="11">
        <v>0.42</v>
      </c>
      <c r="X3" s="3">
        <f>Q3*W3</f>
        <v>21883.68</v>
      </c>
      <c r="Y3" s="3">
        <f t="shared" ref="Y3:Y10" si="7">X3-I3</f>
        <v>3745.7799999999988</v>
      </c>
      <c r="Z3" s="19">
        <f>AF3+Y3</f>
        <v>7272.8199999999988</v>
      </c>
      <c r="AA3" s="20">
        <f t="shared" si="3"/>
        <v>1020.3399999999992</v>
      </c>
      <c r="AB3" s="21" t="s">
        <v>37</v>
      </c>
      <c r="AC3" s="18">
        <v>0.22</v>
      </c>
      <c r="AD3" s="17">
        <f t="shared" ref="AD3:AD6" si="8">M3*AC3</f>
        <v>110.22</v>
      </c>
      <c r="AE3" s="15">
        <v>32</v>
      </c>
      <c r="AF3" s="3">
        <f>AD3*AE3</f>
        <v>3527.04</v>
      </c>
    </row>
    <row r="4" spans="1:32" x14ac:dyDescent="0.25">
      <c r="A4" s="2">
        <v>3</v>
      </c>
      <c r="B4" s="3">
        <v>160</v>
      </c>
      <c r="C4" s="3" t="s">
        <v>38</v>
      </c>
      <c r="D4" s="3" t="s">
        <v>32</v>
      </c>
      <c r="E4" s="2" t="s">
        <v>33</v>
      </c>
      <c r="F4" s="4">
        <v>6871</v>
      </c>
      <c r="G4" s="2">
        <v>158</v>
      </c>
      <c r="H4" s="2">
        <v>65.95</v>
      </c>
      <c r="I4" s="5">
        <f t="shared" si="0"/>
        <v>10420.1</v>
      </c>
      <c r="J4" s="6">
        <f>3.2*35*1250*7.85/1000000</f>
        <v>1.099</v>
      </c>
      <c r="K4" s="7">
        <f t="shared" si="1"/>
        <v>143.76706096451321</v>
      </c>
      <c r="L4" s="2">
        <v>150</v>
      </c>
      <c r="M4" s="2">
        <v>150</v>
      </c>
      <c r="N4" s="8">
        <v>70</v>
      </c>
      <c r="O4" s="2">
        <v>2</v>
      </c>
      <c r="P4" s="2">
        <f t="shared" ref="P4:P6" si="9">M4*N4*O4</f>
        <v>21000</v>
      </c>
      <c r="Q4" s="22">
        <v>21000</v>
      </c>
      <c r="R4" s="22">
        <v>21000</v>
      </c>
      <c r="S4" s="9">
        <f>Q4-R4</f>
        <v>0</v>
      </c>
      <c r="T4" s="2">
        <f t="shared" ref="T4" si="10">P4-Q4</f>
        <v>0</v>
      </c>
      <c r="U4" s="10">
        <v>0.15</v>
      </c>
      <c r="V4" s="7">
        <f t="shared" si="6"/>
        <v>3150</v>
      </c>
      <c r="W4" s="11">
        <v>0.6</v>
      </c>
      <c r="X4" s="2">
        <f t="shared" ref="X4" si="11">Q4*W4</f>
        <v>12600</v>
      </c>
      <c r="Y4" s="2">
        <f t="shared" si="7"/>
        <v>2179.8999999999996</v>
      </c>
      <c r="Z4" s="7">
        <f t="shared" ref="Z4:Z10" si="12">AF4+Y4</f>
        <v>5251.9</v>
      </c>
      <c r="AA4" s="20">
        <f t="shared" si="3"/>
        <v>2101.8999999999996</v>
      </c>
      <c r="AB4" s="21" t="s">
        <v>37</v>
      </c>
      <c r="AC4" s="6">
        <v>0.64</v>
      </c>
      <c r="AD4" s="2">
        <f t="shared" si="8"/>
        <v>96</v>
      </c>
      <c r="AE4" s="15">
        <v>32</v>
      </c>
      <c r="AF4" s="2">
        <f t="shared" ref="AF4:AF6" si="13">AD4*AE4</f>
        <v>3072</v>
      </c>
    </row>
    <row r="5" spans="1:32" x14ac:dyDescent="0.25">
      <c r="A5" s="2">
        <v>4</v>
      </c>
      <c r="B5" s="3">
        <v>8</v>
      </c>
      <c r="C5" s="3" t="s">
        <v>42</v>
      </c>
      <c r="D5" s="3" t="s">
        <v>39</v>
      </c>
      <c r="E5" s="23" t="s">
        <v>40</v>
      </c>
      <c r="F5" s="24" t="s">
        <v>41</v>
      </c>
      <c r="G5" s="3">
        <v>1516</v>
      </c>
      <c r="H5" s="17">
        <v>80</v>
      </c>
      <c r="I5" s="17">
        <f t="shared" si="0"/>
        <v>121280</v>
      </c>
      <c r="J5" s="18">
        <f>0.5*220*1160*7.85/1000000</f>
        <v>1.00166</v>
      </c>
      <c r="K5" s="19">
        <f t="shared" si="1"/>
        <v>1513.4876105664596</v>
      </c>
      <c r="L5" s="19"/>
      <c r="M5" s="19"/>
      <c r="N5" s="8">
        <v>8</v>
      </c>
      <c r="O5" s="3">
        <v>1</v>
      </c>
      <c r="P5" s="3">
        <f t="shared" si="9"/>
        <v>0</v>
      </c>
      <c r="Q5" s="3"/>
      <c r="R5" s="3"/>
      <c r="S5" s="9">
        <f>Q5-R5</f>
        <v>0</v>
      </c>
      <c r="T5" s="3">
        <f>P5-Q5</f>
        <v>0</v>
      </c>
      <c r="U5" s="10">
        <v>1.6</v>
      </c>
      <c r="V5" s="19">
        <f t="shared" si="6"/>
        <v>0</v>
      </c>
      <c r="W5" s="11">
        <v>12.36</v>
      </c>
      <c r="X5" s="3">
        <f>Q5*W5</f>
        <v>0</v>
      </c>
      <c r="Y5" s="3">
        <f t="shared" si="7"/>
        <v>-121280</v>
      </c>
      <c r="Z5" s="19">
        <f t="shared" si="12"/>
        <v>-121280</v>
      </c>
      <c r="AA5" s="13">
        <f t="shared" si="3"/>
        <v>-121280</v>
      </c>
      <c r="AB5" s="14" t="s">
        <v>34</v>
      </c>
      <c r="AC5" s="18"/>
      <c r="AD5" s="17">
        <f t="shared" si="8"/>
        <v>0</v>
      </c>
      <c r="AE5" s="15">
        <v>27</v>
      </c>
      <c r="AF5" s="3">
        <f t="shared" si="13"/>
        <v>0</v>
      </c>
    </row>
    <row r="6" spans="1:32" x14ac:dyDescent="0.25">
      <c r="A6" s="2">
        <v>5</v>
      </c>
      <c r="B6" s="3">
        <v>9</v>
      </c>
      <c r="C6" s="3" t="s">
        <v>42</v>
      </c>
      <c r="D6" s="3" t="s">
        <v>39</v>
      </c>
      <c r="E6" s="23" t="s">
        <v>40</v>
      </c>
      <c r="F6" s="24" t="s">
        <v>43</v>
      </c>
      <c r="G6" s="3">
        <v>1697</v>
      </c>
      <c r="H6" s="17">
        <v>80</v>
      </c>
      <c r="I6" s="17">
        <f t="shared" si="0"/>
        <v>135760</v>
      </c>
      <c r="J6" s="18">
        <f t="shared" ref="J6" si="14">0.5*247*1180*7.85/1000000</f>
        <v>1.1439805000000001</v>
      </c>
      <c r="K6" s="19">
        <f t="shared" si="1"/>
        <v>1483.4168939068454</v>
      </c>
      <c r="L6" s="19"/>
      <c r="M6" s="19"/>
      <c r="N6" s="8">
        <v>6</v>
      </c>
      <c r="O6" s="3">
        <v>1</v>
      </c>
      <c r="P6" s="3">
        <f t="shared" si="9"/>
        <v>0</v>
      </c>
      <c r="Q6" s="3"/>
      <c r="R6" s="3"/>
      <c r="S6" s="9">
        <f t="shared" ref="S6:S7" si="15">Q6-R6</f>
        <v>0</v>
      </c>
      <c r="T6" s="3">
        <f t="shared" ref="T6:T7" si="16">P6-Q6</f>
        <v>0</v>
      </c>
      <c r="U6" s="10">
        <v>1.65</v>
      </c>
      <c r="V6" s="19">
        <f t="shared" si="6"/>
        <v>0</v>
      </c>
      <c r="W6" s="11">
        <v>16.510000000000002</v>
      </c>
      <c r="X6" s="3">
        <f t="shared" ref="X6:X7" si="17">Q6*W6</f>
        <v>0</v>
      </c>
      <c r="Y6" s="3">
        <f t="shared" si="7"/>
        <v>-135760</v>
      </c>
      <c r="Z6" s="19">
        <f t="shared" si="12"/>
        <v>-135760</v>
      </c>
      <c r="AA6" s="13">
        <f t="shared" si="3"/>
        <v>-135760</v>
      </c>
      <c r="AB6" s="14" t="s">
        <v>34</v>
      </c>
      <c r="AC6" s="18"/>
      <c r="AD6" s="17">
        <f t="shared" si="8"/>
        <v>0</v>
      </c>
      <c r="AE6" s="15">
        <v>27</v>
      </c>
      <c r="AF6" s="3">
        <f t="shared" si="13"/>
        <v>0</v>
      </c>
    </row>
    <row r="7" spans="1:32" x14ac:dyDescent="0.25">
      <c r="A7" s="2">
        <v>6</v>
      </c>
      <c r="B7" s="3">
        <v>313</v>
      </c>
      <c r="C7" s="3" t="s">
        <v>45</v>
      </c>
      <c r="D7" s="3" t="s">
        <v>32</v>
      </c>
      <c r="E7" s="29" t="s">
        <v>44</v>
      </c>
      <c r="F7" s="3">
        <v>8283</v>
      </c>
      <c r="G7" s="3">
        <v>1682</v>
      </c>
      <c r="H7" s="3">
        <v>2.72</v>
      </c>
      <c r="I7" s="17">
        <f>G7*H7</f>
        <v>4575.04</v>
      </c>
      <c r="J7" s="3">
        <v>0</v>
      </c>
      <c r="K7" s="3">
        <v>0</v>
      </c>
      <c r="L7" s="3">
        <v>0</v>
      </c>
      <c r="M7" s="3">
        <f>G7</f>
        <v>1682</v>
      </c>
      <c r="N7" s="8">
        <v>1</v>
      </c>
      <c r="O7" s="3">
        <v>1</v>
      </c>
      <c r="P7" s="3">
        <f>M7</f>
        <v>1682</v>
      </c>
      <c r="Q7" s="3">
        <f t="shared" ref="Q7:R7" si="18">P7</f>
        <v>1682</v>
      </c>
      <c r="R7" s="3">
        <f t="shared" si="18"/>
        <v>1682</v>
      </c>
      <c r="S7" s="9">
        <f t="shared" si="15"/>
        <v>0</v>
      </c>
      <c r="T7" s="3">
        <f t="shared" si="16"/>
        <v>0</v>
      </c>
      <c r="U7" s="10">
        <v>0.53</v>
      </c>
      <c r="V7" s="19">
        <f>Q7*U7</f>
        <v>891.46</v>
      </c>
      <c r="W7" s="11">
        <v>3.25</v>
      </c>
      <c r="X7" s="3">
        <f t="shared" si="17"/>
        <v>5466.5</v>
      </c>
      <c r="Y7" s="3">
        <f t="shared" si="7"/>
        <v>891.46</v>
      </c>
      <c r="Z7" s="19">
        <f t="shared" si="12"/>
        <v>891.46</v>
      </c>
      <c r="AA7" s="13">
        <f t="shared" si="3"/>
        <v>0</v>
      </c>
      <c r="AB7" s="14" t="s">
        <v>34</v>
      </c>
      <c r="AC7" s="18">
        <v>0</v>
      </c>
      <c r="AD7" s="3">
        <f>M7*AC7</f>
        <v>0</v>
      </c>
      <c r="AE7" s="15">
        <v>0</v>
      </c>
      <c r="AF7" s="3">
        <f>AD7*AE7</f>
        <v>0</v>
      </c>
    </row>
    <row r="8" spans="1:32" x14ac:dyDescent="0.25">
      <c r="A8" s="2">
        <v>7</v>
      </c>
      <c r="B8" s="3">
        <v>39</v>
      </c>
      <c r="C8" s="3" t="s">
        <v>45</v>
      </c>
      <c r="D8" s="3" t="s">
        <v>39</v>
      </c>
      <c r="E8" s="23" t="s">
        <v>48</v>
      </c>
      <c r="F8" s="24">
        <v>7479</v>
      </c>
      <c r="G8" s="3">
        <v>178</v>
      </c>
      <c r="H8" s="3">
        <v>74.95</v>
      </c>
      <c r="I8" s="17">
        <f t="shared" ref="I8:I12" si="19">G8*H8</f>
        <v>13341.1</v>
      </c>
      <c r="J8" s="18">
        <f>1.6*39*1250*7.85/1000000</f>
        <v>0.61229999999999996</v>
      </c>
      <c r="K8" s="19">
        <f t="shared" ref="K8:K10" si="20">G8/J8</f>
        <v>290.70716968806141</v>
      </c>
      <c r="L8" s="19">
        <v>291</v>
      </c>
      <c r="M8" s="19">
        <v>291</v>
      </c>
      <c r="N8" s="8">
        <v>80</v>
      </c>
      <c r="O8" s="3">
        <v>1</v>
      </c>
      <c r="P8" s="3">
        <f t="shared" ref="P8:P9" si="21">M8*N8*O8</f>
        <v>23280</v>
      </c>
      <c r="Q8" s="3">
        <v>23280</v>
      </c>
      <c r="R8" s="3">
        <v>23280</v>
      </c>
      <c r="S8" s="9">
        <f>Q8-R8</f>
        <v>0</v>
      </c>
      <c r="T8" s="3">
        <f>P8-Q8</f>
        <v>0</v>
      </c>
      <c r="U8" s="10">
        <v>0.55000000000000004</v>
      </c>
      <c r="V8" s="19">
        <f t="shared" ref="V8:V10" si="22">Q8*U8</f>
        <v>12804.000000000002</v>
      </c>
      <c r="W8" s="11">
        <v>1.08</v>
      </c>
      <c r="X8" s="3">
        <f>Q8*W8</f>
        <v>25142.400000000001</v>
      </c>
      <c r="Y8" s="3">
        <f t="shared" si="7"/>
        <v>11801.300000000001</v>
      </c>
      <c r="Z8" s="19">
        <f t="shared" si="12"/>
        <v>13198.1</v>
      </c>
      <c r="AA8" s="20">
        <f t="shared" si="3"/>
        <v>394.09999999999854</v>
      </c>
      <c r="AB8" s="21" t="s">
        <v>37</v>
      </c>
      <c r="AC8" s="18">
        <v>0.15</v>
      </c>
      <c r="AD8" s="17">
        <f t="shared" ref="AD8:AD10" si="23">M8*AC8</f>
        <v>43.65</v>
      </c>
      <c r="AE8" s="15">
        <v>32</v>
      </c>
      <c r="AF8" s="3">
        <f t="shared" ref="AF8:AF10" si="24">AD8*AE8</f>
        <v>1396.8</v>
      </c>
    </row>
    <row r="9" spans="1:32" x14ac:dyDescent="0.25">
      <c r="A9" s="2">
        <v>8</v>
      </c>
      <c r="B9" s="3">
        <v>41</v>
      </c>
      <c r="C9" s="3" t="s">
        <v>45</v>
      </c>
      <c r="D9" s="3" t="s">
        <v>32</v>
      </c>
      <c r="E9" s="3" t="s">
        <v>49</v>
      </c>
      <c r="F9" s="3">
        <v>1329</v>
      </c>
      <c r="G9" s="3">
        <v>48</v>
      </c>
      <c r="H9" s="3">
        <v>74.95</v>
      </c>
      <c r="I9" s="17">
        <f t="shared" si="19"/>
        <v>3597.6000000000004</v>
      </c>
      <c r="J9" s="18">
        <f>1*47*1250*7.85/1000000</f>
        <v>0.46118749999999997</v>
      </c>
      <c r="K9" s="19">
        <f t="shared" si="20"/>
        <v>104.07914351538149</v>
      </c>
      <c r="L9" s="3">
        <v>104</v>
      </c>
      <c r="M9" s="3">
        <v>104</v>
      </c>
      <c r="N9" s="3">
        <v>77</v>
      </c>
      <c r="O9" s="3">
        <v>1</v>
      </c>
      <c r="P9" s="3">
        <f t="shared" si="21"/>
        <v>8008</v>
      </c>
      <c r="Q9" s="3">
        <v>8008</v>
      </c>
      <c r="R9" s="3">
        <v>8008</v>
      </c>
      <c r="S9" s="9">
        <f t="shared" ref="S9" si="25">Q9-R9</f>
        <v>0</v>
      </c>
      <c r="T9" s="3">
        <f>P9-Q9</f>
        <v>0</v>
      </c>
      <c r="U9" s="10">
        <v>0.55000000000000004</v>
      </c>
      <c r="V9" s="19">
        <f t="shared" si="22"/>
        <v>4404.4000000000005</v>
      </c>
      <c r="W9" s="11">
        <v>0.9</v>
      </c>
      <c r="X9" s="19">
        <f>Q9*W9</f>
        <v>7207.2</v>
      </c>
      <c r="Y9" s="3">
        <f t="shared" si="7"/>
        <v>3609.5999999999995</v>
      </c>
      <c r="Z9" s="19">
        <f t="shared" si="12"/>
        <v>3966.6943999999994</v>
      </c>
      <c r="AA9" s="13">
        <f t="shared" si="3"/>
        <v>-437.70560000000114</v>
      </c>
      <c r="AB9" s="14" t="s">
        <v>34</v>
      </c>
      <c r="AC9" s="18">
        <v>0.10730000000000001</v>
      </c>
      <c r="AD9" s="17">
        <f t="shared" si="23"/>
        <v>11.1592</v>
      </c>
      <c r="AE9" s="15">
        <v>32</v>
      </c>
      <c r="AF9" s="3">
        <f t="shared" si="24"/>
        <v>357.09440000000001</v>
      </c>
    </row>
    <row r="10" spans="1:32" x14ac:dyDescent="0.25">
      <c r="A10" s="2">
        <v>9</v>
      </c>
      <c r="B10" s="3">
        <v>46</v>
      </c>
      <c r="C10" s="3" t="s">
        <v>50</v>
      </c>
      <c r="D10" s="3" t="s">
        <v>39</v>
      </c>
      <c r="E10" s="23" t="s">
        <v>40</v>
      </c>
      <c r="F10" s="24" t="s">
        <v>51</v>
      </c>
      <c r="G10" s="3">
        <v>965</v>
      </c>
      <c r="H10" s="3">
        <v>80</v>
      </c>
      <c r="I10" s="17">
        <f t="shared" si="19"/>
        <v>77200</v>
      </c>
      <c r="J10" s="18">
        <f>0.5*102*1110*7.85/1000000</f>
        <v>0.44438850000000002</v>
      </c>
      <c r="K10" s="19">
        <f t="shared" si="20"/>
        <v>2171.5233405004856</v>
      </c>
      <c r="L10" s="19">
        <v>2172</v>
      </c>
      <c r="M10" s="19">
        <v>2172</v>
      </c>
      <c r="N10" s="8">
        <v>14</v>
      </c>
      <c r="O10" s="3">
        <v>1</v>
      </c>
      <c r="P10" s="19">
        <f>K10*N10</f>
        <v>30401.326767006798</v>
      </c>
      <c r="Q10" s="3"/>
      <c r="R10" s="3"/>
      <c r="S10" s="9">
        <f>Q10-R10</f>
        <v>0</v>
      </c>
      <c r="T10" s="3">
        <f>P10-Q10</f>
        <v>30401.326767006798</v>
      </c>
      <c r="U10" s="10">
        <v>1.6</v>
      </c>
      <c r="V10" s="19">
        <f t="shared" si="22"/>
        <v>0</v>
      </c>
      <c r="W10" s="11">
        <v>3.93</v>
      </c>
      <c r="X10" s="3">
        <f>Q10*W10</f>
        <v>0</v>
      </c>
      <c r="Y10" s="3">
        <f t="shared" si="7"/>
        <v>-77200</v>
      </c>
      <c r="Z10" s="19">
        <f t="shared" si="12"/>
        <v>-77200</v>
      </c>
      <c r="AA10" s="13">
        <f t="shared" si="3"/>
        <v>-77200</v>
      </c>
      <c r="AB10" s="14" t="s">
        <v>34</v>
      </c>
      <c r="AC10" s="18"/>
      <c r="AD10" s="17">
        <f t="shared" si="23"/>
        <v>0</v>
      </c>
      <c r="AE10" s="15">
        <v>27</v>
      </c>
      <c r="AF10" s="3">
        <f t="shared" si="24"/>
        <v>0</v>
      </c>
    </row>
    <row r="11" spans="1:32" x14ac:dyDescent="0.25">
      <c r="A11" s="2">
        <v>10</v>
      </c>
      <c r="B11" s="3">
        <v>63</v>
      </c>
      <c r="C11" s="3" t="s">
        <v>52</v>
      </c>
      <c r="D11" s="3" t="s">
        <v>39</v>
      </c>
      <c r="E11" s="23" t="s">
        <v>40</v>
      </c>
      <c r="F11" s="24" t="s">
        <v>41</v>
      </c>
      <c r="G11" s="3">
        <v>918</v>
      </c>
      <c r="H11" s="17">
        <v>80</v>
      </c>
      <c r="I11" s="17">
        <f t="shared" si="19"/>
        <v>73440</v>
      </c>
      <c r="J11" s="18">
        <f>0.5*220*1160*7.85/1000000</f>
        <v>1.00166</v>
      </c>
      <c r="K11" s="19">
        <f>G10/J11</f>
        <v>963.40075474711978</v>
      </c>
      <c r="L11" s="19"/>
      <c r="M11" s="19"/>
      <c r="N11" s="8">
        <v>8</v>
      </c>
      <c r="O11" s="3">
        <v>1</v>
      </c>
      <c r="P11" s="3">
        <f>M11*N11*O11</f>
        <v>0</v>
      </c>
      <c r="Q11" s="3"/>
      <c r="R11" s="3"/>
      <c r="S11" s="9">
        <f>Q11-R11</f>
        <v>0</v>
      </c>
      <c r="T11" s="3">
        <f>P11-Q11</f>
        <v>0</v>
      </c>
      <c r="U11" s="10">
        <v>1.6</v>
      </c>
      <c r="V11" s="19">
        <f>Q11*U11</f>
        <v>0</v>
      </c>
      <c r="W11" s="11">
        <v>12.36</v>
      </c>
      <c r="X11" s="3">
        <f>Q11*W11</f>
        <v>0</v>
      </c>
      <c r="Y11" s="3">
        <f t="shared" ref="Y11:Y12" si="26">X11-I11</f>
        <v>-73440</v>
      </c>
      <c r="Z11" s="19">
        <f t="shared" ref="Z11:Z12" si="27">AF11+Y11</f>
        <v>-73440</v>
      </c>
      <c r="AA11" s="13">
        <f t="shared" ref="AA11:AA12" si="28">Z11-V11</f>
        <v>-73440</v>
      </c>
      <c r="AB11" s="14" t="s">
        <v>34</v>
      </c>
      <c r="AC11" s="18"/>
      <c r="AD11" s="17">
        <f>M11*AC11</f>
        <v>0</v>
      </c>
      <c r="AE11" s="15">
        <v>27</v>
      </c>
      <c r="AF11" s="3">
        <f>AD11*AE11</f>
        <v>0</v>
      </c>
    </row>
    <row r="12" spans="1:32" x14ac:dyDescent="0.25">
      <c r="A12" s="2">
        <v>11</v>
      </c>
      <c r="B12" s="3">
        <v>63</v>
      </c>
      <c r="C12" s="3" t="s">
        <v>52</v>
      </c>
      <c r="D12" s="3" t="s">
        <v>39</v>
      </c>
      <c r="E12" s="23" t="s">
        <v>40</v>
      </c>
      <c r="F12" s="24" t="s">
        <v>43</v>
      </c>
      <c r="G12" s="3">
        <v>989</v>
      </c>
      <c r="H12" s="17">
        <v>80</v>
      </c>
      <c r="I12" s="17">
        <f t="shared" si="19"/>
        <v>79120</v>
      </c>
      <c r="J12" s="18">
        <f t="shared" ref="J12:J14" si="29">0.5*247*1180*7.85/1000000</f>
        <v>1.1439805000000001</v>
      </c>
      <c r="K12" s="19">
        <f t="shared" ref="K12" si="30">G12/J12</f>
        <v>864.52522573592819</v>
      </c>
      <c r="L12" s="19"/>
      <c r="M12" s="19"/>
      <c r="N12" s="8">
        <v>6</v>
      </c>
      <c r="O12" s="3">
        <v>1</v>
      </c>
      <c r="P12" s="3">
        <f t="shared" ref="P12" si="31">M12*N12*O12</f>
        <v>0</v>
      </c>
      <c r="Q12" s="3"/>
      <c r="R12" s="3"/>
      <c r="S12" s="9">
        <f t="shared" ref="S12" si="32">Q12-R12</f>
        <v>0</v>
      </c>
      <c r="T12" s="3">
        <f t="shared" ref="T12" si="33">P12-Q12</f>
        <v>0</v>
      </c>
      <c r="U12" s="10">
        <v>1.65</v>
      </c>
      <c r="V12" s="19">
        <f t="shared" ref="V12" si="34">Q12*U12</f>
        <v>0</v>
      </c>
      <c r="W12" s="11">
        <v>16.510000000000002</v>
      </c>
      <c r="X12" s="3">
        <f t="shared" ref="X12" si="35">Q12*W12</f>
        <v>0</v>
      </c>
      <c r="Y12" s="3">
        <f t="shared" si="26"/>
        <v>-79120</v>
      </c>
      <c r="Z12" s="19">
        <f t="shared" si="27"/>
        <v>-79120</v>
      </c>
      <c r="AA12" s="13">
        <f t="shared" si="28"/>
        <v>-79120</v>
      </c>
      <c r="AB12" s="14" t="s">
        <v>34</v>
      </c>
      <c r="AC12" s="18"/>
      <c r="AD12" s="17">
        <f t="shared" ref="AD12" si="36">M12*AC12</f>
        <v>0</v>
      </c>
      <c r="AE12" s="15">
        <v>27</v>
      </c>
      <c r="AF12" s="3">
        <f t="shared" ref="AF12" si="37">AD12*AE12</f>
        <v>0</v>
      </c>
    </row>
    <row r="13" spans="1:32" x14ac:dyDescent="0.25">
      <c r="A13" s="2">
        <v>12</v>
      </c>
      <c r="B13" s="3">
        <v>64</v>
      </c>
      <c r="C13" s="3" t="s">
        <v>52</v>
      </c>
      <c r="D13" s="3" t="s">
        <v>39</v>
      </c>
      <c r="E13" s="23" t="s">
        <v>40</v>
      </c>
      <c r="F13" s="24" t="s">
        <v>41</v>
      </c>
      <c r="G13" s="3">
        <v>835</v>
      </c>
      <c r="H13" s="17">
        <v>80</v>
      </c>
      <c r="I13" s="17">
        <f t="shared" ref="I13:I15" si="38">G13*H13</f>
        <v>66800</v>
      </c>
      <c r="J13" s="18">
        <f>0.5*220*1160*7.85/1000000</f>
        <v>1.00166</v>
      </c>
      <c r="K13" s="19">
        <f>G12/J13</f>
        <v>987.36098077191866</v>
      </c>
      <c r="L13" s="19"/>
      <c r="M13" s="19"/>
      <c r="N13" s="8">
        <v>8</v>
      </c>
      <c r="O13" s="3">
        <v>1</v>
      </c>
      <c r="P13" s="3">
        <f>M13*N13*O13</f>
        <v>0</v>
      </c>
      <c r="Q13" s="3"/>
      <c r="R13" s="3"/>
      <c r="S13" s="9">
        <f>Q13-R13</f>
        <v>0</v>
      </c>
      <c r="T13" s="3">
        <f>P13-Q13</f>
        <v>0</v>
      </c>
      <c r="U13" s="10">
        <v>1.6</v>
      </c>
      <c r="V13" s="19">
        <f>Q13*U13</f>
        <v>0</v>
      </c>
      <c r="W13" s="11">
        <v>12.36</v>
      </c>
      <c r="X13" s="3">
        <f>Q13*W13</f>
        <v>0</v>
      </c>
      <c r="Y13" s="3">
        <f t="shared" ref="Y13:Y18" si="39">X13-I13</f>
        <v>-66800</v>
      </c>
      <c r="Z13" s="19">
        <f t="shared" ref="Z13:Z17" si="40">AF13+Y13</f>
        <v>-66800</v>
      </c>
      <c r="AA13" s="13">
        <f t="shared" ref="AA13:AA17" si="41">Z13-V13</f>
        <v>-66800</v>
      </c>
      <c r="AB13" s="14" t="s">
        <v>34</v>
      </c>
      <c r="AC13" s="18"/>
      <c r="AD13" s="17">
        <f>M13*AC13</f>
        <v>0</v>
      </c>
      <c r="AE13" s="15">
        <v>27</v>
      </c>
      <c r="AF13" s="3">
        <f>AD13*AE13</f>
        <v>0</v>
      </c>
    </row>
    <row r="14" spans="1:32" x14ac:dyDescent="0.25">
      <c r="A14" s="2">
        <v>13</v>
      </c>
      <c r="B14" s="3">
        <v>63</v>
      </c>
      <c r="C14" s="3" t="s">
        <v>52</v>
      </c>
      <c r="D14" s="3" t="s">
        <v>39</v>
      </c>
      <c r="E14" s="23" t="s">
        <v>40</v>
      </c>
      <c r="F14" s="24" t="s">
        <v>43</v>
      </c>
      <c r="G14" s="3">
        <v>947</v>
      </c>
      <c r="H14" s="17">
        <v>80</v>
      </c>
      <c r="I14" s="17">
        <f t="shared" si="38"/>
        <v>75760</v>
      </c>
      <c r="J14" s="18">
        <f t="shared" si="29"/>
        <v>1.1439805000000001</v>
      </c>
      <c r="K14" s="19">
        <f t="shared" ref="K14:K15" si="42">G14/J14</f>
        <v>827.81131321731436</v>
      </c>
      <c r="L14" s="19"/>
      <c r="M14" s="19"/>
      <c r="N14" s="8">
        <v>6</v>
      </c>
      <c r="O14" s="3">
        <v>1</v>
      </c>
      <c r="P14" s="3">
        <f t="shared" ref="P14:P15" si="43">M14*N14*O14</f>
        <v>0</v>
      </c>
      <c r="Q14" s="3"/>
      <c r="R14" s="3"/>
      <c r="S14" s="9">
        <f t="shared" ref="S14:S16" si="44">Q14-R14</f>
        <v>0</v>
      </c>
      <c r="T14" s="3">
        <f t="shared" ref="T14:T16" si="45">P14-Q14</f>
        <v>0</v>
      </c>
      <c r="U14" s="10">
        <v>1.65</v>
      </c>
      <c r="V14" s="19">
        <f t="shared" ref="V14:V15" si="46">Q14*U14</f>
        <v>0</v>
      </c>
      <c r="W14" s="11">
        <v>16.510000000000002</v>
      </c>
      <c r="X14" s="3">
        <f t="shared" ref="X14:X18" si="47">Q14*W14</f>
        <v>0</v>
      </c>
      <c r="Y14" s="3">
        <f t="shared" si="39"/>
        <v>-75760</v>
      </c>
      <c r="Z14" s="19">
        <f t="shared" si="40"/>
        <v>-75760</v>
      </c>
      <c r="AA14" s="13">
        <f t="shared" si="41"/>
        <v>-75760</v>
      </c>
      <c r="AB14" s="14" t="s">
        <v>34</v>
      </c>
      <c r="AC14" s="18"/>
      <c r="AD14" s="17">
        <f t="shared" ref="AD14:AD15" si="48">M14*AC14</f>
        <v>0</v>
      </c>
      <c r="AE14" s="15">
        <v>27</v>
      </c>
      <c r="AF14" s="3">
        <f t="shared" ref="AF14:AF15" si="49">AD14*AE14</f>
        <v>0</v>
      </c>
    </row>
    <row r="15" spans="1:32" x14ac:dyDescent="0.25">
      <c r="A15" s="2">
        <v>14</v>
      </c>
      <c r="B15" s="3">
        <v>66</v>
      </c>
      <c r="C15" s="3" t="s">
        <v>52</v>
      </c>
      <c r="D15" s="3" t="s">
        <v>32</v>
      </c>
      <c r="E15" s="23" t="s">
        <v>53</v>
      </c>
      <c r="F15" s="24">
        <v>7145</v>
      </c>
      <c r="G15" s="3">
        <v>260</v>
      </c>
      <c r="H15" s="3">
        <v>64.95</v>
      </c>
      <c r="I15" s="17">
        <f t="shared" si="38"/>
        <v>16887</v>
      </c>
      <c r="J15" s="18">
        <f>2.6*100*1250*7.85/1000000</f>
        <v>2.55125</v>
      </c>
      <c r="K15" s="19">
        <f t="shared" si="42"/>
        <v>101.91082802547771</v>
      </c>
      <c r="L15" s="3">
        <v>102</v>
      </c>
      <c r="M15" s="3">
        <v>102</v>
      </c>
      <c r="N15" s="8">
        <v>58</v>
      </c>
      <c r="O15" s="3">
        <v>1</v>
      </c>
      <c r="P15" s="3">
        <f t="shared" si="43"/>
        <v>5916</v>
      </c>
      <c r="Q15" s="3">
        <v>5916</v>
      </c>
      <c r="R15" s="3">
        <v>5916</v>
      </c>
      <c r="S15" s="9">
        <f t="shared" si="44"/>
        <v>0</v>
      </c>
      <c r="T15" s="3">
        <f t="shared" si="45"/>
        <v>0</v>
      </c>
      <c r="U15" s="10">
        <v>0.55000000000000004</v>
      </c>
      <c r="V15" s="19">
        <f t="shared" si="46"/>
        <v>3253.8</v>
      </c>
      <c r="W15" s="11">
        <v>2.8</v>
      </c>
      <c r="X15" s="3">
        <f t="shared" si="47"/>
        <v>16564.8</v>
      </c>
      <c r="Y15" s="3">
        <f t="shared" si="39"/>
        <v>-322.20000000000073</v>
      </c>
      <c r="Z15" s="19">
        <f t="shared" si="40"/>
        <v>3464.0399999999991</v>
      </c>
      <c r="AA15" s="20">
        <f t="shared" si="41"/>
        <v>210.23999999999887</v>
      </c>
      <c r="AB15" s="21" t="s">
        <v>37</v>
      </c>
      <c r="AC15" s="18">
        <v>1.1599999999999999</v>
      </c>
      <c r="AD15" s="17">
        <f t="shared" si="48"/>
        <v>118.32</v>
      </c>
      <c r="AE15" s="15">
        <v>32</v>
      </c>
      <c r="AF15" s="3">
        <f t="shared" si="49"/>
        <v>3786.24</v>
      </c>
    </row>
    <row r="16" spans="1:32" x14ac:dyDescent="0.25">
      <c r="A16" s="2">
        <v>15</v>
      </c>
      <c r="B16" s="3">
        <v>501</v>
      </c>
      <c r="C16" s="3" t="s">
        <v>52</v>
      </c>
      <c r="D16" s="3" t="s">
        <v>32</v>
      </c>
      <c r="E16" s="29" t="s">
        <v>44</v>
      </c>
      <c r="F16" s="3">
        <v>8283</v>
      </c>
      <c r="G16" s="3">
        <v>6900</v>
      </c>
      <c r="H16" s="3">
        <v>2.72</v>
      </c>
      <c r="I16" s="17">
        <f>G16*H16</f>
        <v>18768</v>
      </c>
      <c r="J16" s="3">
        <v>0</v>
      </c>
      <c r="K16" s="3">
        <v>0</v>
      </c>
      <c r="L16" s="3">
        <v>0</v>
      </c>
      <c r="M16" s="3">
        <f>G16</f>
        <v>6900</v>
      </c>
      <c r="N16" s="8">
        <v>1</v>
      </c>
      <c r="O16" s="3">
        <v>1</v>
      </c>
      <c r="P16" s="3">
        <f>M16</f>
        <v>6900</v>
      </c>
      <c r="Q16" s="3">
        <f t="shared" ref="Q16" si="50">P16</f>
        <v>6900</v>
      </c>
      <c r="R16" s="3">
        <f t="shared" ref="R16" si="51">Q16</f>
        <v>6900</v>
      </c>
      <c r="S16" s="9">
        <f t="shared" si="44"/>
        <v>0</v>
      </c>
      <c r="T16" s="3">
        <f t="shared" si="45"/>
        <v>0</v>
      </c>
      <c r="U16" s="10">
        <v>0.53</v>
      </c>
      <c r="V16" s="19">
        <f>Q16*U16</f>
        <v>3657</v>
      </c>
      <c r="W16" s="11">
        <v>3.25</v>
      </c>
      <c r="X16" s="3">
        <f t="shared" si="47"/>
        <v>22425</v>
      </c>
      <c r="Y16" s="3">
        <f t="shared" si="39"/>
        <v>3657</v>
      </c>
      <c r="Z16" s="19">
        <f t="shared" si="40"/>
        <v>3657</v>
      </c>
      <c r="AA16" s="13">
        <f t="shared" si="41"/>
        <v>0</v>
      </c>
      <c r="AB16" s="14" t="s">
        <v>34</v>
      </c>
      <c r="AC16" s="18">
        <v>0</v>
      </c>
      <c r="AD16" s="3">
        <f>M16*AC16</f>
        <v>0</v>
      </c>
      <c r="AE16" s="15">
        <v>0</v>
      </c>
      <c r="AF16" s="3">
        <f>AD16*AE16</f>
        <v>0</v>
      </c>
    </row>
    <row r="17" spans="1:32" x14ac:dyDescent="0.25">
      <c r="A17" s="2">
        <v>16</v>
      </c>
      <c r="B17" s="3">
        <v>514</v>
      </c>
      <c r="C17" s="3" t="s">
        <v>52</v>
      </c>
      <c r="D17" s="3" t="s">
        <v>32</v>
      </c>
      <c r="E17" s="3" t="s">
        <v>33</v>
      </c>
      <c r="F17" s="24">
        <v>6380</v>
      </c>
      <c r="G17" s="3">
        <v>212</v>
      </c>
      <c r="H17" s="3">
        <v>74.95</v>
      </c>
      <c r="I17" s="17">
        <f t="shared" ref="I17:I18" si="52">G17*H17</f>
        <v>15889.400000000001</v>
      </c>
      <c r="J17" s="18">
        <f>1.6*81*1250*7.85/1000000</f>
        <v>1.2717000000000001</v>
      </c>
      <c r="K17" s="19">
        <f t="shared" ref="K17" si="53">G17/J17</f>
        <v>166.70598411575057</v>
      </c>
      <c r="L17" s="3">
        <v>167</v>
      </c>
      <c r="M17" s="3">
        <v>167</v>
      </c>
      <c r="N17" s="8">
        <v>56</v>
      </c>
      <c r="O17" s="3">
        <v>4</v>
      </c>
      <c r="P17" s="3">
        <f t="shared" ref="P17:P18" si="54">M17*N17*O17</f>
        <v>37408</v>
      </c>
      <c r="Q17" s="3">
        <v>37408</v>
      </c>
      <c r="R17" s="3">
        <v>37408</v>
      </c>
      <c r="S17" s="9">
        <f>Q17-R17</f>
        <v>0</v>
      </c>
      <c r="T17" s="3">
        <f>P17-Q17</f>
        <v>0</v>
      </c>
      <c r="U17" s="10">
        <v>0.1</v>
      </c>
      <c r="V17" s="19">
        <f t="shared" ref="V17:V18" si="55">Q17*U17</f>
        <v>3740.8</v>
      </c>
      <c r="W17" s="11">
        <v>0.44</v>
      </c>
      <c r="X17" s="3">
        <f t="shared" si="47"/>
        <v>16459.52</v>
      </c>
      <c r="Y17" s="3">
        <f t="shared" si="39"/>
        <v>570.11999999999898</v>
      </c>
      <c r="Z17" s="19">
        <f t="shared" si="40"/>
        <v>2868.0399999999991</v>
      </c>
      <c r="AA17" s="13">
        <f t="shared" si="41"/>
        <v>-872.76000000000113</v>
      </c>
      <c r="AB17" s="14" t="s">
        <v>34</v>
      </c>
      <c r="AC17" s="18">
        <v>0.43</v>
      </c>
      <c r="AD17" s="17">
        <f t="shared" ref="AD17:AD18" si="56">M17*AC17</f>
        <v>71.81</v>
      </c>
      <c r="AE17" s="15">
        <v>32</v>
      </c>
      <c r="AF17" s="3">
        <f t="shared" ref="AF17" si="57">AD17*AE17</f>
        <v>2297.92</v>
      </c>
    </row>
    <row r="18" spans="1:32" x14ac:dyDescent="0.25">
      <c r="A18" s="2">
        <v>17</v>
      </c>
      <c r="B18" s="3">
        <v>560</v>
      </c>
      <c r="C18" s="3" t="s">
        <v>55</v>
      </c>
      <c r="D18" s="3" t="s">
        <v>32</v>
      </c>
      <c r="E18" s="3" t="s">
        <v>33</v>
      </c>
      <c r="F18" s="24" t="s">
        <v>54</v>
      </c>
      <c r="G18" s="3">
        <v>214</v>
      </c>
      <c r="H18" s="3">
        <v>74.95</v>
      </c>
      <c r="I18" s="17">
        <f t="shared" si="52"/>
        <v>16039.300000000001</v>
      </c>
      <c r="J18" s="18">
        <f>1.6*72*1250*7.85/1000000</f>
        <v>1.1304000000000001</v>
      </c>
      <c r="K18" s="19">
        <f>G18/J18</f>
        <v>189.31351733899504</v>
      </c>
      <c r="L18" s="3">
        <v>189</v>
      </c>
      <c r="M18" s="3">
        <v>189</v>
      </c>
      <c r="N18" s="8">
        <v>64</v>
      </c>
      <c r="O18" s="3">
        <v>4</v>
      </c>
      <c r="P18" s="3">
        <f t="shared" si="54"/>
        <v>48384</v>
      </c>
      <c r="Q18" s="3">
        <v>48384</v>
      </c>
      <c r="R18" s="3">
        <v>48384</v>
      </c>
      <c r="S18" s="9">
        <f t="shared" ref="S18" si="58">Q18-R18</f>
        <v>0</v>
      </c>
      <c r="T18" s="3">
        <f t="shared" ref="T18" si="59">P18-Q18</f>
        <v>0</v>
      </c>
      <c r="U18" s="10">
        <v>0.08</v>
      </c>
      <c r="V18" s="19">
        <f t="shared" si="55"/>
        <v>3870.7200000000003</v>
      </c>
      <c r="W18" s="11">
        <v>0.36</v>
      </c>
      <c r="X18" s="19">
        <f t="shared" si="47"/>
        <v>17418.239999999998</v>
      </c>
      <c r="Y18" s="17">
        <f t="shared" si="39"/>
        <v>1378.9399999999969</v>
      </c>
      <c r="Z18" s="19">
        <f>AF18+Y18</f>
        <v>3495.7399999999966</v>
      </c>
      <c r="AA18" s="13">
        <f t="shared" ref="AA18" si="60">Z18-V18</f>
        <v>-374.98000000000366</v>
      </c>
      <c r="AB18" s="14" t="s">
        <v>34</v>
      </c>
      <c r="AC18" s="18">
        <v>0.35</v>
      </c>
      <c r="AD18" s="17">
        <f t="shared" si="56"/>
        <v>66.149999999999991</v>
      </c>
      <c r="AE18" s="15">
        <v>32</v>
      </c>
      <c r="AF18" s="3">
        <f>AD18*AE18</f>
        <v>2116.7999999999997</v>
      </c>
    </row>
    <row r="19" spans="1:32" x14ac:dyDescent="0.25">
      <c r="A19" s="2">
        <v>18</v>
      </c>
      <c r="B19" s="3">
        <v>560</v>
      </c>
      <c r="C19" s="3" t="s">
        <v>55</v>
      </c>
      <c r="D19" s="3" t="s">
        <v>32</v>
      </c>
      <c r="E19" s="3" t="s">
        <v>33</v>
      </c>
      <c r="F19" s="24">
        <v>6380</v>
      </c>
      <c r="G19" s="3">
        <v>212</v>
      </c>
      <c r="H19" s="3">
        <v>74.95</v>
      </c>
      <c r="I19" s="17">
        <f t="shared" ref="I19" si="61">G19*H19</f>
        <v>15889.400000000001</v>
      </c>
      <c r="J19" s="18">
        <f>1.6*81*1250*7.85/1000000</f>
        <v>1.2717000000000001</v>
      </c>
      <c r="K19" s="19">
        <f t="shared" ref="K19" si="62">G19/J19</f>
        <v>166.70598411575057</v>
      </c>
      <c r="L19" s="3">
        <v>167</v>
      </c>
      <c r="M19" s="3">
        <v>167</v>
      </c>
      <c r="N19" s="8">
        <v>56</v>
      </c>
      <c r="O19" s="3">
        <v>4</v>
      </c>
      <c r="P19" s="3">
        <f t="shared" ref="P19" si="63">M19*N19*O19</f>
        <v>37408</v>
      </c>
      <c r="Q19" s="3">
        <v>37408</v>
      </c>
      <c r="R19" s="3">
        <v>37408</v>
      </c>
      <c r="S19" s="9">
        <f>Q19-R19</f>
        <v>0</v>
      </c>
      <c r="T19" s="3">
        <f>P19-Q19</f>
        <v>0</v>
      </c>
      <c r="U19" s="10">
        <v>0.1</v>
      </c>
      <c r="V19" s="19">
        <f t="shared" ref="V19:V21" si="64">Q19*U19</f>
        <v>3740.8</v>
      </c>
      <c r="W19" s="11">
        <v>0.44</v>
      </c>
      <c r="X19" s="3">
        <f t="shared" ref="X19:X22" si="65">Q19*W19</f>
        <v>16459.52</v>
      </c>
      <c r="Y19" s="3">
        <f t="shared" ref="Y19:Y22" si="66">X19-I19</f>
        <v>570.11999999999898</v>
      </c>
      <c r="Z19" s="19">
        <f t="shared" ref="Z19" si="67">AF19+Y19</f>
        <v>2868.0399999999991</v>
      </c>
      <c r="AA19" s="13">
        <f t="shared" ref="AA19:AA22" si="68">Z19-V19</f>
        <v>-872.76000000000113</v>
      </c>
      <c r="AB19" s="14" t="s">
        <v>34</v>
      </c>
      <c r="AC19" s="18">
        <v>0.43</v>
      </c>
      <c r="AD19" s="17">
        <f t="shared" ref="AD19:AD21" si="69">M19*AC19</f>
        <v>71.81</v>
      </c>
      <c r="AE19" s="15">
        <v>32</v>
      </c>
      <c r="AF19" s="3">
        <f t="shared" ref="AF19" si="70">AD19*AE19</f>
        <v>2297.92</v>
      </c>
    </row>
    <row r="20" spans="1:32" x14ac:dyDescent="0.25">
      <c r="A20" s="2">
        <v>19</v>
      </c>
      <c r="B20" s="3">
        <v>87</v>
      </c>
      <c r="C20" s="3" t="s">
        <v>57</v>
      </c>
      <c r="D20" s="3" t="s">
        <v>39</v>
      </c>
      <c r="E20" s="30" t="s">
        <v>56</v>
      </c>
      <c r="F20" s="4">
        <v>2576</v>
      </c>
      <c r="G20" s="2">
        <v>498</v>
      </c>
      <c r="H20" s="3">
        <v>65.95</v>
      </c>
      <c r="I20" s="5">
        <f>G20*H20</f>
        <v>32843.1</v>
      </c>
      <c r="J20" s="6">
        <f>2*35*1250*7.85/1000000</f>
        <v>0.68687500000000001</v>
      </c>
      <c r="K20" s="7">
        <f>G20/J20</f>
        <v>725.0227479526842</v>
      </c>
      <c r="L20" s="2">
        <v>725</v>
      </c>
      <c r="M20" s="2">
        <v>725</v>
      </c>
      <c r="N20" s="8">
        <v>18</v>
      </c>
      <c r="O20" s="2">
        <v>1</v>
      </c>
      <c r="P20" s="2">
        <f>M20*N20*O20</f>
        <v>13050</v>
      </c>
      <c r="Q20" s="22">
        <v>13050</v>
      </c>
      <c r="R20" s="22">
        <v>13050</v>
      </c>
      <c r="S20" s="9">
        <f t="shared" ref="S20:S22" si="71">Q20-R20</f>
        <v>0</v>
      </c>
      <c r="T20" s="2">
        <f t="shared" ref="T20:T22" si="72">P20-Q20</f>
        <v>0</v>
      </c>
      <c r="U20" s="10">
        <v>0.6</v>
      </c>
      <c r="V20" s="7">
        <f t="shared" si="64"/>
        <v>7830</v>
      </c>
      <c r="W20" s="11">
        <v>2.99</v>
      </c>
      <c r="X20" s="2">
        <f t="shared" si="65"/>
        <v>39019.5</v>
      </c>
      <c r="Y20" s="2">
        <f t="shared" si="66"/>
        <v>6176.4000000000015</v>
      </c>
      <c r="Z20" s="7">
        <f>AF20+Y20</f>
        <v>10816.400000000001</v>
      </c>
      <c r="AA20" s="20">
        <f t="shared" si="68"/>
        <v>2986.4000000000015</v>
      </c>
      <c r="AB20" s="21" t="s">
        <v>37</v>
      </c>
      <c r="AC20" s="6">
        <v>0.2</v>
      </c>
      <c r="AD20" s="2">
        <f t="shared" si="69"/>
        <v>145</v>
      </c>
      <c r="AE20" s="15">
        <v>32</v>
      </c>
      <c r="AF20" s="2">
        <f>AD20*AE20</f>
        <v>4640</v>
      </c>
    </row>
    <row r="21" spans="1:32" x14ac:dyDescent="0.25">
      <c r="A21" s="2">
        <v>20</v>
      </c>
      <c r="B21" s="3">
        <v>86</v>
      </c>
      <c r="C21" s="3" t="s">
        <v>57</v>
      </c>
      <c r="D21" s="3" t="s">
        <v>39</v>
      </c>
      <c r="E21" s="23" t="s">
        <v>40</v>
      </c>
      <c r="F21" s="24" t="s">
        <v>43</v>
      </c>
      <c r="G21" s="3">
        <v>2516</v>
      </c>
      <c r="H21" s="17">
        <v>80</v>
      </c>
      <c r="I21" s="17">
        <f t="shared" ref="I21" si="73">G21*H21</f>
        <v>201280</v>
      </c>
      <c r="J21" s="18">
        <f t="shared" ref="J21:J27" si="74">0.5*247*1180*7.85/1000000</f>
        <v>1.1439805000000001</v>
      </c>
      <c r="K21" s="19">
        <f t="shared" ref="K21" si="75">G21/J21</f>
        <v>2199.3381880198131</v>
      </c>
      <c r="L21" s="19"/>
      <c r="M21" s="19"/>
      <c r="N21" s="8">
        <v>6</v>
      </c>
      <c r="O21" s="3">
        <v>1</v>
      </c>
      <c r="P21" s="3">
        <f t="shared" ref="P21" si="76">M21*N21*O21</f>
        <v>0</v>
      </c>
      <c r="Q21" s="3"/>
      <c r="R21" s="3"/>
      <c r="S21" s="9">
        <f t="shared" si="71"/>
        <v>0</v>
      </c>
      <c r="T21" s="3">
        <f t="shared" si="72"/>
        <v>0</v>
      </c>
      <c r="U21" s="10">
        <v>1.65</v>
      </c>
      <c r="V21" s="19">
        <f t="shared" si="64"/>
        <v>0</v>
      </c>
      <c r="W21" s="11">
        <v>16.510000000000002</v>
      </c>
      <c r="X21" s="3">
        <f t="shared" si="65"/>
        <v>0</v>
      </c>
      <c r="Y21" s="3">
        <f t="shared" si="66"/>
        <v>-201280</v>
      </c>
      <c r="Z21" s="19">
        <f t="shared" ref="Z21:Z22" si="77">AF21+Y21</f>
        <v>-201280</v>
      </c>
      <c r="AA21" s="13">
        <f t="shared" si="68"/>
        <v>-201280</v>
      </c>
      <c r="AB21" s="14" t="s">
        <v>34</v>
      </c>
      <c r="AC21" s="18"/>
      <c r="AD21" s="17">
        <f t="shared" si="69"/>
        <v>0</v>
      </c>
      <c r="AE21" s="15">
        <v>27</v>
      </c>
      <c r="AF21" s="3">
        <f t="shared" ref="AF21" si="78">AD21*AE21</f>
        <v>0</v>
      </c>
    </row>
    <row r="22" spans="1:32" x14ac:dyDescent="0.25">
      <c r="A22" s="2">
        <v>21</v>
      </c>
      <c r="B22" s="3">
        <v>804</v>
      </c>
      <c r="C22" s="3" t="s">
        <v>58</v>
      </c>
      <c r="D22" s="3" t="s">
        <v>32</v>
      </c>
      <c r="E22" s="29" t="s">
        <v>44</v>
      </c>
      <c r="F22" s="3">
        <v>8283</v>
      </c>
      <c r="G22" s="3">
        <v>16950</v>
      </c>
      <c r="H22" s="3">
        <v>2.72</v>
      </c>
      <c r="I22" s="17">
        <f>G22*H22</f>
        <v>46104</v>
      </c>
      <c r="J22" s="3">
        <v>0</v>
      </c>
      <c r="K22" s="3">
        <v>0</v>
      </c>
      <c r="L22" s="3">
        <v>0</v>
      </c>
      <c r="M22" s="3">
        <f>G22</f>
        <v>16950</v>
      </c>
      <c r="N22" s="8">
        <v>1</v>
      </c>
      <c r="O22" s="3">
        <v>1</v>
      </c>
      <c r="P22" s="3">
        <f>M22</f>
        <v>16950</v>
      </c>
      <c r="Q22" s="3">
        <f t="shared" ref="Q22" si="79">P22</f>
        <v>16950</v>
      </c>
      <c r="R22" s="3">
        <f t="shared" ref="R22" si="80">Q22</f>
        <v>16950</v>
      </c>
      <c r="S22" s="9">
        <f t="shared" si="71"/>
        <v>0</v>
      </c>
      <c r="T22" s="3">
        <f t="shared" si="72"/>
        <v>0</v>
      </c>
      <c r="U22" s="10">
        <v>0.53</v>
      </c>
      <c r="V22" s="19">
        <f>Q22*U22</f>
        <v>8983.5</v>
      </c>
      <c r="W22" s="11">
        <v>3.25</v>
      </c>
      <c r="X22" s="3">
        <f t="shared" si="65"/>
        <v>55087.5</v>
      </c>
      <c r="Y22" s="3">
        <f t="shared" si="66"/>
        <v>8983.5</v>
      </c>
      <c r="Z22" s="19">
        <f t="shared" si="77"/>
        <v>8983.5</v>
      </c>
      <c r="AA22" s="13">
        <f t="shared" si="68"/>
        <v>0</v>
      </c>
      <c r="AB22" s="14" t="s">
        <v>34</v>
      </c>
      <c r="AC22" s="18">
        <v>0</v>
      </c>
      <c r="AD22" s="3">
        <f>M22*AC22</f>
        <v>0</v>
      </c>
      <c r="AE22" s="15">
        <v>0</v>
      </c>
      <c r="AF22" s="3">
        <f>AD22*AE22</f>
        <v>0</v>
      </c>
    </row>
    <row r="23" spans="1:32" x14ac:dyDescent="0.25">
      <c r="A23" s="2">
        <v>22</v>
      </c>
      <c r="B23" s="3">
        <v>106</v>
      </c>
      <c r="C23" s="3" t="s">
        <v>59</v>
      </c>
      <c r="D23" s="3" t="s">
        <v>39</v>
      </c>
      <c r="E23" s="23" t="s">
        <v>40</v>
      </c>
      <c r="F23" s="24" t="s">
        <v>43</v>
      </c>
      <c r="G23" s="3">
        <v>3948</v>
      </c>
      <c r="H23" s="17">
        <v>80</v>
      </c>
      <c r="I23" s="17">
        <f t="shared" ref="I23" si="81">G23*H23</f>
        <v>315840</v>
      </c>
      <c r="J23" s="18">
        <f t="shared" si="74"/>
        <v>1.1439805000000001</v>
      </c>
      <c r="K23" s="19">
        <f t="shared" ref="K23" si="82">G23/J23</f>
        <v>3451.1077767496909</v>
      </c>
      <c r="L23" s="19"/>
      <c r="M23" s="19"/>
      <c r="N23" s="8">
        <v>6</v>
      </c>
      <c r="O23" s="3">
        <v>1</v>
      </c>
      <c r="P23" s="3">
        <f t="shared" ref="P23" si="83">M23*N23*O23</f>
        <v>0</v>
      </c>
      <c r="Q23" s="3"/>
      <c r="R23" s="3"/>
      <c r="S23" s="9">
        <f t="shared" ref="S23" si="84">Q23-R23</f>
        <v>0</v>
      </c>
      <c r="T23" s="3">
        <f t="shared" ref="T23" si="85">P23-Q23</f>
        <v>0</v>
      </c>
      <c r="U23" s="10">
        <v>1.65</v>
      </c>
      <c r="V23" s="19">
        <f t="shared" ref="V23" si="86">Q23*U23</f>
        <v>0</v>
      </c>
      <c r="W23" s="11">
        <v>16.510000000000002</v>
      </c>
      <c r="X23" s="3">
        <f t="shared" ref="X23" si="87">Q23*W23</f>
        <v>0</v>
      </c>
      <c r="Y23" s="3">
        <f t="shared" ref="Y23" si="88">X23-I23</f>
        <v>-315840</v>
      </c>
      <c r="Z23" s="19">
        <f t="shared" ref="Z23" si="89">AF23+Y23</f>
        <v>-315840</v>
      </c>
      <c r="AA23" s="13">
        <f t="shared" ref="AA23" si="90">Z23-V23</f>
        <v>-315840</v>
      </c>
      <c r="AB23" s="14" t="s">
        <v>34</v>
      </c>
      <c r="AC23" s="18"/>
      <c r="AD23" s="17">
        <f t="shared" ref="AD23" si="91">M23*AC23</f>
        <v>0</v>
      </c>
      <c r="AE23" s="15">
        <v>27</v>
      </c>
      <c r="AF23" s="3">
        <f t="shared" ref="AF23" si="92">AD23*AE23</f>
        <v>0</v>
      </c>
    </row>
    <row r="24" spans="1:32" x14ac:dyDescent="0.25">
      <c r="A24" s="2">
        <v>23</v>
      </c>
      <c r="B24" s="3">
        <v>141</v>
      </c>
      <c r="C24" s="3" t="s">
        <v>60</v>
      </c>
      <c r="D24" s="3" t="s">
        <v>39</v>
      </c>
      <c r="E24" s="23" t="s">
        <v>40</v>
      </c>
      <c r="F24" s="24" t="s">
        <v>43</v>
      </c>
      <c r="G24" s="3">
        <v>1885</v>
      </c>
      <c r="H24" s="17">
        <v>80</v>
      </c>
      <c r="I24" s="17">
        <f t="shared" ref="I24" si="93">G24*H24</f>
        <v>150800</v>
      </c>
      <c r="J24" s="18">
        <f t="shared" si="74"/>
        <v>1.1439805000000001</v>
      </c>
      <c r="K24" s="19">
        <f t="shared" ref="K24" si="94">G24/J24</f>
        <v>1647.7553594663545</v>
      </c>
      <c r="L24" s="19"/>
      <c r="M24" s="19"/>
      <c r="N24" s="8">
        <v>6</v>
      </c>
      <c r="O24" s="3">
        <v>1</v>
      </c>
      <c r="P24" s="3">
        <f t="shared" ref="P24" si="95">M24*N24*O24</f>
        <v>0</v>
      </c>
      <c r="Q24" s="3"/>
      <c r="R24" s="3"/>
      <c r="S24" s="9">
        <f t="shared" ref="S24:S27" si="96">Q24-R24</f>
        <v>0</v>
      </c>
      <c r="T24" s="3">
        <f t="shared" ref="T24:T27" si="97">P24-Q24</f>
        <v>0</v>
      </c>
      <c r="U24" s="10">
        <v>1.65</v>
      </c>
      <c r="V24" s="19">
        <f t="shared" ref="V24" si="98">Q24*U24</f>
        <v>0</v>
      </c>
      <c r="W24" s="11">
        <v>16.510000000000002</v>
      </c>
      <c r="X24" s="3">
        <f t="shared" ref="X24:X27" si="99">Q24*W24</f>
        <v>0</v>
      </c>
      <c r="Y24" s="3">
        <f t="shared" ref="Y24:Y27" si="100">X24-I24</f>
        <v>-150800</v>
      </c>
      <c r="Z24" s="19">
        <f t="shared" ref="Z24:Z27" si="101">AF24+Y24</f>
        <v>-150800</v>
      </c>
      <c r="AA24" s="13">
        <f t="shared" ref="AA24:AA27" si="102">Z24-V24</f>
        <v>-150800</v>
      </c>
      <c r="AB24" s="14" t="s">
        <v>34</v>
      </c>
      <c r="AC24" s="18"/>
      <c r="AD24" s="17">
        <f t="shared" ref="AD24" si="103">M24*AC24</f>
        <v>0</v>
      </c>
      <c r="AE24" s="15">
        <v>27</v>
      </c>
      <c r="AF24" s="3">
        <f t="shared" ref="AF24" si="104">AD24*AE24</f>
        <v>0</v>
      </c>
    </row>
    <row r="25" spans="1:32" x14ac:dyDescent="0.25">
      <c r="A25" s="2">
        <v>24</v>
      </c>
      <c r="B25" s="3">
        <v>1039</v>
      </c>
      <c r="C25" s="3" t="s">
        <v>61</v>
      </c>
      <c r="D25" s="3" t="s">
        <v>32</v>
      </c>
      <c r="E25" s="29" t="s">
        <v>44</v>
      </c>
      <c r="F25" s="3">
        <v>8283</v>
      </c>
      <c r="G25" s="3">
        <v>13700</v>
      </c>
      <c r="H25" s="3">
        <v>2.72</v>
      </c>
      <c r="I25" s="17">
        <f>G25*H25</f>
        <v>37264</v>
      </c>
      <c r="J25" s="3">
        <v>0</v>
      </c>
      <c r="K25" s="3">
        <v>0</v>
      </c>
      <c r="L25" s="3">
        <v>0</v>
      </c>
      <c r="M25" s="3">
        <f>G25</f>
        <v>13700</v>
      </c>
      <c r="N25" s="8">
        <v>1</v>
      </c>
      <c r="O25" s="3">
        <v>1</v>
      </c>
      <c r="P25" s="3">
        <f>M25</f>
        <v>13700</v>
      </c>
      <c r="Q25" s="3">
        <f t="shared" ref="Q25" si="105">P25</f>
        <v>13700</v>
      </c>
      <c r="R25" s="3">
        <f t="shared" ref="R25" si="106">Q25</f>
        <v>13700</v>
      </c>
      <c r="S25" s="9">
        <f t="shared" si="96"/>
        <v>0</v>
      </c>
      <c r="T25" s="3">
        <f t="shared" si="97"/>
        <v>0</v>
      </c>
      <c r="U25" s="10">
        <v>0.53</v>
      </c>
      <c r="V25" s="19">
        <f>Q25*U25</f>
        <v>7261</v>
      </c>
      <c r="W25" s="11">
        <v>3.25</v>
      </c>
      <c r="X25" s="3">
        <f t="shared" si="99"/>
        <v>44525</v>
      </c>
      <c r="Y25" s="3">
        <f t="shared" si="100"/>
        <v>7261</v>
      </c>
      <c r="Z25" s="19">
        <f t="shared" si="101"/>
        <v>7261</v>
      </c>
      <c r="AA25" s="13">
        <f t="shared" si="102"/>
        <v>0</v>
      </c>
      <c r="AB25" s="14" t="s">
        <v>34</v>
      </c>
      <c r="AC25" s="18">
        <v>0</v>
      </c>
      <c r="AD25" s="3">
        <f>M25*AC25</f>
        <v>0</v>
      </c>
      <c r="AE25" s="15">
        <v>0</v>
      </c>
      <c r="AF25" s="3">
        <f>AD25*AE25</f>
        <v>0</v>
      </c>
    </row>
    <row r="26" spans="1:32" x14ac:dyDescent="0.25">
      <c r="A26" s="2">
        <v>25</v>
      </c>
      <c r="B26" s="3">
        <v>160</v>
      </c>
      <c r="C26" s="3" t="s">
        <v>62</v>
      </c>
      <c r="D26" s="3" t="s">
        <v>39</v>
      </c>
      <c r="E26" s="23" t="s">
        <v>40</v>
      </c>
      <c r="F26" s="24" t="s">
        <v>43</v>
      </c>
      <c r="G26" s="3">
        <v>948</v>
      </c>
      <c r="H26" s="17">
        <v>80</v>
      </c>
      <c r="I26" s="17">
        <f t="shared" ref="I26:I27" si="107">G26*H26</f>
        <v>75840</v>
      </c>
      <c r="J26" s="18">
        <f t="shared" si="74"/>
        <v>1.1439805000000001</v>
      </c>
      <c r="K26" s="19">
        <f t="shared" ref="K26:K27" si="108">G26/J26</f>
        <v>828.6854539915671</v>
      </c>
      <c r="L26" s="19"/>
      <c r="M26" s="19"/>
      <c r="N26" s="8">
        <v>6</v>
      </c>
      <c r="O26" s="3">
        <v>1</v>
      </c>
      <c r="P26" s="3">
        <f t="shared" ref="P26:P27" si="109">M26*N26*O26</f>
        <v>0</v>
      </c>
      <c r="Q26" s="3"/>
      <c r="R26" s="3"/>
      <c r="S26" s="9">
        <f t="shared" si="96"/>
        <v>0</v>
      </c>
      <c r="T26" s="3">
        <f t="shared" si="97"/>
        <v>0</v>
      </c>
      <c r="U26" s="10">
        <v>1.65</v>
      </c>
      <c r="V26" s="19">
        <f t="shared" ref="V26:V27" si="110">Q26*U26</f>
        <v>0</v>
      </c>
      <c r="W26" s="11">
        <v>16.510000000000002</v>
      </c>
      <c r="X26" s="3">
        <f t="shared" si="99"/>
        <v>0</v>
      </c>
      <c r="Y26" s="3">
        <f t="shared" si="100"/>
        <v>-75840</v>
      </c>
      <c r="Z26" s="19">
        <f t="shared" si="101"/>
        <v>-75840</v>
      </c>
      <c r="AA26" s="13">
        <f t="shared" si="102"/>
        <v>-75840</v>
      </c>
      <c r="AB26" s="14" t="s">
        <v>34</v>
      </c>
      <c r="AC26" s="18"/>
      <c r="AD26" s="17">
        <f t="shared" ref="AD26:AD27" si="111">M26*AC26</f>
        <v>0</v>
      </c>
      <c r="AE26" s="15">
        <v>27</v>
      </c>
      <c r="AF26" s="3">
        <f t="shared" ref="AF26:AF27" si="112">AD26*AE26</f>
        <v>0</v>
      </c>
    </row>
    <row r="27" spans="1:32" x14ac:dyDescent="0.25">
      <c r="A27" s="2">
        <v>26</v>
      </c>
      <c r="B27" s="3">
        <v>161</v>
      </c>
      <c r="C27" s="3" t="s">
        <v>62</v>
      </c>
      <c r="D27" s="3" t="s">
        <v>39</v>
      </c>
      <c r="E27" s="23" t="s">
        <v>40</v>
      </c>
      <c r="F27" s="24" t="s">
        <v>43</v>
      </c>
      <c r="G27" s="3">
        <v>36</v>
      </c>
      <c r="H27" s="17">
        <v>80</v>
      </c>
      <c r="I27" s="17">
        <f t="shared" si="107"/>
        <v>2880</v>
      </c>
      <c r="J27" s="18">
        <f t="shared" si="74"/>
        <v>1.1439805000000001</v>
      </c>
      <c r="K27" s="19">
        <f t="shared" si="108"/>
        <v>31.469067873097487</v>
      </c>
      <c r="L27" s="19"/>
      <c r="M27" s="19"/>
      <c r="N27" s="8">
        <v>6</v>
      </c>
      <c r="O27" s="3">
        <v>1</v>
      </c>
      <c r="P27" s="3">
        <f t="shared" si="109"/>
        <v>0</v>
      </c>
      <c r="Q27" s="3"/>
      <c r="R27" s="3"/>
      <c r="S27" s="9">
        <f t="shared" si="96"/>
        <v>0</v>
      </c>
      <c r="T27" s="3">
        <f t="shared" si="97"/>
        <v>0</v>
      </c>
      <c r="U27" s="10">
        <v>1.65</v>
      </c>
      <c r="V27" s="19">
        <f t="shared" si="110"/>
        <v>0</v>
      </c>
      <c r="W27" s="11">
        <v>16.510000000000002</v>
      </c>
      <c r="X27" s="3">
        <f t="shared" si="99"/>
        <v>0</v>
      </c>
      <c r="Y27" s="3">
        <f t="shared" si="100"/>
        <v>-2880</v>
      </c>
      <c r="Z27" s="19">
        <f t="shared" si="101"/>
        <v>-2880</v>
      </c>
      <c r="AA27" s="13">
        <f t="shared" si="102"/>
        <v>-2880</v>
      </c>
      <c r="AB27" s="14" t="s">
        <v>34</v>
      </c>
      <c r="AC27" s="18"/>
      <c r="AD27" s="17">
        <f t="shared" si="111"/>
        <v>0</v>
      </c>
      <c r="AE27" s="15">
        <v>27</v>
      </c>
      <c r="AF27" s="3">
        <f t="shared" si="112"/>
        <v>0</v>
      </c>
    </row>
    <row r="29" spans="1:32" s="27" customFormat="1" ht="19.5" customHeight="1" x14ac:dyDescent="0.25">
      <c r="A29" s="25"/>
      <c r="B29" s="25"/>
      <c r="C29" s="25"/>
      <c r="D29" s="25"/>
      <c r="E29" s="26"/>
      <c r="F29" s="25"/>
      <c r="G29" s="25"/>
      <c r="H29" s="25"/>
      <c r="I29" s="28">
        <f>SUM(I2:I28)</f>
        <v>1638226.3399999999</v>
      </c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8">
        <f>SUM(AA2:AA28)</f>
        <v>-1372241.2256</v>
      </c>
      <c r="AB29" s="25"/>
      <c r="AC29" s="25"/>
      <c r="AD29" s="28">
        <f>SUM(AD2:AD28)</f>
        <v>794.86920000000009</v>
      </c>
      <c r="AE29" s="25"/>
      <c r="AF29" s="28">
        <f>SUM(AF2:AF28)</f>
        <v>25435.814400000003</v>
      </c>
    </row>
    <row r="33" spans="1:32" x14ac:dyDescent="0.25">
      <c r="A33" s="2">
        <v>1</v>
      </c>
      <c r="B33" s="3">
        <v>109</v>
      </c>
      <c r="C33" s="3" t="s">
        <v>45</v>
      </c>
      <c r="D33" s="16" t="s">
        <v>46</v>
      </c>
      <c r="E33" s="29" t="s">
        <v>47</v>
      </c>
      <c r="F33" s="3"/>
      <c r="G33" s="3">
        <v>254</v>
      </c>
      <c r="H33" s="3">
        <v>300</v>
      </c>
      <c r="I33" s="17">
        <f>G33*H33</f>
        <v>76200</v>
      </c>
      <c r="J33" s="3">
        <v>0</v>
      </c>
      <c r="K33" s="3">
        <v>0</v>
      </c>
      <c r="L33" s="3">
        <v>0</v>
      </c>
      <c r="M33" s="3">
        <v>0</v>
      </c>
      <c r="N33" s="8">
        <v>1</v>
      </c>
      <c r="O33" s="3">
        <v>1</v>
      </c>
      <c r="P33" s="3">
        <f>M33</f>
        <v>0</v>
      </c>
      <c r="Q33" s="3">
        <f t="shared" ref="Q33" si="113">P33</f>
        <v>0</v>
      </c>
      <c r="R33" s="3">
        <f t="shared" ref="R33" si="114">Q33</f>
        <v>0</v>
      </c>
      <c r="S33" s="9"/>
      <c r="T33" s="3"/>
      <c r="U33" s="10"/>
      <c r="V33" s="19"/>
      <c r="W33" s="11"/>
      <c r="X33" s="3"/>
      <c r="Y33" s="3"/>
      <c r="Z33" s="19"/>
      <c r="AA33" s="13"/>
      <c r="AB33" s="14"/>
      <c r="AC33" s="18"/>
      <c r="AD33" s="3"/>
      <c r="AE33" s="15"/>
      <c r="AF33" s="3"/>
    </row>
  </sheetData>
  <autoFilter ref="A1:AF27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3"/>
  <sheetViews>
    <sheetView workbookViewId="0">
      <selection activeCell="F2" sqref="F2:F21"/>
    </sheetView>
  </sheetViews>
  <sheetFormatPr defaultRowHeight="15" x14ac:dyDescent="0.25"/>
  <cols>
    <col min="1" max="1" width="4.140625" bestFit="1" customWidth="1"/>
    <col min="2" max="2" width="5.7109375" bestFit="1" customWidth="1"/>
    <col min="3" max="3" width="6.28515625" bestFit="1" customWidth="1"/>
    <col min="4" max="4" width="3.5703125" customWidth="1"/>
    <col min="5" max="5" width="6.7109375" customWidth="1"/>
    <col min="6" max="6" width="6.28515625" bestFit="1" customWidth="1"/>
    <col min="7" max="7" width="7.28515625" customWidth="1"/>
    <col min="8" max="8" width="5.7109375" customWidth="1"/>
    <col min="9" max="9" width="8" customWidth="1"/>
    <col min="10" max="10" width="4.7109375" customWidth="1"/>
    <col min="11" max="11" width="4.140625" customWidth="1"/>
    <col min="12" max="12" width="4.42578125" bestFit="1" customWidth="1"/>
    <col min="13" max="13" width="5.7109375" customWidth="1"/>
    <col min="14" max="14" width="4.42578125" customWidth="1"/>
    <col min="15" max="15" width="3.7109375" customWidth="1"/>
    <col min="16" max="16" width="6.7109375" bestFit="1" customWidth="1"/>
    <col min="17" max="17" width="6.140625" bestFit="1" customWidth="1"/>
    <col min="18" max="18" width="6.7109375" customWidth="1"/>
    <col min="19" max="20" width="3.42578125" customWidth="1"/>
    <col min="21" max="21" width="5.28515625" customWidth="1"/>
    <col min="22" max="22" width="5.42578125" customWidth="1"/>
    <col min="23" max="23" width="5.28515625" customWidth="1"/>
    <col min="24" max="24" width="6.140625" bestFit="1" customWidth="1"/>
    <col min="25" max="25" width="6.42578125" bestFit="1" customWidth="1"/>
    <col min="26" max="26" width="6.7109375" customWidth="1"/>
    <col min="27" max="27" width="8.42578125" customWidth="1"/>
    <col min="28" max="28" width="3.140625" bestFit="1" customWidth="1"/>
    <col min="29" max="29" width="6.140625" customWidth="1"/>
    <col min="30" max="30" width="6.28515625" customWidth="1"/>
    <col min="31" max="31" width="5.42578125" customWidth="1"/>
    <col min="32" max="32" width="6.5703125" customWidth="1"/>
  </cols>
  <sheetData>
    <row r="1" spans="1:32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1</v>
      </c>
      <c r="B2" s="3">
        <v>1077</v>
      </c>
      <c r="C2" s="3" t="s">
        <v>63</v>
      </c>
      <c r="D2" s="3" t="s">
        <v>32</v>
      </c>
      <c r="E2" s="2" t="s">
        <v>33</v>
      </c>
      <c r="F2" s="4">
        <v>12028</v>
      </c>
      <c r="G2" s="2">
        <v>244</v>
      </c>
      <c r="H2" s="2">
        <v>64.95</v>
      </c>
      <c r="I2" s="5">
        <f t="shared" ref="I2:I6" si="0">G2*H2</f>
        <v>15847.800000000001</v>
      </c>
      <c r="J2" s="6">
        <f>2*108*1250*7.85/1000000</f>
        <v>2.1194999999999999</v>
      </c>
      <c r="K2" s="7">
        <f t="shared" ref="K2:K3" si="1">G2/J2</f>
        <v>115.12149091766926</v>
      </c>
      <c r="L2" s="2">
        <v>115</v>
      </c>
      <c r="M2" s="2">
        <v>115</v>
      </c>
      <c r="N2" s="8">
        <v>42</v>
      </c>
      <c r="O2" s="2">
        <v>4</v>
      </c>
      <c r="P2" s="2">
        <f t="shared" ref="P2" si="2">M2*N2*O2</f>
        <v>19320</v>
      </c>
      <c r="Q2" s="2">
        <v>19320</v>
      </c>
      <c r="R2" s="2">
        <v>19320</v>
      </c>
      <c r="S2" s="9">
        <f>Q2-R2</f>
        <v>0</v>
      </c>
      <c r="T2" s="2">
        <f>P2-Q2</f>
        <v>0</v>
      </c>
      <c r="U2" s="10">
        <v>0.12</v>
      </c>
      <c r="V2" s="7">
        <f>Q2*U2</f>
        <v>2318.4</v>
      </c>
      <c r="W2" s="11">
        <v>0.79</v>
      </c>
      <c r="X2" s="2">
        <f>Q2*W2</f>
        <v>15262.800000000001</v>
      </c>
      <c r="Y2" s="12">
        <f>X2-I2</f>
        <v>-585</v>
      </c>
      <c r="Z2" s="7">
        <f>AF2+Y2</f>
        <v>1976.625</v>
      </c>
      <c r="AA2" s="13">
        <f t="shared" ref="AA2:AA5" si="3">Z2-V2</f>
        <v>-341.77500000000009</v>
      </c>
      <c r="AB2" s="14" t="s">
        <v>34</v>
      </c>
      <c r="AC2" s="6">
        <v>0.67500000000000004</v>
      </c>
      <c r="AD2" s="5">
        <f>M2*AC2</f>
        <v>77.625</v>
      </c>
      <c r="AE2" s="15">
        <v>33</v>
      </c>
      <c r="AF2" s="2">
        <f t="shared" ref="AF2" si="4">AD2*AE2</f>
        <v>2561.625</v>
      </c>
    </row>
    <row r="3" spans="1:32" x14ac:dyDescent="0.25">
      <c r="A3" s="2">
        <v>2</v>
      </c>
      <c r="B3" s="3">
        <v>1077</v>
      </c>
      <c r="C3" s="3" t="s">
        <v>63</v>
      </c>
      <c r="D3" s="3" t="s">
        <v>32</v>
      </c>
      <c r="E3" s="16" t="s">
        <v>35</v>
      </c>
      <c r="F3" s="3" t="s">
        <v>36</v>
      </c>
      <c r="G3" s="3">
        <v>146</v>
      </c>
      <c r="H3" s="3">
        <v>74.95</v>
      </c>
      <c r="I3" s="17">
        <f t="shared" si="0"/>
        <v>10942.7</v>
      </c>
      <c r="J3" s="18">
        <f>0.6*82*1250*7.85/1000000</f>
        <v>0.48277499999999995</v>
      </c>
      <c r="K3" s="19">
        <f t="shared" si="1"/>
        <v>302.41831080731191</v>
      </c>
      <c r="L3" s="3">
        <v>302</v>
      </c>
      <c r="M3" s="3">
        <v>302</v>
      </c>
      <c r="N3" s="8">
        <v>26</v>
      </c>
      <c r="O3" s="3">
        <v>4</v>
      </c>
      <c r="P3" s="3">
        <f>M3*N3*O3</f>
        <v>31408</v>
      </c>
      <c r="Q3" s="3">
        <v>31408</v>
      </c>
      <c r="R3" s="3">
        <v>31408</v>
      </c>
      <c r="S3" s="9">
        <f t="shared" ref="S3:S4" si="5">Q3-R3</f>
        <v>0</v>
      </c>
      <c r="T3" s="3">
        <f>P3-Q3</f>
        <v>0</v>
      </c>
      <c r="U3" s="10">
        <v>0.12</v>
      </c>
      <c r="V3" s="19">
        <f t="shared" ref="V3:V6" si="6">Q3*U3</f>
        <v>3768.96</v>
      </c>
      <c r="W3" s="11">
        <v>0.42</v>
      </c>
      <c r="X3" s="3">
        <f>Q3*W3</f>
        <v>13191.359999999999</v>
      </c>
      <c r="Y3" s="3">
        <f t="shared" ref="Y3:Y6" si="7">X3-I3</f>
        <v>2248.659999999998</v>
      </c>
      <c r="Z3" s="19">
        <f>AF3+Y3</f>
        <v>4441.1799999999985</v>
      </c>
      <c r="AA3" s="20">
        <f t="shared" si="3"/>
        <v>672.21999999999844</v>
      </c>
      <c r="AB3" s="21" t="s">
        <v>37</v>
      </c>
      <c r="AC3" s="18">
        <v>0.22</v>
      </c>
      <c r="AD3" s="17">
        <f t="shared" ref="AD3:AD6" si="8">M3*AC3</f>
        <v>66.44</v>
      </c>
      <c r="AE3" s="15">
        <v>33</v>
      </c>
      <c r="AF3" s="3">
        <f>AD3*AE3</f>
        <v>2192.52</v>
      </c>
    </row>
    <row r="4" spans="1:32" x14ac:dyDescent="0.25">
      <c r="A4" s="2">
        <v>3</v>
      </c>
      <c r="B4" s="3">
        <v>1077</v>
      </c>
      <c r="C4" s="3" t="s">
        <v>63</v>
      </c>
      <c r="D4" s="3" t="s">
        <v>32</v>
      </c>
      <c r="E4" s="3" t="s">
        <v>33</v>
      </c>
      <c r="F4" s="24" t="s">
        <v>54</v>
      </c>
      <c r="G4" s="3">
        <v>308</v>
      </c>
      <c r="H4" s="3">
        <v>74.95</v>
      </c>
      <c r="I4" s="17">
        <f t="shared" si="0"/>
        <v>23084.600000000002</v>
      </c>
      <c r="J4" s="18">
        <f>1.6*72*1250*7.85/1000000</f>
        <v>1.1304000000000001</v>
      </c>
      <c r="K4" s="19">
        <f>G4/J4</f>
        <v>272.46992215145082</v>
      </c>
      <c r="L4" s="3">
        <v>272</v>
      </c>
      <c r="M4" s="3">
        <v>272</v>
      </c>
      <c r="N4" s="8">
        <v>64</v>
      </c>
      <c r="O4" s="3">
        <v>4</v>
      </c>
      <c r="P4" s="3">
        <f t="shared" ref="P4:P6" si="9">M4*N4*O4</f>
        <v>69632</v>
      </c>
      <c r="Q4" s="3">
        <v>69632</v>
      </c>
      <c r="R4" s="3">
        <v>69632</v>
      </c>
      <c r="S4" s="9">
        <f t="shared" si="5"/>
        <v>0</v>
      </c>
      <c r="T4" s="3">
        <f t="shared" ref="T4:T6" si="10">P4-Q4</f>
        <v>0</v>
      </c>
      <c r="U4" s="10">
        <v>0.08</v>
      </c>
      <c r="V4" s="19">
        <f t="shared" si="6"/>
        <v>5570.56</v>
      </c>
      <c r="W4" s="11">
        <v>0.36</v>
      </c>
      <c r="X4" s="19">
        <f t="shared" ref="X4:X6" si="11">Q4*W4</f>
        <v>25067.52</v>
      </c>
      <c r="Y4" s="17">
        <f t="shared" si="7"/>
        <v>1982.9199999999983</v>
      </c>
      <c r="Z4" s="19">
        <f>AF4+Y4</f>
        <v>5124.5199999999977</v>
      </c>
      <c r="AA4" s="13">
        <f t="shared" si="3"/>
        <v>-446.04000000000269</v>
      </c>
      <c r="AB4" s="14" t="s">
        <v>34</v>
      </c>
      <c r="AC4" s="18">
        <v>0.35</v>
      </c>
      <c r="AD4" s="17">
        <f t="shared" si="8"/>
        <v>95.199999999999989</v>
      </c>
      <c r="AE4" s="15">
        <v>33</v>
      </c>
      <c r="AF4" s="3">
        <f>AD4*AE4</f>
        <v>3141.5999999999995</v>
      </c>
    </row>
    <row r="5" spans="1:32" x14ac:dyDescent="0.25">
      <c r="A5" s="2">
        <v>4</v>
      </c>
      <c r="B5" s="3">
        <v>1077</v>
      </c>
      <c r="C5" s="3" t="s">
        <v>63</v>
      </c>
      <c r="D5" s="3" t="s">
        <v>32</v>
      </c>
      <c r="E5" s="2" t="s">
        <v>33</v>
      </c>
      <c r="F5" s="4">
        <v>6871</v>
      </c>
      <c r="G5" s="2">
        <v>236</v>
      </c>
      <c r="H5" s="2">
        <v>65.95</v>
      </c>
      <c r="I5" s="5">
        <f t="shared" si="0"/>
        <v>15564.2</v>
      </c>
      <c r="J5" s="6">
        <f>3.2*35*1250*7.85/1000000</f>
        <v>1.099</v>
      </c>
      <c r="K5" s="7">
        <f t="shared" ref="K5:K6" si="12">G5/J5</f>
        <v>214.74067333939945</v>
      </c>
      <c r="L5" s="2">
        <v>215</v>
      </c>
      <c r="M5" s="2">
        <v>215</v>
      </c>
      <c r="N5" s="8">
        <v>70</v>
      </c>
      <c r="O5" s="2">
        <v>2</v>
      </c>
      <c r="P5" s="2">
        <f t="shared" si="9"/>
        <v>30100</v>
      </c>
      <c r="Q5" s="22">
        <v>30100</v>
      </c>
      <c r="R5" s="22">
        <v>30100</v>
      </c>
      <c r="S5" s="9">
        <f>Q5-R5</f>
        <v>0</v>
      </c>
      <c r="T5" s="2">
        <f t="shared" si="10"/>
        <v>0</v>
      </c>
      <c r="U5" s="10">
        <v>0.15</v>
      </c>
      <c r="V5" s="7">
        <f t="shared" si="6"/>
        <v>4515</v>
      </c>
      <c r="W5" s="11">
        <v>0.6</v>
      </c>
      <c r="X5" s="2">
        <f t="shared" si="11"/>
        <v>18060</v>
      </c>
      <c r="Y5" s="2">
        <f t="shared" si="7"/>
        <v>2495.7999999999993</v>
      </c>
      <c r="Z5" s="7">
        <f t="shared" ref="Z5:Z6" si="13">AF5+Y5</f>
        <v>7036.5999999999995</v>
      </c>
      <c r="AA5" s="20">
        <f t="shared" si="3"/>
        <v>2521.5999999999995</v>
      </c>
      <c r="AB5" s="21" t="s">
        <v>37</v>
      </c>
      <c r="AC5" s="6">
        <v>0.64</v>
      </c>
      <c r="AD5" s="2">
        <f t="shared" si="8"/>
        <v>137.6</v>
      </c>
      <c r="AE5" s="15">
        <v>33</v>
      </c>
      <c r="AF5" s="2">
        <f t="shared" ref="AF5:AF6" si="14">AD5*AE5</f>
        <v>4540.8</v>
      </c>
    </row>
    <row r="6" spans="1:32" x14ac:dyDescent="0.25">
      <c r="A6" s="2">
        <v>5</v>
      </c>
      <c r="B6" s="3">
        <v>180</v>
      </c>
      <c r="C6" s="3" t="s">
        <v>64</v>
      </c>
      <c r="D6" s="3" t="s">
        <v>39</v>
      </c>
      <c r="E6" s="23" t="s">
        <v>40</v>
      </c>
      <c r="F6" s="24" t="s">
        <v>43</v>
      </c>
      <c r="G6" s="3">
        <v>1914</v>
      </c>
      <c r="H6" s="17">
        <v>80</v>
      </c>
      <c r="I6" s="17">
        <f t="shared" si="0"/>
        <v>153120</v>
      </c>
      <c r="J6" s="18">
        <f t="shared" ref="J6:J13" si="15">0.5*247*1180*7.85/1000000</f>
        <v>1.1439805000000001</v>
      </c>
      <c r="K6" s="19">
        <f t="shared" si="12"/>
        <v>1673.105441919683</v>
      </c>
      <c r="L6" s="19">
        <v>1673</v>
      </c>
      <c r="M6" s="19">
        <v>1673</v>
      </c>
      <c r="N6" s="8">
        <v>6</v>
      </c>
      <c r="O6" s="3">
        <v>1</v>
      </c>
      <c r="P6" s="3">
        <f t="shared" si="9"/>
        <v>10038</v>
      </c>
      <c r="Q6" s="3">
        <v>10038</v>
      </c>
      <c r="R6" s="3">
        <v>10038</v>
      </c>
      <c r="S6" s="9">
        <f t="shared" ref="S6" si="16">Q6-R6</f>
        <v>0</v>
      </c>
      <c r="T6" s="3">
        <f t="shared" si="10"/>
        <v>0</v>
      </c>
      <c r="U6" s="10">
        <v>1.65</v>
      </c>
      <c r="V6" s="19">
        <f t="shared" si="6"/>
        <v>16562.7</v>
      </c>
      <c r="W6" s="11">
        <v>16.510000000000002</v>
      </c>
      <c r="X6" s="3">
        <f t="shared" si="11"/>
        <v>165727.38</v>
      </c>
      <c r="Y6" s="3">
        <f t="shared" si="7"/>
        <v>12607.380000000005</v>
      </c>
      <c r="Z6" s="19">
        <f t="shared" si="13"/>
        <v>23448.420000000006</v>
      </c>
      <c r="AA6" s="20">
        <f t="shared" ref="AA6:AA9" si="17">Z6-V6</f>
        <v>6885.7200000000048</v>
      </c>
      <c r="AB6" s="21" t="s">
        <v>37</v>
      </c>
      <c r="AC6" s="18">
        <v>0.24</v>
      </c>
      <c r="AD6" s="17">
        <f t="shared" si="8"/>
        <v>401.52</v>
      </c>
      <c r="AE6" s="15">
        <v>27</v>
      </c>
      <c r="AF6" s="3">
        <f t="shared" si="14"/>
        <v>10841.039999999999</v>
      </c>
    </row>
    <row r="7" spans="1:32" x14ac:dyDescent="0.25">
      <c r="A7" s="2">
        <v>6</v>
      </c>
      <c r="B7" s="3">
        <v>196</v>
      </c>
      <c r="C7" s="3" t="s">
        <v>65</v>
      </c>
      <c r="D7" s="3" t="s">
        <v>39</v>
      </c>
      <c r="E7" s="23" t="s">
        <v>40</v>
      </c>
      <c r="F7" s="24" t="s">
        <v>43</v>
      </c>
      <c r="G7" s="3">
        <v>1061</v>
      </c>
      <c r="H7" s="17">
        <v>80</v>
      </c>
      <c r="I7" s="17">
        <f t="shared" ref="I7" si="18">G7*H7</f>
        <v>84880</v>
      </c>
      <c r="J7" s="18">
        <f t="shared" si="15"/>
        <v>1.1439805000000001</v>
      </c>
      <c r="K7" s="19">
        <f t="shared" ref="K7" si="19">G7/J7</f>
        <v>927.4633614821231</v>
      </c>
      <c r="L7" s="19">
        <v>927</v>
      </c>
      <c r="M7" s="19">
        <v>927</v>
      </c>
      <c r="N7" s="8">
        <v>6</v>
      </c>
      <c r="O7" s="3">
        <v>1</v>
      </c>
      <c r="P7" s="3">
        <f t="shared" ref="P7" si="20">M7*N7*O7</f>
        <v>5562</v>
      </c>
      <c r="Q7" s="3">
        <f>P7</f>
        <v>5562</v>
      </c>
      <c r="R7" s="3">
        <f>Q7</f>
        <v>5562</v>
      </c>
      <c r="S7" s="9">
        <f t="shared" ref="S7:S8" si="21">Q7-R7</f>
        <v>0</v>
      </c>
      <c r="T7" s="3">
        <f t="shared" ref="T7:T8" si="22">P7-Q7</f>
        <v>0</v>
      </c>
      <c r="U7" s="10">
        <v>1.65</v>
      </c>
      <c r="V7" s="19">
        <f t="shared" ref="V7" si="23">Q7*U7</f>
        <v>9177.2999999999993</v>
      </c>
      <c r="W7" s="11">
        <v>16.510000000000002</v>
      </c>
      <c r="X7" s="3">
        <f t="shared" ref="X7:X8" si="24">Q7*W7</f>
        <v>91828.62000000001</v>
      </c>
      <c r="Y7" s="3">
        <f t="shared" ref="Y7:Y8" si="25">X7-I7</f>
        <v>6948.6200000000099</v>
      </c>
      <c r="Z7" s="19">
        <f t="shared" ref="Z7:Z8" si="26">AF7+Y7</f>
        <v>12955.580000000009</v>
      </c>
      <c r="AA7" s="20">
        <f t="shared" si="17"/>
        <v>3778.2800000000097</v>
      </c>
      <c r="AB7" s="21" t="s">
        <v>37</v>
      </c>
      <c r="AC7" s="18">
        <v>0.24</v>
      </c>
      <c r="AD7" s="17">
        <f t="shared" ref="AD7" si="27">M7*AC7</f>
        <v>222.48</v>
      </c>
      <c r="AE7" s="15">
        <v>27</v>
      </c>
      <c r="AF7" s="3">
        <f t="shared" ref="AF7" si="28">AD7*AE7</f>
        <v>6006.96</v>
      </c>
    </row>
    <row r="8" spans="1:32" x14ac:dyDescent="0.25">
      <c r="A8" s="2">
        <v>7</v>
      </c>
      <c r="B8" s="3">
        <v>1322</v>
      </c>
      <c r="C8" s="3" t="s">
        <v>65</v>
      </c>
      <c r="D8" s="3" t="s">
        <v>32</v>
      </c>
      <c r="E8" s="29" t="s">
        <v>44</v>
      </c>
      <c r="F8" s="3">
        <v>8283</v>
      </c>
      <c r="G8" s="3">
        <v>16848</v>
      </c>
      <c r="H8" s="3">
        <v>2.72</v>
      </c>
      <c r="I8" s="17">
        <f>G8*H8</f>
        <v>45826.560000000005</v>
      </c>
      <c r="J8" s="3">
        <v>0</v>
      </c>
      <c r="K8" s="3">
        <v>0</v>
      </c>
      <c r="L8" s="3">
        <v>0</v>
      </c>
      <c r="M8" s="3">
        <f>G8</f>
        <v>16848</v>
      </c>
      <c r="N8" s="8">
        <v>1</v>
      </c>
      <c r="O8" s="3">
        <v>1</v>
      </c>
      <c r="P8" s="3">
        <f>M8</f>
        <v>16848</v>
      </c>
      <c r="Q8" s="3">
        <f t="shared" ref="Q8:R8" si="29">P8</f>
        <v>16848</v>
      </c>
      <c r="R8" s="3">
        <f t="shared" si="29"/>
        <v>16848</v>
      </c>
      <c r="S8" s="9">
        <f t="shared" si="21"/>
        <v>0</v>
      </c>
      <c r="T8" s="3">
        <f t="shared" si="22"/>
        <v>0</v>
      </c>
      <c r="U8" s="10">
        <v>0.53</v>
      </c>
      <c r="V8" s="19">
        <f>Q8*U8</f>
        <v>8929.44</v>
      </c>
      <c r="W8" s="11">
        <v>3.25</v>
      </c>
      <c r="X8" s="3">
        <f t="shared" si="24"/>
        <v>54756</v>
      </c>
      <c r="Y8" s="3">
        <f t="shared" si="25"/>
        <v>8929.4399999999951</v>
      </c>
      <c r="Z8" s="19">
        <f t="shared" si="26"/>
        <v>8929.4399999999951</v>
      </c>
      <c r="AA8" s="20">
        <f t="shared" si="17"/>
        <v>0</v>
      </c>
      <c r="AB8" s="21" t="s">
        <v>37</v>
      </c>
      <c r="AC8" s="18">
        <v>0</v>
      </c>
      <c r="AD8" s="3">
        <f>M8*AC8</f>
        <v>0</v>
      </c>
      <c r="AE8" s="15">
        <v>0</v>
      </c>
      <c r="AF8" s="3">
        <f>AD8*AE8</f>
        <v>0</v>
      </c>
    </row>
    <row r="9" spans="1:32" x14ac:dyDescent="0.25">
      <c r="A9" s="2">
        <v>8</v>
      </c>
      <c r="B9" s="3">
        <v>204</v>
      </c>
      <c r="C9" s="3" t="s">
        <v>66</v>
      </c>
      <c r="D9" s="3" t="s">
        <v>39</v>
      </c>
      <c r="E9" s="23" t="s">
        <v>40</v>
      </c>
      <c r="F9" s="24" t="s">
        <v>43</v>
      </c>
      <c r="G9" s="3">
        <v>1755</v>
      </c>
      <c r="H9" s="17">
        <v>80</v>
      </c>
      <c r="I9" s="17">
        <f t="shared" ref="I9" si="30">G9*H9</f>
        <v>140400</v>
      </c>
      <c r="J9" s="18">
        <f t="shared" si="15"/>
        <v>1.1439805000000001</v>
      </c>
      <c r="K9" s="19">
        <f t="shared" ref="K9" si="31">G9/J9</f>
        <v>1534.1170588135024</v>
      </c>
      <c r="L9" s="19">
        <v>1534</v>
      </c>
      <c r="M9" s="19">
        <v>1534</v>
      </c>
      <c r="N9" s="8">
        <v>6</v>
      </c>
      <c r="O9" s="3">
        <v>1</v>
      </c>
      <c r="P9" s="3">
        <f t="shared" ref="P9" si="32">M9*N9*O9</f>
        <v>9204</v>
      </c>
      <c r="Q9" s="3">
        <f>P9</f>
        <v>9204</v>
      </c>
      <c r="R9" s="3">
        <f>Q9</f>
        <v>9204</v>
      </c>
      <c r="S9" s="9">
        <f t="shared" ref="S9" si="33">Q9-R9</f>
        <v>0</v>
      </c>
      <c r="T9" s="3">
        <f t="shared" ref="T9" si="34">P9-Q9</f>
        <v>0</v>
      </c>
      <c r="U9" s="10">
        <v>1.65</v>
      </c>
      <c r="V9" s="19">
        <f t="shared" ref="V9" si="35">Q9*U9</f>
        <v>15186.599999999999</v>
      </c>
      <c r="W9" s="11">
        <v>16.510000000000002</v>
      </c>
      <c r="X9" s="3">
        <f t="shared" ref="X9" si="36">Q9*W9</f>
        <v>151958.04</v>
      </c>
      <c r="Y9" s="3">
        <f t="shared" ref="Y9" si="37">X9-I9</f>
        <v>11558.040000000008</v>
      </c>
      <c r="Z9" s="19">
        <f t="shared" ref="Z9" si="38">AF9+Y9</f>
        <v>21498.360000000008</v>
      </c>
      <c r="AA9" s="20">
        <f t="shared" si="17"/>
        <v>6311.7600000000093</v>
      </c>
      <c r="AB9" s="21" t="s">
        <v>37</v>
      </c>
      <c r="AC9" s="18">
        <v>0.24</v>
      </c>
      <c r="AD9" s="17">
        <f t="shared" ref="AD9" si="39">M9*AC9</f>
        <v>368.15999999999997</v>
      </c>
      <c r="AE9" s="15">
        <v>27</v>
      </c>
      <c r="AF9" s="3">
        <f t="shared" ref="AF9" si="40">AD9*AE9</f>
        <v>9940.32</v>
      </c>
    </row>
    <row r="10" spans="1:32" x14ac:dyDescent="0.25">
      <c r="A10" s="2">
        <v>9</v>
      </c>
      <c r="B10" s="3">
        <v>219</v>
      </c>
      <c r="C10" s="3" t="s">
        <v>67</v>
      </c>
      <c r="D10" s="3" t="s">
        <v>39</v>
      </c>
      <c r="E10" s="23" t="s">
        <v>40</v>
      </c>
      <c r="F10" s="24" t="s">
        <v>43</v>
      </c>
      <c r="G10" s="3">
        <v>520</v>
      </c>
      <c r="H10" s="17">
        <v>80</v>
      </c>
      <c r="I10" s="17">
        <f t="shared" ref="I10:I12" si="41">G10*H10</f>
        <v>41600</v>
      </c>
      <c r="J10" s="18">
        <f t="shared" si="15"/>
        <v>1.1439805000000001</v>
      </c>
      <c r="K10" s="19">
        <f t="shared" ref="K10:K12" si="42">G10/J10</f>
        <v>454.5532026114081</v>
      </c>
      <c r="L10" s="19">
        <v>455</v>
      </c>
      <c r="M10" s="19">
        <v>455</v>
      </c>
      <c r="N10" s="8">
        <v>6</v>
      </c>
      <c r="O10" s="3">
        <v>1</v>
      </c>
      <c r="P10" s="3">
        <f t="shared" ref="P10:P12" si="43">M10*N10*O10</f>
        <v>2730</v>
      </c>
      <c r="Q10" s="3">
        <f>P10</f>
        <v>2730</v>
      </c>
      <c r="R10" s="3">
        <f>Q10</f>
        <v>2730</v>
      </c>
      <c r="S10" s="9">
        <f t="shared" ref="S10" si="44">Q10-R10</f>
        <v>0</v>
      </c>
      <c r="T10" s="3">
        <f t="shared" ref="T10" si="45">P10-Q10</f>
        <v>0</v>
      </c>
      <c r="U10" s="10">
        <v>1.65</v>
      </c>
      <c r="V10" s="19">
        <f t="shared" ref="V10:V12" si="46">Q10*U10</f>
        <v>4504.5</v>
      </c>
      <c r="W10" s="11">
        <v>16.510000000000002</v>
      </c>
      <c r="X10" s="3">
        <f t="shared" ref="X10" si="47">Q10*W10</f>
        <v>45072.3</v>
      </c>
      <c r="Y10" s="3">
        <f t="shared" ref="Y10:Y12" si="48">X10-I10</f>
        <v>3472.3000000000029</v>
      </c>
      <c r="Z10" s="19">
        <f t="shared" ref="Z10:Z12" si="49">AF10+Y10</f>
        <v>6420.7000000000025</v>
      </c>
      <c r="AA10" s="20">
        <f t="shared" ref="AA10:AA12" si="50">Z10-V10</f>
        <v>1916.2000000000025</v>
      </c>
      <c r="AB10" s="21" t="s">
        <v>37</v>
      </c>
      <c r="AC10" s="18">
        <v>0.24</v>
      </c>
      <c r="AD10" s="17">
        <f t="shared" ref="AD10:AD12" si="51">M10*AC10</f>
        <v>109.2</v>
      </c>
      <c r="AE10" s="15">
        <v>27</v>
      </c>
      <c r="AF10" s="3">
        <f t="shared" ref="AF10:AF12" si="52">AD10*AE10</f>
        <v>2948.4</v>
      </c>
    </row>
    <row r="11" spans="1:32" x14ac:dyDescent="0.25">
      <c r="A11" s="2">
        <v>10</v>
      </c>
      <c r="B11" s="3">
        <v>220</v>
      </c>
      <c r="C11" s="3" t="s">
        <v>67</v>
      </c>
      <c r="D11" s="3" t="s">
        <v>39</v>
      </c>
      <c r="E11" s="23" t="s">
        <v>48</v>
      </c>
      <c r="F11" s="24">
        <v>7479</v>
      </c>
      <c r="G11" s="3">
        <v>196</v>
      </c>
      <c r="H11" s="3">
        <v>74.95</v>
      </c>
      <c r="I11" s="17">
        <f t="shared" si="41"/>
        <v>14690.2</v>
      </c>
      <c r="J11" s="18">
        <f>1.6*39*1250*7.85/1000000</f>
        <v>0.61229999999999996</v>
      </c>
      <c r="K11" s="19">
        <f t="shared" si="42"/>
        <v>320.10452392617998</v>
      </c>
      <c r="L11" s="19">
        <v>320</v>
      </c>
      <c r="M11" s="19">
        <v>320</v>
      </c>
      <c r="N11" s="8">
        <v>80</v>
      </c>
      <c r="O11" s="3">
        <v>1</v>
      </c>
      <c r="P11" s="3">
        <f t="shared" si="43"/>
        <v>25600</v>
      </c>
      <c r="Q11" s="3">
        <v>25600</v>
      </c>
      <c r="R11" s="3">
        <v>25600</v>
      </c>
      <c r="S11" s="9">
        <f>Q11-R11</f>
        <v>0</v>
      </c>
      <c r="T11" s="3">
        <f>P11-Q11</f>
        <v>0</v>
      </c>
      <c r="U11" s="10">
        <v>0.55000000000000004</v>
      </c>
      <c r="V11" s="19">
        <f t="shared" si="46"/>
        <v>14080.000000000002</v>
      </c>
      <c r="W11" s="11">
        <v>1.08</v>
      </c>
      <c r="X11" s="3">
        <f>Q11*W11</f>
        <v>27648</v>
      </c>
      <c r="Y11" s="3">
        <f t="shared" si="48"/>
        <v>12957.8</v>
      </c>
      <c r="Z11" s="19">
        <f t="shared" si="49"/>
        <v>14541.8</v>
      </c>
      <c r="AA11" s="20">
        <f t="shared" si="50"/>
        <v>461.79999999999745</v>
      </c>
      <c r="AB11" s="21" t="s">
        <v>37</v>
      </c>
      <c r="AC11" s="18">
        <v>0.15</v>
      </c>
      <c r="AD11" s="17">
        <f t="shared" si="51"/>
        <v>48</v>
      </c>
      <c r="AE11" s="15">
        <v>33</v>
      </c>
      <c r="AF11" s="3">
        <f t="shared" si="52"/>
        <v>1584</v>
      </c>
    </row>
    <row r="12" spans="1:32" x14ac:dyDescent="0.25">
      <c r="A12" s="2">
        <v>11</v>
      </c>
      <c r="B12" s="3">
        <v>226</v>
      </c>
      <c r="C12" s="3" t="s">
        <v>68</v>
      </c>
      <c r="D12" s="3" t="s">
        <v>39</v>
      </c>
      <c r="E12" s="23" t="s">
        <v>40</v>
      </c>
      <c r="F12" s="24" t="s">
        <v>43</v>
      </c>
      <c r="G12" s="3">
        <v>43</v>
      </c>
      <c r="H12" s="17">
        <v>80</v>
      </c>
      <c r="I12" s="17">
        <f t="shared" si="41"/>
        <v>3440</v>
      </c>
      <c r="J12" s="18">
        <f t="shared" si="15"/>
        <v>1.1439805000000001</v>
      </c>
      <c r="K12" s="19">
        <f t="shared" si="42"/>
        <v>37.588053292866441</v>
      </c>
      <c r="L12" s="19">
        <v>38</v>
      </c>
      <c r="M12" s="19">
        <v>38</v>
      </c>
      <c r="N12" s="8">
        <v>6</v>
      </c>
      <c r="O12" s="3">
        <v>1</v>
      </c>
      <c r="P12" s="3">
        <f t="shared" si="43"/>
        <v>228</v>
      </c>
      <c r="Q12" s="3">
        <f>P12</f>
        <v>228</v>
      </c>
      <c r="R12" s="3">
        <f>Q12</f>
        <v>228</v>
      </c>
      <c r="S12" s="9">
        <f t="shared" ref="S12" si="53">Q12-R12</f>
        <v>0</v>
      </c>
      <c r="T12" s="3">
        <f t="shared" ref="T12" si="54">P12-Q12</f>
        <v>0</v>
      </c>
      <c r="U12" s="10">
        <v>1.65</v>
      </c>
      <c r="V12" s="19">
        <f t="shared" si="46"/>
        <v>376.2</v>
      </c>
      <c r="W12" s="11">
        <v>16.510000000000002</v>
      </c>
      <c r="X12" s="3">
        <f t="shared" ref="X12" si="55">Q12*W12</f>
        <v>3764.28</v>
      </c>
      <c r="Y12" s="3">
        <f t="shared" si="48"/>
        <v>324.2800000000002</v>
      </c>
      <c r="Z12" s="19">
        <f t="shared" si="49"/>
        <v>570.52000000000021</v>
      </c>
      <c r="AA12" s="20">
        <f t="shared" si="50"/>
        <v>194.32000000000022</v>
      </c>
      <c r="AB12" s="21" t="s">
        <v>37</v>
      </c>
      <c r="AC12" s="18">
        <v>0.24</v>
      </c>
      <c r="AD12" s="17">
        <f t="shared" si="51"/>
        <v>9.1199999999999992</v>
      </c>
      <c r="AE12" s="15">
        <v>27</v>
      </c>
      <c r="AF12" s="3">
        <f t="shared" si="52"/>
        <v>246.23999999999998</v>
      </c>
    </row>
    <row r="13" spans="1:32" x14ac:dyDescent="0.25">
      <c r="A13" s="2">
        <v>12</v>
      </c>
      <c r="B13" s="3">
        <v>227</v>
      </c>
      <c r="C13" s="3" t="s">
        <v>69</v>
      </c>
      <c r="D13" s="3" t="s">
        <v>39</v>
      </c>
      <c r="E13" s="23" t="s">
        <v>40</v>
      </c>
      <c r="F13" s="24" t="s">
        <v>43</v>
      </c>
      <c r="G13" s="3">
        <v>16</v>
      </c>
      <c r="H13" s="17">
        <v>80</v>
      </c>
      <c r="I13" s="17">
        <f t="shared" ref="I13" si="56">G13*H13</f>
        <v>1280</v>
      </c>
      <c r="J13" s="18">
        <f t="shared" si="15"/>
        <v>1.1439805000000001</v>
      </c>
      <c r="K13" s="19">
        <f t="shared" ref="K13" si="57">G13/J13</f>
        <v>13.986252388043328</v>
      </c>
      <c r="L13" s="19">
        <v>14</v>
      </c>
      <c r="M13" s="19">
        <v>14</v>
      </c>
      <c r="N13" s="8">
        <v>6</v>
      </c>
      <c r="O13" s="3">
        <v>1</v>
      </c>
      <c r="P13" s="3">
        <f t="shared" ref="P13" si="58">M13*N13*O13</f>
        <v>84</v>
      </c>
      <c r="Q13" s="3">
        <f>P13</f>
        <v>84</v>
      </c>
      <c r="R13" s="3">
        <f>Q13</f>
        <v>84</v>
      </c>
      <c r="S13" s="9">
        <f t="shared" ref="S13:S14" si="59">Q13-R13</f>
        <v>0</v>
      </c>
      <c r="T13" s="3">
        <f t="shared" ref="T13:T14" si="60">P13-Q13</f>
        <v>0</v>
      </c>
      <c r="U13" s="10">
        <v>1.65</v>
      </c>
      <c r="V13" s="19">
        <f t="shared" ref="V13:V14" si="61">Q13*U13</f>
        <v>138.6</v>
      </c>
      <c r="W13" s="11">
        <v>16.510000000000002</v>
      </c>
      <c r="X13" s="3">
        <f t="shared" ref="X13:X14" si="62">Q13*W13</f>
        <v>1386.8400000000001</v>
      </c>
      <c r="Y13" s="3">
        <f t="shared" ref="Y13:Y14" si="63">X13-I13</f>
        <v>106.84000000000015</v>
      </c>
      <c r="Z13" s="19">
        <f t="shared" ref="Z13" si="64">AF13+Y13</f>
        <v>197.56000000000014</v>
      </c>
      <c r="AA13" s="20">
        <f t="shared" ref="AA13:AA20" si="65">Z13-V13</f>
        <v>58.96000000000015</v>
      </c>
      <c r="AB13" s="21" t="s">
        <v>37</v>
      </c>
      <c r="AC13" s="18">
        <v>0.24</v>
      </c>
      <c r="AD13" s="17">
        <f t="shared" ref="AD13:AD14" si="66">M13*AC13</f>
        <v>3.36</v>
      </c>
      <c r="AE13" s="15">
        <v>27</v>
      </c>
      <c r="AF13" s="3">
        <f t="shared" ref="AF13" si="67">AD13*AE13</f>
        <v>90.72</v>
      </c>
    </row>
    <row r="14" spans="1:32" x14ac:dyDescent="0.25">
      <c r="A14" s="2">
        <v>13</v>
      </c>
      <c r="B14" s="3">
        <v>249</v>
      </c>
      <c r="C14" s="3" t="s">
        <v>70</v>
      </c>
      <c r="D14" s="3" t="s">
        <v>39</v>
      </c>
      <c r="E14" s="30" t="s">
        <v>56</v>
      </c>
      <c r="F14" s="4">
        <v>2576</v>
      </c>
      <c r="G14" s="2">
        <v>254</v>
      </c>
      <c r="H14" s="3">
        <v>65.95</v>
      </c>
      <c r="I14" s="5">
        <f>G14*H14</f>
        <v>16751.3</v>
      </c>
      <c r="J14" s="6">
        <f>2*35*1250*7.85/1000000</f>
        <v>0.68687500000000001</v>
      </c>
      <c r="K14" s="7">
        <f>G14/J14</f>
        <v>369.7907188353048</v>
      </c>
      <c r="L14" s="2">
        <v>370</v>
      </c>
      <c r="M14" s="2">
        <v>370</v>
      </c>
      <c r="N14" s="8">
        <v>18</v>
      </c>
      <c r="O14" s="2">
        <v>1</v>
      </c>
      <c r="P14" s="2">
        <f>M14*N14*O14</f>
        <v>6660</v>
      </c>
      <c r="Q14" s="22">
        <v>6660</v>
      </c>
      <c r="R14" s="22">
        <v>6660</v>
      </c>
      <c r="S14" s="9">
        <f t="shared" si="59"/>
        <v>0</v>
      </c>
      <c r="T14" s="2">
        <f t="shared" si="60"/>
        <v>0</v>
      </c>
      <c r="U14" s="10">
        <v>0.6</v>
      </c>
      <c r="V14" s="7">
        <f t="shared" si="61"/>
        <v>3996</v>
      </c>
      <c r="W14" s="11">
        <v>2.99</v>
      </c>
      <c r="X14" s="2">
        <f t="shared" si="62"/>
        <v>19913.400000000001</v>
      </c>
      <c r="Y14" s="2">
        <f t="shared" si="63"/>
        <v>3162.1000000000022</v>
      </c>
      <c r="Z14" s="7">
        <f>AF14+Y14</f>
        <v>5604.1000000000022</v>
      </c>
      <c r="AA14" s="20">
        <f t="shared" si="65"/>
        <v>1608.1000000000022</v>
      </c>
      <c r="AB14" s="21" t="s">
        <v>37</v>
      </c>
      <c r="AC14" s="6">
        <v>0.2</v>
      </c>
      <c r="AD14" s="2">
        <f t="shared" si="66"/>
        <v>74</v>
      </c>
      <c r="AE14" s="15">
        <v>33</v>
      </c>
      <c r="AF14" s="2">
        <f>AD14*AE14</f>
        <v>2442</v>
      </c>
    </row>
    <row r="15" spans="1:32" x14ac:dyDescent="0.25">
      <c r="A15" s="2">
        <v>14</v>
      </c>
      <c r="B15" s="3">
        <v>2104</v>
      </c>
      <c r="C15" s="3" t="s">
        <v>71</v>
      </c>
      <c r="D15" s="3" t="s">
        <v>32</v>
      </c>
      <c r="E15" s="2" t="s">
        <v>33</v>
      </c>
      <c r="F15" s="4">
        <v>12028</v>
      </c>
      <c r="G15" s="2">
        <v>294</v>
      </c>
      <c r="H15" s="2">
        <v>64.95</v>
      </c>
      <c r="I15" s="5">
        <f t="shared" ref="I15:I20" si="68">G15*H15</f>
        <v>19095.3</v>
      </c>
      <c r="J15" s="6">
        <f>2*108*1250*7.85/1000000</f>
        <v>2.1194999999999999</v>
      </c>
      <c r="K15" s="7">
        <f t="shared" ref="K15:K16" si="69">G15/J15</f>
        <v>138.71196036801132</v>
      </c>
      <c r="L15" s="2">
        <v>139</v>
      </c>
      <c r="M15" s="2">
        <v>139</v>
      </c>
      <c r="N15" s="8">
        <v>42</v>
      </c>
      <c r="O15" s="2">
        <v>4</v>
      </c>
      <c r="P15" s="2">
        <f t="shared" ref="P15" si="70">M15*N15*O15</f>
        <v>23352</v>
      </c>
      <c r="Q15" s="2">
        <v>23352</v>
      </c>
      <c r="R15" s="2">
        <v>23352</v>
      </c>
      <c r="S15" s="9">
        <f>Q15-R15</f>
        <v>0</v>
      </c>
      <c r="T15" s="2">
        <f>P15-Q15</f>
        <v>0</v>
      </c>
      <c r="U15" s="10">
        <v>0.12</v>
      </c>
      <c r="V15" s="7">
        <f>Q15*U15</f>
        <v>2802.24</v>
      </c>
      <c r="W15" s="11">
        <v>0.79</v>
      </c>
      <c r="X15" s="2">
        <f>Q15*W15</f>
        <v>18448.080000000002</v>
      </c>
      <c r="Y15" s="12">
        <f>X15-I15</f>
        <v>-647.21999999999753</v>
      </c>
      <c r="Z15" s="7">
        <f>AF15+Y15</f>
        <v>2449.0050000000024</v>
      </c>
      <c r="AA15" s="13">
        <f t="shared" si="65"/>
        <v>-353.2349999999974</v>
      </c>
      <c r="AB15" s="14" t="s">
        <v>34</v>
      </c>
      <c r="AC15" s="6">
        <v>0.67500000000000004</v>
      </c>
      <c r="AD15" s="5">
        <f>M15*AC15</f>
        <v>93.825000000000003</v>
      </c>
      <c r="AE15" s="15">
        <v>33</v>
      </c>
      <c r="AF15" s="2">
        <f t="shared" ref="AF15" si="71">AD15*AE15</f>
        <v>3096.2249999999999</v>
      </c>
    </row>
    <row r="16" spans="1:32" x14ac:dyDescent="0.25">
      <c r="A16" s="2">
        <v>15</v>
      </c>
      <c r="B16" s="3">
        <v>2104</v>
      </c>
      <c r="C16" s="3" t="s">
        <v>71</v>
      </c>
      <c r="D16" s="3" t="s">
        <v>32</v>
      </c>
      <c r="E16" s="16" t="s">
        <v>35</v>
      </c>
      <c r="F16" s="3" t="s">
        <v>36</v>
      </c>
      <c r="G16" s="3">
        <v>308</v>
      </c>
      <c r="H16" s="3">
        <v>74.95</v>
      </c>
      <c r="I16" s="17">
        <f t="shared" si="68"/>
        <v>23084.600000000002</v>
      </c>
      <c r="J16" s="18">
        <f>0.6*82*1250*7.85/1000000</f>
        <v>0.48277499999999995</v>
      </c>
      <c r="K16" s="19">
        <f t="shared" si="69"/>
        <v>637.97835430583609</v>
      </c>
      <c r="L16" s="3">
        <v>638</v>
      </c>
      <c r="M16" s="3">
        <v>638</v>
      </c>
      <c r="N16" s="8">
        <v>28</v>
      </c>
      <c r="O16" s="3">
        <v>4</v>
      </c>
      <c r="P16" s="3">
        <f>M16*N16*O16</f>
        <v>71456</v>
      </c>
      <c r="Q16" s="3">
        <v>71456</v>
      </c>
      <c r="R16" s="3">
        <v>71456</v>
      </c>
      <c r="S16" s="9">
        <f t="shared" ref="S16:S17" si="72">Q16-R16</f>
        <v>0</v>
      </c>
      <c r="T16" s="3">
        <f>P16-Q16</f>
        <v>0</v>
      </c>
      <c r="U16" s="10">
        <v>0.12</v>
      </c>
      <c r="V16" s="19">
        <f t="shared" ref="V16:V21" si="73">Q16*U16</f>
        <v>8574.7199999999993</v>
      </c>
      <c r="W16" s="11">
        <v>0.42</v>
      </c>
      <c r="X16" s="3">
        <f>Q16*W16</f>
        <v>30011.52</v>
      </c>
      <c r="Y16" s="3">
        <f t="shared" ref="Y16:Y21" si="74">X16-I16</f>
        <v>6926.9199999999983</v>
      </c>
      <c r="Z16" s="19">
        <f>AF16+Y16</f>
        <v>11558.8</v>
      </c>
      <c r="AA16" s="20">
        <f t="shared" si="65"/>
        <v>2984.08</v>
      </c>
      <c r="AB16" s="21" t="s">
        <v>37</v>
      </c>
      <c r="AC16" s="18">
        <v>0.22</v>
      </c>
      <c r="AD16" s="17">
        <f t="shared" ref="AD16:AD21" si="75">M16*AC16</f>
        <v>140.36000000000001</v>
      </c>
      <c r="AE16" s="15">
        <v>33</v>
      </c>
      <c r="AF16" s="3">
        <f>AD16*AE16</f>
        <v>4631.88</v>
      </c>
    </row>
    <row r="17" spans="1:32" x14ac:dyDescent="0.25">
      <c r="A17" s="2">
        <v>16</v>
      </c>
      <c r="B17" s="3">
        <v>2104</v>
      </c>
      <c r="C17" s="3" t="s">
        <v>71</v>
      </c>
      <c r="D17" s="3" t="s">
        <v>32</v>
      </c>
      <c r="E17" s="3" t="s">
        <v>33</v>
      </c>
      <c r="F17" s="24" t="s">
        <v>54</v>
      </c>
      <c r="G17" s="3">
        <v>566</v>
      </c>
      <c r="H17" s="3">
        <v>74.95</v>
      </c>
      <c r="I17" s="17">
        <f t="shared" si="68"/>
        <v>42421.700000000004</v>
      </c>
      <c r="J17" s="18">
        <f>1.6*72*1250*7.85/1000000</f>
        <v>1.1304000000000001</v>
      </c>
      <c r="K17" s="19">
        <f>G17/J17</f>
        <v>500.70771408351021</v>
      </c>
      <c r="L17" s="3">
        <v>501</v>
      </c>
      <c r="M17" s="3">
        <v>501</v>
      </c>
      <c r="N17" s="8">
        <v>64</v>
      </c>
      <c r="O17" s="3">
        <v>4</v>
      </c>
      <c r="P17" s="3">
        <f t="shared" ref="P17:P20" si="76">M17*N17*O17</f>
        <v>128256</v>
      </c>
      <c r="Q17" s="3">
        <v>128256</v>
      </c>
      <c r="R17" s="3">
        <v>128256</v>
      </c>
      <c r="S17" s="9">
        <f t="shared" si="72"/>
        <v>0</v>
      </c>
      <c r="T17" s="3">
        <f t="shared" ref="T17" si="77">P17-Q17</f>
        <v>0</v>
      </c>
      <c r="U17" s="10">
        <v>0.08</v>
      </c>
      <c r="V17" s="19">
        <f t="shared" si="73"/>
        <v>10260.48</v>
      </c>
      <c r="W17" s="11">
        <v>0.36</v>
      </c>
      <c r="X17" s="19">
        <f t="shared" ref="X17:X21" si="78">Q17*W17</f>
        <v>46172.159999999996</v>
      </c>
      <c r="Y17" s="17">
        <f t="shared" si="74"/>
        <v>3750.4599999999919</v>
      </c>
      <c r="Z17" s="19">
        <f>AF17+Y17</f>
        <v>9537.0099999999911</v>
      </c>
      <c r="AA17" s="13">
        <f t="shared" si="65"/>
        <v>-723.47000000000844</v>
      </c>
      <c r="AB17" s="14" t="s">
        <v>34</v>
      </c>
      <c r="AC17" s="18">
        <v>0.35</v>
      </c>
      <c r="AD17" s="17">
        <f t="shared" si="75"/>
        <v>175.35</v>
      </c>
      <c r="AE17" s="15">
        <v>33</v>
      </c>
      <c r="AF17" s="3">
        <f>AD17*AE17</f>
        <v>5786.55</v>
      </c>
    </row>
    <row r="18" spans="1:32" x14ac:dyDescent="0.25">
      <c r="A18" s="2">
        <v>17</v>
      </c>
      <c r="B18" s="3">
        <v>2104</v>
      </c>
      <c r="C18" s="3" t="s">
        <v>71</v>
      </c>
      <c r="D18" s="3" t="s">
        <v>32</v>
      </c>
      <c r="E18" s="3" t="s">
        <v>33</v>
      </c>
      <c r="F18" s="24">
        <v>6380</v>
      </c>
      <c r="G18" s="3">
        <v>304</v>
      </c>
      <c r="H18" s="3">
        <v>74.95</v>
      </c>
      <c r="I18" s="17">
        <f t="shared" si="68"/>
        <v>22784.799999999999</v>
      </c>
      <c r="J18" s="18">
        <f>1.6*81*1250*7.85/1000000</f>
        <v>1.2717000000000001</v>
      </c>
      <c r="K18" s="19">
        <f t="shared" ref="K18:K20" si="79">G18/J18</f>
        <v>239.05009043013288</v>
      </c>
      <c r="L18" s="3">
        <v>239</v>
      </c>
      <c r="M18" s="3">
        <v>239</v>
      </c>
      <c r="N18" s="8">
        <v>56</v>
      </c>
      <c r="O18" s="3">
        <v>4</v>
      </c>
      <c r="P18" s="3">
        <f t="shared" si="76"/>
        <v>53536</v>
      </c>
      <c r="Q18" s="3">
        <v>53536</v>
      </c>
      <c r="R18" s="3">
        <v>53536</v>
      </c>
      <c r="S18" s="9">
        <f>Q18-R18</f>
        <v>0</v>
      </c>
      <c r="T18" s="3">
        <f>P18-Q18</f>
        <v>0</v>
      </c>
      <c r="U18" s="10">
        <v>0.1</v>
      </c>
      <c r="V18" s="19">
        <f t="shared" si="73"/>
        <v>5353.6</v>
      </c>
      <c r="W18" s="11">
        <v>0.44</v>
      </c>
      <c r="X18" s="3">
        <f t="shared" si="78"/>
        <v>23555.84</v>
      </c>
      <c r="Y18" s="3">
        <f t="shared" si="74"/>
        <v>771.04000000000087</v>
      </c>
      <c r="Z18" s="19">
        <f t="shared" ref="Z18:Z20" si="80">AF18+Y18</f>
        <v>4162.4500000000007</v>
      </c>
      <c r="AA18" s="13">
        <f t="shared" si="65"/>
        <v>-1191.1499999999996</v>
      </c>
      <c r="AB18" s="14" t="s">
        <v>34</v>
      </c>
      <c r="AC18" s="18">
        <v>0.43</v>
      </c>
      <c r="AD18" s="17">
        <f t="shared" si="75"/>
        <v>102.77</v>
      </c>
      <c r="AE18" s="15">
        <v>33</v>
      </c>
      <c r="AF18" s="3">
        <f t="shared" ref="AF18:AF20" si="81">AD18*AE18</f>
        <v>3391.41</v>
      </c>
    </row>
    <row r="19" spans="1:32" x14ac:dyDescent="0.25">
      <c r="A19" s="2">
        <v>18</v>
      </c>
      <c r="B19" s="3">
        <v>2104</v>
      </c>
      <c r="C19" s="3" t="s">
        <v>71</v>
      </c>
      <c r="D19" s="3" t="s">
        <v>32</v>
      </c>
      <c r="E19" s="2" t="s">
        <v>33</v>
      </c>
      <c r="F19" s="4">
        <v>6871</v>
      </c>
      <c r="G19" s="2">
        <v>124</v>
      </c>
      <c r="H19" s="2">
        <v>65.95</v>
      </c>
      <c r="I19" s="5">
        <f t="shared" si="68"/>
        <v>8177.8</v>
      </c>
      <c r="J19" s="6">
        <f>3.2*35*1250*7.85/1000000</f>
        <v>1.099</v>
      </c>
      <c r="K19" s="7">
        <f t="shared" si="79"/>
        <v>112.82984531392175</v>
      </c>
      <c r="L19" s="2">
        <v>113</v>
      </c>
      <c r="M19" s="2">
        <v>113</v>
      </c>
      <c r="N19" s="8">
        <v>70</v>
      </c>
      <c r="O19" s="2">
        <v>2</v>
      </c>
      <c r="P19" s="2">
        <f t="shared" si="76"/>
        <v>15820</v>
      </c>
      <c r="Q19" s="22">
        <v>15820</v>
      </c>
      <c r="R19" s="22">
        <v>15820</v>
      </c>
      <c r="S19" s="9">
        <f>Q19-R19</f>
        <v>0</v>
      </c>
      <c r="T19" s="2">
        <f t="shared" ref="T19:T21" si="82">P19-Q19</f>
        <v>0</v>
      </c>
      <c r="U19" s="10">
        <v>0.15</v>
      </c>
      <c r="V19" s="7">
        <f t="shared" si="73"/>
        <v>2373</v>
      </c>
      <c r="W19" s="11">
        <v>0.6</v>
      </c>
      <c r="X19" s="2">
        <f t="shared" si="78"/>
        <v>9492</v>
      </c>
      <c r="Y19" s="2">
        <f t="shared" si="74"/>
        <v>1314.1999999999998</v>
      </c>
      <c r="Z19" s="7">
        <f t="shared" si="80"/>
        <v>3700.76</v>
      </c>
      <c r="AA19" s="20">
        <f t="shared" si="65"/>
        <v>1327.7600000000002</v>
      </c>
      <c r="AB19" s="21" t="s">
        <v>37</v>
      </c>
      <c r="AC19" s="6">
        <v>0.64</v>
      </c>
      <c r="AD19" s="2">
        <f t="shared" si="75"/>
        <v>72.320000000000007</v>
      </c>
      <c r="AE19" s="15">
        <v>33</v>
      </c>
      <c r="AF19" s="2">
        <f t="shared" si="81"/>
        <v>2386.5600000000004</v>
      </c>
    </row>
    <row r="20" spans="1:32" x14ac:dyDescent="0.25">
      <c r="A20" s="2">
        <v>19</v>
      </c>
      <c r="B20" s="3">
        <v>274</v>
      </c>
      <c r="C20" s="3" t="s">
        <v>71</v>
      </c>
      <c r="D20" s="3" t="s">
        <v>39</v>
      </c>
      <c r="E20" s="23" t="s">
        <v>72</v>
      </c>
      <c r="F20" s="3">
        <v>1342</v>
      </c>
      <c r="G20" s="3">
        <v>242</v>
      </c>
      <c r="H20" s="2">
        <v>65.95</v>
      </c>
      <c r="I20" s="17">
        <f t="shared" si="68"/>
        <v>15959.900000000001</v>
      </c>
      <c r="J20" s="18">
        <f>2*71*1250*7.85/1000000</f>
        <v>1.393375</v>
      </c>
      <c r="K20" s="19">
        <f t="shared" si="79"/>
        <v>173.67901677581412</v>
      </c>
      <c r="L20" s="3">
        <v>174</v>
      </c>
      <c r="M20" s="3">
        <v>174</v>
      </c>
      <c r="N20" s="8">
        <v>50</v>
      </c>
      <c r="O20" s="3">
        <v>1</v>
      </c>
      <c r="P20" s="3">
        <f t="shared" si="76"/>
        <v>8700</v>
      </c>
      <c r="Q20" s="3">
        <v>8700</v>
      </c>
      <c r="R20" s="3">
        <v>8700</v>
      </c>
      <c r="S20" s="9">
        <f>Q20-R20</f>
        <v>0</v>
      </c>
      <c r="T20" s="3">
        <f t="shared" si="82"/>
        <v>0</v>
      </c>
      <c r="U20" s="10">
        <v>0.55000000000000004</v>
      </c>
      <c r="V20" s="19">
        <f t="shared" si="73"/>
        <v>4785</v>
      </c>
      <c r="W20" s="11">
        <v>2.13</v>
      </c>
      <c r="X20" s="3">
        <f t="shared" si="78"/>
        <v>18531</v>
      </c>
      <c r="Y20" s="3">
        <f t="shared" si="74"/>
        <v>2571.0999999999985</v>
      </c>
      <c r="Z20" s="19">
        <f t="shared" si="80"/>
        <v>5126.2899999999991</v>
      </c>
      <c r="AA20" s="20">
        <f t="shared" si="65"/>
        <v>341.28999999999905</v>
      </c>
      <c r="AB20" s="21" t="s">
        <v>37</v>
      </c>
      <c r="AC20" s="18">
        <v>0.44500000000000001</v>
      </c>
      <c r="AD20" s="3">
        <f t="shared" si="75"/>
        <v>77.430000000000007</v>
      </c>
      <c r="AE20" s="15">
        <v>33</v>
      </c>
      <c r="AF20" s="3">
        <f t="shared" si="81"/>
        <v>2555.19</v>
      </c>
    </row>
    <row r="21" spans="1:32" x14ac:dyDescent="0.25">
      <c r="A21" s="2">
        <v>20</v>
      </c>
      <c r="B21" s="3">
        <v>274</v>
      </c>
      <c r="C21" s="3" t="s">
        <v>71</v>
      </c>
      <c r="D21" s="3" t="s">
        <v>39</v>
      </c>
      <c r="E21" s="30" t="s">
        <v>56</v>
      </c>
      <c r="F21" s="4">
        <v>2576</v>
      </c>
      <c r="G21" s="2">
        <v>670</v>
      </c>
      <c r="H21" s="3">
        <v>65.95</v>
      </c>
      <c r="I21" s="5">
        <f>G21*H21</f>
        <v>44186.5</v>
      </c>
      <c r="J21" s="6">
        <f>2*35*1250*7.85/1000000</f>
        <v>0.68687500000000001</v>
      </c>
      <c r="K21" s="7">
        <f>G21/J21</f>
        <v>975.43221110100092</v>
      </c>
      <c r="L21" s="2">
        <v>975</v>
      </c>
      <c r="M21" s="2">
        <v>975</v>
      </c>
      <c r="N21" s="8">
        <v>18</v>
      </c>
      <c r="O21" s="2">
        <v>1</v>
      </c>
      <c r="P21" s="2">
        <f>M21*N21*O21</f>
        <v>17550</v>
      </c>
      <c r="Q21" s="22">
        <v>17550</v>
      </c>
      <c r="R21" s="22">
        <v>17550</v>
      </c>
      <c r="S21" s="9">
        <f t="shared" ref="S21" si="83">Q21-R21</f>
        <v>0</v>
      </c>
      <c r="T21" s="2">
        <f t="shared" si="82"/>
        <v>0</v>
      </c>
      <c r="U21" s="10">
        <v>0.6</v>
      </c>
      <c r="V21" s="7">
        <f t="shared" si="73"/>
        <v>10530</v>
      </c>
      <c r="W21" s="11">
        <v>2.99</v>
      </c>
      <c r="X21" s="2">
        <f t="shared" si="78"/>
        <v>52474.500000000007</v>
      </c>
      <c r="Y21" s="2">
        <f t="shared" si="74"/>
        <v>8288.0000000000073</v>
      </c>
      <c r="Z21" s="7">
        <f>AF21+Y21</f>
        <v>14723.000000000007</v>
      </c>
      <c r="AA21" s="20">
        <f t="shared" ref="AA21" si="84">Z21-V21</f>
        <v>4193.0000000000073</v>
      </c>
      <c r="AB21" s="21" t="s">
        <v>37</v>
      </c>
      <c r="AC21" s="6">
        <v>0.2</v>
      </c>
      <c r="AD21" s="2">
        <f t="shared" si="75"/>
        <v>195</v>
      </c>
      <c r="AE21" s="15">
        <v>33</v>
      </c>
      <c r="AF21" s="2">
        <f>AD21*AE21</f>
        <v>6435</v>
      </c>
    </row>
    <row r="23" spans="1:32" s="27" customFormat="1" ht="19.5" customHeight="1" x14ac:dyDescent="0.25">
      <c r="A23" s="25"/>
      <c r="B23" s="25"/>
      <c r="C23" s="25"/>
      <c r="D23" s="25"/>
      <c r="E23" s="26"/>
      <c r="F23" s="25"/>
      <c r="G23" s="28">
        <f>SUM(G2:G22)</f>
        <v>26049</v>
      </c>
      <c r="H23" s="25"/>
      <c r="I23" s="28">
        <f>SUM(I2:I22)</f>
        <v>743137.96000000008</v>
      </c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8">
        <f>SUM(AA2:AA22)</f>
        <v>30199.420000000027</v>
      </c>
      <c r="AB23" s="25"/>
      <c r="AC23" s="25"/>
      <c r="AD23" s="28">
        <f>SUM(AD2:AD22)</f>
        <v>2469.7599999999998</v>
      </c>
      <c r="AE23" s="25"/>
      <c r="AF23" s="28">
        <f>SUM(AF2:AF22)</f>
        <v>74819.039999999994</v>
      </c>
    </row>
    <row r="26" spans="1:32" ht="26.25" customHeight="1" x14ac:dyDescent="0.25">
      <c r="A26" s="1" t="s">
        <v>0</v>
      </c>
      <c r="B26" s="1" t="s">
        <v>83</v>
      </c>
      <c r="C26" s="1" t="s">
        <v>84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13</v>
      </c>
      <c r="O26" s="1" t="s">
        <v>14</v>
      </c>
      <c r="P26" s="1" t="s">
        <v>15</v>
      </c>
      <c r="Q26" s="1" t="s">
        <v>16</v>
      </c>
      <c r="R26" s="1" t="s">
        <v>17</v>
      </c>
      <c r="S26" s="1" t="s">
        <v>18</v>
      </c>
      <c r="T26" s="1" t="s">
        <v>19</v>
      </c>
      <c r="U26" s="1" t="s">
        <v>20</v>
      </c>
      <c r="V26" s="1" t="s">
        <v>21</v>
      </c>
      <c r="W26" s="1" t="s">
        <v>22</v>
      </c>
      <c r="X26" s="1" t="s">
        <v>23</v>
      </c>
      <c r="Y26" s="1" t="s">
        <v>24</v>
      </c>
      <c r="Z26" s="1" t="s">
        <v>25</v>
      </c>
      <c r="AA26" s="1" t="s">
        <v>26</v>
      </c>
      <c r="AB26" s="1" t="s">
        <v>27</v>
      </c>
      <c r="AC26" s="1" t="s">
        <v>28</v>
      </c>
      <c r="AD26" s="1" t="s">
        <v>29</v>
      </c>
      <c r="AE26" s="1" t="s">
        <v>30</v>
      </c>
      <c r="AF26" s="1" t="s">
        <v>31</v>
      </c>
    </row>
    <row r="27" spans="1:32" x14ac:dyDescent="0.25">
      <c r="A27" s="2">
        <v>1</v>
      </c>
      <c r="B27" s="3">
        <v>132</v>
      </c>
      <c r="C27" s="3" t="s">
        <v>77</v>
      </c>
      <c r="D27" s="3" t="s">
        <v>32</v>
      </c>
      <c r="E27" s="2" t="s">
        <v>33</v>
      </c>
      <c r="F27" s="4">
        <v>6086</v>
      </c>
      <c r="G27" s="2">
        <v>1220</v>
      </c>
      <c r="H27" s="2">
        <v>0</v>
      </c>
      <c r="I27" s="5">
        <f t="shared" ref="I27" si="85">G27*H27</f>
        <v>0</v>
      </c>
      <c r="J27" s="5">
        <f>1.6*66*1250*7.85/1000000</f>
        <v>1.0362</v>
      </c>
      <c r="K27" s="7">
        <f t="shared" ref="K27" si="86">G27/J27</f>
        <v>1177.3788843852537</v>
      </c>
      <c r="L27" s="2">
        <v>1177</v>
      </c>
      <c r="M27" s="2">
        <v>1177</v>
      </c>
      <c r="N27" s="8">
        <v>42</v>
      </c>
      <c r="O27" s="2">
        <v>2</v>
      </c>
      <c r="P27" s="2">
        <f t="shared" ref="P27" si="87">M27*N27*O27</f>
        <v>98868</v>
      </c>
      <c r="Q27" s="22">
        <v>98868</v>
      </c>
      <c r="R27" s="22">
        <v>98868</v>
      </c>
      <c r="S27" s="9">
        <f t="shared" ref="S27:S36" si="88">Q27-R27</f>
        <v>0</v>
      </c>
      <c r="T27" s="2">
        <f t="shared" ref="T27" si="89">P27-Q27</f>
        <v>0</v>
      </c>
      <c r="U27" s="10">
        <v>0.13700000000000001</v>
      </c>
      <c r="V27" s="7">
        <f t="shared" ref="V27" si="90">Q27*U27</f>
        <v>13544.916000000001</v>
      </c>
      <c r="W27" s="11">
        <v>0</v>
      </c>
      <c r="X27" s="2">
        <f t="shared" ref="X27" si="91">Q27*W27</f>
        <v>0</v>
      </c>
      <c r="Y27" s="2">
        <f t="shared" ref="Y27" si="92">X27-I27</f>
        <v>0</v>
      </c>
      <c r="Z27" s="7">
        <f t="shared" ref="Z27" si="93">AF27+Y27</f>
        <v>13594.35</v>
      </c>
      <c r="AA27" s="20">
        <f t="shared" ref="AA27" si="94">Z27-V27</f>
        <v>49.433999999999287</v>
      </c>
      <c r="AB27" s="21" t="s">
        <v>37</v>
      </c>
      <c r="AC27" s="31">
        <v>0.35</v>
      </c>
      <c r="AD27" s="2">
        <f t="shared" ref="AD27" si="95">M27*AC27</f>
        <v>411.95</v>
      </c>
      <c r="AE27" s="15">
        <v>33</v>
      </c>
      <c r="AF27" s="2">
        <f t="shared" ref="AF27" si="96">AD27*AE27</f>
        <v>13594.35</v>
      </c>
    </row>
    <row r="28" spans="1:32" x14ac:dyDescent="0.25">
      <c r="A28" s="2">
        <v>2</v>
      </c>
      <c r="B28" s="3">
        <v>162</v>
      </c>
      <c r="C28" s="3" t="s">
        <v>73</v>
      </c>
      <c r="D28" s="3" t="s">
        <v>32</v>
      </c>
      <c r="E28" s="2" t="s">
        <v>74</v>
      </c>
      <c r="F28" s="4" t="s">
        <v>75</v>
      </c>
      <c r="G28" s="2">
        <v>740</v>
      </c>
      <c r="H28" s="2">
        <v>0</v>
      </c>
      <c r="I28" s="5">
        <f t="shared" ref="I28" si="97">G28*H28</f>
        <v>0</v>
      </c>
      <c r="J28" s="6">
        <f>2*57*1250*7.85/1000000</f>
        <v>1.118625</v>
      </c>
      <c r="K28" s="7">
        <f t="shared" ref="K28" si="98">G28/J28</f>
        <v>661.52642753380269</v>
      </c>
      <c r="L28" s="2">
        <v>662</v>
      </c>
      <c r="M28" s="2">
        <v>662</v>
      </c>
      <c r="N28" s="8">
        <v>17</v>
      </c>
      <c r="O28" s="2">
        <v>1</v>
      </c>
      <c r="P28" s="2">
        <f t="shared" ref="P28" si="99">M28*N28*O28</f>
        <v>11254</v>
      </c>
      <c r="Q28" s="22">
        <v>11254</v>
      </c>
      <c r="R28" s="22">
        <v>11254</v>
      </c>
      <c r="S28" s="9">
        <f t="shared" si="88"/>
        <v>0</v>
      </c>
      <c r="T28" s="2">
        <f t="shared" ref="T28" si="100">P28-Q28</f>
        <v>0</v>
      </c>
      <c r="U28" s="10">
        <v>1</v>
      </c>
      <c r="V28" s="7">
        <f t="shared" ref="V28" si="101">Q28*U28</f>
        <v>11254</v>
      </c>
      <c r="W28" s="11">
        <v>0</v>
      </c>
      <c r="X28" s="2">
        <f t="shared" ref="X28" si="102">Q28*W28</f>
        <v>0</v>
      </c>
      <c r="Y28" s="2">
        <f t="shared" ref="Y28" si="103">X28-I28</f>
        <v>0</v>
      </c>
      <c r="Z28" s="7">
        <f t="shared" ref="Z28" si="104">AF28+Y28</f>
        <v>10923</v>
      </c>
      <c r="AA28" s="20">
        <f>Z28-V28</f>
        <v>-331</v>
      </c>
      <c r="AB28" s="21" t="s">
        <v>37</v>
      </c>
      <c r="AC28" s="6">
        <v>0.5</v>
      </c>
      <c r="AD28" s="2">
        <f t="shared" ref="AD28" si="105">M28*AC28</f>
        <v>331</v>
      </c>
      <c r="AE28" s="15">
        <v>33</v>
      </c>
      <c r="AF28" s="2">
        <f t="shared" ref="AF28" si="106">AD28*AE28</f>
        <v>10923</v>
      </c>
    </row>
    <row r="29" spans="1:32" x14ac:dyDescent="0.25">
      <c r="A29" s="2">
        <v>3</v>
      </c>
      <c r="B29" s="3">
        <v>162</v>
      </c>
      <c r="C29" s="3" t="s">
        <v>73</v>
      </c>
      <c r="D29" s="3" t="s">
        <v>32</v>
      </c>
      <c r="E29" s="2" t="s">
        <v>74</v>
      </c>
      <c r="F29" s="4" t="s">
        <v>76</v>
      </c>
      <c r="G29" s="2">
        <v>685</v>
      </c>
      <c r="H29" s="2">
        <v>0</v>
      </c>
      <c r="I29" s="5">
        <f t="shared" ref="I29:I30" si="107">G29*H29</f>
        <v>0</v>
      </c>
      <c r="J29" s="6">
        <f>2.3*57*1250*7.85/1000000</f>
        <v>1.2864187499999999</v>
      </c>
      <c r="K29" s="7">
        <f t="shared" ref="K29:K30" si="108">G29/J29</f>
        <v>532.48601981275544</v>
      </c>
      <c r="L29" s="2">
        <v>532</v>
      </c>
      <c r="M29" s="2">
        <v>532</v>
      </c>
      <c r="N29" s="8">
        <v>31</v>
      </c>
      <c r="O29" s="2">
        <v>1</v>
      </c>
      <c r="P29" s="2">
        <f t="shared" ref="P29:P30" si="109">M29*N29*O29</f>
        <v>16492</v>
      </c>
      <c r="Q29" s="22">
        <v>16492</v>
      </c>
      <c r="R29" s="22">
        <v>16492</v>
      </c>
      <c r="S29" s="9">
        <f t="shared" si="88"/>
        <v>0</v>
      </c>
      <c r="T29" s="2">
        <f t="shared" ref="T29:T30" si="110">P29-Q29</f>
        <v>0</v>
      </c>
      <c r="U29" s="10">
        <v>1</v>
      </c>
      <c r="V29" s="7">
        <f t="shared" ref="V29:V30" si="111">Q29*U29</f>
        <v>16492</v>
      </c>
      <c r="W29" s="11">
        <v>0</v>
      </c>
      <c r="X29" s="2">
        <f t="shared" ref="X29:X30" si="112">Q29*W29</f>
        <v>0</v>
      </c>
      <c r="Y29" s="2">
        <f t="shared" ref="Y29:Y30" si="113">X29-I29</f>
        <v>0</v>
      </c>
      <c r="Z29" s="7">
        <f t="shared" ref="Z29:Z30" si="114">AF29+Y29</f>
        <v>10533.6</v>
      </c>
      <c r="AA29" s="20">
        <f>Z29-V29</f>
        <v>-5958.4</v>
      </c>
      <c r="AB29" s="21" t="s">
        <v>37</v>
      </c>
      <c r="AC29" s="6">
        <v>0.6</v>
      </c>
      <c r="AD29" s="7">
        <f t="shared" ref="AD29:AD30" si="115">M29*AC29</f>
        <v>319.2</v>
      </c>
      <c r="AE29" s="15">
        <v>33</v>
      </c>
      <c r="AF29" s="2">
        <f t="shared" ref="AF29:AF30" si="116">AD29*AE29</f>
        <v>10533.6</v>
      </c>
    </row>
    <row r="30" spans="1:32" x14ac:dyDescent="0.25">
      <c r="A30" s="2">
        <v>4</v>
      </c>
      <c r="B30" s="3">
        <v>178</v>
      </c>
      <c r="C30" s="3" t="s">
        <v>70</v>
      </c>
      <c r="D30" s="3" t="s">
        <v>32</v>
      </c>
      <c r="E30" s="2" t="s">
        <v>33</v>
      </c>
      <c r="F30" s="4">
        <v>6086</v>
      </c>
      <c r="G30" s="2">
        <v>338</v>
      </c>
      <c r="H30" s="2">
        <v>0</v>
      </c>
      <c r="I30" s="5">
        <f t="shared" si="107"/>
        <v>0</v>
      </c>
      <c r="J30" s="5">
        <f>1.6*66*1250*7.85/1000000</f>
        <v>1.0362</v>
      </c>
      <c r="K30" s="7">
        <f t="shared" si="108"/>
        <v>326.19185485427522</v>
      </c>
      <c r="L30" s="2">
        <v>326</v>
      </c>
      <c r="M30" s="2">
        <v>326</v>
      </c>
      <c r="N30" s="8">
        <v>42</v>
      </c>
      <c r="O30" s="2">
        <v>2</v>
      </c>
      <c r="P30" s="2">
        <f t="shared" si="109"/>
        <v>27384</v>
      </c>
      <c r="Q30" s="22">
        <v>27384</v>
      </c>
      <c r="R30" s="22">
        <v>27384</v>
      </c>
      <c r="S30" s="9">
        <f t="shared" si="88"/>
        <v>0</v>
      </c>
      <c r="T30" s="2">
        <f t="shared" si="110"/>
        <v>0</v>
      </c>
      <c r="U30" s="10">
        <v>0.15</v>
      </c>
      <c r="V30" s="7">
        <f t="shared" si="111"/>
        <v>4107.5999999999995</v>
      </c>
      <c r="W30" s="11">
        <v>0</v>
      </c>
      <c r="X30" s="2">
        <f t="shared" si="112"/>
        <v>0</v>
      </c>
      <c r="Y30" s="2">
        <f t="shared" si="113"/>
        <v>0</v>
      </c>
      <c r="Z30" s="7">
        <f t="shared" si="114"/>
        <v>3765.2999999999997</v>
      </c>
      <c r="AA30" s="20">
        <f t="shared" ref="AA30" si="117">Z30-V30</f>
        <v>-342.29999999999973</v>
      </c>
      <c r="AB30" s="21" t="s">
        <v>37</v>
      </c>
      <c r="AC30" s="31">
        <v>0.35</v>
      </c>
      <c r="AD30" s="2">
        <f t="shared" si="115"/>
        <v>114.1</v>
      </c>
      <c r="AE30" s="15">
        <v>33</v>
      </c>
      <c r="AF30" s="2">
        <f t="shared" si="116"/>
        <v>3765.2999999999997</v>
      </c>
    </row>
    <row r="31" spans="1:32" x14ac:dyDescent="0.25">
      <c r="A31" s="2">
        <v>5</v>
      </c>
      <c r="B31" s="3">
        <v>178</v>
      </c>
      <c r="C31" s="3" t="s">
        <v>70</v>
      </c>
      <c r="D31" s="3" t="s">
        <v>32</v>
      </c>
      <c r="E31" s="2" t="s">
        <v>74</v>
      </c>
      <c r="F31" s="4" t="s">
        <v>76</v>
      </c>
      <c r="G31" s="2">
        <v>625</v>
      </c>
      <c r="H31" s="2">
        <v>0</v>
      </c>
      <c r="I31" s="5">
        <f t="shared" ref="I31:I32" si="118">G31*H31</f>
        <v>0</v>
      </c>
      <c r="J31" s="6">
        <f>2.3*57*1250*7.85/1000000</f>
        <v>1.2864187499999999</v>
      </c>
      <c r="K31" s="7">
        <f t="shared" ref="K31:K32" si="119">G31/J31</f>
        <v>485.84490858828048</v>
      </c>
      <c r="L31" s="2">
        <v>486</v>
      </c>
      <c r="M31" s="2">
        <v>486</v>
      </c>
      <c r="N31" s="8">
        <v>31</v>
      </c>
      <c r="O31" s="2">
        <v>1</v>
      </c>
      <c r="P31" s="2">
        <f t="shared" ref="P31:P32" si="120">M31*N31*O31</f>
        <v>15066</v>
      </c>
      <c r="Q31" s="22">
        <v>15066</v>
      </c>
      <c r="R31" s="22">
        <v>15066</v>
      </c>
      <c r="S31" s="9">
        <f t="shared" si="88"/>
        <v>0</v>
      </c>
      <c r="T31" s="2">
        <f t="shared" ref="T31:T32" si="121">P31-Q31</f>
        <v>0</v>
      </c>
      <c r="U31" s="10">
        <v>1</v>
      </c>
      <c r="V31" s="7">
        <f t="shared" ref="V31:V32" si="122">Q31*U31</f>
        <v>15066</v>
      </c>
      <c r="W31" s="11">
        <v>0</v>
      </c>
      <c r="X31" s="2">
        <f t="shared" ref="X31:X32" si="123">Q31*W31</f>
        <v>0</v>
      </c>
      <c r="Y31" s="2">
        <f t="shared" ref="Y31:Y32" si="124">X31-I31</f>
        <v>0</v>
      </c>
      <c r="Z31" s="7">
        <f t="shared" ref="Z31:Z32" si="125">AF31+Y31</f>
        <v>9622.7999999999993</v>
      </c>
      <c r="AA31" s="20">
        <f t="shared" ref="AA31:AA36" si="126">Z31-V31</f>
        <v>-5443.2000000000007</v>
      </c>
      <c r="AB31" s="21" t="s">
        <v>37</v>
      </c>
      <c r="AC31" s="6">
        <v>0.6</v>
      </c>
      <c r="AD31" s="7">
        <f t="shared" ref="AD31:AD32" si="127">M31*AC31</f>
        <v>291.59999999999997</v>
      </c>
      <c r="AE31" s="15">
        <v>33</v>
      </c>
      <c r="AF31" s="2">
        <f t="shared" ref="AF31:AF32" si="128">AD31*AE31</f>
        <v>9622.7999999999993</v>
      </c>
    </row>
    <row r="32" spans="1:32" x14ac:dyDescent="0.25">
      <c r="A32" s="2">
        <v>6</v>
      </c>
      <c r="B32" s="3">
        <v>184</v>
      </c>
      <c r="C32" s="3" t="s">
        <v>78</v>
      </c>
      <c r="D32" s="3" t="s">
        <v>32</v>
      </c>
      <c r="E32" s="2" t="s">
        <v>74</v>
      </c>
      <c r="F32" s="4" t="s">
        <v>75</v>
      </c>
      <c r="G32" s="2">
        <v>522</v>
      </c>
      <c r="H32" s="2">
        <v>0</v>
      </c>
      <c r="I32" s="5">
        <f t="shared" si="118"/>
        <v>0</v>
      </c>
      <c r="J32" s="6">
        <f>2*57*1250*7.85/1000000</f>
        <v>1.118625</v>
      </c>
      <c r="K32" s="7">
        <f t="shared" si="119"/>
        <v>466.64431780087159</v>
      </c>
      <c r="L32" s="2">
        <v>467</v>
      </c>
      <c r="M32" s="2">
        <v>467</v>
      </c>
      <c r="N32" s="8">
        <v>17</v>
      </c>
      <c r="O32" s="2">
        <v>1</v>
      </c>
      <c r="P32" s="2">
        <f t="shared" si="120"/>
        <v>7939</v>
      </c>
      <c r="Q32" s="22">
        <v>7939</v>
      </c>
      <c r="R32" s="22">
        <v>7939</v>
      </c>
      <c r="S32" s="9">
        <f t="shared" si="88"/>
        <v>0</v>
      </c>
      <c r="T32" s="2">
        <f t="shared" si="121"/>
        <v>0</v>
      </c>
      <c r="U32" s="10">
        <v>1</v>
      </c>
      <c r="V32" s="7">
        <f t="shared" si="122"/>
        <v>7939</v>
      </c>
      <c r="W32" s="11">
        <v>0</v>
      </c>
      <c r="X32" s="2">
        <f t="shared" si="123"/>
        <v>0</v>
      </c>
      <c r="Y32" s="2">
        <f t="shared" si="124"/>
        <v>0</v>
      </c>
      <c r="Z32" s="7">
        <f t="shared" si="125"/>
        <v>7705.5</v>
      </c>
      <c r="AA32" s="20">
        <f t="shared" si="126"/>
        <v>-233.5</v>
      </c>
      <c r="AB32" s="21" t="s">
        <v>37</v>
      </c>
      <c r="AC32" s="6">
        <v>0.5</v>
      </c>
      <c r="AD32" s="2">
        <f t="shared" si="127"/>
        <v>233.5</v>
      </c>
      <c r="AE32" s="15">
        <v>33</v>
      </c>
      <c r="AF32" s="2">
        <f t="shared" si="128"/>
        <v>7705.5</v>
      </c>
    </row>
    <row r="33" spans="1:32" x14ac:dyDescent="0.25">
      <c r="A33" s="2">
        <v>7</v>
      </c>
      <c r="B33" s="3">
        <v>201</v>
      </c>
      <c r="C33" s="3" t="s">
        <v>79</v>
      </c>
      <c r="D33" s="3" t="s">
        <v>32</v>
      </c>
      <c r="E33" s="2" t="s">
        <v>74</v>
      </c>
      <c r="F33" s="4" t="s">
        <v>75</v>
      </c>
      <c r="G33" s="2">
        <v>481</v>
      </c>
      <c r="H33" s="2">
        <v>0</v>
      </c>
      <c r="I33" s="5">
        <f t="shared" ref="I33:I34" si="129">G33*H33</f>
        <v>0</v>
      </c>
      <c r="J33" s="6">
        <f>2*57*1250*7.85/1000000</f>
        <v>1.118625</v>
      </c>
      <c r="K33" s="7">
        <f t="shared" ref="K33:K34" si="130">G33/J33</f>
        <v>429.99217789697173</v>
      </c>
      <c r="L33" s="2">
        <v>430</v>
      </c>
      <c r="M33" s="2">
        <v>430</v>
      </c>
      <c r="N33" s="8">
        <v>17</v>
      </c>
      <c r="O33" s="2">
        <v>1</v>
      </c>
      <c r="P33" s="2">
        <f t="shared" ref="P33:P34" si="131">M33*N33*O33</f>
        <v>7310</v>
      </c>
      <c r="Q33" s="22">
        <v>7310</v>
      </c>
      <c r="R33" s="22">
        <v>7310</v>
      </c>
      <c r="S33" s="9">
        <f t="shared" si="88"/>
        <v>0</v>
      </c>
      <c r="T33" s="2">
        <f t="shared" ref="T33:T34" si="132">P33-Q33</f>
        <v>0</v>
      </c>
      <c r="U33" s="10">
        <v>1</v>
      </c>
      <c r="V33" s="7">
        <f t="shared" ref="V33:V34" si="133">Q33*U33</f>
        <v>7310</v>
      </c>
      <c r="W33" s="11">
        <v>0</v>
      </c>
      <c r="X33" s="2">
        <f t="shared" ref="X33:X34" si="134">Q33*W33</f>
        <v>0</v>
      </c>
      <c r="Y33" s="2">
        <f t="shared" ref="Y33:Y34" si="135">X33-I33</f>
        <v>0</v>
      </c>
      <c r="Z33" s="7">
        <f t="shared" ref="Z33:Z34" si="136">AF33+Y33</f>
        <v>7095</v>
      </c>
      <c r="AA33" s="20">
        <f t="shared" si="126"/>
        <v>-215</v>
      </c>
      <c r="AB33" s="21" t="s">
        <v>37</v>
      </c>
      <c r="AC33" s="6">
        <v>0.5</v>
      </c>
      <c r="AD33" s="2">
        <f t="shared" ref="AD33:AD34" si="137">M33*AC33</f>
        <v>215</v>
      </c>
      <c r="AE33" s="15">
        <v>33</v>
      </c>
      <c r="AF33" s="2">
        <f t="shared" ref="AF33:AF34" si="138">AD33*AE33</f>
        <v>7095</v>
      </c>
    </row>
    <row r="34" spans="1:32" x14ac:dyDescent="0.25">
      <c r="A34" s="2">
        <v>8</v>
      </c>
      <c r="B34" s="3">
        <v>201</v>
      </c>
      <c r="C34" s="3" t="s">
        <v>79</v>
      </c>
      <c r="D34" s="3" t="s">
        <v>32</v>
      </c>
      <c r="E34" s="2" t="s">
        <v>74</v>
      </c>
      <c r="F34" s="4" t="s">
        <v>76</v>
      </c>
      <c r="G34" s="2">
        <v>615</v>
      </c>
      <c r="H34" s="2">
        <v>0</v>
      </c>
      <c r="I34" s="5">
        <f t="shared" si="129"/>
        <v>0</v>
      </c>
      <c r="J34" s="6">
        <f>2.3*57*1250*7.85/1000000</f>
        <v>1.2864187499999999</v>
      </c>
      <c r="K34" s="7">
        <f t="shared" si="130"/>
        <v>478.07139005086799</v>
      </c>
      <c r="L34" s="2">
        <v>478</v>
      </c>
      <c r="M34" s="2">
        <v>478</v>
      </c>
      <c r="N34" s="8">
        <v>31</v>
      </c>
      <c r="O34" s="2">
        <v>1</v>
      </c>
      <c r="P34" s="2">
        <f t="shared" si="131"/>
        <v>14818</v>
      </c>
      <c r="Q34" s="22">
        <v>14818</v>
      </c>
      <c r="R34" s="22">
        <v>14818</v>
      </c>
      <c r="S34" s="9">
        <f t="shared" si="88"/>
        <v>0</v>
      </c>
      <c r="T34" s="2">
        <f t="shared" si="132"/>
        <v>0</v>
      </c>
      <c r="U34" s="10">
        <v>1</v>
      </c>
      <c r="V34" s="7">
        <f t="shared" si="133"/>
        <v>14818</v>
      </c>
      <c r="W34" s="11">
        <v>0</v>
      </c>
      <c r="X34" s="2">
        <f t="shared" si="134"/>
        <v>0</v>
      </c>
      <c r="Y34" s="2">
        <f t="shared" si="135"/>
        <v>0</v>
      </c>
      <c r="Z34" s="7">
        <f t="shared" si="136"/>
        <v>9464.4</v>
      </c>
      <c r="AA34" s="20">
        <f t="shared" si="126"/>
        <v>-5353.6</v>
      </c>
      <c r="AB34" s="21" t="s">
        <v>37</v>
      </c>
      <c r="AC34" s="6">
        <v>0.6</v>
      </c>
      <c r="AD34" s="7">
        <f t="shared" si="137"/>
        <v>286.8</v>
      </c>
      <c r="AE34" s="15">
        <v>33</v>
      </c>
      <c r="AF34" s="2">
        <f t="shared" si="138"/>
        <v>9464.4</v>
      </c>
    </row>
    <row r="35" spans="1:32" x14ac:dyDescent="0.25">
      <c r="A35" s="2">
        <v>9</v>
      </c>
      <c r="B35" s="3">
        <v>204</v>
      </c>
      <c r="C35" s="3" t="s">
        <v>80</v>
      </c>
      <c r="D35" s="3" t="s">
        <v>32</v>
      </c>
      <c r="E35" s="2" t="s">
        <v>74</v>
      </c>
      <c r="F35" s="4" t="s">
        <v>81</v>
      </c>
      <c r="G35" s="2">
        <v>327</v>
      </c>
      <c r="H35" s="2">
        <v>0</v>
      </c>
      <c r="I35" s="5">
        <f t="shared" ref="I35" si="139">G35*H35</f>
        <v>0</v>
      </c>
      <c r="J35" s="6">
        <f>2.3*105*1250*7.85/1000000</f>
        <v>2.3697187499999997</v>
      </c>
      <c r="K35" s="7">
        <f t="shared" ref="K35" si="140">G35/J35</f>
        <v>137.99105906555369</v>
      </c>
      <c r="L35" s="2">
        <v>138</v>
      </c>
      <c r="M35" s="2">
        <v>138</v>
      </c>
      <c r="N35" s="8">
        <v>20</v>
      </c>
      <c r="O35" s="2">
        <v>1</v>
      </c>
      <c r="P35" s="2">
        <f t="shared" ref="P35" si="141">M35*N35*O35</f>
        <v>2760</v>
      </c>
      <c r="Q35" s="22">
        <v>2760</v>
      </c>
      <c r="R35" s="22">
        <v>2760</v>
      </c>
      <c r="S35" s="9">
        <f t="shared" si="88"/>
        <v>0</v>
      </c>
      <c r="T35" s="2">
        <f t="shared" ref="T35" si="142">P35-Q35</f>
        <v>0</v>
      </c>
      <c r="U35" s="10">
        <v>0.7</v>
      </c>
      <c r="V35" s="7">
        <f t="shared" ref="V35" si="143">Q35*U35</f>
        <v>1931.9999999999998</v>
      </c>
      <c r="W35" s="11">
        <v>0</v>
      </c>
      <c r="X35" s="2">
        <f t="shared" ref="X35" si="144">Q35*W35</f>
        <v>0</v>
      </c>
      <c r="Y35" s="2">
        <f t="shared" ref="Y35" si="145">X35-I35</f>
        <v>0</v>
      </c>
      <c r="Z35" s="7">
        <f t="shared" ref="Z35" si="146">AF35+Y35</f>
        <v>4554</v>
      </c>
      <c r="AA35" s="20">
        <f t="shared" si="126"/>
        <v>2622</v>
      </c>
      <c r="AB35" s="21" t="s">
        <v>37</v>
      </c>
      <c r="AC35" s="6">
        <v>1</v>
      </c>
      <c r="AD35" s="7">
        <f t="shared" ref="AD35" si="147">M35*AC35</f>
        <v>138</v>
      </c>
      <c r="AE35" s="15">
        <v>33</v>
      </c>
      <c r="AF35" s="2">
        <f t="shared" ref="AF35" si="148">AD35*AE35</f>
        <v>4554</v>
      </c>
    </row>
    <row r="36" spans="1:32" x14ac:dyDescent="0.25">
      <c r="A36" s="2">
        <v>10</v>
      </c>
      <c r="B36" s="3">
        <v>220</v>
      </c>
      <c r="C36" s="3" t="s">
        <v>82</v>
      </c>
      <c r="D36" s="3" t="s">
        <v>32</v>
      </c>
      <c r="E36" s="2" t="s">
        <v>74</v>
      </c>
      <c r="F36" s="4" t="s">
        <v>81</v>
      </c>
      <c r="G36" s="2">
        <v>282</v>
      </c>
      <c r="H36" s="2">
        <v>0</v>
      </c>
      <c r="I36" s="5">
        <f t="shared" ref="I36" si="149">G36*H36</f>
        <v>0</v>
      </c>
      <c r="J36" s="6">
        <f>2.3*105*1250*7.85/1000000</f>
        <v>2.3697187499999997</v>
      </c>
      <c r="K36" s="7">
        <f t="shared" ref="K36" si="150">G36/J36</f>
        <v>119.00146378130317</v>
      </c>
      <c r="L36" s="2">
        <v>119</v>
      </c>
      <c r="M36" s="2">
        <v>119</v>
      </c>
      <c r="N36" s="8">
        <v>20</v>
      </c>
      <c r="O36" s="2">
        <v>1</v>
      </c>
      <c r="P36" s="2">
        <f t="shared" ref="P36" si="151">M36*N36*O36</f>
        <v>2380</v>
      </c>
      <c r="Q36" s="22">
        <v>2380</v>
      </c>
      <c r="R36" s="22">
        <v>2380</v>
      </c>
      <c r="S36" s="9">
        <f t="shared" si="88"/>
        <v>0</v>
      </c>
      <c r="T36" s="2">
        <f t="shared" ref="T36" si="152">P36-Q36</f>
        <v>0</v>
      </c>
      <c r="U36" s="10">
        <v>0.7</v>
      </c>
      <c r="V36" s="7">
        <f t="shared" ref="V36" si="153">Q36*U36</f>
        <v>1666</v>
      </c>
      <c r="W36" s="11">
        <v>0</v>
      </c>
      <c r="X36" s="2">
        <f t="shared" ref="X36" si="154">Q36*W36</f>
        <v>0</v>
      </c>
      <c r="Y36" s="2">
        <f t="shared" ref="Y36" si="155">X36-I36</f>
        <v>0</v>
      </c>
      <c r="Z36" s="7">
        <f t="shared" ref="Z36" si="156">AF36+Y36</f>
        <v>3927</v>
      </c>
      <c r="AA36" s="20">
        <f t="shared" si="126"/>
        <v>2261</v>
      </c>
      <c r="AB36" s="21" t="s">
        <v>37</v>
      </c>
      <c r="AC36" s="6">
        <v>1</v>
      </c>
      <c r="AD36" s="7">
        <f t="shared" ref="AD36" si="157">M36*AC36</f>
        <v>119</v>
      </c>
      <c r="AE36" s="15">
        <v>33</v>
      </c>
      <c r="AF36" s="2">
        <f t="shared" ref="AF36" si="158">AD36*AE36</f>
        <v>3927</v>
      </c>
    </row>
    <row r="37" spans="1:32" x14ac:dyDescent="0.25">
      <c r="A37" s="2">
        <v>11</v>
      </c>
      <c r="B37" s="3">
        <v>234</v>
      </c>
      <c r="C37" s="3" t="s">
        <v>85</v>
      </c>
      <c r="D37" s="3" t="s">
        <v>32</v>
      </c>
      <c r="E37" s="2" t="s">
        <v>74</v>
      </c>
      <c r="F37" s="4" t="s">
        <v>81</v>
      </c>
      <c r="G37" s="2">
        <v>940</v>
      </c>
      <c r="H37" s="2">
        <v>0</v>
      </c>
      <c r="I37" s="5">
        <f t="shared" ref="I37" si="159">G37*H37</f>
        <v>0</v>
      </c>
      <c r="J37" s="32">
        <f>2.3*158*1250*7.85/1000000</f>
        <v>3.5658625000000002</v>
      </c>
      <c r="K37" s="7">
        <f t="shared" ref="K37" si="160">G37/J37</f>
        <v>263.6108374902285</v>
      </c>
      <c r="L37" s="2">
        <v>264</v>
      </c>
      <c r="M37" s="2">
        <v>264</v>
      </c>
      <c r="N37" s="8">
        <v>29</v>
      </c>
      <c r="O37" s="2">
        <v>1</v>
      </c>
      <c r="P37" s="2">
        <f t="shared" ref="P37" si="161">M37*N37*O37</f>
        <v>7656</v>
      </c>
      <c r="Q37" s="22">
        <v>7656</v>
      </c>
      <c r="R37" s="22">
        <v>7656</v>
      </c>
      <c r="S37" s="9">
        <f t="shared" ref="S37" si="162">Q37-R37</f>
        <v>0</v>
      </c>
      <c r="T37" s="2">
        <f t="shared" ref="T37" si="163">P37-Q37</f>
        <v>0</v>
      </c>
      <c r="U37" s="10">
        <v>0.7</v>
      </c>
      <c r="V37" s="7">
        <f t="shared" ref="V37" si="164">Q37*U37</f>
        <v>5359.2</v>
      </c>
      <c r="W37" s="11">
        <v>0</v>
      </c>
      <c r="X37" s="2">
        <f t="shared" ref="X37" si="165">Q37*W37</f>
        <v>0</v>
      </c>
      <c r="Y37" s="2">
        <f t="shared" ref="Y37" si="166">X37-I37</f>
        <v>0</v>
      </c>
      <c r="Z37" s="7">
        <f>AF37+Y37</f>
        <v>14810.4</v>
      </c>
      <c r="AA37" s="20">
        <f t="shared" ref="AA37" si="167">Z37-V37</f>
        <v>9451.2000000000007</v>
      </c>
      <c r="AB37" s="21" t="s">
        <v>37</v>
      </c>
      <c r="AC37" s="6">
        <v>1.7</v>
      </c>
      <c r="AD37" s="7">
        <f t="shared" ref="AD37" si="168">M37*AC37</f>
        <v>448.8</v>
      </c>
      <c r="AE37" s="15">
        <v>33</v>
      </c>
      <c r="AF37" s="2">
        <f t="shared" ref="AF37" si="169">AD37*AE37</f>
        <v>14810.4</v>
      </c>
    </row>
    <row r="39" spans="1:32" x14ac:dyDescent="0.25">
      <c r="G39" s="28">
        <f>SUM(G27:G38)</f>
        <v>6775</v>
      </c>
      <c r="AA39" s="28">
        <f>SUM(AA27:AA38)</f>
        <v>-3493.3659999999982</v>
      </c>
      <c r="AD39" s="28">
        <f>SUM(AD27:AD38)</f>
        <v>2908.9500000000003</v>
      </c>
      <c r="AF39" s="28">
        <f>SUM(AF27:AF38)</f>
        <v>95995.349999999991</v>
      </c>
    </row>
    <row r="41" spans="1:32" x14ac:dyDescent="0.25">
      <c r="J41" s="62">
        <f>J36/N36</f>
        <v>0.11848593749999999</v>
      </c>
      <c r="K41" s="62"/>
      <c r="L41" s="62"/>
    </row>
    <row r="42" spans="1:32" x14ac:dyDescent="0.25">
      <c r="J42" s="62">
        <f>J37/N37</f>
        <v>0.12296077586206897</v>
      </c>
      <c r="K42" s="62"/>
      <c r="L42" s="62"/>
    </row>
    <row r="43" spans="1:32" x14ac:dyDescent="0.25">
      <c r="J43" s="62">
        <f>J42-J41</f>
        <v>4.4748383620689808E-3</v>
      </c>
      <c r="K43" s="62"/>
      <c r="L43" s="62"/>
    </row>
  </sheetData>
  <autoFilter ref="A26:AF37"/>
  <mergeCells count="3">
    <mergeCell ref="J41:L41"/>
    <mergeCell ref="J42:L42"/>
    <mergeCell ref="J43:L4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3"/>
  <sheetViews>
    <sheetView topLeftCell="A14" workbookViewId="0">
      <selection activeCell="A29" sqref="A29:AF29"/>
    </sheetView>
  </sheetViews>
  <sheetFormatPr defaultRowHeight="15" x14ac:dyDescent="0.25"/>
  <cols>
    <col min="1" max="1" width="4.140625" bestFit="1" customWidth="1"/>
    <col min="2" max="2" width="5.28515625" customWidth="1"/>
    <col min="3" max="3" width="7" bestFit="1" customWidth="1"/>
    <col min="4" max="4" width="4.7109375" customWidth="1"/>
    <col min="5" max="5" width="9" customWidth="1"/>
    <col min="6" max="6" width="6.140625" customWidth="1"/>
    <col min="7" max="7" width="6" customWidth="1"/>
    <col min="8" max="8" width="5.5703125" customWidth="1"/>
    <col min="9" max="9" width="9.140625" customWidth="1"/>
    <col min="10" max="10" width="6" customWidth="1"/>
    <col min="11" max="13" width="5" customWidth="1"/>
    <col min="14" max="14" width="3" customWidth="1"/>
    <col min="15" max="15" width="2.5703125" customWidth="1"/>
    <col min="16" max="18" width="6.42578125" customWidth="1"/>
    <col min="19" max="19" width="3.28515625" customWidth="1"/>
    <col min="20" max="20" width="3.28515625" bestFit="1" customWidth="1"/>
    <col min="21" max="21" width="4.28515625" customWidth="1"/>
    <col min="22" max="22" width="6.28515625" customWidth="1"/>
    <col min="23" max="23" width="4.28515625" customWidth="1"/>
    <col min="24" max="25" width="6.42578125" customWidth="1"/>
    <col min="26" max="26" width="6.85546875" bestFit="1" customWidth="1"/>
    <col min="27" max="27" width="8" customWidth="1"/>
    <col min="28" max="28" width="3.140625" bestFit="1" customWidth="1"/>
    <col min="29" max="29" width="7.5703125" bestFit="1" customWidth="1"/>
    <col min="30" max="30" width="7.85546875" bestFit="1" customWidth="1"/>
    <col min="31" max="31" width="7.42578125" bestFit="1" customWidth="1"/>
    <col min="32" max="32" width="7.85546875" bestFit="1" customWidth="1"/>
  </cols>
  <sheetData>
    <row r="1" spans="1:32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1</v>
      </c>
      <c r="B2" s="3">
        <v>294</v>
      </c>
      <c r="C2" s="3" t="s">
        <v>86</v>
      </c>
      <c r="D2" s="46" t="s">
        <v>39</v>
      </c>
      <c r="E2" s="23" t="s">
        <v>53</v>
      </c>
      <c r="F2" s="24">
        <v>7145</v>
      </c>
      <c r="G2" s="3">
        <v>366</v>
      </c>
      <c r="H2" s="3">
        <v>63.92</v>
      </c>
      <c r="I2" s="17">
        <f t="shared" ref="I2:I4" si="0">G2*H2</f>
        <v>23394.720000000001</v>
      </c>
      <c r="J2" s="18">
        <f>2.6*100*1250*7.85/1000000</f>
        <v>2.55125</v>
      </c>
      <c r="K2" s="19">
        <f t="shared" ref="K2:K4" si="1">G2/J2</f>
        <v>143.45908868201863</v>
      </c>
      <c r="L2" s="3">
        <v>143</v>
      </c>
      <c r="M2" s="3">
        <v>143</v>
      </c>
      <c r="N2" s="8">
        <v>58</v>
      </c>
      <c r="O2" s="3">
        <v>1</v>
      </c>
      <c r="P2" s="3">
        <f t="shared" ref="P2:P4" si="2">M2*N2*O2</f>
        <v>8294</v>
      </c>
      <c r="Q2" s="3">
        <v>8294</v>
      </c>
      <c r="R2" s="3">
        <v>8294</v>
      </c>
      <c r="S2" s="9">
        <f t="shared" ref="S2" si="3">Q2-R2</f>
        <v>0</v>
      </c>
      <c r="T2" s="3">
        <f t="shared" ref="T2" si="4">P2-Q2</f>
        <v>0</v>
      </c>
      <c r="U2" s="10">
        <v>0.55000000000000004</v>
      </c>
      <c r="V2" s="19">
        <f t="shared" ref="V2:V4" si="5">Q2*U2</f>
        <v>4561.7000000000007</v>
      </c>
      <c r="W2" s="11">
        <v>2.75</v>
      </c>
      <c r="X2" s="3">
        <f t="shared" ref="X2" si="6">Q2*W2</f>
        <v>22808.5</v>
      </c>
      <c r="Y2" s="3">
        <f t="shared" ref="Y2:Y4" si="7">X2-I2</f>
        <v>-586.22000000000116</v>
      </c>
      <c r="Z2" s="19">
        <f t="shared" ref="Z2:Z4" si="8">AF2+Y2</f>
        <v>4721.9399999999987</v>
      </c>
      <c r="AA2" s="20">
        <f t="shared" ref="AA2:AA4" si="9">Z2-V2</f>
        <v>160.23999999999796</v>
      </c>
      <c r="AB2" s="21" t="s">
        <v>37</v>
      </c>
      <c r="AC2" s="18">
        <v>1.1599999999999999</v>
      </c>
      <c r="AD2" s="17">
        <f t="shared" ref="AD2:AD4" si="10">M2*AC2</f>
        <v>165.88</v>
      </c>
      <c r="AE2" s="15">
        <v>32</v>
      </c>
      <c r="AF2" s="3">
        <f t="shared" ref="AF2:AF4" si="11">AD2*AE2</f>
        <v>5308.16</v>
      </c>
    </row>
    <row r="3" spans="1:32" x14ac:dyDescent="0.25">
      <c r="A3" s="2">
        <v>2</v>
      </c>
      <c r="B3" s="3">
        <v>294</v>
      </c>
      <c r="C3" s="3" t="s">
        <v>86</v>
      </c>
      <c r="D3" s="46" t="s">
        <v>39</v>
      </c>
      <c r="E3" s="23" t="s">
        <v>48</v>
      </c>
      <c r="F3" s="24">
        <v>7479</v>
      </c>
      <c r="G3" s="3">
        <v>116</v>
      </c>
      <c r="H3" s="3">
        <v>73.92</v>
      </c>
      <c r="I3" s="17">
        <f t="shared" si="0"/>
        <v>8574.7199999999993</v>
      </c>
      <c r="J3" s="18">
        <f>1.6*39*1250*7.85/1000000</f>
        <v>0.61229999999999996</v>
      </c>
      <c r="K3" s="19">
        <f t="shared" si="1"/>
        <v>189.44961620120858</v>
      </c>
      <c r="L3" s="19">
        <v>189</v>
      </c>
      <c r="M3" s="19">
        <v>189</v>
      </c>
      <c r="N3" s="8">
        <v>80</v>
      </c>
      <c r="O3" s="3">
        <v>1</v>
      </c>
      <c r="P3" s="3">
        <f t="shared" si="2"/>
        <v>15120</v>
      </c>
      <c r="Q3" s="3">
        <v>15120</v>
      </c>
      <c r="R3" s="3">
        <v>15120</v>
      </c>
      <c r="S3" s="9">
        <f>Q3-R3</f>
        <v>0</v>
      </c>
      <c r="T3" s="3">
        <f>P3-Q3</f>
        <v>0</v>
      </c>
      <c r="U3" s="10">
        <v>0.55000000000000004</v>
      </c>
      <c r="V3" s="19">
        <f t="shared" si="5"/>
        <v>8316</v>
      </c>
      <c r="W3" s="11">
        <v>1.07</v>
      </c>
      <c r="X3" s="3">
        <f>Q3*W3</f>
        <v>16178.400000000001</v>
      </c>
      <c r="Y3" s="3">
        <f t="shared" si="7"/>
        <v>7603.6800000000021</v>
      </c>
      <c r="Z3" s="19">
        <f t="shared" si="8"/>
        <v>8510.8800000000028</v>
      </c>
      <c r="AA3" s="20">
        <f t="shared" si="9"/>
        <v>194.88000000000284</v>
      </c>
      <c r="AB3" s="21" t="s">
        <v>37</v>
      </c>
      <c r="AC3" s="18">
        <v>0.15</v>
      </c>
      <c r="AD3" s="17">
        <f t="shared" si="10"/>
        <v>28.349999999999998</v>
      </c>
      <c r="AE3" s="15">
        <v>32</v>
      </c>
      <c r="AF3" s="3">
        <f t="shared" si="11"/>
        <v>907.19999999999993</v>
      </c>
    </row>
    <row r="4" spans="1:32" x14ac:dyDescent="0.25">
      <c r="A4" s="2">
        <v>3</v>
      </c>
      <c r="B4" s="3">
        <v>70</v>
      </c>
      <c r="C4" s="3" t="s">
        <v>86</v>
      </c>
      <c r="D4" s="34" t="s">
        <v>88</v>
      </c>
      <c r="E4" s="2" t="s">
        <v>33</v>
      </c>
      <c r="F4" s="4">
        <v>6871</v>
      </c>
      <c r="G4" s="2">
        <v>134</v>
      </c>
      <c r="H4" s="2">
        <v>64.92</v>
      </c>
      <c r="I4" s="5">
        <f t="shared" si="0"/>
        <v>8699.2800000000007</v>
      </c>
      <c r="J4" s="6">
        <f>3.2*35*1250*7.85/1000000</f>
        <v>1.099</v>
      </c>
      <c r="K4" s="7">
        <f t="shared" si="1"/>
        <v>121.92902638762511</v>
      </c>
      <c r="L4" s="2">
        <v>122</v>
      </c>
      <c r="M4" s="2">
        <v>122</v>
      </c>
      <c r="N4" s="8">
        <v>70</v>
      </c>
      <c r="O4" s="2">
        <v>2</v>
      </c>
      <c r="P4" s="2">
        <f t="shared" si="2"/>
        <v>17080</v>
      </c>
      <c r="Q4" s="22">
        <v>17080</v>
      </c>
      <c r="R4" s="22">
        <v>17080</v>
      </c>
      <c r="S4" s="9">
        <f>Q4-R4</f>
        <v>0</v>
      </c>
      <c r="T4" s="2">
        <f t="shared" ref="T4" si="12">P4-Q4</f>
        <v>0</v>
      </c>
      <c r="U4" s="10">
        <v>0.15</v>
      </c>
      <c r="V4" s="7">
        <f t="shared" si="5"/>
        <v>2562</v>
      </c>
      <c r="W4" s="11">
        <v>0.6</v>
      </c>
      <c r="X4" s="2">
        <f t="shared" ref="X4" si="13">Q4*W4</f>
        <v>10248</v>
      </c>
      <c r="Y4" s="2">
        <f t="shared" si="7"/>
        <v>1548.7199999999993</v>
      </c>
      <c r="Z4" s="7">
        <f t="shared" si="8"/>
        <v>4047.2799999999993</v>
      </c>
      <c r="AA4" s="20">
        <f t="shared" si="9"/>
        <v>1485.2799999999993</v>
      </c>
      <c r="AB4" s="21" t="s">
        <v>37</v>
      </c>
      <c r="AC4" s="6">
        <v>0.64</v>
      </c>
      <c r="AD4" s="2">
        <f t="shared" si="10"/>
        <v>78.08</v>
      </c>
      <c r="AE4" s="15">
        <v>32</v>
      </c>
      <c r="AF4" s="2">
        <f t="shared" si="11"/>
        <v>2498.56</v>
      </c>
    </row>
    <row r="5" spans="1:32" x14ac:dyDescent="0.25">
      <c r="A5" s="2">
        <v>4</v>
      </c>
      <c r="B5" s="3">
        <v>299</v>
      </c>
      <c r="C5" s="3" t="s">
        <v>98</v>
      </c>
      <c r="D5" s="34" t="s">
        <v>88</v>
      </c>
      <c r="E5" s="23" t="s">
        <v>48</v>
      </c>
      <c r="F5" s="24">
        <v>7479</v>
      </c>
      <c r="G5" s="3">
        <v>154</v>
      </c>
      <c r="H5" s="3">
        <v>73.92</v>
      </c>
      <c r="I5" s="17">
        <f t="shared" ref="I5:I7" si="14">G5*H5</f>
        <v>11383.68</v>
      </c>
      <c r="J5" s="18">
        <f>1.6*39*1250*7.85/1000000</f>
        <v>0.61229999999999996</v>
      </c>
      <c r="K5" s="19">
        <f t="shared" ref="K5:K7" si="15">G5/J5</f>
        <v>251.51069737057</v>
      </c>
      <c r="L5" s="19">
        <v>252</v>
      </c>
      <c r="M5" s="19">
        <f>L5</f>
        <v>252</v>
      </c>
      <c r="N5" s="8">
        <v>80</v>
      </c>
      <c r="O5" s="3">
        <v>1</v>
      </c>
      <c r="P5" s="3">
        <f t="shared" ref="P5:P7" si="16">M5*N5*O5</f>
        <v>20160</v>
      </c>
      <c r="Q5" s="3">
        <f>P5</f>
        <v>20160</v>
      </c>
      <c r="R5" s="3">
        <f>Q5</f>
        <v>20160</v>
      </c>
      <c r="S5" s="9">
        <f>Q5-R5</f>
        <v>0</v>
      </c>
      <c r="T5" s="3">
        <f>P5-Q5</f>
        <v>0</v>
      </c>
      <c r="U5" s="10">
        <v>0.55000000000000004</v>
      </c>
      <c r="V5" s="19">
        <f t="shared" ref="V5:V7" si="17">Q5*U5</f>
        <v>11088</v>
      </c>
      <c r="W5" s="11">
        <v>1.07</v>
      </c>
      <c r="X5" s="3">
        <f>Q5*W5</f>
        <v>21571.200000000001</v>
      </c>
      <c r="Y5" s="3">
        <f t="shared" ref="Y5:Y7" si="18">X5-I5</f>
        <v>10187.52</v>
      </c>
      <c r="Z5" s="19">
        <f t="shared" ref="Z5:Z7" si="19">AF5+Y5</f>
        <v>11397.12</v>
      </c>
      <c r="AA5" s="20">
        <f t="shared" ref="AA5:AA7" si="20">Z5-V5</f>
        <v>309.1200000000008</v>
      </c>
      <c r="AB5" s="21" t="s">
        <v>37</v>
      </c>
      <c r="AC5" s="18">
        <v>0.15</v>
      </c>
      <c r="AD5" s="17">
        <f t="shared" ref="AD5:AD7" si="21">M5*AC5</f>
        <v>37.799999999999997</v>
      </c>
      <c r="AE5" s="15">
        <v>32</v>
      </c>
      <c r="AF5" s="3">
        <f t="shared" ref="AF5:AF7" si="22">AD5*AE5</f>
        <v>1209.5999999999999</v>
      </c>
    </row>
    <row r="6" spans="1:32" x14ac:dyDescent="0.25">
      <c r="A6" s="2">
        <v>5</v>
      </c>
      <c r="B6" s="3">
        <v>299</v>
      </c>
      <c r="C6" s="3" t="s">
        <v>98</v>
      </c>
      <c r="D6" s="34" t="s">
        <v>88</v>
      </c>
      <c r="E6" s="3" t="s">
        <v>49</v>
      </c>
      <c r="F6" s="3">
        <v>1329</v>
      </c>
      <c r="G6" s="3">
        <v>120</v>
      </c>
      <c r="H6" s="3">
        <v>73.92</v>
      </c>
      <c r="I6" s="17">
        <f t="shared" si="14"/>
        <v>8870.4</v>
      </c>
      <c r="J6" s="18">
        <f>1*47*1250*7.85/1000000</f>
        <v>0.46118749999999997</v>
      </c>
      <c r="K6" s="19">
        <f t="shared" si="15"/>
        <v>260.19785878845374</v>
      </c>
      <c r="L6" s="19">
        <v>260</v>
      </c>
      <c r="M6" s="19">
        <f>L6</f>
        <v>260</v>
      </c>
      <c r="N6" s="3">
        <v>77</v>
      </c>
      <c r="O6" s="3">
        <v>1</v>
      </c>
      <c r="P6" s="3">
        <f t="shared" si="16"/>
        <v>20020</v>
      </c>
      <c r="Q6" s="3">
        <f>P6</f>
        <v>20020</v>
      </c>
      <c r="R6" s="3">
        <f>Q6</f>
        <v>20020</v>
      </c>
      <c r="S6" s="9">
        <f t="shared" ref="S6" si="23">Q6-R6</f>
        <v>0</v>
      </c>
      <c r="T6" s="3">
        <f>P6-Q6</f>
        <v>0</v>
      </c>
      <c r="U6" s="10">
        <v>0.55000000000000004</v>
      </c>
      <c r="V6" s="19">
        <f t="shared" si="17"/>
        <v>11011</v>
      </c>
      <c r="W6" s="11">
        <v>0.89</v>
      </c>
      <c r="X6" s="19">
        <f>Q6*W6</f>
        <v>17817.8</v>
      </c>
      <c r="Y6" s="3">
        <f t="shared" si="18"/>
        <v>8947.4</v>
      </c>
      <c r="Z6" s="19">
        <f t="shared" si="19"/>
        <v>9840.1360000000004</v>
      </c>
      <c r="AA6" s="13">
        <f t="shared" si="20"/>
        <v>-1170.8639999999996</v>
      </c>
      <c r="AB6" s="14" t="s">
        <v>34</v>
      </c>
      <c r="AC6" s="18">
        <v>0.10730000000000001</v>
      </c>
      <c r="AD6" s="17">
        <f t="shared" si="21"/>
        <v>27.898000000000003</v>
      </c>
      <c r="AE6" s="15">
        <v>32</v>
      </c>
      <c r="AF6" s="3">
        <f t="shared" si="22"/>
        <v>892.7360000000001</v>
      </c>
    </row>
    <row r="7" spans="1:32" x14ac:dyDescent="0.25">
      <c r="A7" s="2">
        <v>6</v>
      </c>
      <c r="B7" s="3">
        <v>336</v>
      </c>
      <c r="C7" s="3" t="s">
        <v>102</v>
      </c>
      <c r="D7" s="34" t="s">
        <v>88</v>
      </c>
      <c r="E7" s="23" t="s">
        <v>48</v>
      </c>
      <c r="F7" s="24">
        <v>7479</v>
      </c>
      <c r="G7" s="3">
        <v>110</v>
      </c>
      <c r="H7" s="3">
        <v>73.92</v>
      </c>
      <c r="I7" s="17">
        <f t="shared" si="14"/>
        <v>8131.2</v>
      </c>
      <c r="J7" s="18">
        <f>1.6*39*1250*7.85/1000000</f>
        <v>0.61229999999999996</v>
      </c>
      <c r="K7" s="19">
        <f t="shared" si="15"/>
        <v>179.65049812183571</v>
      </c>
      <c r="L7" s="19">
        <v>180</v>
      </c>
      <c r="M7" s="19">
        <v>180</v>
      </c>
      <c r="N7" s="8">
        <v>80</v>
      </c>
      <c r="O7" s="3">
        <v>1</v>
      </c>
      <c r="P7" s="3">
        <f t="shared" si="16"/>
        <v>14400</v>
      </c>
      <c r="Q7" s="3">
        <v>14400</v>
      </c>
      <c r="R7" s="3">
        <v>14400</v>
      </c>
      <c r="S7" s="9">
        <f>Q7-R7</f>
        <v>0</v>
      </c>
      <c r="T7" s="3">
        <f>P7-Q7</f>
        <v>0</v>
      </c>
      <c r="U7" s="10">
        <v>0.55000000000000004</v>
      </c>
      <c r="V7" s="19">
        <f t="shared" si="17"/>
        <v>7920.0000000000009</v>
      </c>
      <c r="W7" s="11">
        <v>1.07</v>
      </c>
      <c r="X7" s="3">
        <f>Q7*W7</f>
        <v>15408</v>
      </c>
      <c r="Y7" s="3">
        <f t="shared" si="18"/>
        <v>7276.8</v>
      </c>
      <c r="Z7" s="19">
        <f t="shared" si="19"/>
        <v>8140.8</v>
      </c>
      <c r="AA7" s="20">
        <f t="shared" si="20"/>
        <v>220.79999999999927</v>
      </c>
      <c r="AB7" s="21" t="s">
        <v>37</v>
      </c>
      <c r="AC7" s="18">
        <v>0.15</v>
      </c>
      <c r="AD7" s="17">
        <f t="shared" si="21"/>
        <v>27</v>
      </c>
      <c r="AE7" s="15">
        <v>32</v>
      </c>
      <c r="AF7" s="3">
        <f t="shared" si="22"/>
        <v>864</v>
      </c>
    </row>
    <row r="8" spans="1:32" x14ac:dyDescent="0.25">
      <c r="A8" s="2"/>
      <c r="B8" s="3"/>
      <c r="C8" s="3"/>
      <c r="D8" s="34"/>
      <c r="E8" s="23"/>
      <c r="F8" s="24"/>
      <c r="G8" s="3"/>
      <c r="H8" s="3"/>
      <c r="I8" s="17"/>
      <c r="J8" s="18"/>
      <c r="K8" s="19"/>
      <c r="L8" s="19"/>
      <c r="M8" s="19"/>
      <c r="N8" s="8"/>
      <c r="O8" s="3"/>
      <c r="P8" s="3"/>
      <c r="Q8" s="3"/>
      <c r="R8" s="3"/>
      <c r="S8" s="9"/>
      <c r="T8" s="3"/>
      <c r="U8" s="10"/>
      <c r="V8" s="19"/>
      <c r="W8" s="11"/>
      <c r="X8" s="3"/>
      <c r="Y8" s="3"/>
      <c r="Z8" s="19"/>
      <c r="AA8" s="20"/>
      <c r="AB8" s="21"/>
      <c r="AC8" s="18"/>
      <c r="AD8" s="17"/>
      <c r="AE8" s="15">
        <v>32</v>
      </c>
      <c r="AF8" s="3"/>
    </row>
    <row r="9" spans="1:32" x14ac:dyDescent="0.25">
      <c r="A9" s="2">
        <v>1</v>
      </c>
      <c r="B9" s="3">
        <v>571</v>
      </c>
      <c r="C9" s="3" t="s">
        <v>102</v>
      </c>
      <c r="D9" s="34" t="s">
        <v>88</v>
      </c>
      <c r="E9" s="2" t="s">
        <v>103</v>
      </c>
      <c r="F9" s="4" t="s">
        <v>117</v>
      </c>
      <c r="G9" s="2">
        <v>558</v>
      </c>
      <c r="H9" s="2">
        <v>63.92</v>
      </c>
      <c r="I9" s="5">
        <f t="shared" ref="I9:I15" si="24">G9*H9</f>
        <v>35667.360000000001</v>
      </c>
      <c r="J9" s="6">
        <f>2.3*105*1250*7.85/1000000</f>
        <v>2.3697187499999997</v>
      </c>
      <c r="K9" s="7">
        <f t="shared" ref="K9:K15" si="25">G9/J9</f>
        <v>235.4709815247063</v>
      </c>
      <c r="L9" s="2">
        <v>235</v>
      </c>
      <c r="M9" s="2">
        <v>235</v>
      </c>
      <c r="N9" s="8">
        <v>20</v>
      </c>
      <c r="O9" s="2">
        <v>1</v>
      </c>
      <c r="P9" s="2">
        <f t="shared" ref="P9:P15" si="26">M9*N9*O9</f>
        <v>4700</v>
      </c>
      <c r="Q9" s="22">
        <v>4700</v>
      </c>
      <c r="R9" s="22">
        <v>4700</v>
      </c>
      <c r="S9" s="9">
        <f t="shared" ref="S9:S13" si="27">Q9-R9</f>
        <v>0</v>
      </c>
      <c r="T9" s="2">
        <f t="shared" ref="T9:T13" si="28">P9-Q9</f>
        <v>0</v>
      </c>
      <c r="U9" s="10">
        <v>0.7</v>
      </c>
      <c r="V9" s="7">
        <f t="shared" ref="V9:V15" si="29">Q9*U9</f>
        <v>3290</v>
      </c>
      <c r="W9" s="11">
        <v>0</v>
      </c>
      <c r="X9" s="2">
        <f t="shared" ref="X9:X13" si="30">Q9*W9</f>
        <v>0</v>
      </c>
      <c r="Y9" s="2">
        <f t="shared" ref="Y9:Y15" si="31">X9-I9</f>
        <v>-35667.360000000001</v>
      </c>
      <c r="Z9" s="7">
        <f t="shared" ref="Z9:Z15" si="32">AF9+Y9</f>
        <v>-28147.360000000001</v>
      </c>
      <c r="AA9" s="20">
        <f t="shared" ref="AA9:AA10" si="33">Z9-V9</f>
        <v>-31437.360000000001</v>
      </c>
      <c r="AB9" s="21" t="s">
        <v>37</v>
      </c>
      <c r="AC9" s="6">
        <v>1</v>
      </c>
      <c r="AD9" s="7">
        <f t="shared" ref="AD9:AD15" si="34">M9*AC9</f>
        <v>235</v>
      </c>
      <c r="AE9" s="15">
        <v>32</v>
      </c>
      <c r="AF9" s="2">
        <f t="shared" ref="AF9:AF15" si="35">AD9*AE9</f>
        <v>7520</v>
      </c>
    </row>
    <row r="10" spans="1:32" x14ac:dyDescent="0.25">
      <c r="A10" s="2">
        <v>2</v>
      </c>
      <c r="B10" s="3">
        <v>571</v>
      </c>
      <c r="C10" s="3" t="s">
        <v>102</v>
      </c>
      <c r="D10" s="34" t="s">
        <v>88</v>
      </c>
      <c r="E10" s="23" t="s">
        <v>53</v>
      </c>
      <c r="F10" s="24">
        <v>7145</v>
      </c>
      <c r="G10" s="3">
        <v>308</v>
      </c>
      <c r="H10" s="3">
        <v>63.92</v>
      </c>
      <c r="I10" s="17">
        <f t="shared" si="24"/>
        <v>19687.36</v>
      </c>
      <c r="J10" s="18">
        <f>2.6*100*1250*7.85/1000000</f>
        <v>2.55125</v>
      </c>
      <c r="K10" s="19">
        <f t="shared" si="25"/>
        <v>120.72513473787359</v>
      </c>
      <c r="L10" s="3">
        <v>121</v>
      </c>
      <c r="M10" s="3">
        <v>121</v>
      </c>
      <c r="N10" s="8">
        <v>58</v>
      </c>
      <c r="O10" s="3">
        <v>1</v>
      </c>
      <c r="P10" s="3">
        <f t="shared" si="26"/>
        <v>7018</v>
      </c>
      <c r="Q10" s="3">
        <v>7018</v>
      </c>
      <c r="R10" s="3">
        <v>7018</v>
      </c>
      <c r="S10" s="9">
        <f t="shared" si="27"/>
        <v>0</v>
      </c>
      <c r="T10" s="3">
        <f t="shared" si="28"/>
        <v>0</v>
      </c>
      <c r="U10" s="10">
        <v>0.55000000000000004</v>
      </c>
      <c r="V10" s="19">
        <f t="shared" si="29"/>
        <v>3859.9</v>
      </c>
      <c r="W10" s="11">
        <v>2.75</v>
      </c>
      <c r="X10" s="3">
        <f t="shared" si="30"/>
        <v>19299.5</v>
      </c>
      <c r="Y10" s="3">
        <f t="shared" si="31"/>
        <v>-387.86000000000058</v>
      </c>
      <c r="Z10" s="19">
        <f t="shared" si="32"/>
        <v>4103.6599999999989</v>
      </c>
      <c r="AA10" s="20">
        <f t="shared" si="33"/>
        <v>243.75999999999885</v>
      </c>
      <c r="AB10" s="21" t="s">
        <v>37</v>
      </c>
      <c r="AC10" s="18">
        <v>1.1599999999999999</v>
      </c>
      <c r="AD10" s="17">
        <f t="shared" si="34"/>
        <v>140.35999999999999</v>
      </c>
      <c r="AE10" s="15">
        <v>32</v>
      </c>
      <c r="AF10" s="3">
        <f t="shared" si="35"/>
        <v>4491.5199999999995</v>
      </c>
    </row>
    <row r="11" spans="1:32" x14ac:dyDescent="0.25">
      <c r="A11" s="2">
        <v>3</v>
      </c>
      <c r="B11" s="3">
        <v>571</v>
      </c>
      <c r="C11" s="3" t="s">
        <v>102</v>
      </c>
      <c r="D11" s="34" t="s">
        <v>88</v>
      </c>
      <c r="E11" s="2" t="s">
        <v>74</v>
      </c>
      <c r="F11" s="4" t="s">
        <v>75</v>
      </c>
      <c r="G11" s="2">
        <v>570</v>
      </c>
      <c r="H11" s="3">
        <v>68.92</v>
      </c>
      <c r="I11" s="5">
        <f t="shared" si="24"/>
        <v>39284.400000000001</v>
      </c>
      <c r="J11" s="6">
        <f>2*57*1250*7.85/1000000</f>
        <v>1.118625</v>
      </c>
      <c r="K11" s="7">
        <f t="shared" si="25"/>
        <v>509.55414012738856</v>
      </c>
      <c r="L11" s="2">
        <v>510</v>
      </c>
      <c r="M11" s="2">
        <v>510</v>
      </c>
      <c r="N11" s="8">
        <v>17</v>
      </c>
      <c r="O11" s="2">
        <v>1</v>
      </c>
      <c r="P11" s="2">
        <f t="shared" si="26"/>
        <v>8670</v>
      </c>
      <c r="Q11" s="22">
        <v>8670</v>
      </c>
      <c r="R11" s="22">
        <v>8670</v>
      </c>
      <c r="S11" s="9">
        <f t="shared" si="27"/>
        <v>0</v>
      </c>
      <c r="T11" s="2">
        <f t="shared" si="28"/>
        <v>0</v>
      </c>
      <c r="U11" s="10">
        <v>1</v>
      </c>
      <c r="V11" s="7">
        <f t="shared" si="29"/>
        <v>8670</v>
      </c>
      <c r="W11" s="11">
        <v>4.8899999999999997</v>
      </c>
      <c r="X11" s="2">
        <f t="shared" si="30"/>
        <v>42396.299999999996</v>
      </c>
      <c r="Y11" s="2">
        <f t="shared" si="31"/>
        <v>3111.8999999999942</v>
      </c>
      <c r="Z11" s="7">
        <f t="shared" si="32"/>
        <v>11271.899999999994</v>
      </c>
      <c r="AA11" s="20">
        <f>Z11-V11</f>
        <v>2601.8999999999942</v>
      </c>
      <c r="AB11" s="21" t="s">
        <v>37</v>
      </c>
      <c r="AC11" s="6">
        <v>0.5</v>
      </c>
      <c r="AD11" s="2">
        <f t="shared" si="34"/>
        <v>255</v>
      </c>
      <c r="AE11" s="15">
        <v>32</v>
      </c>
      <c r="AF11" s="2">
        <f t="shared" si="35"/>
        <v>8160</v>
      </c>
    </row>
    <row r="12" spans="1:32" x14ac:dyDescent="0.25">
      <c r="A12" s="2">
        <v>4</v>
      </c>
      <c r="B12" s="3">
        <v>571</v>
      </c>
      <c r="C12" s="3" t="s">
        <v>102</v>
      </c>
      <c r="D12" s="34" t="s">
        <v>88</v>
      </c>
      <c r="E12" s="2" t="s">
        <v>74</v>
      </c>
      <c r="F12" s="33" t="s">
        <v>97</v>
      </c>
      <c r="G12" s="2">
        <v>608</v>
      </c>
      <c r="H12" s="2">
        <v>64.92</v>
      </c>
      <c r="I12" s="5">
        <f t="shared" si="24"/>
        <v>39471.360000000001</v>
      </c>
      <c r="J12" s="6">
        <f>2.6*89*1250*7.85/1000000</f>
        <v>2.2706124999999999</v>
      </c>
      <c r="K12" s="7">
        <f t="shared" si="25"/>
        <v>267.76915920263804</v>
      </c>
      <c r="L12" s="2">
        <v>268</v>
      </c>
      <c r="M12" s="2">
        <v>268</v>
      </c>
      <c r="N12" s="8">
        <v>28</v>
      </c>
      <c r="O12" s="2">
        <v>1</v>
      </c>
      <c r="P12" s="2">
        <f t="shared" si="26"/>
        <v>7504</v>
      </c>
      <c r="Q12" s="2">
        <f>P12</f>
        <v>7504</v>
      </c>
      <c r="R12" s="2">
        <f>Q12</f>
        <v>7504</v>
      </c>
      <c r="S12" s="9">
        <f t="shared" si="27"/>
        <v>0</v>
      </c>
      <c r="T12" s="2">
        <f t="shared" si="28"/>
        <v>0</v>
      </c>
      <c r="U12" s="10">
        <v>1</v>
      </c>
      <c r="V12" s="7">
        <f t="shared" si="29"/>
        <v>7504</v>
      </c>
      <c r="W12" s="11">
        <v>0</v>
      </c>
      <c r="X12" s="2">
        <f t="shared" si="30"/>
        <v>0</v>
      </c>
      <c r="Y12" s="2">
        <f t="shared" si="31"/>
        <v>-39471.360000000001</v>
      </c>
      <c r="Z12" s="7">
        <f t="shared" si="32"/>
        <v>-39471.360000000001</v>
      </c>
      <c r="AA12" s="20">
        <f>Z12-V12</f>
        <v>-46975.360000000001</v>
      </c>
      <c r="AB12" s="21" t="s">
        <v>37</v>
      </c>
      <c r="AD12" s="2">
        <f t="shared" si="34"/>
        <v>0</v>
      </c>
      <c r="AE12" s="15">
        <v>32</v>
      </c>
      <c r="AF12" s="2">
        <f t="shared" si="35"/>
        <v>0</v>
      </c>
    </row>
    <row r="13" spans="1:32" x14ac:dyDescent="0.25">
      <c r="A13" s="2">
        <v>5</v>
      </c>
      <c r="B13" s="3">
        <v>571</v>
      </c>
      <c r="C13" s="3" t="s">
        <v>102</v>
      </c>
      <c r="D13" s="34" t="s">
        <v>88</v>
      </c>
      <c r="E13" s="2" t="s">
        <v>33</v>
      </c>
      <c r="F13" s="4">
        <v>8200</v>
      </c>
      <c r="G13" s="2">
        <v>112</v>
      </c>
      <c r="H13" s="5">
        <v>72</v>
      </c>
      <c r="I13" s="5">
        <f t="shared" si="24"/>
        <v>8064</v>
      </c>
      <c r="J13" s="6">
        <f>1.6*78*1250*7.85/1000000</f>
        <v>1.2245999999999999</v>
      </c>
      <c r="K13" s="7">
        <f t="shared" si="25"/>
        <v>91.458435407479996</v>
      </c>
      <c r="L13" s="2">
        <v>91</v>
      </c>
      <c r="M13" s="2">
        <v>91</v>
      </c>
      <c r="N13" s="8">
        <v>60</v>
      </c>
      <c r="O13" s="2">
        <v>4</v>
      </c>
      <c r="P13" s="2">
        <f t="shared" si="26"/>
        <v>21840</v>
      </c>
      <c r="Q13" s="22">
        <v>21840</v>
      </c>
      <c r="R13" s="22">
        <v>21840</v>
      </c>
      <c r="S13" s="9">
        <f t="shared" si="27"/>
        <v>0</v>
      </c>
      <c r="T13" s="2">
        <f t="shared" si="28"/>
        <v>0</v>
      </c>
      <c r="U13" s="10">
        <v>0.1</v>
      </c>
      <c r="V13" s="7">
        <f t="shared" si="29"/>
        <v>2184</v>
      </c>
      <c r="W13" s="11">
        <v>0</v>
      </c>
      <c r="X13" s="2">
        <f t="shared" si="30"/>
        <v>0</v>
      </c>
      <c r="Y13" s="2">
        <f t="shared" si="31"/>
        <v>-8064</v>
      </c>
      <c r="Z13" s="7">
        <f t="shared" si="32"/>
        <v>-6316.8</v>
      </c>
      <c r="AA13" s="20">
        <f t="shared" ref="AA13:AA14" si="36">Z13-V13</f>
        <v>-8500.7999999999993</v>
      </c>
      <c r="AB13" s="21" t="s">
        <v>37</v>
      </c>
      <c r="AC13" s="31">
        <v>0.6</v>
      </c>
      <c r="AD13" s="2">
        <f t="shared" si="34"/>
        <v>54.6</v>
      </c>
      <c r="AE13" s="15">
        <v>32</v>
      </c>
      <c r="AF13" s="2">
        <f t="shared" si="35"/>
        <v>1747.2</v>
      </c>
    </row>
    <row r="14" spans="1:32" x14ac:dyDescent="0.25">
      <c r="A14" s="2">
        <v>6</v>
      </c>
      <c r="B14" s="3">
        <v>336</v>
      </c>
      <c r="C14" s="3" t="s">
        <v>102</v>
      </c>
      <c r="D14" s="46" t="s">
        <v>39</v>
      </c>
      <c r="E14" s="23" t="s">
        <v>48</v>
      </c>
      <c r="F14" s="24">
        <v>7479</v>
      </c>
      <c r="G14" s="3">
        <v>110</v>
      </c>
      <c r="H14" s="3">
        <v>73.92</v>
      </c>
      <c r="I14" s="17">
        <f t="shared" si="24"/>
        <v>8131.2</v>
      </c>
      <c r="J14" s="18">
        <f>1.6*39*1250*7.85/1000000</f>
        <v>0.61229999999999996</v>
      </c>
      <c r="K14" s="19">
        <f t="shared" si="25"/>
        <v>179.65049812183571</v>
      </c>
      <c r="L14" s="19">
        <v>180</v>
      </c>
      <c r="M14" s="19">
        <v>180</v>
      </c>
      <c r="N14" s="8">
        <v>80</v>
      </c>
      <c r="O14" s="3">
        <v>1</v>
      </c>
      <c r="P14" s="3">
        <f t="shared" si="26"/>
        <v>14400</v>
      </c>
      <c r="Q14" s="3">
        <v>14400</v>
      </c>
      <c r="R14" s="3">
        <v>14400</v>
      </c>
      <c r="S14" s="9">
        <f>Q14-R14</f>
        <v>0</v>
      </c>
      <c r="T14" s="3">
        <f>P14-Q14</f>
        <v>0</v>
      </c>
      <c r="U14" s="10">
        <v>0.55000000000000004</v>
      </c>
      <c r="V14" s="19">
        <f t="shared" si="29"/>
        <v>7920.0000000000009</v>
      </c>
      <c r="W14" s="11">
        <v>1.07</v>
      </c>
      <c r="X14" s="3">
        <f>Q14*W14</f>
        <v>15408</v>
      </c>
      <c r="Y14" s="3">
        <f t="shared" si="31"/>
        <v>7276.8</v>
      </c>
      <c r="Z14" s="19">
        <f t="shared" si="32"/>
        <v>8140.8</v>
      </c>
      <c r="AA14" s="20">
        <f t="shared" si="36"/>
        <v>220.79999999999927</v>
      </c>
      <c r="AB14" s="21" t="s">
        <v>37</v>
      </c>
      <c r="AC14" s="18">
        <v>0.15</v>
      </c>
      <c r="AD14" s="17">
        <f t="shared" si="34"/>
        <v>27</v>
      </c>
      <c r="AE14" s="15">
        <v>32</v>
      </c>
      <c r="AF14" s="3">
        <f t="shared" si="35"/>
        <v>864</v>
      </c>
    </row>
    <row r="15" spans="1:32" x14ac:dyDescent="0.25">
      <c r="A15" s="2">
        <v>7</v>
      </c>
      <c r="B15" s="3">
        <v>596</v>
      </c>
      <c r="C15" s="3" t="s">
        <v>104</v>
      </c>
      <c r="D15" s="34" t="s">
        <v>88</v>
      </c>
      <c r="E15" s="30" t="s">
        <v>105</v>
      </c>
      <c r="F15" s="4" t="s">
        <v>96</v>
      </c>
      <c r="G15" s="2">
        <v>384</v>
      </c>
      <c r="H15" s="2">
        <v>68.92</v>
      </c>
      <c r="I15" s="5">
        <f t="shared" si="24"/>
        <v>26465.279999999999</v>
      </c>
      <c r="J15" s="6">
        <f>2*79*1250*7.85/1000000</f>
        <v>1.5503750000000001</v>
      </c>
      <c r="K15" s="7">
        <f t="shared" si="25"/>
        <v>247.68201241635089</v>
      </c>
      <c r="L15" s="2">
        <v>248</v>
      </c>
      <c r="M15" s="2">
        <v>248</v>
      </c>
      <c r="N15" s="8">
        <v>30</v>
      </c>
      <c r="O15" s="2">
        <v>1</v>
      </c>
      <c r="P15" s="2">
        <f t="shared" si="26"/>
        <v>7440</v>
      </c>
      <c r="Q15" s="22">
        <v>7440</v>
      </c>
      <c r="R15" s="22">
        <v>7440</v>
      </c>
      <c r="S15" s="9">
        <f t="shared" ref="S15:S19" si="37">Q15-R15</f>
        <v>0</v>
      </c>
      <c r="T15" s="2">
        <f t="shared" ref="T15:T19" si="38">P15-Q15</f>
        <v>0</v>
      </c>
      <c r="U15" s="10">
        <v>0.8</v>
      </c>
      <c r="V15" s="7">
        <f t="shared" si="29"/>
        <v>5952</v>
      </c>
      <c r="W15" s="11">
        <v>0</v>
      </c>
      <c r="X15" s="2">
        <f t="shared" ref="X15:X19" si="39">Q15*W15</f>
        <v>0</v>
      </c>
      <c r="Y15" s="2">
        <f t="shared" si="31"/>
        <v>-26465.279999999999</v>
      </c>
      <c r="Z15" s="7">
        <f t="shared" si="32"/>
        <v>-26465.279999999999</v>
      </c>
      <c r="AA15" s="20">
        <f>Z15-V15</f>
        <v>-32417.279999999999</v>
      </c>
      <c r="AB15" s="21" t="s">
        <v>37</v>
      </c>
      <c r="AC15" s="6"/>
      <c r="AD15" s="2">
        <f t="shared" si="34"/>
        <v>0</v>
      </c>
      <c r="AE15" s="15">
        <v>32</v>
      </c>
      <c r="AF15" s="2">
        <f t="shared" si="35"/>
        <v>0</v>
      </c>
    </row>
    <row r="16" spans="1:32" x14ac:dyDescent="0.25">
      <c r="A16" s="2">
        <v>8</v>
      </c>
      <c r="B16" s="3">
        <v>609</v>
      </c>
      <c r="C16" s="3" t="s">
        <v>104</v>
      </c>
      <c r="D16" s="34" t="s">
        <v>88</v>
      </c>
      <c r="E16" s="2" t="s">
        <v>33</v>
      </c>
      <c r="F16" s="4">
        <v>8200</v>
      </c>
      <c r="G16" s="2">
        <v>136</v>
      </c>
      <c r="H16" s="5">
        <v>72</v>
      </c>
      <c r="I16" s="5">
        <f t="shared" ref="I16:I18" si="40">G16*H16</f>
        <v>9792</v>
      </c>
      <c r="J16" s="6">
        <f>1.6*78*1250*7.85/1000000</f>
        <v>1.2245999999999999</v>
      </c>
      <c r="K16" s="7">
        <f t="shared" ref="K16:K18" si="41">G16/J16</f>
        <v>111.05667156622572</v>
      </c>
      <c r="L16" s="2">
        <v>111</v>
      </c>
      <c r="M16" s="2">
        <v>111</v>
      </c>
      <c r="N16" s="8">
        <v>60</v>
      </c>
      <c r="O16" s="2">
        <v>4</v>
      </c>
      <c r="P16" s="2">
        <f t="shared" ref="P16:P18" si="42">M16*N16*O16</f>
        <v>26640</v>
      </c>
      <c r="Q16" s="22">
        <v>26640</v>
      </c>
      <c r="R16" s="22">
        <v>26640</v>
      </c>
      <c r="S16" s="9">
        <f t="shared" si="37"/>
        <v>0</v>
      </c>
      <c r="T16" s="2">
        <f t="shared" si="38"/>
        <v>0</v>
      </c>
      <c r="U16" s="10">
        <v>0.1</v>
      </c>
      <c r="V16" s="7">
        <f t="shared" ref="V16:V18" si="43">Q16*U16</f>
        <v>2664</v>
      </c>
      <c r="W16" s="11">
        <v>0</v>
      </c>
      <c r="X16" s="2">
        <f t="shared" si="39"/>
        <v>0</v>
      </c>
      <c r="Y16" s="2">
        <f t="shared" ref="Y16:Y19" si="44">X16-I16</f>
        <v>-9792</v>
      </c>
      <c r="Z16" s="7">
        <f t="shared" ref="Z16:Z19" si="45">AF16+Y16</f>
        <v>-7660.8</v>
      </c>
      <c r="AA16" s="20">
        <f t="shared" ref="AA16:AA19" si="46">Z16-V16</f>
        <v>-10324.799999999999</v>
      </c>
      <c r="AB16" s="21" t="s">
        <v>37</v>
      </c>
      <c r="AC16" s="31">
        <v>0.6</v>
      </c>
      <c r="AD16" s="2">
        <f t="shared" ref="AD16:AD18" si="47">M16*AC16</f>
        <v>66.599999999999994</v>
      </c>
      <c r="AE16" s="15">
        <v>32</v>
      </c>
      <c r="AF16" s="2">
        <f t="shared" ref="AF16:AF18" si="48">AD16*AE16</f>
        <v>2131.1999999999998</v>
      </c>
    </row>
    <row r="17" spans="1:32" x14ac:dyDescent="0.25">
      <c r="A17" s="2">
        <v>9</v>
      </c>
      <c r="B17" s="3">
        <v>609</v>
      </c>
      <c r="C17" s="3" t="s">
        <v>104</v>
      </c>
      <c r="D17" s="34" t="s">
        <v>88</v>
      </c>
      <c r="E17" s="2" t="s">
        <v>33</v>
      </c>
      <c r="F17" s="4">
        <v>6086</v>
      </c>
      <c r="G17" s="2">
        <v>410</v>
      </c>
      <c r="H17" s="5">
        <v>72</v>
      </c>
      <c r="I17" s="5">
        <f t="shared" si="40"/>
        <v>29520</v>
      </c>
      <c r="J17" s="5">
        <f>1.6*66*1250*7.85/1000000</f>
        <v>1.0362</v>
      </c>
      <c r="K17" s="7">
        <f t="shared" si="41"/>
        <v>395.67651032619187</v>
      </c>
      <c r="L17" s="2">
        <v>396</v>
      </c>
      <c r="M17" s="2">
        <v>396</v>
      </c>
      <c r="N17" s="8">
        <v>42</v>
      </c>
      <c r="O17" s="2">
        <v>2</v>
      </c>
      <c r="P17" s="2">
        <f t="shared" si="42"/>
        <v>33264</v>
      </c>
      <c r="Q17" s="22">
        <v>33264</v>
      </c>
      <c r="R17" s="22">
        <v>33264</v>
      </c>
      <c r="S17" s="9">
        <f t="shared" si="37"/>
        <v>0</v>
      </c>
      <c r="T17" s="2">
        <f t="shared" si="38"/>
        <v>0</v>
      </c>
      <c r="U17" s="10">
        <v>0.2</v>
      </c>
      <c r="V17" s="7">
        <f t="shared" si="43"/>
        <v>6652.8</v>
      </c>
      <c r="W17" s="11">
        <v>0</v>
      </c>
      <c r="X17" s="2">
        <f t="shared" si="39"/>
        <v>0</v>
      </c>
      <c r="Y17" s="2">
        <f t="shared" si="44"/>
        <v>-29520</v>
      </c>
      <c r="Z17" s="7">
        <f t="shared" si="45"/>
        <v>-25084.799999999999</v>
      </c>
      <c r="AA17" s="20">
        <f t="shared" si="46"/>
        <v>-31737.599999999999</v>
      </c>
      <c r="AB17" s="21" t="s">
        <v>37</v>
      </c>
      <c r="AC17" s="31">
        <v>0.35</v>
      </c>
      <c r="AD17" s="2">
        <f t="shared" si="47"/>
        <v>138.6</v>
      </c>
      <c r="AE17" s="15">
        <v>32</v>
      </c>
      <c r="AF17" s="2">
        <f t="shared" si="48"/>
        <v>4435.2</v>
      </c>
    </row>
    <row r="18" spans="1:32" x14ac:dyDescent="0.25">
      <c r="A18" s="2">
        <v>10</v>
      </c>
      <c r="B18" s="3">
        <v>646</v>
      </c>
      <c r="C18" s="3" t="s">
        <v>106</v>
      </c>
      <c r="D18" s="34" t="s">
        <v>88</v>
      </c>
      <c r="E18" s="2" t="s">
        <v>74</v>
      </c>
      <c r="F18" s="4" t="s">
        <v>76</v>
      </c>
      <c r="G18" s="2">
        <v>322</v>
      </c>
      <c r="H18" s="2">
        <v>68.92</v>
      </c>
      <c r="I18" s="5">
        <f t="shared" si="40"/>
        <v>22192.240000000002</v>
      </c>
      <c r="J18" s="6">
        <f>2.3*57*1250*7.85/1000000</f>
        <v>1.2864187499999999</v>
      </c>
      <c r="K18" s="7">
        <f t="shared" si="41"/>
        <v>250.30729690468209</v>
      </c>
      <c r="L18" s="2">
        <v>250</v>
      </c>
      <c r="M18" s="2">
        <v>240</v>
      </c>
      <c r="N18" s="8">
        <v>31</v>
      </c>
      <c r="O18" s="2">
        <v>1</v>
      </c>
      <c r="P18" s="2">
        <f t="shared" si="42"/>
        <v>7440</v>
      </c>
      <c r="Q18" s="2">
        <v>7440</v>
      </c>
      <c r="R18" s="22">
        <v>7440</v>
      </c>
      <c r="S18" s="9">
        <f t="shared" si="37"/>
        <v>0</v>
      </c>
      <c r="T18" s="2">
        <f t="shared" si="38"/>
        <v>0</v>
      </c>
      <c r="U18" s="10">
        <v>1</v>
      </c>
      <c r="V18" s="7">
        <f t="shared" si="43"/>
        <v>7440</v>
      </c>
      <c r="W18" s="11">
        <v>3.41</v>
      </c>
      <c r="X18" s="2">
        <f t="shared" si="39"/>
        <v>25370.400000000001</v>
      </c>
      <c r="Y18" s="2">
        <f t="shared" si="44"/>
        <v>3178.16</v>
      </c>
      <c r="Z18" s="7">
        <f t="shared" si="45"/>
        <v>7786.16</v>
      </c>
      <c r="AA18" s="20">
        <f t="shared" si="46"/>
        <v>346.15999999999985</v>
      </c>
      <c r="AB18" s="21" t="s">
        <v>37</v>
      </c>
      <c r="AC18" s="6">
        <v>0.6</v>
      </c>
      <c r="AD18" s="7">
        <f t="shared" si="47"/>
        <v>144</v>
      </c>
      <c r="AE18" s="15">
        <v>32</v>
      </c>
      <c r="AF18" s="2">
        <f t="shared" si="48"/>
        <v>4608</v>
      </c>
    </row>
    <row r="19" spans="1:32" x14ac:dyDescent="0.25">
      <c r="A19" s="2">
        <v>11</v>
      </c>
      <c r="B19" s="3">
        <v>687</v>
      </c>
      <c r="C19" s="3" t="s">
        <v>107</v>
      </c>
      <c r="D19" s="34" t="s">
        <v>88</v>
      </c>
      <c r="E19" s="29" t="s">
        <v>44</v>
      </c>
      <c r="F19" s="3">
        <v>8283</v>
      </c>
      <c r="G19" s="3">
        <v>2998</v>
      </c>
      <c r="H19" s="35">
        <v>3.21</v>
      </c>
      <c r="I19" s="17">
        <f>G19*H19</f>
        <v>9623.58</v>
      </c>
      <c r="J19" s="3">
        <v>0</v>
      </c>
      <c r="K19" s="3">
        <v>0</v>
      </c>
      <c r="L19" s="3">
        <v>0</v>
      </c>
      <c r="M19" s="3">
        <f>G19</f>
        <v>2998</v>
      </c>
      <c r="N19" s="8">
        <v>1</v>
      </c>
      <c r="O19" s="3">
        <v>1</v>
      </c>
      <c r="P19" s="3">
        <f>M19</f>
        <v>2998</v>
      </c>
      <c r="Q19" s="3">
        <f t="shared" ref="Q19:R19" si="49">P19</f>
        <v>2998</v>
      </c>
      <c r="R19" s="3">
        <f t="shared" si="49"/>
        <v>2998</v>
      </c>
      <c r="S19" s="9">
        <f t="shared" si="37"/>
        <v>0</v>
      </c>
      <c r="T19" s="3">
        <f t="shared" si="38"/>
        <v>0</v>
      </c>
      <c r="U19" s="10">
        <v>0.53</v>
      </c>
      <c r="V19" s="19">
        <f>Q19*U19</f>
        <v>1588.94</v>
      </c>
      <c r="W19" s="11">
        <v>3.25</v>
      </c>
      <c r="X19" s="3">
        <f t="shared" si="39"/>
        <v>9743.5</v>
      </c>
      <c r="Y19" s="3">
        <f t="shared" si="44"/>
        <v>119.92000000000007</v>
      </c>
      <c r="Z19" s="19">
        <f t="shared" si="45"/>
        <v>119.92000000000007</v>
      </c>
      <c r="AA19" s="20">
        <f t="shared" si="46"/>
        <v>-1469.02</v>
      </c>
      <c r="AB19" s="21" t="s">
        <v>37</v>
      </c>
      <c r="AC19" s="18">
        <v>0</v>
      </c>
      <c r="AD19" s="3">
        <f>M19*AC19</f>
        <v>0</v>
      </c>
      <c r="AE19" s="15"/>
      <c r="AF19" s="3">
        <f>AD19*AE19</f>
        <v>0</v>
      </c>
    </row>
    <row r="20" spans="1:32" x14ac:dyDescent="0.25">
      <c r="A20" s="2">
        <v>12</v>
      </c>
      <c r="B20" s="3">
        <v>712</v>
      </c>
      <c r="C20" s="3" t="s">
        <v>108</v>
      </c>
      <c r="D20" s="34" t="s">
        <v>88</v>
      </c>
      <c r="E20" s="29" t="s">
        <v>44</v>
      </c>
      <c r="F20" s="3">
        <v>8283</v>
      </c>
      <c r="G20" s="3">
        <v>13802</v>
      </c>
      <c r="H20" s="35">
        <v>3.21</v>
      </c>
      <c r="I20" s="17">
        <f>G20*H20</f>
        <v>44304.42</v>
      </c>
      <c r="J20" s="3">
        <v>0</v>
      </c>
      <c r="K20" s="3">
        <v>0</v>
      </c>
      <c r="L20" s="3">
        <v>0</v>
      </c>
      <c r="M20" s="3">
        <f>G20</f>
        <v>13802</v>
      </c>
      <c r="N20" s="8">
        <v>1</v>
      </c>
      <c r="O20" s="3">
        <v>1</v>
      </c>
      <c r="P20" s="3">
        <f>M20</f>
        <v>13802</v>
      </c>
      <c r="Q20" s="3">
        <f t="shared" ref="Q20" si="50">P20</f>
        <v>13802</v>
      </c>
      <c r="R20" s="3">
        <f t="shared" ref="R20" si="51">Q20</f>
        <v>13802</v>
      </c>
      <c r="S20" s="9">
        <f t="shared" ref="S20:S22" si="52">Q20-R20</f>
        <v>0</v>
      </c>
      <c r="T20" s="3">
        <f t="shared" ref="T20:T22" si="53">P20-Q20</f>
        <v>0</v>
      </c>
      <c r="U20" s="10">
        <v>0.53</v>
      </c>
      <c r="V20" s="19">
        <f>Q20*U20</f>
        <v>7315.06</v>
      </c>
      <c r="W20" s="11">
        <v>3.25</v>
      </c>
      <c r="X20" s="3">
        <f t="shared" ref="X20:X22" si="54">Q20*W20</f>
        <v>44856.5</v>
      </c>
      <c r="Y20" s="3">
        <f t="shared" ref="Y20:Y22" si="55">X20-I20</f>
        <v>552.08000000000175</v>
      </c>
      <c r="Z20" s="19">
        <f t="shared" ref="Z20:Z22" si="56">AF20+Y20</f>
        <v>552.08000000000175</v>
      </c>
      <c r="AA20" s="20">
        <f t="shared" ref="AA20" si="57">Z20-V20</f>
        <v>-6762.9799999999987</v>
      </c>
      <c r="AB20" s="21" t="s">
        <v>37</v>
      </c>
      <c r="AC20" s="18">
        <v>0</v>
      </c>
      <c r="AD20" s="3">
        <f>M20*AC20</f>
        <v>0</v>
      </c>
      <c r="AE20" s="15"/>
      <c r="AF20" s="3">
        <f>AD20*AE20</f>
        <v>0</v>
      </c>
    </row>
    <row r="21" spans="1:32" x14ac:dyDescent="0.25">
      <c r="A21" s="2">
        <v>13</v>
      </c>
      <c r="B21" s="3">
        <v>710</v>
      </c>
      <c r="C21" s="3" t="s">
        <v>108</v>
      </c>
      <c r="D21" s="34" t="s">
        <v>88</v>
      </c>
      <c r="E21" s="2" t="s">
        <v>92</v>
      </c>
      <c r="F21" s="4" t="s">
        <v>93</v>
      </c>
      <c r="G21" s="2">
        <v>1140</v>
      </c>
      <c r="H21" s="2">
        <v>63.92</v>
      </c>
      <c r="I21" s="5">
        <f t="shared" ref="I21:I22" si="58">G21*H21</f>
        <v>72868.800000000003</v>
      </c>
      <c r="J21" s="6">
        <f>2*142*1250*7.85/1000000</f>
        <v>2.7867500000000001</v>
      </c>
      <c r="K21" s="7">
        <f t="shared" ref="K21:K22" si="59">G21/J21</f>
        <v>409.07867587691754</v>
      </c>
      <c r="L21" s="2">
        <v>409</v>
      </c>
      <c r="M21" s="2">
        <v>409</v>
      </c>
      <c r="N21" s="8">
        <v>35</v>
      </c>
      <c r="O21" s="2">
        <v>1</v>
      </c>
      <c r="P21" s="2">
        <f t="shared" ref="P21:P22" si="60">M21*N21*O21</f>
        <v>14315</v>
      </c>
      <c r="Q21" s="22">
        <v>14315</v>
      </c>
      <c r="R21" s="22">
        <v>14315</v>
      </c>
      <c r="S21" s="9">
        <f t="shared" si="52"/>
        <v>0</v>
      </c>
      <c r="T21" s="2">
        <f t="shared" si="53"/>
        <v>0</v>
      </c>
      <c r="U21" s="10">
        <v>0.8</v>
      </c>
      <c r="V21" s="7">
        <f t="shared" ref="V21:V22" si="61">Q21*U21</f>
        <v>11452</v>
      </c>
      <c r="W21" s="11">
        <v>0</v>
      </c>
      <c r="X21" s="2">
        <f t="shared" si="54"/>
        <v>0</v>
      </c>
      <c r="Y21" s="2">
        <f t="shared" si="55"/>
        <v>-72868.800000000003</v>
      </c>
      <c r="Z21" s="7">
        <f t="shared" si="56"/>
        <v>-63968.960000000006</v>
      </c>
      <c r="AA21" s="20">
        <f>Z21-V21</f>
        <v>-75420.960000000006</v>
      </c>
      <c r="AB21" s="21" t="s">
        <v>37</v>
      </c>
      <c r="AC21" s="6">
        <v>0.68</v>
      </c>
      <c r="AD21" s="2">
        <f t="shared" ref="AD21:AD22" si="62">M21*AC21</f>
        <v>278.12</v>
      </c>
      <c r="AE21" s="15">
        <v>32</v>
      </c>
      <c r="AF21" s="2">
        <f t="shared" ref="AF21:AF22" si="63">AD21*AE21</f>
        <v>8899.84</v>
      </c>
    </row>
    <row r="22" spans="1:32" x14ac:dyDescent="0.25">
      <c r="A22" s="2">
        <v>14</v>
      </c>
      <c r="B22" s="3">
        <v>710</v>
      </c>
      <c r="C22" s="3" t="s">
        <v>108</v>
      </c>
      <c r="D22" s="34" t="s">
        <v>88</v>
      </c>
      <c r="E22" s="2" t="s">
        <v>74</v>
      </c>
      <c r="F22" s="4" t="s">
        <v>75</v>
      </c>
      <c r="G22" s="2">
        <v>1021</v>
      </c>
      <c r="H22" s="3">
        <v>68.92</v>
      </c>
      <c r="I22" s="5">
        <f t="shared" si="58"/>
        <v>70367.320000000007</v>
      </c>
      <c r="J22" s="6">
        <f>2*57*1250*7.85/1000000</f>
        <v>1.118625</v>
      </c>
      <c r="K22" s="7">
        <f t="shared" si="59"/>
        <v>912.72767907028719</v>
      </c>
      <c r="L22" s="2">
        <v>913</v>
      </c>
      <c r="M22" s="2">
        <v>913</v>
      </c>
      <c r="N22" s="8">
        <v>17</v>
      </c>
      <c r="O22" s="2">
        <v>1</v>
      </c>
      <c r="P22" s="2">
        <f t="shared" si="60"/>
        <v>15521</v>
      </c>
      <c r="Q22" s="22">
        <v>15521</v>
      </c>
      <c r="R22" s="22">
        <v>15521</v>
      </c>
      <c r="S22" s="9">
        <f t="shared" si="52"/>
        <v>0</v>
      </c>
      <c r="T22" s="2">
        <f t="shared" si="53"/>
        <v>0</v>
      </c>
      <c r="U22" s="10">
        <v>1</v>
      </c>
      <c r="V22" s="7">
        <f t="shared" si="61"/>
        <v>15521</v>
      </c>
      <c r="W22" s="11">
        <v>4.8899999999999997</v>
      </c>
      <c r="X22" s="2">
        <f t="shared" si="54"/>
        <v>75897.689999999988</v>
      </c>
      <c r="Y22" s="2">
        <f t="shared" si="55"/>
        <v>5530.3699999999808</v>
      </c>
      <c r="Z22" s="7">
        <f t="shared" si="56"/>
        <v>20138.369999999981</v>
      </c>
      <c r="AA22" s="20">
        <f>Z22-V22</f>
        <v>4617.3699999999808</v>
      </c>
      <c r="AB22" s="21" t="s">
        <v>37</v>
      </c>
      <c r="AC22" s="6">
        <v>0.5</v>
      </c>
      <c r="AD22" s="2">
        <f t="shared" si="62"/>
        <v>456.5</v>
      </c>
      <c r="AE22" s="15">
        <v>32</v>
      </c>
      <c r="AF22" s="2">
        <f t="shared" si="63"/>
        <v>14608</v>
      </c>
    </row>
    <row r="23" spans="1:32" x14ac:dyDescent="0.25">
      <c r="A23" s="2">
        <v>15</v>
      </c>
      <c r="B23" s="3">
        <v>720</v>
      </c>
      <c r="C23" s="3" t="s">
        <v>109</v>
      </c>
      <c r="D23" s="34" t="s">
        <v>88</v>
      </c>
      <c r="E23" s="2" t="s">
        <v>33</v>
      </c>
      <c r="F23" s="4">
        <v>8200</v>
      </c>
      <c r="G23" s="2">
        <v>106</v>
      </c>
      <c r="H23" s="5">
        <v>72</v>
      </c>
      <c r="I23" s="5">
        <f t="shared" ref="I23:I27" si="64">G23*H23</f>
        <v>7632</v>
      </c>
      <c r="J23" s="6">
        <f>1.6*78*1250*7.85/1000000</f>
        <v>1.2245999999999999</v>
      </c>
      <c r="K23" s="7">
        <f t="shared" ref="K23:K27" si="65">G23/J23</f>
        <v>86.558876367793573</v>
      </c>
      <c r="L23" s="2">
        <v>87</v>
      </c>
      <c r="M23" s="2">
        <v>87</v>
      </c>
      <c r="N23" s="8">
        <v>60</v>
      </c>
      <c r="O23" s="2">
        <v>4</v>
      </c>
      <c r="P23" s="2">
        <f t="shared" ref="P23:P27" si="66">M23*N23*O23</f>
        <v>20880</v>
      </c>
      <c r="Q23" s="22">
        <v>20880</v>
      </c>
      <c r="R23" s="22">
        <v>20880</v>
      </c>
      <c r="S23" s="9">
        <f t="shared" ref="S23" si="67">Q23-R23</f>
        <v>0</v>
      </c>
      <c r="T23" s="2">
        <f t="shared" ref="T23" si="68">P23-Q23</f>
        <v>0</v>
      </c>
      <c r="U23" s="10">
        <v>0.1</v>
      </c>
      <c r="V23" s="7">
        <f t="shared" ref="V23:V27" si="69">Q23*U23</f>
        <v>2088</v>
      </c>
      <c r="W23" s="11">
        <v>0</v>
      </c>
      <c r="X23" s="2">
        <f t="shared" ref="X23" si="70">Q23*W23</f>
        <v>0</v>
      </c>
      <c r="Y23" s="2">
        <f t="shared" ref="Y23:Y27" si="71">X23-I23</f>
        <v>-7632</v>
      </c>
      <c r="Z23" s="7">
        <f t="shared" ref="Z23:Z27" si="72">AF23+Y23</f>
        <v>-5961.6</v>
      </c>
      <c r="AA23" s="20">
        <f t="shared" ref="AA23:AA26" si="73">Z23-V23</f>
        <v>-8049.6</v>
      </c>
      <c r="AB23" s="21" t="s">
        <v>37</v>
      </c>
      <c r="AC23" s="31">
        <v>0.6</v>
      </c>
      <c r="AD23" s="2">
        <f t="shared" ref="AD23:AD24" si="74">M23*AC23</f>
        <v>52.199999999999996</v>
      </c>
      <c r="AE23" s="15">
        <v>32</v>
      </c>
      <c r="AF23" s="2">
        <f t="shared" ref="AF23:AF27" si="75">AD23*AE23</f>
        <v>1670.3999999999999</v>
      </c>
    </row>
    <row r="24" spans="1:32" x14ac:dyDescent="0.25">
      <c r="A24" s="2">
        <v>16</v>
      </c>
      <c r="B24" s="3">
        <v>361</v>
      </c>
      <c r="C24" s="3" t="s">
        <v>110</v>
      </c>
      <c r="D24" s="46" t="s">
        <v>39</v>
      </c>
      <c r="E24" s="23" t="s">
        <v>48</v>
      </c>
      <c r="F24" s="24">
        <v>7479</v>
      </c>
      <c r="G24" s="3">
        <v>228</v>
      </c>
      <c r="H24" s="3">
        <v>73.92</v>
      </c>
      <c r="I24" s="17">
        <f t="shared" si="64"/>
        <v>16853.760000000002</v>
      </c>
      <c r="J24" s="18">
        <f>1.6*39*1250*7.85/1000000</f>
        <v>0.61229999999999996</v>
      </c>
      <c r="K24" s="19">
        <f t="shared" si="65"/>
        <v>372.36648701616855</v>
      </c>
      <c r="L24" s="19">
        <v>372</v>
      </c>
      <c r="M24" s="19">
        <v>372</v>
      </c>
      <c r="N24" s="8">
        <v>80</v>
      </c>
      <c r="O24" s="3">
        <v>1</v>
      </c>
      <c r="P24" s="3">
        <f t="shared" si="66"/>
        <v>29760</v>
      </c>
      <c r="Q24" s="3">
        <v>29760</v>
      </c>
      <c r="R24" s="3">
        <v>29760</v>
      </c>
      <c r="S24" s="9">
        <f>Q24-R24</f>
        <v>0</v>
      </c>
      <c r="T24" s="3">
        <f>P24-Q24</f>
        <v>0</v>
      </c>
      <c r="U24" s="10">
        <v>0.55000000000000004</v>
      </c>
      <c r="V24" s="19">
        <f t="shared" si="69"/>
        <v>16368.000000000002</v>
      </c>
      <c r="W24" s="11">
        <v>1.07</v>
      </c>
      <c r="X24" s="3">
        <f>Q24*W24</f>
        <v>31843.200000000001</v>
      </c>
      <c r="Y24" s="3">
        <f t="shared" si="71"/>
        <v>14989.439999999999</v>
      </c>
      <c r="Z24" s="19">
        <f t="shared" si="72"/>
        <v>16775.039999999997</v>
      </c>
      <c r="AA24" s="20">
        <f t="shared" si="73"/>
        <v>407.03999999999542</v>
      </c>
      <c r="AB24" s="21" t="s">
        <v>37</v>
      </c>
      <c r="AC24" s="18">
        <v>0.15</v>
      </c>
      <c r="AD24" s="17">
        <f t="shared" si="74"/>
        <v>55.8</v>
      </c>
      <c r="AE24" s="15">
        <v>32</v>
      </c>
      <c r="AF24" s="3">
        <f t="shared" si="75"/>
        <v>1785.6</v>
      </c>
    </row>
    <row r="25" spans="1:32" x14ac:dyDescent="0.25">
      <c r="A25" s="2">
        <v>17</v>
      </c>
      <c r="B25" s="3">
        <v>754</v>
      </c>
      <c r="C25" s="3" t="s">
        <v>110</v>
      </c>
      <c r="D25" s="34" t="s">
        <v>88</v>
      </c>
      <c r="E25" s="2" t="s">
        <v>90</v>
      </c>
      <c r="F25" s="4" t="s">
        <v>91</v>
      </c>
      <c r="G25" s="2">
        <v>184</v>
      </c>
      <c r="H25" s="3">
        <v>73.92</v>
      </c>
      <c r="I25" s="5">
        <f t="shared" si="64"/>
        <v>13601.28</v>
      </c>
      <c r="J25" s="6">
        <f>1.6*32*1250*7.85/1000000</f>
        <v>0.50239999999999996</v>
      </c>
      <c r="K25" s="7">
        <f t="shared" si="65"/>
        <v>366.24203821656056</v>
      </c>
      <c r="L25" s="2">
        <v>366</v>
      </c>
      <c r="M25" s="2">
        <v>366</v>
      </c>
      <c r="N25" s="8">
        <v>45</v>
      </c>
      <c r="O25" s="2">
        <v>1</v>
      </c>
      <c r="P25" s="2">
        <f t="shared" si="66"/>
        <v>16470</v>
      </c>
      <c r="Q25" s="22">
        <v>16470</v>
      </c>
      <c r="R25" s="22">
        <v>16470</v>
      </c>
      <c r="S25" s="9">
        <f t="shared" ref="S25:S27" si="76">Q25-R25</f>
        <v>0</v>
      </c>
      <c r="T25" s="2">
        <f t="shared" ref="T25:T27" si="77">P25-Q25</f>
        <v>0</v>
      </c>
      <c r="U25" s="10">
        <v>0.6</v>
      </c>
      <c r="V25" s="7">
        <f t="shared" si="69"/>
        <v>9882</v>
      </c>
      <c r="W25" s="11">
        <v>0</v>
      </c>
      <c r="X25" s="2">
        <f t="shared" ref="X25:X27" si="78">Q25*W25</f>
        <v>0</v>
      </c>
      <c r="Y25" s="2">
        <f t="shared" si="71"/>
        <v>-13601.28</v>
      </c>
      <c r="Z25" s="7">
        <f t="shared" si="72"/>
        <v>-13601.28</v>
      </c>
      <c r="AA25" s="20">
        <f t="shared" si="73"/>
        <v>-23483.279999999999</v>
      </c>
      <c r="AB25" s="21" t="s">
        <v>37</v>
      </c>
      <c r="AC25" s="31"/>
      <c r="AD25" s="2">
        <v>0</v>
      </c>
      <c r="AE25" s="15">
        <v>32</v>
      </c>
      <c r="AF25" s="2">
        <f t="shared" si="75"/>
        <v>0</v>
      </c>
    </row>
    <row r="26" spans="1:32" x14ac:dyDescent="0.25">
      <c r="A26" s="2">
        <v>18</v>
      </c>
      <c r="B26" s="3">
        <v>754</v>
      </c>
      <c r="C26" s="3" t="s">
        <v>110</v>
      </c>
      <c r="D26" s="34" t="s">
        <v>88</v>
      </c>
      <c r="E26" s="2" t="s">
        <v>103</v>
      </c>
      <c r="F26" s="4">
        <v>1441</v>
      </c>
      <c r="G26" s="2">
        <v>446</v>
      </c>
      <c r="H26" s="2">
        <v>63.92</v>
      </c>
      <c r="I26" s="5">
        <f t="shared" si="64"/>
        <v>28508.32</v>
      </c>
      <c r="J26" s="6">
        <f>2.3*105*1250*7.85/1000000</f>
        <v>2.3697187499999997</v>
      </c>
      <c r="K26" s="7">
        <f t="shared" si="65"/>
        <v>188.20798881723837</v>
      </c>
      <c r="L26" s="2">
        <v>188</v>
      </c>
      <c r="M26" s="2">
        <v>188</v>
      </c>
      <c r="N26" s="8">
        <v>20</v>
      </c>
      <c r="O26" s="2">
        <v>1</v>
      </c>
      <c r="P26" s="2">
        <f t="shared" si="66"/>
        <v>3760</v>
      </c>
      <c r="Q26" s="22">
        <v>3760</v>
      </c>
      <c r="R26" s="22">
        <v>3760</v>
      </c>
      <c r="S26" s="9">
        <f t="shared" si="76"/>
        <v>0</v>
      </c>
      <c r="T26" s="2">
        <f t="shared" si="77"/>
        <v>0</v>
      </c>
      <c r="U26" s="10">
        <v>0.7</v>
      </c>
      <c r="V26" s="7">
        <f t="shared" si="69"/>
        <v>2632</v>
      </c>
      <c r="W26" s="11">
        <v>0</v>
      </c>
      <c r="X26" s="2">
        <f t="shared" si="78"/>
        <v>0</v>
      </c>
      <c r="Y26" s="2">
        <f t="shared" si="71"/>
        <v>-28508.32</v>
      </c>
      <c r="Z26" s="7">
        <f t="shared" si="72"/>
        <v>-22492.32</v>
      </c>
      <c r="AA26" s="20">
        <f t="shared" si="73"/>
        <v>-25124.32</v>
      </c>
      <c r="AB26" s="21" t="s">
        <v>37</v>
      </c>
      <c r="AC26" s="6">
        <v>1</v>
      </c>
      <c r="AD26" s="7">
        <f t="shared" ref="AD26:AD27" si="79">M26*AC26</f>
        <v>188</v>
      </c>
      <c r="AE26" s="15">
        <v>32</v>
      </c>
      <c r="AF26" s="2">
        <f t="shared" si="75"/>
        <v>6016</v>
      </c>
    </row>
    <row r="27" spans="1:32" x14ac:dyDescent="0.25">
      <c r="A27" s="2">
        <v>19</v>
      </c>
      <c r="B27" s="3">
        <v>754</v>
      </c>
      <c r="C27" s="3" t="s">
        <v>110</v>
      </c>
      <c r="D27" s="34" t="s">
        <v>88</v>
      </c>
      <c r="E27" s="30" t="s">
        <v>105</v>
      </c>
      <c r="F27" s="4" t="s">
        <v>96</v>
      </c>
      <c r="G27" s="2">
        <v>500</v>
      </c>
      <c r="H27" s="2">
        <v>68.92</v>
      </c>
      <c r="I27" s="5">
        <f t="shared" si="64"/>
        <v>34460</v>
      </c>
      <c r="J27" s="6">
        <f>2*79*1250*7.85/1000000</f>
        <v>1.5503750000000001</v>
      </c>
      <c r="K27" s="7">
        <f t="shared" si="65"/>
        <v>322.50262033379022</v>
      </c>
      <c r="L27" s="2">
        <v>323</v>
      </c>
      <c r="M27" s="2">
        <v>323</v>
      </c>
      <c r="N27" s="8">
        <v>30</v>
      </c>
      <c r="O27" s="2">
        <v>1</v>
      </c>
      <c r="P27" s="2">
        <f t="shared" si="66"/>
        <v>9690</v>
      </c>
      <c r="Q27" s="22">
        <v>9690</v>
      </c>
      <c r="R27" s="22">
        <v>9690</v>
      </c>
      <c r="S27" s="9">
        <f t="shared" si="76"/>
        <v>0</v>
      </c>
      <c r="T27" s="2">
        <f t="shared" si="77"/>
        <v>0</v>
      </c>
      <c r="U27" s="10">
        <v>0.8</v>
      </c>
      <c r="V27" s="7">
        <f t="shared" si="69"/>
        <v>7752</v>
      </c>
      <c r="W27" s="11">
        <v>0</v>
      </c>
      <c r="X27" s="2">
        <f t="shared" si="78"/>
        <v>0</v>
      </c>
      <c r="Y27" s="2">
        <f t="shared" si="71"/>
        <v>-34460</v>
      </c>
      <c r="Z27" s="7">
        <f t="shared" si="72"/>
        <v>-34460</v>
      </c>
      <c r="AA27" s="20">
        <f>Z27-V27</f>
        <v>-42212</v>
      </c>
      <c r="AB27" s="21" t="s">
        <v>37</v>
      </c>
      <c r="AC27" s="6"/>
      <c r="AD27" s="2">
        <f t="shared" si="79"/>
        <v>0</v>
      </c>
      <c r="AE27" s="15">
        <v>32</v>
      </c>
      <c r="AF27" s="2">
        <f t="shared" si="75"/>
        <v>0</v>
      </c>
    </row>
    <row r="28" spans="1:32" x14ac:dyDescent="0.25">
      <c r="A28" s="36">
        <v>20</v>
      </c>
      <c r="B28" s="36">
        <v>754</v>
      </c>
      <c r="C28" s="36" t="s">
        <v>110</v>
      </c>
      <c r="D28" s="36" t="s">
        <v>88</v>
      </c>
      <c r="E28" s="37"/>
      <c r="F28" s="38"/>
      <c r="G28" s="36">
        <v>1032</v>
      </c>
      <c r="H28" s="36">
        <v>64.92</v>
      </c>
      <c r="I28" s="39">
        <f t="shared" ref="I28:I37" si="80">G28*H28</f>
        <v>66997.440000000002</v>
      </c>
      <c r="J28" s="40">
        <f>3.2*82*1250*7.85/1000000</f>
        <v>2.5748000000000006</v>
      </c>
      <c r="K28" s="41">
        <f t="shared" ref="K28:K31" si="81">G28/J28</f>
        <v>400.80782973434822</v>
      </c>
      <c r="L28" s="36">
        <v>401</v>
      </c>
      <c r="M28" s="36">
        <v>410</v>
      </c>
      <c r="N28" s="36"/>
      <c r="O28" s="36">
        <v>1</v>
      </c>
      <c r="P28" s="36">
        <f t="shared" ref="P28:P37" si="82">M28*N28*O28</f>
        <v>0</v>
      </c>
      <c r="Q28" s="42">
        <v>0</v>
      </c>
      <c r="R28" s="42">
        <v>0</v>
      </c>
      <c r="S28" s="43">
        <f t="shared" ref="S28" si="83">Q28-R28</f>
        <v>0</v>
      </c>
      <c r="T28" s="36">
        <f t="shared" ref="T28" si="84">P28-Q28</f>
        <v>0</v>
      </c>
      <c r="U28" s="39">
        <v>1</v>
      </c>
      <c r="V28" s="41">
        <f t="shared" ref="V28:V35" si="85">Q28*U28</f>
        <v>0</v>
      </c>
      <c r="W28" s="39">
        <v>0</v>
      </c>
      <c r="X28" s="36">
        <f t="shared" ref="X28:X37" si="86">Q28*W28</f>
        <v>0</v>
      </c>
      <c r="Y28" s="36">
        <f t="shared" ref="Y28:Y37" si="87">X28-I28</f>
        <v>-66997.440000000002</v>
      </c>
      <c r="Z28" s="41">
        <f t="shared" ref="Z28:Z31" si="88">AF28+Y28</f>
        <v>-66997.440000000002</v>
      </c>
      <c r="AA28" s="44">
        <f>Z28-V28</f>
        <v>-66997.440000000002</v>
      </c>
      <c r="AB28" s="45" t="s">
        <v>37</v>
      </c>
      <c r="AC28" s="40"/>
      <c r="AD28" s="36">
        <f t="shared" ref="AD28:AD32" si="89">M28*AC28</f>
        <v>0</v>
      </c>
      <c r="AE28" s="15">
        <v>32</v>
      </c>
      <c r="AF28" s="36">
        <f t="shared" ref="AF28:AF31" si="90">AD28*AE28</f>
        <v>0</v>
      </c>
    </row>
    <row r="29" spans="1:32" x14ac:dyDescent="0.25">
      <c r="A29" s="2">
        <v>21</v>
      </c>
      <c r="B29" s="3">
        <v>832</v>
      </c>
      <c r="C29" s="3" t="s">
        <v>114</v>
      </c>
      <c r="D29" s="34" t="s">
        <v>88</v>
      </c>
      <c r="E29" s="3" t="s">
        <v>33</v>
      </c>
      <c r="F29" s="24">
        <v>6380</v>
      </c>
      <c r="G29" s="3">
        <v>264</v>
      </c>
      <c r="H29" s="3">
        <v>73.92</v>
      </c>
      <c r="I29" s="17">
        <f t="shared" si="80"/>
        <v>19514.88</v>
      </c>
      <c r="J29" s="18">
        <f>1.6*81*1250*7.85/1000000</f>
        <v>1.2717000000000001</v>
      </c>
      <c r="K29" s="19">
        <f t="shared" si="81"/>
        <v>207.59613116301014</v>
      </c>
      <c r="L29" s="3">
        <v>208</v>
      </c>
      <c r="M29" s="3">
        <v>208</v>
      </c>
      <c r="N29" s="8">
        <v>56</v>
      </c>
      <c r="O29" s="3">
        <v>4</v>
      </c>
      <c r="P29" s="3">
        <f t="shared" si="82"/>
        <v>46592</v>
      </c>
      <c r="Q29" s="3">
        <v>46592</v>
      </c>
      <c r="R29" s="3">
        <v>46592</v>
      </c>
      <c r="S29" s="9">
        <f>Q29-R29</f>
        <v>0</v>
      </c>
      <c r="T29" s="3">
        <f>P29-Q29</f>
        <v>0</v>
      </c>
      <c r="U29" s="10">
        <v>0.1</v>
      </c>
      <c r="V29" s="19">
        <f t="shared" si="85"/>
        <v>4659.2</v>
      </c>
      <c r="W29" s="11">
        <v>0.44</v>
      </c>
      <c r="X29" s="3">
        <f t="shared" si="86"/>
        <v>20500.48</v>
      </c>
      <c r="Y29" s="3">
        <f t="shared" si="87"/>
        <v>985.59999999999854</v>
      </c>
      <c r="Z29" s="19">
        <f t="shared" si="88"/>
        <v>3847.6799999999985</v>
      </c>
      <c r="AA29" s="13">
        <f t="shared" ref="AA29:AA34" si="91">Z29-V29</f>
        <v>-811.52000000000135</v>
      </c>
      <c r="AB29" s="14" t="s">
        <v>34</v>
      </c>
      <c r="AC29" s="18">
        <v>0.43</v>
      </c>
      <c r="AD29" s="17">
        <f t="shared" si="89"/>
        <v>89.44</v>
      </c>
      <c r="AE29" s="15">
        <v>32</v>
      </c>
      <c r="AF29" s="3">
        <f t="shared" si="90"/>
        <v>2862.08</v>
      </c>
    </row>
    <row r="30" spans="1:32" x14ac:dyDescent="0.25">
      <c r="A30" s="2">
        <v>22</v>
      </c>
      <c r="B30" s="3">
        <v>832</v>
      </c>
      <c r="C30" s="3" t="s">
        <v>114</v>
      </c>
      <c r="D30" s="34" t="s">
        <v>88</v>
      </c>
      <c r="E30" s="2" t="s">
        <v>74</v>
      </c>
      <c r="F30" s="4" t="s">
        <v>76</v>
      </c>
      <c r="G30" s="2">
        <v>618</v>
      </c>
      <c r="H30" s="2">
        <v>68.92</v>
      </c>
      <c r="I30" s="5">
        <f t="shared" si="80"/>
        <v>42592.56</v>
      </c>
      <c r="J30" s="6">
        <f>2.3*57*1250*7.85/1000000</f>
        <v>1.2864187499999999</v>
      </c>
      <c r="K30" s="7">
        <f t="shared" si="81"/>
        <v>480.40344561209173</v>
      </c>
      <c r="L30" s="2">
        <v>480</v>
      </c>
      <c r="M30" s="2">
        <v>480</v>
      </c>
      <c r="N30" s="8">
        <v>31</v>
      </c>
      <c r="O30" s="2">
        <v>1</v>
      </c>
      <c r="P30" s="2">
        <f t="shared" si="82"/>
        <v>14880</v>
      </c>
      <c r="Q30" s="2">
        <v>14880</v>
      </c>
      <c r="R30" s="2">
        <v>14880</v>
      </c>
      <c r="S30" s="9">
        <f t="shared" ref="S30:S37" si="92">Q30-R30</f>
        <v>0</v>
      </c>
      <c r="T30" s="2">
        <f t="shared" ref="T30:T37" si="93">P30-Q30</f>
        <v>0</v>
      </c>
      <c r="U30" s="10">
        <v>1</v>
      </c>
      <c r="V30" s="7">
        <f t="shared" si="85"/>
        <v>14880</v>
      </c>
      <c r="W30" s="11">
        <v>3.41</v>
      </c>
      <c r="X30" s="2">
        <f t="shared" si="86"/>
        <v>50740.800000000003</v>
      </c>
      <c r="Y30" s="2">
        <f t="shared" si="87"/>
        <v>8148.2400000000052</v>
      </c>
      <c r="Z30" s="7">
        <f t="shared" si="88"/>
        <v>17364.240000000005</v>
      </c>
      <c r="AA30" s="20">
        <f t="shared" si="91"/>
        <v>2484.2400000000052</v>
      </c>
      <c r="AB30" s="21" t="s">
        <v>37</v>
      </c>
      <c r="AC30" s="6">
        <v>0.6</v>
      </c>
      <c r="AD30" s="7">
        <f t="shared" si="89"/>
        <v>288</v>
      </c>
      <c r="AE30" s="15">
        <v>32</v>
      </c>
      <c r="AF30" s="2">
        <f t="shared" si="90"/>
        <v>9216</v>
      </c>
    </row>
    <row r="31" spans="1:32" x14ac:dyDescent="0.25">
      <c r="A31" s="2">
        <v>23</v>
      </c>
      <c r="B31" s="3">
        <v>832</v>
      </c>
      <c r="C31" s="3" t="s">
        <v>114</v>
      </c>
      <c r="D31" s="34" t="s">
        <v>88</v>
      </c>
      <c r="E31" s="2" t="s">
        <v>33</v>
      </c>
      <c r="F31" s="4">
        <v>8200</v>
      </c>
      <c r="G31" s="2">
        <v>566</v>
      </c>
      <c r="H31" s="5">
        <v>72</v>
      </c>
      <c r="I31" s="5">
        <f t="shared" si="80"/>
        <v>40752</v>
      </c>
      <c r="J31" s="6">
        <f>1.6*78*1250*7.85/1000000</f>
        <v>1.2245999999999999</v>
      </c>
      <c r="K31" s="7">
        <f t="shared" si="81"/>
        <v>462.19173607708643</v>
      </c>
      <c r="L31" s="2">
        <v>462</v>
      </c>
      <c r="M31" s="2">
        <v>462</v>
      </c>
      <c r="N31" s="8">
        <v>60</v>
      </c>
      <c r="O31" s="2">
        <v>4</v>
      </c>
      <c r="P31" s="2">
        <f t="shared" si="82"/>
        <v>110880</v>
      </c>
      <c r="Q31" s="22">
        <v>110880</v>
      </c>
      <c r="R31" s="22">
        <v>110880</v>
      </c>
      <c r="S31" s="9">
        <f t="shared" si="92"/>
        <v>0</v>
      </c>
      <c r="T31" s="2">
        <f t="shared" si="93"/>
        <v>0</v>
      </c>
      <c r="U31" s="10">
        <v>0.1</v>
      </c>
      <c r="V31" s="7">
        <f t="shared" si="85"/>
        <v>11088</v>
      </c>
      <c r="W31" s="11">
        <v>0</v>
      </c>
      <c r="X31" s="2">
        <f t="shared" si="86"/>
        <v>0</v>
      </c>
      <c r="Y31" s="2">
        <f t="shared" si="87"/>
        <v>-40752</v>
      </c>
      <c r="Z31" s="7">
        <f t="shared" si="88"/>
        <v>-31881.599999999999</v>
      </c>
      <c r="AA31" s="20">
        <f t="shared" si="91"/>
        <v>-42969.599999999999</v>
      </c>
      <c r="AB31" s="21" t="s">
        <v>37</v>
      </c>
      <c r="AC31" s="31">
        <v>0.6</v>
      </c>
      <c r="AD31" s="2">
        <f t="shared" si="89"/>
        <v>277.2</v>
      </c>
      <c r="AE31" s="15">
        <v>32</v>
      </c>
      <c r="AF31" s="2">
        <f t="shared" si="90"/>
        <v>8870.4</v>
      </c>
    </row>
    <row r="32" spans="1:32" x14ac:dyDescent="0.25">
      <c r="A32" s="2">
        <v>24</v>
      </c>
      <c r="B32" s="3">
        <v>832</v>
      </c>
      <c r="C32" s="3" t="s">
        <v>114</v>
      </c>
      <c r="D32" s="34" t="s">
        <v>88</v>
      </c>
      <c r="E32" s="3" t="s">
        <v>33</v>
      </c>
      <c r="F32" s="24" t="s">
        <v>54</v>
      </c>
      <c r="G32" s="3">
        <v>376</v>
      </c>
      <c r="H32" s="3">
        <v>73.92</v>
      </c>
      <c r="I32" s="17">
        <f t="shared" si="80"/>
        <v>27793.920000000002</v>
      </c>
      <c r="J32" s="18">
        <f>1.6*72*1250*7.85/1000000</f>
        <v>1.1304000000000001</v>
      </c>
      <c r="K32" s="19">
        <f>G32/J32</f>
        <v>332.62561924982305</v>
      </c>
      <c r="L32" s="3">
        <v>333</v>
      </c>
      <c r="M32" s="3">
        <v>333</v>
      </c>
      <c r="N32" s="8">
        <v>64</v>
      </c>
      <c r="O32" s="3">
        <v>4</v>
      </c>
      <c r="P32" s="3">
        <f t="shared" si="82"/>
        <v>85248</v>
      </c>
      <c r="Q32" s="3">
        <v>85248</v>
      </c>
      <c r="R32" s="3">
        <v>85248</v>
      </c>
      <c r="S32" s="9">
        <f t="shared" si="92"/>
        <v>0</v>
      </c>
      <c r="T32" s="3">
        <f t="shared" si="93"/>
        <v>0</v>
      </c>
      <c r="U32" s="10">
        <v>0.08</v>
      </c>
      <c r="V32" s="19">
        <f t="shared" si="85"/>
        <v>6819.84</v>
      </c>
      <c r="W32" s="11">
        <v>0.36</v>
      </c>
      <c r="X32" s="19">
        <f t="shared" si="86"/>
        <v>30689.279999999999</v>
      </c>
      <c r="Y32" s="17">
        <f t="shared" si="87"/>
        <v>2895.3599999999969</v>
      </c>
      <c r="Z32" s="19">
        <f>AF32+Y32</f>
        <v>6741.5099999999966</v>
      </c>
      <c r="AA32" s="13">
        <f t="shared" si="91"/>
        <v>-78.330000000003565</v>
      </c>
      <c r="AB32" s="14" t="s">
        <v>34</v>
      </c>
      <c r="AC32" s="18">
        <v>0.35</v>
      </c>
      <c r="AD32" s="17">
        <f t="shared" si="89"/>
        <v>116.55</v>
      </c>
      <c r="AE32" s="15">
        <v>33</v>
      </c>
      <c r="AF32" s="3">
        <f>AD32*AE32</f>
        <v>3846.15</v>
      </c>
    </row>
    <row r="33" spans="1:32" x14ac:dyDescent="0.25">
      <c r="A33" s="2">
        <v>25</v>
      </c>
      <c r="B33" s="3">
        <v>847</v>
      </c>
      <c r="C33" s="3" t="s">
        <v>116</v>
      </c>
      <c r="D33" s="34" t="s">
        <v>88</v>
      </c>
      <c r="E33" s="2" t="s">
        <v>90</v>
      </c>
      <c r="F33" s="4" t="s">
        <v>91</v>
      </c>
      <c r="G33" s="2">
        <v>194</v>
      </c>
      <c r="H33" s="3">
        <v>73.92</v>
      </c>
      <c r="I33" s="5">
        <f t="shared" si="80"/>
        <v>14340.48</v>
      </c>
      <c r="J33" s="6">
        <f>1.6*32*1250*7.85/1000000</f>
        <v>0.50239999999999996</v>
      </c>
      <c r="K33" s="7">
        <f t="shared" ref="K33:K40" si="94">G33/J33</f>
        <v>386.14649681528664</v>
      </c>
      <c r="L33" s="2">
        <v>386</v>
      </c>
      <c r="M33" s="2">
        <v>386</v>
      </c>
      <c r="N33" s="8">
        <v>45</v>
      </c>
      <c r="O33" s="2">
        <v>1</v>
      </c>
      <c r="P33" s="2">
        <f t="shared" si="82"/>
        <v>17370</v>
      </c>
      <c r="Q33" s="22">
        <v>17370</v>
      </c>
      <c r="R33" s="22">
        <v>17370</v>
      </c>
      <c r="S33" s="9">
        <f t="shared" si="92"/>
        <v>0</v>
      </c>
      <c r="T33" s="2">
        <f t="shared" si="93"/>
        <v>0</v>
      </c>
      <c r="U33" s="10">
        <v>0.6</v>
      </c>
      <c r="V33" s="7">
        <f t="shared" si="85"/>
        <v>10422</v>
      </c>
      <c r="W33" s="11">
        <v>1.5</v>
      </c>
      <c r="X33" s="2">
        <f t="shared" si="86"/>
        <v>26055</v>
      </c>
      <c r="Y33" s="2">
        <f t="shared" si="87"/>
        <v>11714.52</v>
      </c>
      <c r="Z33" s="7">
        <f t="shared" ref="Z33:Z40" si="95">AF33+Y33</f>
        <v>11714.52</v>
      </c>
      <c r="AA33" s="20">
        <f t="shared" si="91"/>
        <v>1292.5200000000004</v>
      </c>
      <c r="AB33" s="21" t="s">
        <v>37</v>
      </c>
      <c r="AC33" s="31"/>
      <c r="AD33" s="2">
        <v>0</v>
      </c>
      <c r="AE33" s="15">
        <v>32</v>
      </c>
      <c r="AF33" s="2">
        <f t="shared" ref="AF33:AF40" si="96">AD33*AE33</f>
        <v>0</v>
      </c>
    </row>
    <row r="34" spans="1:32" x14ac:dyDescent="0.25">
      <c r="A34" s="2">
        <v>26</v>
      </c>
      <c r="B34" s="3">
        <v>847</v>
      </c>
      <c r="C34" s="3" t="s">
        <v>116</v>
      </c>
      <c r="D34" s="34" t="s">
        <v>88</v>
      </c>
      <c r="E34" s="2" t="s">
        <v>33</v>
      </c>
      <c r="F34" s="4">
        <v>8200</v>
      </c>
      <c r="G34" s="2">
        <v>2260</v>
      </c>
      <c r="H34" s="5">
        <v>73.5</v>
      </c>
      <c r="I34" s="5">
        <f t="shared" si="80"/>
        <v>166110</v>
      </c>
      <c r="J34" s="6">
        <f>1.6*78*1250*7.85/1000000</f>
        <v>1.2245999999999999</v>
      </c>
      <c r="K34" s="7">
        <f t="shared" si="94"/>
        <v>1845.5005716152214</v>
      </c>
      <c r="L34" s="2">
        <v>1846</v>
      </c>
      <c r="M34" s="2">
        <v>1846</v>
      </c>
      <c r="N34" s="8">
        <v>60</v>
      </c>
      <c r="O34" s="2">
        <v>4</v>
      </c>
      <c r="P34" s="2">
        <f t="shared" si="82"/>
        <v>443040</v>
      </c>
      <c r="Q34" s="22">
        <v>443040</v>
      </c>
      <c r="R34" s="22">
        <v>443040</v>
      </c>
      <c r="S34" s="9">
        <f t="shared" si="92"/>
        <v>0</v>
      </c>
      <c r="T34" s="2">
        <f t="shared" si="93"/>
        <v>0</v>
      </c>
      <c r="U34" s="10">
        <v>0.1</v>
      </c>
      <c r="V34" s="7">
        <f t="shared" si="85"/>
        <v>44304</v>
      </c>
      <c r="W34" s="11">
        <v>0.39</v>
      </c>
      <c r="X34" s="2">
        <f t="shared" si="86"/>
        <v>172785.6</v>
      </c>
      <c r="Y34" s="2">
        <f t="shared" si="87"/>
        <v>6675.6000000000058</v>
      </c>
      <c r="Z34" s="7">
        <f t="shared" si="95"/>
        <v>42118.8</v>
      </c>
      <c r="AA34" s="20">
        <f t="shared" si="91"/>
        <v>-2185.1999999999971</v>
      </c>
      <c r="AB34" s="21" t="s">
        <v>37</v>
      </c>
      <c r="AC34" s="31">
        <v>0.6</v>
      </c>
      <c r="AD34" s="2">
        <f t="shared" ref="AD34:AD40" si="97">M34*AC34</f>
        <v>1107.5999999999999</v>
      </c>
      <c r="AE34" s="15">
        <v>32</v>
      </c>
      <c r="AF34" s="2">
        <f t="shared" si="96"/>
        <v>35443.199999999997</v>
      </c>
    </row>
    <row r="35" spans="1:32" x14ac:dyDescent="0.25">
      <c r="A35" s="2">
        <v>27</v>
      </c>
      <c r="B35" s="3">
        <v>847</v>
      </c>
      <c r="C35" s="3" t="s">
        <v>116</v>
      </c>
      <c r="D35" s="34" t="s">
        <v>88</v>
      </c>
      <c r="E35" s="2" t="s">
        <v>92</v>
      </c>
      <c r="F35" s="4" t="s">
        <v>93</v>
      </c>
      <c r="G35" s="2">
        <v>2497</v>
      </c>
      <c r="H35" s="2">
        <v>63.92</v>
      </c>
      <c r="I35" s="5">
        <f t="shared" si="80"/>
        <v>159608.24</v>
      </c>
      <c r="J35" s="6">
        <f>2*142*1250*7.85/1000000</f>
        <v>2.7867500000000001</v>
      </c>
      <c r="K35" s="7">
        <f t="shared" si="94"/>
        <v>896.02583654795012</v>
      </c>
      <c r="L35" s="2">
        <v>896</v>
      </c>
      <c r="M35" s="2">
        <v>896</v>
      </c>
      <c r="N35" s="8">
        <v>35</v>
      </c>
      <c r="O35" s="2">
        <v>1</v>
      </c>
      <c r="P35" s="2">
        <f t="shared" si="82"/>
        <v>31360</v>
      </c>
      <c r="Q35" s="22">
        <v>31360</v>
      </c>
      <c r="R35" s="22">
        <v>31360</v>
      </c>
      <c r="S35" s="9">
        <f t="shared" si="92"/>
        <v>0</v>
      </c>
      <c r="T35" s="2">
        <f t="shared" si="93"/>
        <v>0</v>
      </c>
      <c r="U35" s="10">
        <v>0.8</v>
      </c>
      <c r="V35" s="7">
        <f t="shared" si="85"/>
        <v>25088</v>
      </c>
      <c r="W35" s="11">
        <v>5.55</v>
      </c>
      <c r="X35" s="2">
        <f t="shared" si="86"/>
        <v>174048</v>
      </c>
      <c r="Y35" s="2">
        <f t="shared" si="87"/>
        <v>14439.760000000009</v>
      </c>
      <c r="Z35" s="7">
        <f t="shared" si="95"/>
        <v>33936.720000000016</v>
      </c>
      <c r="AA35" s="20">
        <f>Z35-V35</f>
        <v>8848.7200000000157</v>
      </c>
      <c r="AB35" s="21" t="s">
        <v>37</v>
      </c>
      <c r="AC35" s="6">
        <v>0.68</v>
      </c>
      <c r="AD35" s="2">
        <f t="shared" si="97"/>
        <v>609.28000000000009</v>
      </c>
      <c r="AE35" s="15">
        <v>32</v>
      </c>
      <c r="AF35" s="2">
        <f t="shared" si="96"/>
        <v>19496.960000000003</v>
      </c>
    </row>
    <row r="36" spans="1:32" x14ac:dyDescent="0.25">
      <c r="A36" s="2">
        <v>28</v>
      </c>
      <c r="B36" s="3">
        <v>847</v>
      </c>
      <c r="C36" s="3" t="s">
        <v>116</v>
      </c>
      <c r="D36" s="34" t="s">
        <v>88</v>
      </c>
      <c r="E36" s="2" t="s">
        <v>112</v>
      </c>
      <c r="F36" s="4" t="s">
        <v>113</v>
      </c>
      <c r="G36" s="2">
        <v>494</v>
      </c>
      <c r="H36" s="2">
        <v>63.92</v>
      </c>
      <c r="I36" s="5">
        <f t="shared" si="80"/>
        <v>31576.48</v>
      </c>
      <c r="J36" s="6">
        <f>2*160*1250*7.85/1000000</f>
        <v>3.14</v>
      </c>
      <c r="K36" s="7">
        <f t="shared" si="94"/>
        <v>157.32484076433121</v>
      </c>
      <c r="L36" s="2">
        <v>157</v>
      </c>
      <c r="M36" s="2">
        <v>157</v>
      </c>
      <c r="N36" s="8">
        <v>41</v>
      </c>
      <c r="O36" s="2">
        <v>2</v>
      </c>
      <c r="P36" s="2">
        <f t="shared" si="82"/>
        <v>12874</v>
      </c>
      <c r="Q36" s="22">
        <v>12874</v>
      </c>
      <c r="R36" s="22">
        <v>12874</v>
      </c>
      <c r="S36" s="9">
        <f t="shared" si="92"/>
        <v>0</v>
      </c>
      <c r="T36" s="2">
        <f t="shared" si="93"/>
        <v>0</v>
      </c>
      <c r="U36" s="10">
        <v>0.4</v>
      </c>
      <c r="V36" s="7">
        <f>Q36*U36</f>
        <v>5149.6000000000004</v>
      </c>
      <c r="W36" s="11">
        <v>0</v>
      </c>
      <c r="X36" s="2">
        <f t="shared" si="86"/>
        <v>0</v>
      </c>
      <c r="Y36" s="2">
        <f t="shared" si="87"/>
        <v>-31576.48</v>
      </c>
      <c r="Z36" s="7">
        <f t="shared" si="95"/>
        <v>-28053.399999999998</v>
      </c>
      <c r="AA36" s="20">
        <f>Z36-V36</f>
        <v>-33203</v>
      </c>
      <c r="AB36" s="21" t="s">
        <v>37</v>
      </c>
      <c r="AC36" s="6">
        <v>0.68</v>
      </c>
      <c r="AD36" s="2">
        <f t="shared" si="97"/>
        <v>106.76</v>
      </c>
      <c r="AE36" s="15">
        <v>33</v>
      </c>
      <c r="AF36" s="2">
        <f t="shared" si="96"/>
        <v>3523.0800000000004</v>
      </c>
    </row>
    <row r="37" spans="1:32" x14ac:dyDescent="0.25">
      <c r="A37" s="2">
        <v>29</v>
      </c>
      <c r="B37" s="3">
        <v>847</v>
      </c>
      <c r="C37" s="3" t="s">
        <v>116</v>
      </c>
      <c r="D37" s="34" t="s">
        <v>88</v>
      </c>
      <c r="E37" s="2"/>
      <c r="F37" s="4" t="s">
        <v>94</v>
      </c>
      <c r="G37" s="2">
        <v>600</v>
      </c>
      <c r="H37" s="2">
        <v>64.92</v>
      </c>
      <c r="I37" s="5">
        <f t="shared" si="80"/>
        <v>38952</v>
      </c>
      <c r="J37" s="6">
        <f>2*50*1250*7.85/1000000</f>
        <v>0.98124999999999996</v>
      </c>
      <c r="K37" s="7">
        <f t="shared" si="94"/>
        <v>611.46496815286628</v>
      </c>
      <c r="L37" s="2">
        <v>611</v>
      </c>
      <c r="M37" s="2">
        <v>611</v>
      </c>
      <c r="N37" s="8">
        <v>24</v>
      </c>
      <c r="O37" s="2">
        <v>1</v>
      </c>
      <c r="P37" s="2">
        <f t="shared" si="82"/>
        <v>14664</v>
      </c>
      <c r="Q37" s="22">
        <v>14664</v>
      </c>
      <c r="R37" s="22">
        <v>14664</v>
      </c>
      <c r="S37" s="9">
        <f t="shared" si="92"/>
        <v>0</v>
      </c>
      <c r="T37" s="2">
        <f t="shared" si="93"/>
        <v>0</v>
      </c>
      <c r="U37" s="10">
        <v>0.55000000000000004</v>
      </c>
      <c r="V37" s="7">
        <f t="shared" ref="V37:V40" si="98">Q37*U37</f>
        <v>8065.2000000000007</v>
      </c>
      <c r="W37" s="11">
        <v>2.9</v>
      </c>
      <c r="X37" s="2">
        <f t="shared" si="86"/>
        <v>42525.599999999999</v>
      </c>
      <c r="Y37" s="2">
        <f t="shared" si="87"/>
        <v>3573.5999999999985</v>
      </c>
      <c r="Z37" s="7">
        <f t="shared" si="95"/>
        <v>3573.5999999999985</v>
      </c>
      <c r="AA37" s="20">
        <f>Z37-V37</f>
        <v>-4491.6000000000022</v>
      </c>
      <c r="AB37" s="21" t="s">
        <v>37</v>
      </c>
      <c r="AC37" s="6"/>
      <c r="AD37" s="2">
        <f t="shared" si="97"/>
        <v>0</v>
      </c>
      <c r="AE37" s="15">
        <v>33</v>
      </c>
      <c r="AF37" s="2">
        <f t="shared" si="96"/>
        <v>0</v>
      </c>
    </row>
    <row r="38" spans="1:32" x14ac:dyDescent="0.25">
      <c r="A38" s="2">
        <v>30</v>
      </c>
      <c r="B38" s="3">
        <v>849</v>
      </c>
      <c r="C38" s="3" t="s">
        <v>116</v>
      </c>
      <c r="D38" s="34" t="s">
        <v>88</v>
      </c>
      <c r="E38" s="2" t="s">
        <v>74</v>
      </c>
      <c r="F38" s="4" t="s">
        <v>75</v>
      </c>
      <c r="G38" s="2">
        <v>3212</v>
      </c>
      <c r="H38" s="2">
        <v>68.92</v>
      </c>
      <c r="I38" s="5">
        <f t="shared" ref="I38:I40" si="99">G38*H38</f>
        <v>221371.04</v>
      </c>
      <c r="J38" s="6">
        <f>2*57*1250*7.85/1000000</f>
        <v>1.118625</v>
      </c>
      <c r="K38" s="7">
        <f t="shared" si="94"/>
        <v>2871.3822773494244</v>
      </c>
      <c r="L38" s="2">
        <v>2871</v>
      </c>
      <c r="M38" s="2">
        <v>2871</v>
      </c>
      <c r="N38" s="8">
        <v>17</v>
      </c>
      <c r="O38" s="2">
        <v>1</v>
      </c>
      <c r="P38" s="2">
        <f t="shared" ref="P38:P40" si="100">M38*N38*O38</f>
        <v>48807</v>
      </c>
      <c r="Q38" s="2">
        <v>48807</v>
      </c>
      <c r="R38" s="2">
        <v>48807</v>
      </c>
      <c r="S38" s="9">
        <f t="shared" ref="S38:S40" si="101">Q38-R38</f>
        <v>0</v>
      </c>
      <c r="T38" s="2">
        <f t="shared" ref="T38:T40" si="102">P38-Q38</f>
        <v>0</v>
      </c>
      <c r="U38" s="10">
        <v>1</v>
      </c>
      <c r="V38" s="7">
        <f t="shared" si="98"/>
        <v>48807</v>
      </c>
      <c r="W38" s="11">
        <v>4.8899999999999997</v>
      </c>
      <c r="X38" s="2">
        <f t="shared" ref="X38:X40" si="103">Q38*W38</f>
        <v>238666.22999999998</v>
      </c>
      <c r="Y38" s="2">
        <f t="shared" ref="Y38:Y40" si="104">X38-I38</f>
        <v>17295.189999999973</v>
      </c>
      <c r="Z38" s="7">
        <f t="shared" si="95"/>
        <v>72418.38999999997</v>
      </c>
      <c r="AA38" s="20">
        <f t="shared" ref="AA38" si="105">Z38-V38</f>
        <v>23611.38999999997</v>
      </c>
      <c r="AB38" s="21" t="s">
        <v>37</v>
      </c>
      <c r="AC38" s="6">
        <v>0.6</v>
      </c>
      <c r="AD38" s="7">
        <f t="shared" si="97"/>
        <v>1722.6</v>
      </c>
      <c r="AE38" s="15">
        <v>32</v>
      </c>
      <c r="AF38" s="2">
        <f t="shared" si="96"/>
        <v>55123.199999999997</v>
      </c>
    </row>
    <row r="39" spans="1:32" x14ac:dyDescent="0.25">
      <c r="A39" s="2">
        <v>31</v>
      </c>
      <c r="B39" s="3">
        <v>849</v>
      </c>
      <c r="C39" s="3" t="s">
        <v>116</v>
      </c>
      <c r="D39" s="34" t="s">
        <v>88</v>
      </c>
      <c r="E39" s="30" t="s">
        <v>105</v>
      </c>
      <c r="F39" s="4" t="s">
        <v>96</v>
      </c>
      <c r="G39" s="2">
        <v>860</v>
      </c>
      <c r="H39" s="2">
        <v>68.92</v>
      </c>
      <c r="I39" s="5">
        <f t="shared" si="99"/>
        <v>59271.200000000004</v>
      </c>
      <c r="J39" s="6">
        <f>2*79*1250*7.85/1000000</f>
        <v>1.5503750000000001</v>
      </c>
      <c r="K39" s="7">
        <f t="shared" si="94"/>
        <v>554.70450697411911</v>
      </c>
      <c r="L39" s="2">
        <v>555</v>
      </c>
      <c r="M39" s="2">
        <v>555</v>
      </c>
      <c r="N39" s="8">
        <v>30</v>
      </c>
      <c r="O39" s="2">
        <v>1</v>
      </c>
      <c r="P39" s="2">
        <f t="shared" si="100"/>
        <v>16650</v>
      </c>
      <c r="Q39" s="22">
        <v>16650</v>
      </c>
      <c r="R39" s="22">
        <v>16650</v>
      </c>
      <c r="S39" s="9">
        <f t="shared" si="101"/>
        <v>0</v>
      </c>
      <c r="T39" s="2">
        <f t="shared" si="102"/>
        <v>0</v>
      </c>
      <c r="U39" s="10">
        <v>0.8</v>
      </c>
      <c r="V39" s="7">
        <f t="shared" si="98"/>
        <v>13320</v>
      </c>
      <c r="W39" s="11">
        <v>3.75</v>
      </c>
      <c r="X39" s="2">
        <f t="shared" si="103"/>
        <v>62437.5</v>
      </c>
      <c r="Y39" s="2">
        <f t="shared" si="104"/>
        <v>3166.2999999999956</v>
      </c>
      <c r="Z39" s="7">
        <f t="shared" si="95"/>
        <v>3166.2999999999956</v>
      </c>
      <c r="AA39" s="20">
        <f>Z39-V39</f>
        <v>-10153.700000000004</v>
      </c>
      <c r="AB39" s="21" t="s">
        <v>37</v>
      </c>
      <c r="AC39" s="6"/>
      <c r="AD39" s="2">
        <f t="shared" si="97"/>
        <v>0</v>
      </c>
      <c r="AE39" s="15">
        <v>32</v>
      </c>
      <c r="AF39" s="2">
        <f t="shared" si="96"/>
        <v>0</v>
      </c>
    </row>
    <row r="40" spans="1:32" x14ac:dyDescent="0.25">
      <c r="A40" s="2">
        <v>32</v>
      </c>
      <c r="B40" s="3">
        <v>849</v>
      </c>
      <c r="C40" s="3" t="s">
        <v>116</v>
      </c>
      <c r="D40" s="34" t="s">
        <v>88</v>
      </c>
      <c r="E40" s="2" t="s">
        <v>103</v>
      </c>
      <c r="F40" s="4">
        <v>1441</v>
      </c>
      <c r="G40" s="2">
        <v>1503</v>
      </c>
      <c r="H40" s="2">
        <v>63.92</v>
      </c>
      <c r="I40" s="5">
        <f t="shared" si="99"/>
        <v>96071.760000000009</v>
      </c>
      <c r="J40" s="6">
        <f>2.3*105*1250*7.85/1000000</f>
        <v>2.3697187499999997</v>
      </c>
      <c r="K40" s="7">
        <f t="shared" si="94"/>
        <v>634.25248249396691</v>
      </c>
      <c r="L40" s="2">
        <v>634</v>
      </c>
      <c r="M40" s="2">
        <v>634</v>
      </c>
      <c r="N40" s="8">
        <v>20</v>
      </c>
      <c r="O40" s="2">
        <v>1</v>
      </c>
      <c r="P40" s="2">
        <f t="shared" si="100"/>
        <v>12680</v>
      </c>
      <c r="Q40" s="22">
        <v>12680</v>
      </c>
      <c r="R40" s="22">
        <v>12680</v>
      </c>
      <c r="S40" s="9">
        <f t="shared" si="101"/>
        <v>0</v>
      </c>
      <c r="T40" s="2">
        <f t="shared" si="102"/>
        <v>0</v>
      </c>
      <c r="U40" s="10">
        <v>0.7</v>
      </c>
      <c r="V40" s="7">
        <f t="shared" si="98"/>
        <v>8876</v>
      </c>
      <c r="W40" s="11">
        <v>6.95</v>
      </c>
      <c r="X40" s="2">
        <f t="shared" si="103"/>
        <v>88126</v>
      </c>
      <c r="Y40" s="2">
        <f t="shared" si="104"/>
        <v>-7945.7600000000093</v>
      </c>
      <c r="Z40" s="7">
        <f t="shared" si="95"/>
        <v>12342.239999999991</v>
      </c>
      <c r="AA40" s="20">
        <f t="shared" ref="AA40:AA41" si="106">Z40-V40</f>
        <v>3466.2399999999907</v>
      </c>
      <c r="AB40" s="21" t="s">
        <v>37</v>
      </c>
      <c r="AC40" s="6">
        <v>1</v>
      </c>
      <c r="AD40" s="7">
        <f t="shared" si="97"/>
        <v>634</v>
      </c>
      <c r="AE40" s="15">
        <v>32</v>
      </c>
      <c r="AF40" s="2">
        <f t="shared" si="96"/>
        <v>20288</v>
      </c>
    </row>
    <row r="41" spans="1:32" x14ac:dyDescent="0.25">
      <c r="A41" s="2">
        <v>33</v>
      </c>
      <c r="B41" s="3">
        <v>850</v>
      </c>
      <c r="C41" s="3" t="s">
        <v>116</v>
      </c>
      <c r="D41" s="34" t="s">
        <v>88</v>
      </c>
      <c r="E41" s="2" t="s">
        <v>74</v>
      </c>
      <c r="F41" s="4" t="s">
        <v>76</v>
      </c>
      <c r="G41" s="2">
        <v>3123</v>
      </c>
      <c r="H41" s="2">
        <v>68.92</v>
      </c>
      <c r="I41" s="5">
        <f t="shared" ref="I41:I43" si="107">G41*H41</f>
        <v>215237.16</v>
      </c>
      <c r="J41" s="6">
        <f>2.3*57*1250*7.85/1000000</f>
        <v>1.2864187499999999</v>
      </c>
      <c r="K41" s="7">
        <f t="shared" ref="K41:K43" si="108">G41/J41</f>
        <v>2427.6698392339199</v>
      </c>
      <c r="L41" s="2">
        <v>2428</v>
      </c>
      <c r="M41" s="2">
        <v>2428</v>
      </c>
      <c r="N41" s="8">
        <v>31</v>
      </c>
      <c r="O41" s="2">
        <v>1</v>
      </c>
      <c r="P41" s="2">
        <f t="shared" ref="P41:P43" si="109">M41*N41*O41</f>
        <v>75268</v>
      </c>
      <c r="Q41" s="2">
        <v>75268</v>
      </c>
      <c r="R41" s="2">
        <v>75268</v>
      </c>
      <c r="S41" s="9">
        <f t="shared" ref="S41:S43" si="110">Q41-R41</f>
        <v>0</v>
      </c>
      <c r="T41" s="2">
        <f t="shared" ref="T41:T43" si="111">P41-Q41</f>
        <v>0</v>
      </c>
      <c r="U41" s="10">
        <v>1</v>
      </c>
      <c r="V41" s="7">
        <f t="shared" ref="V41:V42" si="112">Q41*U41</f>
        <v>75268</v>
      </c>
      <c r="W41" s="11">
        <v>3.41</v>
      </c>
      <c r="X41" s="2">
        <f t="shared" ref="X41:X43" si="113">Q41*W41</f>
        <v>256663.88</v>
      </c>
      <c r="Y41" s="2">
        <f t="shared" ref="Y41:Y43" si="114">X41-I41</f>
        <v>41426.720000000001</v>
      </c>
      <c r="Z41" s="7">
        <f t="shared" ref="Z41:Z43" si="115">AF41+Y41</f>
        <v>88044.32</v>
      </c>
      <c r="AA41" s="20">
        <f t="shared" si="106"/>
        <v>12776.320000000007</v>
      </c>
      <c r="AB41" s="21" t="s">
        <v>37</v>
      </c>
      <c r="AC41" s="6">
        <v>0.6</v>
      </c>
      <c r="AD41" s="7">
        <f t="shared" ref="AD41:AD43" si="116">M41*AC41</f>
        <v>1456.8</v>
      </c>
      <c r="AE41" s="15">
        <v>32</v>
      </c>
      <c r="AF41" s="2">
        <f t="shared" ref="AF41:AF43" si="117">AD41*AE41</f>
        <v>46617.599999999999</v>
      </c>
    </row>
    <row r="42" spans="1:32" x14ac:dyDescent="0.25">
      <c r="A42" s="2">
        <v>34</v>
      </c>
      <c r="B42" s="3">
        <v>850</v>
      </c>
      <c r="C42" s="3" t="s">
        <v>116</v>
      </c>
      <c r="D42" s="34" t="s">
        <v>88</v>
      </c>
      <c r="E42" s="2" t="s">
        <v>74</v>
      </c>
      <c r="F42" s="33" t="s">
        <v>97</v>
      </c>
      <c r="G42" s="2">
        <v>318</v>
      </c>
      <c r="H42" s="2">
        <v>64.92</v>
      </c>
      <c r="I42" s="5">
        <f t="shared" si="107"/>
        <v>20644.560000000001</v>
      </c>
      <c r="J42" s="6">
        <f>2.6*89*1250*7.85/1000000</f>
        <v>2.2706124999999999</v>
      </c>
      <c r="K42" s="7">
        <f t="shared" si="108"/>
        <v>140.05031681980083</v>
      </c>
      <c r="L42" s="2">
        <v>140</v>
      </c>
      <c r="M42" s="2">
        <v>140</v>
      </c>
      <c r="N42" s="8">
        <v>28</v>
      </c>
      <c r="O42" s="2">
        <v>1</v>
      </c>
      <c r="P42" s="2">
        <f t="shared" si="109"/>
        <v>3920</v>
      </c>
      <c r="Q42" s="2">
        <f>P42</f>
        <v>3920</v>
      </c>
      <c r="R42" s="2">
        <f>Q42</f>
        <v>3920</v>
      </c>
      <c r="S42" s="9">
        <f t="shared" si="110"/>
        <v>0</v>
      </c>
      <c r="T42" s="2">
        <f t="shared" si="111"/>
        <v>0</v>
      </c>
      <c r="U42" s="10">
        <v>1</v>
      </c>
      <c r="V42" s="7">
        <f t="shared" si="112"/>
        <v>3920</v>
      </c>
      <c r="W42" s="11">
        <v>5.69</v>
      </c>
      <c r="X42" s="2">
        <f t="shared" si="113"/>
        <v>22304.800000000003</v>
      </c>
      <c r="Y42" s="2">
        <f t="shared" si="114"/>
        <v>1660.2400000000016</v>
      </c>
      <c r="Z42" s="7">
        <f t="shared" si="115"/>
        <v>1660.2400000000016</v>
      </c>
      <c r="AA42" s="20">
        <f>Z42-V42</f>
        <v>-2259.7599999999984</v>
      </c>
      <c r="AB42" s="21" t="s">
        <v>37</v>
      </c>
      <c r="AD42" s="2">
        <f t="shared" si="116"/>
        <v>0</v>
      </c>
      <c r="AE42" s="15">
        <v>32</v>
      </c>
      <c r="AF42" s="2">
        <f t="shared" si="117"/>
        <v>0</v>
      </c>
    </row>
    <row r="43" spans="1:32" x14ac:dyDescent="0.25">
      <c r="A43" s="2">
        <v>35</v>
      </c>
      <c r="B43" s="3">
        <v>889</v>
      </c>
      <c r="C43" s="3" t="s">
        <v>118</v>
      </c>
      <c r="D43" s="34" t="s">
        <v>88</v>
      </c>
      <c r="E43" s="2" t="s">
        <v>112</v>
      </c>
      <c r="F43" s="4" t="s">
        <v>113</v>
      </c>
      <c r="G43" s="2">
        <v>514</v>
      </c>
      <c r="H43" s="2">
        <v>63.92</v>
      </c>
      <c r="I43" s="5">
        <f t="shared" si="107"/>
        <v>32854.879999999997</v>
      </c>
      <c r="J43" s="6">
        <f>2*160*1250*7.85/1000000</f>
        <v>3.14</v>
      </c>
      <c r="K43" s="7">
        <f t="shared" si="108"/>
        <v>163.69426751592357</v>
      </c>
      <c r="L43" s="2">
        <v>164</v>
      </c>
      <c r="M43" s="2">
        <v>164</v>
      </c>
      <c r="N43" s="8">
        <v>41</v>
      </c>
      <c r="O43" s="2">
        <v>2</v>
      </c>
      <c r="P43" s="2">
        <f t="shared" si="109"/>
        <v>13448</v>
      </c>
      <c r="Q43" s="22">
        <v>13448</v>
      </c>
      <c r="R43" s="22">
        <v>13448</v>
      </c>
      <c r="S43" s="9">
        <f t="shared" si="110"/>
        <v>0</v>
      </c>
      <c r="T43" s="2">
        <f t="shared" si="111"/>
        <v>0</v>
      </c>
      <c r="U43" s="10">
        <v>0.4</v>
      </c>
      <c r="V43" s="7">
        <f>Q43*U43</f>
        <v>5379.2000000000007</v>
      </c>
      <c r="W43" s="11">
        <v>0</v>
      </c>
      <c r="X43" s="2">
        <f t="shared" si="113"/>
        <v>0</v>
      </c>
      <c r="Y43" s="2">
        <f t="shared" si="114"/>
        <v>-32854.879999999997</v>
      </c>
      <c r="Z43" s="7">
        <f t="shared" si="115"/>
        <v>-29174.719999999998</v>
      </c>
      <c r="AA43" s="20">
        <f>Z43-V43</f>
        <v>-34553.919999999998</v>
      </c>
      <c r="AB43" s="21" t="s">
        <v>37</v>
      </c>
      <c r="AC43" s="6">
        <v>0.68</v>
      </c>
      <c r="AD43" s="2">
        <f t="shared" si="116"/>
        <v>111.52000000000001</v>
      </c>
      <c r="AE43" s="15">
        <v>33</v>
      </c>
      <c r="AF43" s="2">
        <f t="shared" si="117"/>
        <v>3680.1600000000003</v>
      </c>
    </row>
    <row r="44" spans="1:32" x14ac:dyDescent="0.25">
      <c r="A44" s="2"/>
      <c r="B44" s="3"/>
      <c r="C44" s="3"/>
      <c r="D44" s="3"/>
      <c r="E44" s="23"/>
      <c r="F44" s="24"/>
      <c r="G44" s="3"/>
      <c r="H44" s="3"/>
      <c r="I44" s="17"/>
      <c r="J44" s="18"/>
      <c r="K44" s="19"/>
      <c r="L44" s="19"/>
      <c r="M44" s="19"/>
      <c r="N44" s="8"/>
      <c r="O44" s="3"/>
      <c r="P44" s="3"/>
      <c r="Q44" s="3"/>
      <c r="R44" s="3"/>
      <c r="S44" s="9"/>
      <c r="T44" s="3"/>
      <c r="U44" s="10"/>
      <c r="V44" s="19"/>
      <c r="W44" s="11"/>
      <c r="X44" s="3"/>
      <c r="Y44" s="3"/>
      <c r="Z44" s="19"/>
      <c r="AA44" s="20"/>
      <c r="AB44" s="21"/>
      <c r="AC44" s="18"/>
      <c r="AD44" s="17"/>
      <c r="AE44" s="15"/>
      <c r="AF44" s="3"/>
    </row>
    <row r="46" spans="1:32" x14ac:dyDescent="0.25">
      <c r="A46" s="25"/>
      <c r="B46" s="25"/>
      <c r="C46" s="25"/>
      <c r="D46" s="25"/>
      <c r="E46" s="26"/>
      <c r="F46" s="25"/>
      <c r="G46" s="28">
        <f>SUM(G2:G45)</f>
        <v>43374</v>
      </c>
      <c r="H46" s="25"/>
      <c r="I46" s="28">
        <f>SUM(I2:I45)</f>
        <v>1859237.2799999996</v>
      </c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8">
        <f>SUM(AA2:AA45)</f>
        <v>-479503.51400000002</v>
      </c>
      <c r="AB46" s="25"/>
      <c r="AC46" s="25"/>
      <c r="AD46" s="28">
        <f>SUM(AD2:AD45)</f>
        <v>8976.5379999999986</v>
      </c>
      <c r="AE46" s="25"/>
      <c r="AF46" s="28">
        <f>SUM(AF2:AF45)</f>
        <v>287584.04599999991</v>
      </c>
    </row>
    <row r="48" spans="1:32" ht="36.75" customHeight="1" x14ac:dyDescent="0.25">
      <c r="A48" s="1" t="s">
        <v>0</v>
      </c>
      <c r="B48" s="1" t="s">
        <v>83</v>
      </c>
      <c r="C48" s="1" t="s">
        <v>84</v>
      </c>
      <c r="D48" s="1" t="s">
        <v>3</v>
      </c>
      <c r="E48" s="1" t="s">
        <v>4</v>
      </c>
      <c r="F48" s="1" t="s">
        <v>5</v>
      </c>
      <c r="G48" s="1" t="s">
        <v>6</v>
      </c>
      <c r="H48" s="1" t="s">
        <v>7</v>
      </c>
      <c r="I48" s="1" t="s">
        <v>8</v>
      </c>
      <c r="J48" s="1" t="s">
        <v>9</v>
      </c>
      <c r="K48" s="1" t="s">
        <v>10</v>
      </c>
      <c r="L48" s="1" t="s">
        <v>11</v>
      </c>
      <c r="M48" s="1" t="s">
        <v>12</v>
      </c>
      <c r="N48" s="1" t="s">
        <v>13</v>
      </c>
      <c r="O48" s="1" t="s">
        <v>14</v>
      </c>
      <c r="P48" s="1" t="s">
        <v>15</v>
      </c>
      <c r="Q48" s="1" t="s">
        <v>16</v>
      </c>
      <c r="R48" s="1" t="s">
        <v>17</v>
      </c>
      <c r="S48" s="1" t="s">
        <v>18</v>
      </c>
      <c r="T48" s="1" t="s">
        <v>19</v>
      </c>
      <c r="U48" s="1" t="s">
        <v>20</v>
      </c>
      <c r="V48" s="1" t="s">
        <v>21</v>
      </c>
      <c r="W48" s="1" t="s">
        <v>22</v>
      </c>
      <c r="X48" s="1" t="s">
        <v>23</v>
      </c>
      <c r="Y48" s="1" t="s">
        <v>24</v>
      </c>
      <c r="Z48" s="1" t="s">
        <v>25</v>
      </c>
      <c r="AA48" s="1" t="s">
        <v>26</v>
      </c>
      <c r="AB48" s="1" t="s">
        <v>27</v>
      </c>
      <c r="AC48" s="1" t="s">
        <v>28</v>
      </c>
      <c r="AD48" s="1" t="s">
        <v>29</v>
      </c>
      <c r="AE48" s="1" t="s">
        <v>30</v>
      </c>
      <c r="AF48" s="1" t="s">
        <v>31</v>
      </c>
    </row>
    <row r="49" spans="1:32" x14ac:dyDescent="0.25">
      <c r="A49" s="2">
        <v>1</v>
      </c>
      <c r="B49" s="3">
        <v>4</v>
      </c>
      <c r="C49" s="3" t="s">
        <v>86</v>
      </c>
      <c r="D49" s="3" t="s">
        <v>87</v>
      </c>
      <c r="E49" s="2" t="s">
        <v>33</v>
      </c>
      <c r="F49" s="4">
        <v>8200</v>
      </c>
      <c r="G49" s="2">
        <v>318</v>
      </c>
      <c r="H49" s="2">
        <v>0</v>
      </c>
      <c r="I49" s="5">
        <f t="shared" ref="I49:I51" si="118">G49*H49</f>
        <v>0</v>
      </c>
      <c r="J49" s="6">
        <f>1.6*78*1250*7.85/1000000</f>
        <v>1.2245999999999999</v>
      </c>
      <c r="K49" s="7">
        <f t="shared" ref="K49:K51" si="119">G49/J49</f>
        <v>259.67662910338072</v>
      </c>
      <c r="L49" s="2">
        <v>260</v>
      </c>
      <c r="M49" s="2">
        <v>260</v>
      </c>
      <c r="N49" s="8">
        <v>60</v>
      </c>
      <c r="O49" s="2">
        <v>4</v>
      </c>
      <c r="P49" s="2">
        <f t="shared" ref="P49:P51" si="120">M49*N49*O49</f>
        <v>62400</v>
      </c>
      <c r="Q49" s="22">
        <v>62400</v>
      </c>
      <c r="R49" s="22">
        <v>62400</v>
      </c>
      <c r="S49" s="9">
        <f t="shared" ref="S49:S51" si="121">Q49-R49</f>
        <v>0</v>
      </c>
      <c r="T49" s="2">
        <f t="shared" ref="T49:T51" si="122">P49-Q49</f>
        <v>0</v>
      </c>
      <c r="U49" s="10">
        <v>0.1</v>
      </c>
      <c r="V49" s="7">
        <f t="shared" ref="V49:V51" si="123">Q49*U49</f>
        <v>6240</v>
      </c>
      <c r="W49" s="11">
        <v>0</v>
      </c>
      <c r="X49" s="2">
        <f t="shared" ref="X49:X51" si="124">Q49*W49</f>
        <v>0</v>
      </c>
      <c r="Y49" s="2">
        <f t="shared" ref="Y49:Y51" si="125">X49-I49</f>
        <v>0</v>
      </c>
      <c r="Z49" s="7">
        <f t="shared" ref="Z49:Z51" si="126">AF49+Y49</f>
        <v>5148</v>
      </c>
      <c r="AA49" s="20">
        <f t="shared" ref="AA49:AA50" si="127">Z49-V49</f>
        <v>-1092</v>
      </c>
      <c r="AB49" s="21" t="s">
        <v>37</v>
      </c>
      <c r="AC49" s="31">
        <v>0.6</v>
      </c>
      <c r="AD49" s="2">
        <f t="shared" ref="AD49:AD51" si="128">M49*AC49</f>
        <v>156</v>
      </c>
      <c r="AE49" s="15">
        <v>33</v>
      </c>
      <c r="AF49" s="2">
        <f t="shared" ref="AF49:AF51" si="129">AD49*AE49</f>
        <v>5148</v>
      </c>
    </row>
    <row r="50" spans="1:32" x14ac:dyDescent="0.25">
      <c r="A50" s="2">
        <v>2</v>
      </c>
      <c r="B50" s="3">
        <v>10</v>
      </c>
      <c r="C50" s="3" t="s">
        <v>89</v>
      </c>
      <c r="D50" s="3" t="s">
        <v>87</v>
      </c>
      <c r="E50" s="2" t="s">
        <v>90</v>
      </c>
      <c r="F50" s="4" t="s">
        <v>91</v>
      </c>
      <c r="G50" s="2">
        <v>76</v>
      </c>
      <c r="H50" s="2">
        <v>0</v>
      </c>
      <c r="I50" s="5">
        <f t="shared" si="118"/>
        <v>0</v>
      </c>
      <c r="J50" s="6">
        <f>1.6*32*1250*7.85/1000000</f>
        <v>0.50239999999999996</v>
      </c>
      <c r="K50" s="7">
        <f t="shared" si="119"/>
        <v>151.27388535031849</v>
      </c>
      <c r="L50" s="2">
        <v>151</v>
      </c>
      <c r="M50" s="2">
        <v>151</v>
      </c>
      <c r="N50" s="8">
        <v>45</v>
      </c>
      <c r="O50" s="2">
        <v>1</v>
      </c>
      <c r="P50" s="2">
        <f t="shared" si="120"/>
        <v>6795</v>
      </c>
      <c r="Q50" s="22">
        <v>6795</v>
      </c>
      <c r="R50" s="22">
        <v>6795</v>
      </c>
      <c r="S50" s="9">
        <f t="shared" si="121"/>
        <v>0</v>
      </c>
      <c r="T50" s="2">
        <f t="shared" si="122"/>
        <v>0</v>
      </c>
      <c r="U50" s="10">
        <v>0.6</v>
      </c>
      <c r="V50" s="7">
        <f t="shared" si="123"/>
        <v>4077</v>
      </c>
      <c r="W50" s="11">
        <v>0</v>
      </c>
      <c r="X50" s="2">
        <f t="shared" si="124"/>
        <v>0</v>
      </c>
      <c r="Y50" s="2">
        <f t="shared" si="125"/>
        <v>0</v>
      </c>
      <c r="Z50" s="7">
        <f t="shared" si="126"/>
        <v>0</v>
      </c>
      <c r="AA50" s="20">
        <f t="shared" si="127"/>
        <v>-4077</v>
      </c>
      <c r="AB50" s="21" t="s">
        <v>37</v>
      </c>
      <c r="AC50" s="31"/>
      <c r="AD50" s="2">
        <v>0</v>
      </c>
      <c r="AE50" s="15">
        <v>33</v>
      </c>
      <c r="AF50" s="2">
        <f t="shared" si="129"/>
        <v>0</v>
      </c>
    </row>
    <row r="51" spans="1:32" x14ac:dyDescent="0.25">
      <c r="A51" s="2">
        <v>3</v>
      </c>
      <c r="B51" s="3">
        <v>12</v>
      </c>
      <c r="C51" s="3" t="s">
        <v>89</v>
      </c>
      <c r="D51" s="3" t="s">
        <v>87</v>
      </c>
      <c r="E51" s="2" t="s">
        <v>74</v>
      </c>
      <c r="F51" s="4" t="s">
        <v>75</v>
      </c>
      <c r="G51" s="2">
        <v>795</v>
      </c>
      <c r="H51" s="2">
        <v>0</v>
      </c>
      <c r="I51" s="5">
        <f t="shared" si="118"/>
        <v>0</v>
      </c>
      <c r="J51" s="6">
        <f>2*57*1250*7.85/1000000</f>
        <v>1.118625</v>
      </c>
      <c r="K51" s="7">
        <f t="shared" si="119"/>
        <v>710.69393228293666</v>
      </c>
      <c r="L51" s="2">
        <v>711</v>
      </c>
      <c r="M51" s="2">
        <v>711</v>
      </c>
      <c r="N51" s="8">
        <v>17</v>
      </c>
      <c r="O51" s="2">
        <v>1</v>
      </c>
      <c r="P51" s="2">
        <f t="shared" si="120"/>
        <v>12087</v>
      </c>
      <c r="Q51" s="22">
        <v>12087</v>
      </c>
      <c r="R51" s="22">
        <v>12087</v>
      </c>
      <c r="S51" s="9">
        <f t="shared" si="121"/>
        <v>0</v>
      </c>
      <c r="T51" s="2">
        <f t="shared" si="122"/>
        <v>0</v>
      </c>
      <c r="U51" s="10">
        <v>1</v>
      </c>
      <c r="V51" s="7">
        <f t="shared" si="123"/>
        <v>12087</v>
      </c>
      <c r="W51" s="11">
        <v>0</v>
      </c>
      <c r="X51" s="2">
        <f t="shared" si="124"/>
        <v>0</v>
      </c>
      <c r="Y51" s="2">
        <f t="shared" si="125"/>
        <v>0</v>
      </c>
      <c r="Z51" s="7">
        <f t="shared" si="126"/>
        <v>11731.5</v>
      </c>
      <c r="AA51" s="20">
        <f>Z51-V51</f>
        <v>-355.5</v>
      </c>
      <c r="AB51" s="21" t="s">
        <v>37</v>
      </c>
      <c r="AC51" s="6">
        <v>0.5</v>
      </c>
      <c r="AD51" s="2">
        <f t="shared" si="128"/>
        <v>355.5</v>
      </c>
      <c r="AE51" s="15">
        <v>33</v>
      </c>
      <c r="AF51" s="2">
        <f t="shared" si="129"/>
        <v>11731.5</v>
      </c>
    </row>
    <row r="52" spans="1:32" x14ac:dyDescent="0.25">
      <c r="A52" s="2">
        <v>4</v>
      </c>
      <c r="B52" s="3">
        <v>12</v>
      </c>
      <c r="C52" s="3" t="s">
        <v>89</v>
      </c>
      <c r="D52" s="3" t="s">
        <v>87</v>
      </c>
      <c r="E52" s="2" t="s">
        <v>92</v>
      </c>
      <c r="F52" s="4" t="s">
        <v>93</v>
      </c>
      <c r="G52" s="2">
        <v>484</v>
      </c>
      <c r="H52" s="2">
        <v>0</v>
      </c>
      <c r="I52" s="5">
        <f t="shared" ref="I52" si="130">G52*H52</f>
        <v>0</v>
      </c>
      <c r="J52" s="6">
        <f>2*142*1250*7.85/1000000</f>
        <v>2.7867500000000001</v>
      </c>
      <c r="K52" s="7">
        <f t="shared" ref="K52" si="131">G52/J52</f>
        <v>173.67901677581412</v>
      </c>
      <c r="L52" s="2">
        <v>174</v>
      </c>
      <c r="M52" s="2">
        <v>174</v>
      </c>
      <c r="N52" s="8">
        <v>35</v>
      </c>
      <c r="O52" s="2">
        <v>1</v>
      </c>
      <c r="P52" s="2">
        <f t="shared" ref="P52" si="132">M52*N52*O52</f>
        <v>6090</v>
      </c>
      <c r="Q52" s="22">
        <v>6090</v>
      </c>
      <c r="R52" s="22">
        <v>6090</v>
      </c>
      <c r="S52" s="9">
        <f t="shared" ref="S52" si="133">Q52-R52</f>
        <v>0</v>
      </c>
      <c r="T52" s="2">
        <f t="shared" ref="T52" si="134">P52-Q52</f>
        <v>0</v>
      </c>
      <c r="U52" s="10">
        <v>0.8</v>
      </c>
      <c r="V52" s="7">
        <f t="shared" ref="V52" si="135">Q52*U52</f>
        <v>4872</v>
      </c>
      <c r="W52" s="11">
        <v>0</v>
      </c>
      <c r="X52" s="2">
        <f t="shared" ref="X52" si="136">Q52*W52</f>
        <v>0</v>
      </c>
      <c r="Y52" s="2">
        <f t="shared" ref="Y52" si="137">X52-I52</f>
        <v>0</v>
      </c>
      <c r="Z52" s="7">
        <f t="shared" ref="Z52" si="138">AF52+Y52</f>
        <v>3904.5600000000004</v>
      </c>
      <c r="AA52" s="20">
        <f>Z52-V52</f>
        <v>-967.4399999999996</v>
      </c>
      <c r="AB52" s="21" t="s">
        <v>37</v>
      </c>
      <c r="AC52" s="6">
        <v>0.68</v>
      </c>
      <c r="AD52" s="2">
        <f t="shared" ref="AD52" si="139">M52*AC52</f>
        <v>118.32000000000001</v>
      </c>
      <c r="AE52" s="15">
        <v>33</v>
      </c>
      <c r="AF52" s="2">
        <f t="shared" ref="AF52" si="140">AD52*AE52</f>
        <v>3904.5600000000004</v>
      </c>
    </row>
    <row r="53" spans="1:32" x14ac:dyDescent="0.25">
      <c r="A53" s="2">
        <v>5</v>
      </c>
      <c r="B53" s="3">
        <v>12</v>
      </c>
      <c r="C53" s="3" t="s">
        <v>89</v>
      </c>
      <c r="D53" s="3" t="s">
        <v>87</v>
      </c>
      <c r="E53" s="2"/>
      <c r="F53" s="4" t="s">
        <v>94</v>
      </c>
      <c r="G53" s="2">
        <v>252</v>
      </c>
      <c r="H53" s="2">
        <v>0</v>
      </c>
      <c r="I53" s="5">
        <f t="shared" ref="I53:I54" si="141">G53*H53</f>
        <v>0</v>
      </c>
      <c r="J53" s="6">
        <f>2*50*1250*7.85/1000000</f>
        <v>0.98124999999999996</v>
      </c>
      <c r="K53" s="7">
        <f t="shared" ref="K53:K54" si="142">G53/J53</f>
        <v>256.81528662420385</v>
      </c>
      <c r="L53" s="2">
        <v>257</v>
      </c>
      <c r="M53" s="2">
        <v>257</v>
      </c>
      <c r="N53" s="8">
        <v>24</v>
      </c>
      <c r="O53" s="2">
        <v>1</v>
      </c>
      <c r="P53" s="2">
        <f t="shared" ref="P53:P54" si="143">M53*N53*O53</f>
        <v>6168</v>
      </c>
      <c r="Q53" s="22">
        <v>6168</v>
      </c>
      <c r="R53" s="22">
        <v>6168</v>
      </c>
      <c r="S53" s="9">
        <f t="shared" ref="S53:S54" si="144">Q53-R53</f>
        <v>0</v>
      </c>
      <c r="T53" s="2">
        <f t="shared" ref="T53:T54" si="145">P53-Q53</f>
        <v>0</v>
      </c>
      <c r="U53" s="10">
        <v>0.55000000000000004</v>
      </c>
      <c r="V53" s="7">
        <f t="shared" ref="V53:V54" si="146">Q53*U53</f>
        <v>3392.4</v>
      </c>
      <c r="W53" s="11">
        <v>0</v>
      </c>
      <c r="X53" s="2">
        <f t="shared" ref="X53:X54" si="147">Q53*W53</f>
        <v>0</v>
      </c>
      <c r="Y53" s="2">
        <f t="shared" ref="Y53:Y54" si="148">X53-I53</f>
        <v>0</v>
      </c>
      <c r="Z53" s="7">
        <f t="shared" ref="Z53:Z54" si="149">AF53+Y53</f>
        <v>0</v>
      </c>
      <c r="AA53" s="20">
        <f>Z53-V53</f>
        <v>-3392.4</v>
      </c>
      <c r="AB53" s="21" t="s">
        <v>37</v>
      </c>
      <c r="AC53" s="6"/>
      <c r="AD53" s="2">
        <f t="shared" ref="AD53:AD54" si="150">M53*AC53</f>
        <v>0</v>
      </c>
      <c r="AE53" s="15">
        <v>33</v>
      </c>
      <c r="AF53" s="2">
        <f t="shared" ref="AF53:AF54" si="151">AD53*AE53</f>
        <v>0</v>
      </c>
    </row>
    <row r="54" spans="1:32" x14ac:dyDescent="0.25">
      <c r="A54" s="2">
        <v>6</v>
      </c>
      <c r="B54" s="3">
        <v>12</v>
      </c>
      <c r="C54" s="3" t="s">
        <v>89</v>
      </c>
      <c r="D54" s="3" t="s">
        <v>87</v>
      </c>
      <c r="F54" s="33" t="s">
        <v>97</v>
      </c>
      <c r="G54" s="2">
        <v>318</v>
      </c>
      <c r="H54" s="2">
        <v>0</v>
      </c>
      <c r="I54" s="5">
        <f t="shared" si="141"/>
        <v>0</v>
      </c>
      <c r="J54" s="6">
        <f>2.6*89*1250*7.85/1000000</f>
        <v>2.2706124999999999</v>
      </c>
      <c r="K54" s="7">
        <f t="shared" si="142"/>
        <v>140.05031681980083</v>
      </c>
      <c r="L54" s="2">
        <v>140</v>
      </c>
      <c r="M54" s="2">
        <v>140</v>
      </c>
      <c r="N54" s="8">
        <v>28</v>
      </c>
      <c r="O54" s="2">
        <v>1</v>
      </c>
      <c r="P54" s="2">
        <f t="shared" si="143"/>
        <v>3920</v>
      </c>
      <c r="Q54" s="2">
        <f>P54</f>
        <v>3920</v>
      </c>
      <c r="R54" s="2">
        <f>Q54</f>
        <v>3920</v>
      </c>
      <c r="S54" s="9">
        <f t="shared" si="144"/>
        <v>0</v>
      </c>
      <c r="T54" s="2">
        <f t="shared" si="145"/>
        <v>0</v>
      </c>
      <c r="U54" s="10">
        <v>1</v>
      </c>
      <c r="V54" s="7">
        <f t="shared" si="146"/>
        <v>3920</v>
      </c>
      <c r="W54" s="11">
        <v>0</v>
      </c>
      <c r="X54" s="2">
        <f t="shared" si="147"/>
        <v>0</v>
      </c>
      <c r="Y54" s="2">
        <f t="shared" si="148"/>
        <v>0</v>
      </c>
      <c r="Z54" s="7">
        <f t="shared" si="149"/>
        <v>0</v>
      </c>
      <c r="AA54" s="20">
        <f>Z54-V54</f>
        <v>-3920</v>
      </c>
      <c r="AB54" s="21" t="s">
        <v>37</v>
      </c>
      <c r="AD54" s="2">
        <f t="shared" si="150"/>
        <v>0</v>
      </c>
      <c r="AE54" s="15">
        <v>33</v>
      </c>
      <c r="AF54" s="2">
        <f t="shared" si="151"/>
        <v>0</v>
      </c>
    </row>
    <row r="55" spans="1:32" x14ac:dyDescent="0.25">
      <c r="A55" s="2">
        <v>7</v>
      </c>
      <c r="B55" s="3">
        <v>21</v>
      </c>
      <c r="C55" s="3" t="s">
        <v>95</v>
      </c>
      <c r="D55" s="3" t="s">
        <v>87</v>
      </c>
      <c r="E55" s="2"/>
      <c r="F55" s="4" t="s">
        <v>96</v>
      </c>
      <c r="G55" s="2">
        <v>382</v>
      </c>
      <c r="H55" s="2">
        <v>0</v>
      </c>
      <c r="I55" s="5">
        <f t="shared" ref="I55:I57" si="152">G55*H55</f>
        <v>0</v>
      </c>
      <c r="J55" s="6">
        <f>2*79*1250*7.85/1000000</f>
        <v>1.5503750000000001</v>
      </c>
      <c r="K55" s="7">
        <f t="shared" ref="K55:K57" si="153">G55/J55</f>
        <v>246.39200193501571</v>
      </c>
      <c r="L55" s="2">
        <v>246</v>
      </c>
      <c r="M55" s="2">
        <v>246</v>
      </c>
      <c r="N55" s="8">
        <v>30</v>
      </c>
      <c r="O55" s="2">
        <v>1</v>
      </c>
      <c r="P55" s="2">
        <f t="shared" ref="P55:P57" si="154">M55*N55*O55</f>
        <v>7380</v>
      </c>
      <c r="Q55" s="22">
        <v>7380</v>
      </c>
      <c r="R55" s="22">
        <v>7380</v>
      </c>
      <c r="S55" s="9">
        <f t="shared" ref="S55:S57" si="155">Q55-R55</f>
        <v>0</v>
      </c>
      <c r="T55" s="2">
        <f t="shared" ref="T55:T57" si="156">P55-Q55</f>
        <v>0</v>
      </c>
      <c r="U55" s="10">
        <v>1</v>
      </c>
      <c r="V55" s="7">
        <f t="shared" ref="V55:V57" si="157">Q55*U55</f>
        <v>7380</v>
      </c>
      <c r="W55" s="11">
        <v>0</v>
      </c>
      <c r="X55" s="2">
        <f t="shared" ref="X55:X57" si="158">Q55*W55</f>
        <v>0</v>
      </c>
      <c r="Y55" s="2">
        <f t="shared" ref="Y55:Y57" si="159">X55-I55</f>
        <v>0</v>
      </c>
      <c r="Z55" s="7">
        <f t="shared" ref="Z55:Z57" si="160">AF55+Y55</f>
        <v>0</v>
      </c>
      <c r="AA55" s="20">
        <f>Z55-V55</f>
        <v>-7380</v>
      </c>
      <c r="AB55" s="21" t="s">
        <v>37</v>
      </c>
      <c r="AC55" s="6"/>
      <c r="AD55" s="2">
        <f t="shared" ref="AD55:AD56" si="161">M55*AC55</f>
        <v>0</v>
      </c>
      <c r="AE55" s="15">
        <v>33</v>
      </c>
      <c r="AF55" s="2">
        <f t="shared" ref="AF55:AF57" si="162">AD55*AE55</f>
        <v>0</v>
      </c>
    </row>
    <row r="56" spans="1:32" x14ac:dyDescent="0.25">
      <c r="A56" s="2">
        <v>8</v>
      </c>
      <c r="B56" s="3">
        <v>21</v>
      </c>
      <c r="C56" s="3" t="s">
        <v>95</v>
      </c>
      <c r="D56" s="3" t="s">
        <v>87</v>
      </c>
      <c r="E56" s="2" t="s">
        <v>74</v>
      </c>
      <c r="F56" s="4" t="s">
        <v>76</v>
      </c>
      <c r="G56" s="2">
        <v>626</v>
      </c>
      <c r="H56" s="2">
        <v>0</v>
      </c>
      <c r="I56" s="5">
        <f t="shared" si="152"/>
        <v>0</v>
      </c>
      <c r="J56" s="6">
        <f>2.3*57*1250*7.85/1000000</f>
        <v>1.2864187499999999</v>
      </c>
      <c r="K56" s="7">
        <f t="shared" si="153"/>
        <v>486.62226044202174</v>
      </c>
      <c r="L56" s="2">
        <v>487</v>
      </c>
      <c r="M56" s="2">
        <v>487</v>
      </c>
      <c r="N56" s="8">
        <v>31</v>
      </c>
      <c r="O56" s="2">
        <v>1</v>
      </c>
      <c r="P56" s="2">
        <f t="shared" si="154"/>
        <v>15097</v>
      </c>
      <c r="Q56" s="22">
        <v>15097</v>
      </c>
      <c r="R56" s="22">
        <v>15097</v>
      </c>
      <c r="S56" s="9">
        <f t="shared" si="155"/>
        <v>0</v>
      </c>
      <c r="T56" s="2">
        <f t="shared" si="156"/>
        <v>0</v>
      </c>
      <c r="U56" s="10">
        <v>1</v>
      </c>
      <c r="V56" s="7">
        <f t="shared" si="157"/>
        <v>15097</v>
      </c>
      <c r="W56" s="11">
        <v>0</v>
      </c>
      <c r="X56" s="2">
        <f t="shared" si="158"/>
        <v>0</v>
      </c>
      <c r="Y56" s="2">
        <f t="shared" si="159"/>
        <v>0</v>
      </c>
      <c r="Z56" s="7">
        <f t="shared" si="160"/>
        <v>9642.6</v>
      </c>
      <c r="AA56" s="20">
        <f t="shared" ref="AA56:AA57" si="163">Z56-V56</f>
        <v>-5454.4</v>
      </c>
      <c r="AB56" s="21" t="s">
        <v>37</v>
      </c>
      <c r="AC56" s="6">
        <v>0.6</v>
      </c>
      <c r="AD56" s="7">
        <f t="shared" si="161"/>
        <v>292.2</v>
      </c>
      <c r="AE56" s="15">
        <v>33</v>
      </c>
      <c r="AF56" s="2">
        <f t="shared" si="162"/>
        <v>9642.6</v>
      </c>
    </row>
    <row r="57" spans="1:32" x14ac:dyDescent="0.25">
      <c r="A57" s="2">
        <v>9</v>
      </c>
      <c r="B57" s="3">
        <v>21</v>
      </c>
      <c r="C57" s="3" t="s">
        <v>95</v>
      </c>
      <c r="D57" s="3" t="s">
        <v>87</v>
      </c>
      <c r="E57" s="2" t="s">
        <v>90</v>
      </c>
      <c r="F57" s="4" t="s">
        <v>91</v>
      </c>
      <c r="G57" s="2">
        <v>118</v>
      </c>
      <c r="H57" s="2">
        <v>0</v>
      </c>
      <c r="I57" s="5">
        <f t="shared" si="152"/>
        <v>0</v>
      </c>
      <c r="J57" s="6">
        <f>1.6*32*1250*7.85/1000000</f>
        <v>0.50239999999999996</v>
      </c>
      <c r="K57" s="7">
        <f t="shared" si="153"/>
        <v>234.87261146496817</v>
      </c>
      <c r="L57" s="2">
        <v>235</v>
      </c>
      <c r="M57" s="2">
        <v>235</v>
      </c>
      <c r="N57" s="8">
        <v>45</v>
      </c>
      <c r="O57" s="2">
        <v>1</v>
      </c>
      <c r="P57" s="2">
        <f t="shared" si="154"/>
        <v>10575</v>
      </c>
      <c r="Q57" s="22">
        <v>10575</v>
      </c>
      <c r="R57" s="22">
        <v>10575</v>
      </c>
      <c r="S57" s="9">
        <f t="shared" si="155"/>
        <v>0</v>
      </c>
      <c r="T57" s="2">
        <f t="shared" si="156"/>
        <v>0</v>
      </c>
      <c r="U57" s="10">
        <v>0.6</v>
      </c>
      <c r="V57" s="7">
        <f t="shared" si="157"/>
        <v>6345</v>
      </c>
      <c r="W57" s="11">
        <v>0</v>
      </c>
      <c r="X57" s="2">
        <f t="shared" si="158"/>
        <v>0</v>
      </c>
      <c r="Y57" s="2">
        <f t="shared" si="159"/>
        <v>0</v>
      </c>
      <c r="Z57" s="7">
        <f t="shared" si="160"/>
        <v>0</v>
      </c>
      <c r="AA57" s="20">
        <f t="shared" si="163"/>
        <v>-6345</v>
      </c>
      <c r="AB57" s="21" t="s">
        <v>37</v>
      </c>
      <c r="AC57" s="31"/>
      <c r="AD57" s="2">
        <v>0</v>
      </c>
      <c r="AE57" s="15">
        <v>33</v>
      </c>
      <c r="AF57" s="2">
        <f t="shared" si="162"/>
        <v>0</v>
      </c>
    </row>
    <row r="58" spans="1:32" x14ac:dyDescent="0.25">
      <c r="A58" s="2">
        <v>10</v>
      </c>
      <c r="B58" s="3">
        <v>21</v>
      </c>
      <c r="C58" s="3" t="s">
        <v>95</v>
      </c>
      <c r="D58" s="3" t="s">
        <v>87</v>
      </c>
      <c r="E58" s="2" t="s">
        <v>33</v>
      </c>
      <c r="F58" s="4">
        <v>8200</v>
      </c>
      <c r="G58" s="2">
        <v>196</v>
      </c>
      <c r="H58" s="2">
        <v>0</v>
      </c>
      <c r="I58" s="5">
        <f t="shared" ref="I58" si="164">G58*H58</f>
        <v>0</v>
      </c>
      <c r="J58" s="6">
        <f>1.6*78*1250*7.85/1000000</f>
        <v>1.2245999999999999</v>
      </c>
      <c r="K58" s="7">
        <f t="shared" ref="K58" si="165">G58/J58</f>
        <v>160.05226196308999</v>
      </c>
      <c r="L58" s="2">
        <v>160</v>
      </c>
      <c r="M58" s="2">
        <v>160</v>
      </c>
      <c r="N58" s="8">
        <v>60</v>
      </c>
      <c r="O58" s="2">
        <v>4</v>
      </c>
      <c r="P58" s="2">
        <f t="shared" ref="P58" si="166">M58*N58*O58</f>
        <v>38400</v>
      </c>
      <c r="Q58" s="22">
        <v>38400</v>
      </c>
      <c r="R58" s="22">
        <v>38400</v>
      </c>
      <c r="S58" s="9">
        <f t="shared" ref="S58" si="167">Q58-R58</f>
        <v>0</v>
      </c>
      <c r="T58" s="2">
        <f t="shared" ref="T58" si="168">P58-Q58</f>
        <v>0</v>
      </c>
      <c r="U58" s="10">
        <v>0.1</v>
      </c>
      <c r="V58" s="7">
        <f t="shared" ref="V58" si="169">Q58*U58</f>
        <v>3840</v>
      </c>
      <c r="W58" s="11">
        <v>0</v>
      </c>
      <c r="X58" s="2">
        <f t="shared" ref="X58" si="170">Q58*W58</f>
        <v>0</v>
      </c>
      <c r="Y58" s="2">
        <f t="shared" ref="Y58" si="171">X58-I58</f>
        <v>0</v>
      </c>
      <c r="Z58" s="7">
        <f t="shared" ref="Z58" si="172">AF58+Y58</f>
        <v>3168</v>
      </c>
      <c r="AA58" s="20">
        <f t="shared" ref="AA58" si="173">Z58-V58</f>
        <v>-672</v>
      </c>
      <c r="AB58" s="21" t="s">
        <v>37</v>
      </c>
      <c r="AC58" s="31">
        <v>0.6</v>
      </c>
      <c r="AD58" s="2">
        <f t="shared" ref="AD58" si="174">M58*AC58</f>
        <v>96</v>
      </c>
      <c r="AE58" s="15">
        <v>33</v>
      </c>
      <c r="AF58" s="2">
        <f t="shared" ref="AF58" si="175">AD58*AE58</f>
        <v>3168</v>
      </c>
    </row>
    <row r="59" spans="1:32" x14ac:dyDescent="0.25">
      <c r="A59" s="2">
        <v>11</v>
      </c>
      <c r="B59" s="3">
        <v>21</v>
      </c>
      <c r="C59" s="3" t="s">
        <v>95</v>
      </c>
      <c r="D59" s="3" t="s">
        <v>87</v>
      </c>
      <c r="E59" s="2" t="s">
        <v>92</v>
      </c>
      <c r="F59" s="4" t="s">
        <v>93</v>
      </c>
      <c r="G59" s="2">
        <v>488</v>
      </c>
      <c r="H59" s="2">
        <v>0</v>
      </c>
      <c r="I59" s="5">
        <f t="shared" ref="I59:I62" si="176">G59*H59</f>
        <v>0</v>
      </c>
      <c r="J59" s="6">
        <f>2*142*1250*7.85/1000000</f>
        <v>2.7867500000000001</v>
      </c>
      <c r="K59" s="7">
        <f t="shared" ref="K59:K62" si="177">G59/J59</f>
        <v>175.11438055082084</v>
      </c>
      <c r="L59" s="2">
        <v>175</v>
      </c>
      <c r="M59" s="2">
        <v>175</v>
      </c>
      <c r="N59" s="8">
        <v>35</v>
      </c>
      <c r="O59" s="2">
        <v>1</v>
      </c>
      <c r="P59" s="2">
        <f t="shared" ref="P59:P62" si="178">M59*N59*O59</f>
        <v>6125</v>
      </c>
      <c r="Q59" s="22">
        <v>6125</v>
      </c>
      <c r="R59" s="22">
        <v>6125</v>
      </c>
      <c r="S59" s="9">
        <f t="shared" ref="S59:S62" si="179">Q59-R59</f>
        <v>0</v>
      </c>
      <c r="T59" s="2">
        <f t="shared" ref="T59:T62" si="180">P59-Q59</f>
        <v>0</v>
      </c>
      <c r="U59" s="10">
        <v>0.8</v>
      </c>
      <c r="V59" s="7">
        <f t="shared" ref="V59:V62" si="181">Q59*U59</f>
        <v>4900</v>
      </c>
      <c r="W59" s="11">
        <v>0</v>
      </c>
      <c r="X59" s="2">
        <f t="shared" ref="X59:X62" si="182">Q59*W59</f>
        <v>0</v>
      </c>
      <c r="Y59" s="2">
        <f t="shared" ref="Y59:Y62" si="183">X59-I59</f>
        <v>0</v>
      </c>
      <c r="Z59" s="7">
        <f t="shared" ref="Z59:Z62" si="184">AF59+Y59</f>
        <v>3927.0000000000005</v>
      </c>
      <c r="AA59" s="20">
        <f>Z59-V59</f>
        <v>-972.99999999999955</v>
      </c>
      <c r="AB59" s="21" t="s">
        <v>37</v>
      </c>
      <c r="AC59" s="6">
        <v>0.68</v>
      </c>
      <c r="AD59" s="2">
        <f t="shared" ref="AD59:AD62" si="185">M59*AC59</f>
        <v>119.00000000000001</v>
      </c>
      <c r="AE59" s="15">
        <v>33</v>
      </c>
      <c r="AF59" s="2">
        <f t="shared" ref="AF59:AF62" si="186">AD59*AE59</f>
        <v>3927.0000000000005</v>
      </c>
    </row>
    <row r="60" spans="1:32" x14ac:dyDescent="0.25">
      <c r="A60" s="2">
        <v>12</v>
      </c>
      <c r="B60" s="3">
        <v>24</v>
      </c>
      <c r="C60" s="3" t="s">
        <v>98</v>
      </c>
      <c r="D60" s="3" t="s">
        <v>87</v>
      </c>
      <c r="E60" s="2" t="s">
        <v>33</v>
      </c>
      <c r="F60" s="4">
        <v>8200</v>
      </c>
      <c r="G60" s="2">
        <v>188</v>
      </c>
      <c r="H60" s="2">
        <v>0</v>
      </c>
      <c r="I60" s="5">
        <f t="shared" si="176"/>
        <v>0</v>
      </c>
      <c r="J60" s="6">
        <f>1.6*78*1250*7.85/1000000</f>
        <v>1.2245999999999999</v>
      </c>
      <c r="K60" s="7">
        <f t="shared" si="177"/>
        <v>153.51951657684143</v>
      </c>
      <c r="L60" s="2">
        <v>154</v>
      </c>
      <c r="M60" s="2">
        <v>154</v>
      </c>
      <c r="N60" s="8">
        <v>60</v>
      </c>
      <c r="O60" s="2">
        <v>4</v>
      </c>
      <c r="P60" s="2">
        <f t="shared" si="178"/>
        <v>36960</v>
      </c>
      <c r="Q60" s="22">
        <v>36960</v>
      </c>
      <c r="R60" s="22">
        <v>36960</v>
      </c>
      <c r="S60" s="9">
        <f t="shared" si="179"/>
        <v>0</v>
      </c>
      <c r="T60" s="2">
        <f t="shared" si="180"/>
        <v>0</v>
      </c>
      <c r="U60" s="10">
        <v>0.1</v>
      </c>
      <c r="V60" s="7">
        <f t="shared" si="181"/>
        <v>3696</v>
      </c>
      <c r="W60" s="11">
        <v>0</v>
      </c>
      <c r="X60" s="2">
        <f t="shared" si="182"/>
        <v>0</v>
      </c>
      <c r="Y60" s="2">
        <f t="shared" si="183"/>
        <v>0</v>
      </c>
      <c r="Z60" s="7">
        <f t="shared" si="184"/>
        <v>3049.2</v>
      </c>
      <c r="AA60" s="20">
        <f t="shared" ref="AA60:AA61" si="187">Z60-V60</f>
        <v>-646.80000000000018</v>
      </c>
      <c r="AB60" s="21" t="s">
        <v>37</v>
      </c>
      <c r="AC60" s="31">
        <v>0.6</v>
      </c>
      <c r="AD60" s="2">
        <f t="shared" si="185"/>
        <v>92.399999999999991</v>
      </c>
      <c r="AE60" s="15">
        <v>33</v>
      </c>
      <c r="AF60" s="2">
        <f t="shared" si="186"/>
        <v>3049.2</v>
      </c>
    </row>
    <row r="61" spans="1:32" x14ac:dyDescent="0.25">
      <c r="A61" s="2">
        <v>13</v>
      </c>
      <c r="B61" s="3">
        <v>35</v>
      </c>
      <c r="C61" s="3" t="s">
        <v>99</v>
      </c>
      <c r="D61" s="3" t="s">
        <v>87</v>
      </c>
      <c r="E61" s="2" t="s">
        <v>103</v>
      </c>
      <c r="F61" s="4">
        <v>1411</v>
      </c>
      <c r="G61" s="2">
        <v>338</v>
      </c>
      <c r="H61" s="2">
        <v>0</v>
      </c>
      <c r="I61" s="5">
        <f t="shared" si="176"/>
        <v>0</v>
      </c>
      <c r="J61" s="6">
        <f>2.3*105*1250*7.85/1000000</f>
        <v>2.3697187499999997</v>
      </c>
      <c r="K61" s="7">
        <f t="shared" si="177"/>
        <v>142.63296013503714</v>
      </c>
      <c r="L61" s="2">
        <v>143</v>
      </c>
      <c r="M61" s="2">
        <v>143</v>
      </c>
      <c r="N61" s="8">
        <v>20</v>
      </c>
      <c r="O61" s="2">
        <v>1</v>
      </c>
      <c r="P61" s="2">
        <f t="shared" si="178"/>
        <v>2860</v>
      </c>
      <c r="Q61" s="22">
        <v>2860</v>
      </c>
      <c r="R61" s="22">
        <v>2860</v>
      </c>
      <c r="S61" s="9">
        <f t="shared" si="179"/>
        <v>0</v>
      </c>
      <c r="T61" s="2">
        <f t="shared" si="180"/>
        <v>0</v>
      </c>
      <c r="U61" s="10">
        <v>0.8</v>
      </c>
      <c r="V61" s="7">
        <f t="shared" si="181"/>
        <v>2288</v>
      </c>
      <c r="W61" s="11">
        <v>0</v>
      </c>
      <c r="X61" s="2">
        <f t="shared" si="182"/>
        <v>0</v>
      </c>
      <c r="Y61" s="2">
        <f t="shared" si="183"/>
        <v>0</v>
      </c>
      <c r="Z61" s="7">
        <f t="shared" si="184"/>
        <v>4719</v>
      </c>
      <c r="AA61" s="20">
        <f t="shared" si="187"/>
        <v>2431</v>
      </c>
      <c r="AB61" s="21" t="s">
        <v>37</v>
      </c>
      <c r="AC61" s="6">
        <v>1</v>
      </c>
      <c r="AD61" s="7">
        <f t="shared" si="185"/>
        <v>143</v>
      </c>
      <c r="AE61" s="15">
        <v>33</v>
      </c>
      <c r="AF61" s="2">
        <f t="shared" si="186"/>
        <v>4719</v>
      </c>
    </row>
    <row r="62" spans="1:32" x14ac:dyDescent="0.25">
      <c r="A62" s="2">
        <v>14</v>
      </c>
      <c r="B62" s="3">
        <v>35</v>
      </c>
      <c r="C62" s="3" t="s">
        <v>99</v>
      </c>
      <c r="D62" s="3" t="s">
        <v>87</v>
      </c>
      <c r="E62" s="2"/>
      <c r="F62" s="4" t="s">
        <v>96</v>
      </c>
      <c r="G62" s="2">
        <v>478</v>
      </c>
      <c r="H62" s="2">
        <v>0</v>
      </c>
      <c r="I62" s="5">
        <f t="shared" si="176"/>
        <v>0</v>
      </c>
      <c r="J62" s="6">
        <f>2*79*1250*7.85/1000000</f>
        <v>1.5503750000000001</v>
      </c>
      <c r="K62" s="7">
        <f t="shared" si="177"/>
        <v>308.31250503910343</v>
      </c>
      <c r="L62" s="2">
        <v>308</v>
      </c>
      <c r="M62" s="2">
        <v>308</v>
      </c>
      <c r="N62" s="8">
        <v>30</v>
      </c>
      <c r="O62" s="2">
        <v>1</v>
      </c>
      <c r="P62" s="2">
        <f t="shared" si="178"/>
        <v>9240</v>
      </c>
      <c r="Q62" s="22">
        <v>9240</v>
      </c>
      <c r="R62" s="22">
        <v>9240</v>
      </c>
      <c r="S62" s="9">
        <f t="shared" si="179"/>
        <v>0</v>
      </c>
      <c r="T62" s="2">
        <f t="shared" si="180"/>
        <v>0</v>
      </c>
      <c r="U62" s="10">
        <v>1</v>
      </c>
      <c r="V62" s="7">
        <f t="shared" si="181"/>
        <v>9240</v>
      </c>
      <c r="W62" s="11">
        <v>0</v>
      </c>
      <c r="X62" s="2">
        <f t="shared" si="182"/>
        <v>0</v>
      </c>
      <c r="Y62" s="2">
        <f t="shared" si="183"/>
        <v>0</v>
      </c>
      <c r="Z62" s="7">
        <f t="shared" si="184"/>
        <v>0</v>
      </c>
      <c r="AA62" s="20">
        <f>Z62-V62</f>
        <v>-9240</v>
      </c>
      <c r="AB62" s="21" t="s">
        <v>37</v>
      </c>
      <c r="AC62" s="6"/>
      <c r="AD62" s="2">
        <f t="shared" si="185"/>
        <v>0</v>
      </c>
      <c r="AE62" s="15">
        <v>33</v>
      </c>
      <c r="AF62" s="2">
        <f t="shared" si="186"/>
        <v>0</v>
      </c>
    </row>
    <row r="63" spans="1:32" x14ac:dyDescent="0.25">
      <c r="A63" s="2">
        <v>15</v>
      </c>
      <c r="B63" s="3">
        <v>35</v>
      </c>
      <c r="C63" s="3" t="s">
        <v>99</v>
      </c>
      <c r="D63" s="3" t="s">
        <v>87</v>
      </c>
      <c r="E63" s="2" t="s">
        <v>92</v>
      </c>
      <c r="F63" s="4" t="s">
        <v>93</v>
      </c>
      <c r="G63" s="2">
        <v>380</v>
      </c>
      <c r="H63" s="2">
        <v>0</v>
      </c>
      <c r="I63" s="5">
        <f t="shared" ref="I63:I65" si="188">G63*H63</f>
        <v>0</v>
      </c>
      <c r="J63" s="6">
        <f>2*142*1250*7.85/1000000</f>
        <v>2.7867500000000001</v>
      </c>
      <c r="K63" s="7">
        <f t="shared" ref="K63:K65" si="189">G63/J63</f>
        <v>136.35955862563918</v>
      </c>
      <c r="L63" s="2">
        <v>136</v>
      </c>
      <c r="M63" s="2">
        <v>136</v>
      </c>
      <c r="N63" s="8">
        <v>35</v>
      </c>
      <c r="O63" s="2">
        <v>1</v>
      </c>
      <c r="P63" s="2">
        <f t="shared" ref="P63:P65" si="190">M63*N63*O63</f>
        <v>4760</v>
      </c>
      <c r="Q63" s="22">
        <v>4760</v>
      </c>
      <c r="R63" s="22">
        <v>4760</v>
      </c>
      <c r="S63" s="9">
        <f t="shared" ref="S63:S65" si="191">Q63-R63</f>
        <v>0</v>
      </c>
      <c r="T63" s="2">
        <f t="shared" ref="T63:T65" si="192">P63-Q63</f>
        <v>0</v>
      </c>
      <c r="U63" s="10">
        <v>0.8</v>
      </c>
      <c r="V63" s="7">
        <f t="shared" ref="V63:V65" si="193">Q63*U63</f>
        <v>3808</v>
      </c>
      <c r="W63" s="11">
        <v>0</v>
      </c>
      <c r="X63" s="2">
        <f t="shared" ref="X63:X65" si="194">Q63*W63</f>
        <v>0</v>
      </c>
      <c r="Y63" s="2">
        <f t="shared" ref="Y63:Y65" si="195">X63-I63</f>
        <v>0</v>
      </c>
      <c r="Z63" s="7">
        <f t="shared" ref="Z63:Z65" si="196">AF63+Y63</f>
        <v>3051.84</v>
      </c>
      <c r="AA63" s="20">
        <f>Z63-V63</f>
        <v>-756.15999999999985</v>
      </c>
      <c r="AB63" s="21" t="s">
        <v>37</v>
      </c>
      <c r="AC63" s="6">
        <v>0.68</v>
      </c>
      <c r="AD63" s="2">
        <f t="shared" ref="AD63:AD65" si="197">M63*AC63</f>
        <v>92.48</v>
      </c>
      <c r="AE63" s="15">
        <v>33</v>
      </c>
      <c r="AF63" s="2">
        <f t="shared" ref="AF63:AF65" si="198">AD63*AE63</f>
        <v>3051.84</v>
      </c>
    </row>
    <row r="64" spans="1:32" x14ac:dyDescent="0.25">
      <c r="A64" s="2">
        <v>16</v>
      </c>
      <c r="B64" s="3">
        <v>40</v>
      </c>
      <c r="C64" s="3" t="s">
        <v>100</v>
      </c>
      <c r="D64" s="3" t="s">
        <v>87</v>
      </c>
      <c r="E64" s="2" t="s">
        <v>74</v>
      </c>
      <c r="F64" s="4" t="s">
        <v>75</v>
      </c>
      <c r="G64" s="2">
        <v>674</v>
      </c>
      <c r="H64" s="2">
        <v>0</v>
      </c>
      <c r="I64" s="5">
        <f t="shared" si="188"/>
        <v>0</v>
      </c>
      <c r="J64" s="6">
        <f>2*57*1250*7.85/1000000</f>
        <v>1.118625</v>
      </c>
      <c r="K64" s="7">
        <f t="shared" si="189"/>
        <v>602.52542183484184</v>
      </c>
      <c r="L64" s="2">
        <v>603</v>
      </c>
      <c r="M64" s="2">
        <v>603</v>
      </c>
      <c r="N64" s="8">
        <v>17</v>
      </c>
      <c r="O64" s="2">
        <v>1</v>
      </c>
      <c r="P64" s="2">
        <f t="shared" si="190"/>
        <v>10251</v>
      </c>
      <c r="Q64" s="22">
        <v>10251</v>
      </c>
      <c r="R64" s="22">
        <v>10251</v>
      </c>
      <c r="S64" s="9">
        <f t="shared" si="191"/>
        <v>0</v>
      </c>
      <c r="T64" s="2">
        <f t="shared" si="192"/>
        <v>0</v>
      </c>
      <c r="U64" s="10">
        <v>1</v>
      </c>
      <c r="V64" s="7">
        <f t="shared" si="193"/>
        <v>10251</v>
      </c>
      <c r="W64" s="11">
        <v>0</v>
      </c>
      <c r="X64" s="2">
        <f t="shared" si="194"/>
        <v>0</v>
      </c>
      <c r="Y64" s="2">
        <f t="shared" si="195"/>
        <v>0</v>
      </c>
      <c r="Z64" s="7">
        <f t="shared" si="196"/>
        <v>9949.5</v>
      </c>
      <c r="AA64" s="20">
        <f>Z64-V64</f>
        <v>-301.5</v>
      </c>
      <c r="AB64" s="21" t="s">
        <v>37</v>
      </c>
      <c r="AC64" s="6">
        <v>0.5</v>
      </c>
      <c r="AD64" s="2">
        <f t="shared" si="197"/>
        <v>301.5</v>
      </c>
      <c r="AE64" s="15">
        <v>33</v>
      </c>
      <c r="AF64" s="2">
        <f t="shared" si="198"/>
        <v>9949.5</v>
      </c>
    </row>
    <row r="65" spans="1:32" x14ac:dyDescent="0.25">
      <c r="A65" s="2">
        <v>17</v>
      </c>
      <c r="B65" s="3">
        <v>40</v>
      </c>
      <c r="C65" s="3" t="s">
        <v>100</v>
      </c>
      <c r="D65" s="3" t="s">
        <v>87</v>
      </c>
      <c r="E65" s="2" t="s">
        <v>103</v>
      </c>
      <c r="F65" s="4">
        <v>1411</v>
      </c>
      <c r="G65" s="2">
        <v>556</v>
      </c>
      <c r="H65" s="2">
        <v>0</v>
      </c>
      <c r="I65" s="5">
        <f t="shared" si="188"/>
        <v>0</v>
      </c>
      <c r="J65" s="6">
        <f>2.3*105*1250*7.85/1000000</f>
        <v>2.3697187499999997</v>
      </c>
      <c r="K65" s="7">
        <f t="shared" si="189"/>
        <v>234.62699951207293</v>
      </c>
      <c r="L65" s="2">
        <v>235</v>
      </c>
      <c r="M65" s="2">
        <v>235</v>
      </c>
      <c r="N65" s="8">
        <v>20</v>
      </c>
      <c r="O65" s="2">
        <v>1</v>
      </c>
      <c r="P65" s="2">
        <f t="shared" si="190"/>
        <v>4700</v>
      </c>
      <c r="Q65" s="22">
        <v>4700</v>
      </c>
      <c r="R65" s="22">
        <v>4700</v>
      </c>
      <c r="S65" s="9">
        <f t="shared" si="191"/>
        <v>0</v>
      </c>
      <c r="T65" s="2">
        <f t="shared" si="192"/>
        <v>0</v>
      </c>
      <c r="U65" s="10">
        <v>0.8</v>
      </c>
      <c r="V65" s="7">
        <f t="shared" si="193"/>
        <v>3760</v>
      </c>
      <c r="W65" s="11">
        <v>0</v>
      </c>
      <c r="X65" s="2">
        <f t="shared" si="194"/>
        <v>0</v>
      </c>
      <c r="Y65" s="2">
        <f t="shared" si="195"/>
        <v>0</v>
      </c>
      <c r="Z65" s="7">
        <f t="shared" si="196"/>
        <v>7755</v>
      </c>
      <c r="AA65" s="20">
        <f t="shared" ref="AA65" si="199">Z65-V65</f>
        <v>3995</v>
      </c>
      <c r="AB65" s="21" t="s">
        <v>37</v>
      </c>
      <c r="AC65" s="6">
        <v>1</v>
      </c>
      <c r="AD65" s="7">
        <f t="shared" si="197"/>
        <v>235</v>
      </c>
      <c r="AE65" s="15">
        <v>33</v>
      </c>
      <c r="AF65" s="2">
        <f t="shared" si="198"/>
        <v>7755</v>
      </c>
    </row>
    <row r="66" spans="1:32" x14ac:dyDescent="0.25">
      <c r="A66" s="2">
        <v>18</v>
      </c>
      <c r="B66" s="3">
        <v>40</v>
      </c>
      <c r="C66" s="3" t="s">
        <v>100</v>
      </c>
      <c r="D66" s="3" t="s">
        <v>87</v>
      </c>
      <c r="E66" s="2" t="s">
        <v>92</v>
      </c>
      <c r="F66" s="4" t="s">
        <v>93</v>
      </c>
      <c r="G66" s="2">
        <v>1145</v>
      </c>
      <c r="H66" s="2">
        <v>0</v>
      </c>
      <c r="I66" s="5">
        <f t="shared" ref="I66:I68" si="200">G66*H66</f>
        <v>0</v>
      </c>
      <c r="J66" s="6">
        <f>2*142*1250*7.85/1000000</f>
        <v>2.7867500000000001</v>
      </c>
      <c r="K66" s="7">
        <f t="shared" ref="K66:K68" si="201">G66/J66</f>
        <v>410.87288059567595</v>
      </c>
      <c r="L66" s="2">
        <v>411</v>
      </c>
      <c r="M66" s="2">
        <v>411</v>
      </c>
      <c r="N66" s="8">
        <v>35</v>
      </c>
      <c r="O66" s="2">
        <v>1</v>
      </c>
      <c r="P66" s="2">
        <f t="shared" ref="P66:P68" si="202">M66*N66*O66</f>
        <v>14385</v>
      </c>
      <c r="Q66" s="22">
        <v>14385</v>
      </c>
      <c r="R66" s="22">
        <v>14385</v>
      </c>
      <c r="S66" s="9">
        <f t="shared" ref="S66:S68" si="203">Q66-R66</f>
        <v>0</v>
      </c>
      <c r="T66" s="2">
        <f t="shared" ref="T66:T68" si="204">P66-Q66</f>
        <v>0</v>
      </c>
      <c r="U66" s="10">
        <v>0.8</v>
      </c>
      <c r="V66" s="7">
        <f t="shared" ref="V66:V68" si="205">Q66*U66</f>
        <v>11508</v>
      </c>
      <c r="W66" s="11">
        <v>0</v>
      </c>
      <c r="X66" s="2">
        <f t="shared" ref="X66:X68" si="206">Q66*W66</f>
        <v>0</v>
      </c>
      <c r="Y66" s="2">
        <f t="shared" ref="Y66:Y68" si="207">X66-I66</f>
        <v>0</v>
      </c>
      <c r="Z66" s="7">
        <f t="shared" ref="Z66:Z68" si="208">AF66+Y66</f>
        <v>9222.84</v>
      </c>
      <c r="AA66" s="20">
        <f>Z66-V66</f>
        <v>-2285.16</v>
      </c>
      <c r="AB66" s="21" t="s">
        <v>37</v>
      </c>
      <c r="AC66" s="6">
        <v>0.68</v>
      </c>
      <c r="AD66" s="2">
        <f t="shared" ref="AD66:AD68" si="209">M66*AC66</f>
        <v>279.48</v>
      </c>
      <c r="AE66" s="15">
        <v>33</v>
      </c>
      <c r="AF66" s="2">
        <f t="shared" ref="AF66:AF68" si="210">AD66*AE66</f>
        <v>9222.84</v>
      </c>
    </row>
    <row r="67" spans="1:32" x14ac:dyDescent="0.25">
      <c r="A67" s="2">
        <v>19</v>
      </c>
      <c r="B67" s="3">
        <v>45</v>
      </c>
      <c r="C67" s="3" t="s">
        <v>100</v>
      </c>
      <c r="D67" s="3" t="s">
        <v>87</v>
      </c>
      <c r="E67" s="2" t="s">
        <v>74</v>
      </c>
      <c r="F67" s="4" t="s">
        <v>76</v>
      </c>
      <c r="G67" s="2">
        <v>572</v>
      </c>
      <c r="H67" s="2">
        <v>0</v>
      </c>
      <c r="I67" s="5">
        <f t="shared" si="200"/>
        <v>0</v>
      </c>
      <c r="J67" s="6">
        <f>2.3*57*1250*7.85/1000000</f>
        <v>1.2864187499999999</v>
      </c>
      <c r="K67" s="7">
        <f t="shared" si="201"/>
        <v>444.64526033999431</v>
      </c>
      <c r="L67" s="2">
        <v>445</v>
      </c>
      <c r="M67" s="2">
        <v>445</v>
      </c>
      <c r="N67" s="8">
        <v>31</v>
      </c>
      <c r="O67" s="2">
        <v>1</v>
      </c>
      <c r="P67" s="2">
        <f t="shared" si="202"/>
        <v>13795</v>
      </c>
      <c r="Q67" s="22">
        <v>13795</v>
      </c>
      <c r="R67" s="22">
        <v>13795</v>
      </c>
      <c r="S67" s="9">
        <f t="shared" si="203"/>
        <v>0</v>
      </c>
      <c r="T67" s="2">
        <f t="shared" si="204"/>
        <v>0</v>
      </c>
      <c r="U67" s="10">
        <v>1</v>
      </c>
      <c r="V67" s="7">
        <f t="shared" si="205"/>
        <v>13795</v>
      </c>
      <c r="W67" s="11">
        <v>0</v>
      </c>
      <c r="X67" s="2">
        <f t="shared" si="206"/>
        <v>0</v>
      </c>
      <c r="Y67" s="2">
        <f t="shared" si="207"/>
        <v>0</v>
      </c>
      <c r="Z67" s="7">
        <f t="shared" si="208"/>
        <v>8811</v>
      </c>
      <c r="AA67" s="20">
        <f t="shared" ref="AA67" si="211">Z67-V67</f>
        <v>-4984</v>
      </c>
      <c r="AB67" s="21" t="s">
        <v>37</v>
      </c>
      <c r="AC67" s="6">
        <v>0.6</v>
      </c>
      <c r="AD67" s="7">
        <f t="shared" si="209"/>
        <v>267</v>
      </c>
      <c r="AE67" s="15">
        <v>33</v>
      </c>
      <c r="AF67" s="2">
        <f t="shared" si="210"/>
        <v>8811</v>
      </c>
    </row>
    <row r="68" spans="1:32" x14ac:dyDescent="0.25">
      <c r="A68" s="2">
        <v>20</v>
      </c>
      <c r="B68" s="3">
        <v>55</v>
      </c>
      <c r="C68" s="3" t="s">
        <v>101</v>
      </c>
      <c r="D68" s="3" t="s">
        <v>87</v>
      </c>
      <c r="E68" s="2"/>
      <c r="F68" s="4" t="s">
        <v>94</v>
      </c>
      <c r="G68" s="2">
        <v>348</v>
      </c>
      <c r="H68" s="2">
        <v>0</v>
      </c>
      <c r="I68" s="5">
        <f t="shared" si="200"/>
        <v>0</v>
      </c>
      <c r="J68" s="6">
        <f>2*50*1250*7.85/1000000</f>
        <v>0.98124999999999996</v>
      </c>
      <c r="K68" s="7">
        <f t="shared" si="201"/>
        <v>354.64968152866243</v>
      </c>
      <c r="L68" s="2">
        <v>355</v>
      </c>
      <c r="M68" s="2">
        <v>355</v>
      </c>
      <c r="N68" s="8">
        <v>24</v>
      </c>
      <c r="O68" s="2">
        <v>1</v>
      </c>
      <c r="P68" s="2">
        <f t="shared" si="202"/>
        <v>8520</v>
      </c>
      <c r="Q68" s="22">
        <v>8520</v>
      </c>
      <c r="R68" s="22">
        <v>8520</v>
      </c>
      <c r="S68" s="9">
        <f t="shared" si="203"/>
        <v>0</v>
      </c>
      <c r="T68" s="2">
        <f t="shared" si="204"/>
        <v>0</v>
      </c>
      <c r="U68" s="10">
        <v>0.55000000000000004</v>
      </c>
      <c r="V68" s="7">
        <f t="shared" si="205"/>
        <v>4686</v>
      </c>
      <c r="W68" s="11">
        <v>0</v>
      </c>
      <c r="X68" s="2">
        <f t="shared" si="206"/>
        <v>0</v>
      </c>
      <c r="Y68" s="2">
        <f t="shared" si="207"/>
        <v>0</v>
      </c>
      <c r="Z68" s="7">
        <f t="shared" si="208"/>
        <v>0</v>
      </c>
      <c r="AA68" s="20">
        <f>Z68-V68</f>
        <v>-4686</v>
      </c>
      <c r="AB68" s="21" t="s">
        <v>37</v>
      </c>
      <c r="AC68" s="6"/>
      <c r="AD68" s="2">
        <f t="shared" si="209"/>
        <v>0</v>
      </c>
      <c r="AE68" s="15">
        <v>33</v>
      </c>
      <c r="AF68" s="2">
        <f t="shared" si="210"/>
        <v>0</v>
      </c>
    </row>
    <row r="69" spans="1:32" x14ac:dyDescent="0.25">
      <c r="A69" s="2">
        <v>21</v>
      </c>
      <c r="B69" s="3">
        <v>104</v>
      </c>
      <c r="C69" s="3" t="s">
        <v>111</v>
      </c>
      <c r="D69" s="3" t="s">
        <v>87</v>
      </c>
      <c r="E69" s="2" t="s">
        <v>112</v>
      </c>
      <c r="F69" s="4" t="s">
        <v>113</v>
      </c>
      <c r="G69" s="2">
        <v>494</v>
      </c>
      <c r="H69" s="2">
        <v>0</v>
      </c>
      <c r="I69" s="5">
        <f t="shared" ref="I69" si="212">G69*H69</f>
        <v>0</v>
      </c>
      <c r="J69" s="6">
        <f>2*160*1250*7.85/1000000</f>
        <v>3.14</v>
      </c>
      <c r="K69" s="7">
        <f t="shared" ref="K69" si="213">G69/J69</f>
        <v>157.32484076433121</v>
      </c>
      <c r="L69" s="2">
        <v>157</v>
      </c>
      <c r="M69" s="2">
        <v>157</v>
      </c>
      <c r="N69" s="8">
        <v>41</v>
      </c>
      <c r="O69" s="2">
        <v>2</v>
      </c>
      <c r="P69" s="2">
        <f t="shared" ref="P69" si="214">M69*N69*O69</f>
        <v>12874</v>
      </c>
      <c r="Q69" s="22">
        <v>12874</v>
      </c>
      <c r="R69" s="22">
        <v>12874</v>
      </c>
      <c r="S69" s="9">
        <f t="shared" ref="S69" si="215">Q69-R69</f>
        <v>0</v>
      </c>
      <c r="T69" s="2">
        <f t="shared" ref="T69" si="216">P69-Q69</f>
        <v>0</v>
      </c>
      <c r="U69" s="10">
        <v>0.4</v>
      </c>
      <c r="V69" s="7">
        <f>Q69*U69</f>
        <v>5149.6000000000004</v>
      </c>
      <c r="W69" s="11">
        <v>0</v>
      </c>
      <c r="X69" s="2">
        <f t="shared" ref="X69" si="217">Q69*W69</f>
        <v>0</v>
      </c>
      <c r="Y69" s="2">
        <f t="shared" ref="Y69" si="218">X69-I69</f>
        <v>0</v>
      </c>
      <c r="Z69" s="7">
        <f t="shared" ref="Z69" si="219">AF69+Y69</f>
        <v>3523.0800000000004</v>
      </c>
      <c r="AA69" s="20">
        <f>Z69-V69</f>
        <v>-1626.52</v>
      </c>
      <c r="AB69" s="21" t="s">
        <v>37</v>
      </c>
      <c r="AC69" s="6">
        <v>0.68</v>
      </c>
      <c r="AD69" s="2">
        <f t="shared" ref="AD69" si="220">M69*AC69</f>
        <v>106.76</v>
      </c>
      <c r="AE69" s="15">
        <v>33</v>
      </c>
      <c r="AF69" s="2">
        <f t="shared" ref="AF69" si="221">AD69*AE69</f>
        <v>3523.0800000000004</v>
      </c>
    </row>
    <row r="70" spans="1:32" x14ac:dyDescent="0.25">
      <c r="A70" s="2"/>
      <c r="B70" s="3"/>
      <c r="C70" s="3"/>
      <c r="D70" s="3"/>
      <c r="E70" s="2"/>
      <c r="F70" s="4"/>
      <c r="G70" s="2"/>
      <c r="H70" s="2"/>
      <c r="I70" s="5"/>
      <c r="J70" s="6"/>
      <c r="K70" s="7"/>
      <c r="L70" s="2"/>
      <c r="M70" s="2"/>
      <c r="N70" s="8"/>
      <c r="O70" s="2"/>
      <c r="P70" s="2"/>
      <c r="Q70" s="22"/>
      <c r="R70" s="22"/>
      <c r="S70" s="9"/>
      <c r="T70" s="2"/>
      <c r="U70" s="10"/>
      <c r="V70" s="7"/>
      <c r="W70" s="11"/>
      <c r="X70" s="2"/>
      <c r="Y70" s="2"/>
      <c r="Z70" s="7"/>
      <c r="AA70" s="20"/>
      <c r="AB70" s="21"/>
      <c r="AC70" s="6"/>
      <c r="AD70" s="2"/>
      <c r="AE70" s="15"/>
      <c r="AF70" s="2"/>
    </row>
    <row r="71" spans="1:32" x14ac:dyDescent="0.25">
      <c r="A71" s="2"/>
      <c r="B71" s="3"/>
      <c r="C71" s="3"/>
      <c r="D71" s="3"/>
      <c r="E71" s="2"/>
      <c r="F71" s="4"/>
      <c r="G71" s="2"/>
      <c r="H71" s="2"/>
      <c r="I71" s="5"/>
      <c r="J71" s="6"/>
      <c r="K71" s="7"/>
      <c r="L71" s="2"/>
      <c r="M71" s="2"/>
      <c r="N71" s="8"/>
      <c r="O71" s="2"/>
      <c r="P71" s="2"/>
      <c r="Q71" s="22"/>
      <c r="R71" s="22"/>
      <c r="S71" s="9"/>
      <c r="T71" s="2"/>
      <c r="U71" s="10"/>
      <c r="V71" s="7"/>
      <c r="W71" s="11"/>
      <c r="X71" s="2"/>
      <c r="Y71" s="2"/>
      <c r="Z71" s="7"/>
      <c r="AA71" s="20"/>
      <c r="AB71" s="21"/>
      <c r="AC71" s="6"/>
      <c r="AD71" s="2"/>
      <c r="AE71" s="15"/>
      <c r="AF71" s="2"/>
    </row>
    <row r="73" spans="1:32" x14ac:dyDescent="0.25">
      <c r="G73" s="28">
        <f>SUM(G49:G72)</f>
        <v>9226</v>
      </c>
      <c r="AA73" s="28">
        <f>SUM(AA49:AA72)</f>
        <v>-52728.88</v>
      </c>
      <c r="AD73" s="28">
        <f>SUM(AD49:AD72)</f>
        <v>2654.6400000000003</v>
      </c>
      <c r="AF73" s="28">
        <f>SUM(AF49:AF72)</f>
        <v>87603.12</v>
      </c>
    </row>
  </sheetData>
  <autoFilter ref="A1:AF43"/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6"/>
  <sheetViews>
    <sheetView topLeftCell="A22" zoomScaleNormal="100" workbookViewId="0">
      <selection activeCell="A40" sqref="A40:AF40"/>
    </sheetView>
  </sheetViews>
  <sheetFormatPr defaultRowHeight="15" x14ac:dyDescent="0.25"/>
  <cols>
    <col min="1" max="1" width="4.140625" bestFit="1" customWidth="1"/>
    <col min="2" max="2" width="5.28515625" customWidth="1"/>
    <col min="3" max="3" width="7" bestFit="1" customWidth="1"/>
    <col min="4" max="4" width="4.7109375" customWidth="1"/>
    <col min="5" max="5" width="9" customWidth="1"/>
    <col min="6" max="6" width="6" customWidth="1"/>
    <col min="7" max="7" width="6.42578125" customWidth="1"/>
    <col min="8" max="8" width="5.5703125" customWidth="1"/>
    <col min="9" max="9" width="8.85546875" customWidth="1"/>
    <col min="10" max="10" width="4.5703125" customWidth="1"/>
    <col min="11" max="13" width="5" customWidth="1"/>
    <col min="14" max="14" width="3" customWidth="1"/>
    <col min="15" max="15" width="2.5703125" customWidth="1"/>
    <col min="16" max="18" width="6.42578125" customWidth="1"/>
    <col min="19" max="19" width="3.28515625" customWidth="1"/>
    <col min="20" max="20" width="3.28515625" bestFit="1" customWidth="1"/>
    <col min="21" max="21" width="4.28515625" customWidth="1"/>
    <col min="22" max="22" width="6.28515625" customWidth="1"/>
    <col min="23" max="23" width="4.28515625" customWidth="1"/>
    <col min="24" max="24" width="5.85546875" customWidth="1"/>
    <col min="25" max="25" width="6.42578125" customWidth="1"/>
    <col min="26" max="26" width="6.85546875" bestFit="1" customWidth="1"/>
    <col min="27" max="27" width="8" customWidth="1"/>
    <col min="28" max="28" width="3.140625" bestFit="1" customWidth="1"/>
    <col min="29" max="29" width="6" customWidth="1"/>
    <col min="30" max="30" width="8.28515625" bestFit="1" customWidth="1"/>
    <col min="31" max="31" width="4.42578125" customWidth="1"/>
    <col min="32" max="32" width="7.85546875" bestFit="1" customWidth="1"/>
  </cols>
  <sheetData>
    <row r="1" spans="1:33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3" x14ac:dyDescent="0.25">
      <c r="A2" s="2">
        <v>1</v>
      </c>
      <c r="B2" s="3">
        <v>907</v>
      </c>
      <c r="C2" s="3" t="s">
        <v>115</v>
      </c>
      <c r="D2" s="34" t="s">
        <v>88</v>
      </c>
      <c r="E2" s="23" t="s">
        <v>53</v>
      </c>
      <c r="F2" s="2">
        <v>7145</v>
      </c>
      <c r="G2" s="3">
        <v>496</v>
      </c>
      <c r="H2" s="3">
        <v>63.92</v>
      </c>
      <c r="I2" s="17">
        <f t="shared" ref="I2:I15" si="0">G2*H2</f>
        <v>31704.32</v>
      </c>
      <c r="J2" s="18">
        <f>2.6*100*1250*7.85/1000000</f>
        <v>2.55125</v>
      </c>
      <c r="K2" s="19">
        <f t="shared" ref="K2:K8" si="1">G2/J2</f>
        <v>194.41450269475746</v>
      </c>
      <c r="L2" s="3">
        <v>194</v>
      </c>
      <c r="M2" s="3">
        <v>194</v>
      </c>
      <c r="N2" s="8">
        <v>58</v>
      </c>
      <c r="O2" s="3">
        <v>1</v>
      </c>
      <c r="P2" s="3">
        <f t="shared" ref="P2:P7" si="2">M2*N2*O2</f>
        <v>11252</v>
      </c>
      <c r="Q2" s="3">
        <v>11252</v>
      </c>
      <c r="R2" s="3">
        <v>11252</v>
      </c>
      <c r="S2" s="9">
        <f t="shared" ref="S2:S6" si="3">Q2-R2</f>
        <v>0</v>
      </c>
      <c r="T2" s="3">
        <f t="shared" ref="T2:T7" si="4">P2-Q2</f>
        <v>0</v>
      </c>
      <c r="U2" s="10">
        <v>0.53</v>
      </c>
      <c r="V2" s="19">
        <f t="shared" ref="V2:V12" si="5">Q2*U2</f>
        <v>5963.56</v>
      </c>
      <c r="W2" s="11">
        <v>2.75</v>
      </c>
      <c r="X2" s="3">
        <f t="shared" ref="X2:X7" si="6">Q2*W2</f>
        <v>30943</v>
      </c>
      <c r="Y2" s="3">
        <f t="shared" ref="Y2:Y12" si="7">X2-I2</f>
        <v>-761.31999999999971</v>
      </c>
      <c r="Z2" s="19">
        <f t="shared" ref="Z2:Z7" si="8">AF2+Y2</f>
        <v>6439.96</v>
      </c>
      <c r="AA2" s="20">
        <f t="shared" ref="AA2:AA4" si="9">Z2-V2</f>
        <v>476.39999999999964</v>
      </c>
      <c r="AB2" s="21" t="s">
        <v>37</v>
      </c>
      <c r="AC2" s="18">
        <v>1.1599999999999999</v>
      </c>
      <c r="AD2" s="17">
        <f t="shared" ref="AD2:AD8" si="10">M2*AC2</f>
        <v>225.04</v>
      </c>
      <c r="AE2" s="15">
        <v>32</v>
      </c>
      <c r="AF2" s="3">
        <f t="shared" ref="AF2:AF7" si="11">AD2*AE2</f>
        <v>7201.28</v>
      </c>
    </row>
    <row r="3" spans="1:33" x14ac:dyDescent="0.25">
      <c r="A3" s="2">
        <v>2</v>
      </c>
      <c r="B3" s="3">
        <v>907</v>
      </c>
      <c r="C3" s="3" t="s">
        <v>115</v>
      </c>
      <c r="D3" s="34" t="s">
        <v>88</v>
      </c>
      <c r="E3" s="2" t="s">
        <v>33</v>
      </c>
      <c r="F3" s="2">
        <v>6086</v>
      </c>
      <c r="G3" s="2">
        <v>188</v>
      </c>
      <c r="H3" s="5">
        <v>72</v>
      </c>
      <c r="I3" s="5">
        <f t="shared" si="0"/>
        <v>13536</v>
      </c>
      <c r="J3" s="5">
        <f>1.6*66*1250*7.85/1000000</f>
        <v>1.0362</v>
      </c>
      <c r="K3" s="7">
        <f t="shared" si="1"/>
        <v>181.43215595444894</v>
      </c>
      <c r="L3" s="2">
        <v>181</v>
      </c>
      <c r="M3" s="2">
        <v>181</v>
      </c>
      <c r="N3" s="8">
        <v>42</v>
      </c>
      <c r="O3" s="2">
        <v>2</v>
      </c>
      <c r="P3" s="2">
        <f t="shared" si="2"/>
        <v>15204</v>
      </c>
      <c r="Q3" s="22">
        <v>15204</v>
      </c>
      <c r="R3" s="22">
        <v>15204</v>
      </c>
      <c r="S3" s="9">
        <f t="shared" si="3"/>
        <v>0</v>
      </c>
      <c r="T3" s="2">
        <f t="shared" si="4"/>
        <v>0</v>
      </c>
      <c r="U3" s="10">
        <v>0.2</v>
      </c>
      <c r="V3" s="7">
        <f t="shared" si="5"/>
        <v>3040.8</v>
      </c>
      <c r="W3" s="11">
        <v>0.89</v>
      </c>
      <c r="X3" s="2">
        <f t="shared" si="6"/>
        <v>13531.56</v>
      </c>
      <c r="Y3" s="2">
        <f t="shared" si="7"/>
        <v>-4.4400000000005093</v>
      </c>
      <c r="Z3" s="7">
        <f t="shared" si="8"/>
        <v>2022.7599999999993</v>
      </c>
      <c r="AA3" s="13">
        <f t="shared" si="9"/>
        <v>-1018.0400000000009</v>
      </c>
      <c r="AB3" s="14" t="s">
        <v>34</v>
      </c>
      <c r="AC3" s="6">
        <v>0.35</v>
      </c>
      <c r="AD3" s="5">
        <f t="shared" si="10"/>
        <v>63.349999999999994</v>
      </c>
      <c r="AE3" s="15">
        <v>32</v>
      </c>
      <c r="AF3" s="2">
        <f t="shared" si="11"/>
        <v>2027.1999999999998</v>
      </c>
    </row>
    <row r="4" spans="1:33" x14ac:dyDescent="0.25">
      <c r="A4" s="2">
        <v>3</v>
      </c>
      <c r="B4" s="3">
        <v>907</v>
      </c>
      <c r="C4" s="3" t="s">
        <v>115</v>
      </c>
      <c r="D4" s="34" t="s">
        <v>88</v>
      </c>
      <c r="E4" s="2" t="s">
        <v>103</v>
      </c>
      <c r="F4" s="2" t="s">
        <v>81</v>
      </c>
      <c r="G4" s="2">
        <v>540</v>
      </c>
      <c r="H4" s="2">
        <v>63.92</v>
      </c>
      <c r="I4" s="5">
        <f t="shared" ref="I4" si="12">G4*H4</f>
        <v>34516.800000000003</v>
      </c>
      <c r="J4" s="6">
        <f>2.3*105*1250*7.85/1000000</f>
        <v>2.3697187499999997</v>
      </c>
      <c r="K4" s="7">
        <f t="shared" ref="K4" si="13">G4/J4</f>
        <v>227.87514341100609</v>
      </c>
      <c r="L4" s="2">
        <v>228</v>
      </c>
      <c r="M4" s="2">
        <v>228</v>
      </c>
      <c r="N4" s="8">
        <v>20</v>
      </c>
      <c r="O4" s="2">
        <v>1</v>
      </c>
      <c r="P4" s="2">
        <f t="shared" ref="P4" si="14">M4*N4*O4</f>
        <v>4560</v>
      </c>
      <c r="Q4" s="22">
        <v>4560</v>
      </c>
      <c r="R4" s="22">
        <v>4560</v>
      </c>
      <c r="S4" s="9">
        <f t="shared" ref="S4" si="15">Q4-R4</f>
        <v>0</v>
      </c>
      <c r="T4" s="2">
        <f t="shared" ref="T4" si="16">P4-Q4</f>
        <v>0</v>
      </c>
      <c r="U4" s="10">
        <v>0.8</v>
      </c>
      <c r="V4" s="7">
        <f t="shared" ref="V4" si="17">Q4*U4</f>
        <v>3648</v>
      </c>
      <c r="W4" s="11">
        <v>6.95</v>
      </c>
      <c r="X4" s="2">
        <f t="shared" ref="X4" si="18">Q4*W4</f>
        <v>31692</v>
      </c>
      <c r="Y4" s="2">
        <f t="shared" ref="Y4" si="19">X4-I4</f>
        <v>-2824.8000000000029</v>
      </c>
      <c r="Z4" s="7">
        <f t="shared" ref="Z4" si="20">AF4+Y4</f>
        <v>4471.1999999999971</v>
      </c>
      <c r="AA4" s="20">
        <f t="shared" si="9"/>
        <v>823.19999999999709</v>
      </c>
      <c r="AB4" s="21" t="s">
        <v>37</v>
      </c>
      <c r="AC4" s="6">
        <v>1</v>
      </c>
      <c r="AD4" s="5">
        <f t="shared" ref="AD4" si="21">M4*AC4</f>
        <v>228</v>
      </c>
      <c r="AE4" s="15">
        <v>32</v>
      </c>
      <c r="AF4" s="2">
        <f t="shared" ref="AF4" si="22">AD4*AE4</f>
        <v>7296</v>
      </c>
    </row>
    <row r="5" spans="1:33" x14ac:dyDescent="0.25">
      <c r="A5" s="2">
        <v>4</v>
      </c>
      <c r="B5" s="3">
        <v>907</v>
      </c>
      <c r="C5" s="3" t="s">
        <v>115</v>
      </c>
      <c r="D5" s="34" t="s">
        <v>88</v>
      </c>
      <c r="E5" s="2" t="s">
        <v>74</v>
      </c>
      <c r="F5" s="2" t="s">
        <v>75</v>
      </c>
      <c r="G5" s="2">
        <v>606</v>
      </c>
      <c r="H5" s="3">
        <v>68.92</v>
      </c>
      <c r="I5" s="5">
        <f t="shared" si="0"/>
        <v>41765.520000000004</v>
      </c>
      <c r="J5" s="6">
        <f>2*57*1250*7.85/1000000</f>
        <v>1.118625</v>
      </c>
      <c r="K5" s="7">
        <f t="shared" si="1"/>
        <v>541.73650687227621</v>
      </c>
      <c r="L5" s="2">
        <v>542</v>
      </c>
      <c r="M5" s="2">
        <v>542</v>
      </c>
      <c r="N5" s="8">
        <v>17</v>
      </c>
      <c r="O5" s="2">
        <v>1</v>
      </c>
      <c r="P5" s="2">
        <f t="shared" si="2"/>
        <v>9214</v>
      </c>
      <c r="Q5" s="22">
        <v>9214</v>
      </c>
      <c r="R5" s="22">
        <v>9214</v>
      </c>
      <c r="S5" s="9">
        <f t="shared" si="3"/>
        <v>0</v>
      </c>
      <c r="T5" s="2">
        <f t="shared" si="4"/>
        <v>0</v>
      </c>
      <c r="U5" s="10">
        <v>1.1000000000000001</v>
      </c>
      <c r="V5" s="7">
        <f t="shared" si="5"/>
        <v>10135.400000000001</v>
      </c>
      <c r="W5" s="11">
        <v>4.8899999999999997</v>
      </c>
      <c r="X5" s="2">
        <f t="shared" si="6"/>
        <v>45056.46</v>
      </c>
      <c r="Y5" s="2">
        <f t="shared" si="7"/>
        <v>3290.9399999999951</v>
      </c>
      <c r="Z5" s="7">
        <f t="shared" si="8"/>
        <v>11962.939999999995</v>
      </c>
      <c r="AA5" s="20">
        <f>Z5-V5</f>
        <v>1827.5399999999936</v>
      </c>
      <c r="AB5" s="21" t="s">
        <v>37</v>
      </c>
      <c r="AC5" s="6">
        <v>0.5</v>
      </c>
      <c r="AD5" s="5">
        <f t="shared" si="10"/>
        <v>271</v>
      </c>
      <c r="AE5" s="15">
        <v>32</v>
      </c>
      <c r="AF5" s="2">
        <f t="shared" si="11"/>
        <v>8672</v>
      </c>
    </row>
    <row r="6" spans="1:33" x14ac:dyDescent="0.25">
      <c r="A6" s="2">
        <v>5</v>
      </c>
      <c r="B6" s="3">
        <v>907</v>
      </c>
      <c r="C6" s="3" t="s">
        <v>115</v>
      </c>
      <c r="D6" s="34" t="s">
        <v>88</v>
      </c>
      <c r="E6" s="2" t="s">
        <v>92</v>
      </c>
      <c r="F6" s="4" t="s">
        <v>93</v>
      </c>
      <c r="G6" s="2">
        <v>1240</v>
      </c>
      <c r="H6" s="2">
        <v>63.92</v>
      </c>
      <c r="I6" s="5">
        <f t="shared" si="0"/>
        <v>79260.800000000003</v>
      </c>
      <c r="J6" s="6">
        <f>2*142*1250*7.85/1000000</f>
        <v>2.7867500000000001</v>
      </c>
      <c r="K6" s="7">
        <f t="shared" si="1"/>
        <v>444.96277025208576</v>
      </c>
      <c r="L6" s="2">
        <v>445</v>
      </c>
      <c r="M6" s="2">
        <v>445</v>
      </c>
      <c r="N6" s="8">
        <v>35</v>
      </c>
      <c r="O6" s="2">
        <v>1</v>
      </c>
      <c r="P6" s="2">
        <f t="shared" si="2"/>
        <v>15575</v>
      </c>
      <c r="Q6" s="22">
        <v>15575</v>
      </c>
      <c r="R6" s="22">
        <v>15575</v>
      </c>
      <c r="S6" s="9">
        <f t="shared" si="3"/>
        <v>0</v>
      </c>
      <c r="T6" s="2">
        <f t="shared" si="4"/>
        <v>0</v>
      </c>
      <c r="U6" s="10">
        <v>0.8</v>
      </c>
      <c r="V6" s="7">
        <f t="shared" si="5"/>
        <v>12460</v>
      </c>
      <c r="W6" s="11">
        <v>5.55</v>
      </c>
      <c r="X6" s="2">
        <f t="shared" si="6"/>
        <v>86441.25</v>
      </c>
      <c r="Y6" s="2">
        <f t="shared" si="7"/>
        <v>7180.4499999999971</v>
      </c>
      <c r="Z6" s="7">
        <f t="shared" si="8"/>
        <v>16863.649999999998</v>
      </c>
      <c r="AA6" s="20">
        <f>Z6-V6</f>
        <v>4403.6499999999978</v>
      </c>
      <c r="AB6" s="21" t="s">
        <v>37</v>
      </c>
      <c r="AC6" s="6">
        <v>0.68</v>
      </c>
      <c r="AD6" s="5">
        <f t="shared" si="10"/>
        <v>302.60000000000002</v>
      </c>
      <c r="AE6" s="15">
        <v>32</v>
      </c>
      <c r="AF6" s="2">
        <f t="shared" si="11"/>
        <v>9683.2000000000007</v>
      </c>
    </row>
    <row r="7" spans="1:33" x14ac:dyDescent="0.25">
      <c r="A7" s="2">
        <v>6</v>
      </c>
      <c r="B7" s="3">
        <v>991</v>
      </c>
      <c r="C7" s="3" t="s">
        <v>119</v>
      </c>
      <c r="D7" s="34" t="s">
        <v>88</v>
      </c>
      <c r="E7" s="2" t="s">
        <v>33</v>
      </c>
      <c r="F7" s="52">
        <v>6871</v>
      </c>
      <c r="G7" s="2">
        <v>78</v>
      </c>
      <c r="H7" s="2">
        <v>64.92</v>
      </c>
      <c r="I7" s="5">
        <f t="shared" si="0"/>
        <v>5063.76</v>
      </c>
      <c r="J7" s="6">
        <f>3.2*35*1250*7.85/1000000</f>
        <v>1.099</v>
      </c>
      <c r="K7" s="7">
        <f t="shared" si="1"/>
        <v>70.973612374886258</v>
      </c>
      <c r="L7" s="2">
        <v>71</v>
      </c>
      <c r="M7" s="2">
        <v>71</v>
      </c>
      <c r="N7" s="8">
        <v>70</v>
      </c>
      <c r="O7" s="2">
        <v>2</v>
      </c>
      <c r="P7" s="2">
        <f t="shared" si="2"/>
        <v>9940</v>
      </c>
      <c r="Q7" s="22">
        <v>9940</v>
      </c>
      <c r="R7" s="22">
        <v>9940</v>
      </c>
      <c r="S7" s="9">
        <f>Q7-R7</f>
        <v>0</v>
      </c>
      <c r="T7" s="2">
        <f t="shared" si="4"/>
        <v>0</v>
      </c>
      <c r="U7" s="10">
        <v>0.15</v>
      </c>
      <c r="V7" s="7">
        <f t="shared" si="5"/>
        <v>1491</v>
      </c>
      <c r="W7" s="11">
        <v>0.6</v>
      </c>
      <c r="X7" s="2">
        <f t="shared" si="6"/>
        <v>5964</v>
      </c>
      <c r="Y7" s="2">
        <f t="shared" si="7"/>
        <v>900.23999999999978</v>
      </c>
      <c r="Z7" s="7">
        <f t="shared" si="8"/>
        <v>2354.3199999999997</v>
      </c>
      <c r="AA7" s="20">
        <f t="shared" ref="AA7:AA8" si="23">Z7-V7</f>
        <v>863.31999999999971</v>
      </c>
      <c r="AB7" s="21" t="s">
        <v>37</v>
      </c>
      <c r="AC7" s="6">
        <v>0.64</v>
      </c>
      <c r="AD7" s="2">
        <f t="shared" si="10"/>
        <v>45.44</v>
      </c>
      <c r="AE7" s="15">
        <v>32</v>
      </c>
      <c r="AF7" s="2">
        <f t="shared" si="11"/>
        <v>1454.08</v>
      </c>
    </row>
    <row r="8" spans="1:33" x14ac:dyDescent="0.25">
      <c r="A8" s="2">
        <v>7</v>
      </c>
      <c r="B8" s="3">
        <v>991</v>
      </c>
      <c r="C8" s="3" t="s">
        <v>119</v>
      </c>
      <c r="D8" s="34" t="s">
        <v>88</v>
      </c>
      <c r="E8" s="16" t="s">
        <v>35</v>
      </c>
      <c r="F8" s="3" t="s">
        <v>36</v>
      </c>
      <c r="G8" s="3">
        <v>362</v>
      </c>
      <c r="H8" s="3">
        <v>73.92</v>
      </c>
      <c r="I8" s="17">
        <f t="shared" si="0"/>
        <v>26759.040000000001</v>
      </c>
      <c r="J8" s="18">
        <f>0.6*82*1250*7.85/1000000</f>
        <v>0.48277499999999995</v>
      </c>
      <c r="K8" s="19">
        <f t="shared" si="1"/>
        <v>749.83170213867754</v>
      </c>
      <c r="L8" s="3">
        <v>750</v>
      </c>
      <c r="M8" s="3">
        <v>750</v>
      </c>
      <c r="N8" s="8">
        <v>26</v>
      </c>
      <c r="O8" s="3">
        <v>4</v>
      </c>
      <c r="P8" s="3">
        <f>M8*N8*O8</f>
        <v>78000</v>
      </c>
      <c r="Q8" s="3">
        <v>78000</v>
      </c>
      <c r="R8" s="3">
        <v>78000</v>
      </c>
      <c r="S8" s="9">
        <f t="shared" ref="S8" si="24">Q8-R8</f>
        <v>0</v>
      </c>
      <c r="T8" s="3">
        <f>P8-Q8</f>
        <v>0</v>
      </c>
      <c r="U8" s="10">
        <v>0.12</v>
      </c>
      <c r="V8" s="19">
        <f t="shared" si="5"/>
        <v>9360</v>
      </c>
      <c r="W8" s="11">
        <v>0.42</v>
      </c>
      <c r="X8" s="3">
        <f>Q8*W8</f>
        <v>32760</v>
      </c>
      <c r="Y8" s="3">
        <f t="shared" si="7"/>
        <v>6000.9599999999991</v>
      </c>
      <c r="Z8" s="19">
        <f>AF8+Y8</f>
        <v>11280.96</v>
      </c>
      <c r="AA8" s="20">
        <f t="shared" si="23"/>
        <v>1920.9599999999991</v>
      </c>
      <c r="AB8" s="21" t="s">
        <v>37</v>
      </c>
      <c r="AC8" s="18">
        <v>0.22</v>
      </c>
      <c r="AD8" s="17">
        <f t="shared" si="10"/>
        <v>165</v>
      </c>
      <c r="AE8" s="15">
        <v>32</v>
      </c>
      <c r="AF8" s="3">
        <f>AD8*AE8</f>
        <v>5280</v>
      </c>
    </row>
    <row r="9" spans="1:33" x14ac:dyDescent="0.25">
      <c r="A9" s="2">
        <v>8</v>
      </c>
      <c r="B9" s="3">
        <v>991</v>
      </c>
      <c r="C9" s="3" t="s">
        <v>119</v>
      </c>
      <c r="D9" s="34" t="s">
        <v>88</v>
      </c>
      <c r="E9" s="58" t="s">
        <v>103</v>
      </c>
      <c r="F9" s="58" t="s">
        <v>81</v>
      </c>
      <c r="G9" s="2">
        <v>675</v>
      </c>
      <c r="H9" s="47">
        <v>93.62</v>
      </c>
      <c r="I9" s="48">
        <f t="shared" si="0"/>
        <v>63193.5</v>
      </c>
      <c r="J9" s="6"/>
      <c r="K9" s="57"/>
      <c r="L9" s="57"/>
      <c r="M9" s="57"/>
      <c r="N9" s="8"/>
      <c r="O9" s="2"/>
      <c r="P9" s="58"/>
      <c r="Q9" s="59"/>
      <c r="R9" s="59"/>
      <c r="S9" s="9"/>
      <c r="T9" s="2"/>
      <c r="U9" s="10"/>
      <c r="V9" s="7"/>
      <c r="W9" s="11"/>
      <c r="X9" s="2"/>
      <c r="Y9" s="2"/>
      <c r="Z9" s="7"/>
      <c r="AA9" s="20"/>
      <c r="AB9" s="21"/>
      <c r="AC9" s="6"/>
      <c r="AD9" s="7"/>
      <c r="AE9" s="15"/>
      <c r="AF9" s="2"/>
      <c r="AG9" t="s">
        <v>126</v>
      </c>
    </row>
    <row r="10" spans="1:33" x14ac:dyDescent="0.25">
      <c r="A10" s="2">
        <v>9</v>
      </c>
      <c r="B10" s="3">
        <v>382</v>
      </c>
      <c r="C10" s="3" t="s">
        <v>121</v>
      </c>
      <c r="D10" s="46" t="s">
        <v>39</v>
      </c>
      <c r="E10" s="23" t="s">
        <v>120</v>
      </c>
      <c r="F10" s="24">
        <v>1341</v>
      </c>
      <c r="G10" s="3">
        <v>250</v>
      </c>
      <c r="H10" s="3">
        <v>64.92</v>
      </c>
      <c r="I10" s="17">
        <f t="shared" si="0"/>
        <v>16230</v>
      </c>
      <c r="J10" s="6">
        <f>2*75*1250*7.85/1000000</f>
        <v>1.471875</v>
      </c>
      <c r="K10" s="19">
        <f>G10/J10</f>
        <v>169.85138004246284</v>
      </c>
      <c r="L10" s="19">
        <v>170</v>
      </c>
      <c r="M10" s="19">
        <v>170</v>
      </c>
      <c r="N10" s="8">
        <v>38</v>
      </c>
      <c r="O10" s="3">
        <v>1</v>
      </c>
      <c r="P10" s="2">
        <f t="shared" ref="P10:P22" si="25">M10*N10*O10</f>
        <v>6460</v>
      </c>
      <c r="Q10" s="3">
        <v>6460</v>
      </c>
      <c r="R10" s="3">
        <v>6460</v>
      </c>
      <c r="S10" s="9">
        <v>0</v>
      </c>
      <c r="T10" s="3">
        <v>0</v>
      </c>
      <c r="U10" s="10">
        <v>0.55000000000000004</v>
      </c>
      <c r="V10" s="7">
        <f t="shared" si="5"/>
        <v>3553.0000000000005</v>
      </c>
      <c r="W10" s="11">
        <v>2.64</v>
      </c>
      <c r="X10" s="2">
        <f t="shared" ref="X10:X12" si="26">Q10*W10</f>
        <v>17054.400000000001</v>
      </c>
      <c r="Y10" s="2">
        <f t="shared" si="7"/>
        <v>824.40000000000146</v>
      </c>
      <c r="Z10" s="7">
        <f t="shared" ref="Z10:Z12" si="27">AF10+Y10</f>
        <v>3326.8000000000015</v>
      </c>
      <c r="AA10" s="20">
        <f t="shared" ref="AA10" si="28">Z10-V10</f>
        <v>-226.19999999999891</v>
      </c>
      <c r="AB10" s="21" t="s">
        <v>37</v>
      </c>
      <c r="AC10" s="18">
        <v>0.46</v>
      </c>
      <c r="AD10" s="17">
        <f t="shared" ref="AD10:AD12" si="29">M10*AC10</f>
        <v>78.2</v>
      </c>
      <c r="AE10" s="15">
        <v>32</v>
      </c>
      <c r="AF10" s="3">
        <f>AD10*AE10</f>
        <v>2502.4</v>
      </c>
    </row>
    <row r="11" spans="1:33" x14ac:dyDescent="0.25">
      <c r="A11" s="2">
        <v>10</v>
      </c>
      <c r="B11" s="3">
        <v>1019</v>
      </c>
      <c r="C11" s="3" t="s">
        <v>122</v>
      </c>
      <c r="D11" s="34" t="s">
        <v>88</v>
      </c>
      <c r="E11" s="2" t="s">
        <v>74</v>
      </c>
      <c r="F11" s="33" t="s">
        <v>97</v>
      </c>
      <c r="G11" s="2">
        <v>788</v>
      </c>
      <c r="H11" s="2">
        <v>64.92</v>
      </c>
      <c r="I11" s="5">
        <f t="shared" si="0"/>
        <v>51156.959999999999</v>
      </c>
      <c r="J11" s="6">
        <f>2.6*89*1250*7.85/1000000</f>
        <v>2.2706124999999999</v>
      </c>
      <c r="K11" s="7">
        <f t="shared" ref="K11:K22" si="30">G11/J11</f>
        <v>347.04292344026118</v>
      </c>
      <c r="L11" s="2">
        <v>347</v>
      </c>
      <c r="M11" s="2">
        <v>347</v>
      </c>
      <c r="N11" s="8">
        <v>28</v>
      </c>
      <c r="O11" s="2">
        <v>1</v>
      </c>
      <c r="P11" s="2">
        <f t="shared" si="25"/>
        <v>9716</v>
      </c>
      <c r="Q11" s="2">
        <f>P11</f>
        <v>9716</v>
      </c>
      <c r="R11" s="2">
        <f>Q11</f>
        <v>9716</v>
      </c>
      <c r="S11" s="9">
        <f t="shared" ref="S11:S12" si="31">Q11-R11</f>
        <v>0</v>
      </c>
      <c r="T11" s="2">
        <f t="shared" ref="T11:T12" si="32">P11-Q11</f>
        <v>0</v>
      </c>
      <c r="U11" s="10">
        <v>1.3</v>
      </c>
      <c r="V11" s="7">
        <f t="shared" si="5"/>
        <v>12630.800000000001</v>
      </c>
      <c r="W11" s="11">
        <v>5.96</v>
      </c>
      <c r="X11" s="2">
        <f t="shared" si="26"/>
        <v>57907.360000000001</v>
      </c>
      <c r="Y11" s="2">
        <f t="shared" si="7"/>
        <v>6750.4000000000015</v>
      </c>
      <c r="Z11" s="7">
        <f t="shared" si="27"/>
        <v>17661.3292</v>
      </c>
      <c r="AA11" s="20">
        <f>Z11-V11</f>
        <v>5030.529199999999</v>
      </c>
      <c r="AB11" s="21" t="s">
        <v>37</v>
      </c>
      <c r="AC11" s="18">
        <v>0.98261249999999978</v>
      </c>
      <c r="AD11" s="5">
        <f t="shared" si="29"/>
        <v>340.9665374999999</v>
      </c>
      <c r="AE11" s="15">
        <v>32</v>
      </c>
      <c r="AF11" s="2">
        <f t="shared" ref="AF11:AF22" si="33">AD11*AE11</f>
        <v>10910.929199999997</v>
      </c>
    </row>
    <row r="12" spans="1:33" x14ac:dyDescent="0.25">
      <c r="A12" s="2">
        <v>11</v>
      </c>
      <c r="B12" s="3">
        <v>1019</v>
      </c>
      <c r="C12" s="3" t="s">
        <v>122</v>
      </c>
      <c r="D12" s="34" t="s">
        <v>88</v>
      </c>
      <c r="E12" s="30" t="s">
        <v>105</v>
      </c>
      <c r="F12" s="4" t="s">
        <v>96</v>
      </c>
      <c r="G12" s="2">
        <v>762</v>
      </c>
      <c r="H12" s="2">
        <v>68.92</v>
      </c>
      <c r="I12" s="5">
        <f t="shared" si="0"/>
        <v>52517.04</v>
      </c>
      <c r="J12" s="6">
        <f>2*79*1250*7.85/1000000</f>
        <v>1.5503750000000001</v>
      </c>
      <c r="K12" s="7">
        <f t="shared" si="30"/>
        <v>491.49399338869625</v>
      </c>
      <c r="L12" s="2">
        <v>491</v>
      </c>
      <c r="M12" s="2">
        <v>491</v>
      </c>
      <c r="N12" s="8">
        <v>30</v>
      </c>
      <c r="O12" s="2">
        <v>1</v>
      </c>
      <c r="P12" s="2">
        <f t="shared" si="25"/>
        <v>14730</v>
      </c>
      <c r="Q12" s="22">
        <v>14730</v>
      </c>
      <c r="R12" s="22">
        <v>14730</v>
      </c>
      <c r="S12" s="9">
        <f t="shared" si="31"/>
        <v>0</v>
      </c>
      <c r="T12" s="2">
        <f t="shared" si="32"/>
        <v>0</v>
      </c>
      <c r="U12" s="10">
        <v>0.8</v>
      </c>
      <c r="V12" s="7">
        <f t="shared" si="5"/>
        <v>11784</v>
      </c>
      <c r="W12" s="11">
        <v>3.75</v>
      </c>
      <c r="X12" s="2">
        <f t="shared" si="26"/>
        <v>55237.5</v>
      </c>
      <c r="Y12" s="2">
        <f t="shared" si="7"/>
        <v>2720.4599999999991</v>
      </c>
      <c r="Z12" s="7">
        <f t="shared" si="27"/>
        <v>14824.592000000001</v>
      </c>
      <c r="AA12" s="20">
        <f>Z12-V12</f>
        <v>3040.5920000000006</v>
      </c>
      <c r="AB12" s="21" t="s">
        <v>37</v>
      </c>
      <c r="AC12" s="18">
        <v>0.77037500000000014</v>
      </c>
      <c r="AD12" s="5">
        <f t="shared" si="29"/>
        <v>378.25412500000004</v>
      </c>
      <c r="AE12" s="15">
        <v>32</v>
      </c>
      <c r="AF12" s="2">
        <f t="shared" si="33"/>
        <v>12104.132000000001</v>
      </c>
    </row>
    <row r="13" spans="1:33" x14ac:dyDescent="0.25">
      <c r="A13" s="2">
        <v>12</v>
      </c>
      <c r="B13" s="3">
        <v>1019</v>
      </c>
      <c r="C13" s="3" t="s">
        <v>122</v>
      </c>
      <c r="D13" s="34" t="s">
        <v>88</v>
      </c>
      <c r="E13" s="2" t="s">
        <v>33</v>
      </c>
      <c r="F13" s="4">
        <v>12028</v>
      </c>
      <c r="G13" s="2">
        <v>248</v>
      </c>
      <c r="H13" s="2">
        <v>63.92</v>
      </c>
      <c r="I13" s="5">
        <f t="shared" si="0"/>
        <v>15852.16</v>
      </c>
      <c r="J13" s="6">
        <f>2*108*1250*7.85/1000000</f>
        <v>2.1194999999999999</v>
      </c>
      <c r="K13" s="7">
        <f t="shared" si="30"/>
        <v>117.00872847369664</v>
      </c>
      <c r="L13" s="2">
        <v>117</v>
      </c>
      <c r="M13" s="2">
        <v>117</v>
      </c>
      <c r="N13" s="8">
        <v>42</v>
      </c>
      <c r="O13" s="2">
        <v>4</v>
      </c>
      <c r="P13" s="2">
        <f t="shared" si="25"/>
        <v>19656</v>
      </c>
      <c r="Q13" s="2">
        <v>19656</v>
      </c>
      <c r="R13" s="2">
        <v>19656</v>
      </c>
      <c r="S13" s="9">
        <f>Q13-R13</f>
        <v>0</v>
      </c>
      <c r="T13" s="2">
        <f>P13-Q13</f>
        <v>0</v>
      </c>
      <c r="U13" s="10">
        <v>0.12</v>
      </c>
      <c r="V13" s="7">
        <f>Q13*U13</f>
        <v>2358.7199999999998</v>
      </c>
      <c r="W13" s="11">
        <v>0.79</v>
      </c>
      <c r="X13" s="2">
        <f>Q13*W13</f>
        <v>15528.240000000002</v>
      </c>
      <c r="Y13" s="12">
        <f>X13-I13</f>
        <v>-323.91999999999825</v>
      </c>
      <c r="Z13" s="7">
        <f>AF13+Y13</f>
        <v>2203.280000000002</v>
      </c>
      <c r="AA13" s="13">
        <f t="shared" ref="AA13:AA14" si="34">Z13-V13</f>
        <v>-155.43999999999778</v>
      </c>
      <c r="AB13" s="14" t="s">
        <v>34</v>
      </c>
      <c r="AC13" s="6">
        <v>0.67500000000000004</v>
      </c>
      <c r="AD13" s="5">
        <f>M13*AC13</f>
        <v>78.975000000000009</v>
      </c>
      <c r="AE13" s="15">
        <v>32</v>
      </c>
      <c r="AF13" s="2">
        <f t="shared" si="33"/>
        <v>2527.2000000000003</v>
      </c>
    </row>
    <row r="14" spans="1:33" x14ac:dyDescent="0.25">
      <c r="A14" s="3">
        <v>13</v>
      </c>
      <c r="B14" s="3">
        <v>1019</v>
      </c>
      <c r="C14" s="3" t="s">
        <v>122</v>
      </c>
      <c r="D14" s="34" t="s">
        <v>88</v>
      </c>
      <c r="E14" s="2" t="s">
        <v>74</v>
      </c>
      <c r="F14" s="2" t="s">
        <v>123</v>
      </c>
      <c r="G14" s="2">
        <v>248</v>
      </c>
      <c r="H14" s="2">
        <v>64.92</v>
      </c>
      <c r="I14" s="5">
        <f t="shared" si="0"/>
        <v>16100.16</v>
      </c>
      <c r="J14" s="6">
        <f>2*75*1250*7.85/1000000</f>
        <v>1.471875</v>
      </c>
      <c r="K14" s="7">
        <f t="shared" si="30"/>
        <v>168.49256900212313</v>
      </c>
      <c r="L14" s="7">
        <v>168</v>
      </c>
      <c r="M14" s="7">
        <v>168</v>
      </c>
      <c r="N14" s="8">
        <v>66</v>
      </c>
      <c r="O14" s="2">
        <v>1</v>
      </c>
      <c r="P14" s="2">
        <f t="shared" si="25"/>
        <v>11088</v>
      </c>
      <c r="Q14" s="2">
        <v>11088</v>
      </c>
      <c r="R14" s="2">
        <v>11088</v>
      </c>
      <c r="S14" s="9">
        <f>Q14-R14</f>
        <v>0</v>
      </c>
      <c r="T14" s="2">
        <f t="shared" ref="T14:T16" si="35">P14-Q14</f>
        <v>0</v>
      </c>
      <c r="U14" s="10">
        <v>0.55000000000000004</v>
      </c>
      <c r="V14" s="7">
        <f t="shared" ref="V14:V22" si="36">Q14*U14</f>
        <v>6098.4000000000005</v>
      </c>
      <c r="W14" s="11">
        <v>2.06</v>
      </c>
      <c r="X14" s="2">
        <f t="shared" ref="X14:X16" si="37">Q14*W14</f>
        <v>22841.279999999999</v>
      </c>
      <c r="Y14" s="2">
        <f t="shared" ref="Y14:Y22" si="38">X14-I14</f>
        <v>6741.119999999999</v>
      </c>
      <c r="Z14" s="7">
        <f t="shared" ref="Z14:Z22" si="39">AF14+Y14</f>
        <v>9036.6719999999987</v>
      </c>
      <c r="AA14" s="20">
        <f t="shared" si="34"/>
        <v>2938.2719999999981</v>
      </c>
      <c r="AB14" s="21" t="s">
        <v>37</v>
      </c>
      <c r="AC14" s="6">
        <v>0.42699999999999999</v>
      </c>
      <c r="AD14" s="5">
        <f t="shared" ref="AD14:AD22" si="40">M14*AC14</f>
        <v>71.736000000000004</v>
      </c>
      <c r="AE14" s="15">
        <v>32</v>
      </c>
      <c r="AF14" s="2">
        <f t="shared" si="33"/>
        <v>2295.5520000000001</v>
      </c>
    </row>
    <row r="15" spans="1:33" x14ac:dyDescent="0.25">
      <c r="A15" s="2">
        <v>14</v>
      </c>
      <c r="B15" s="3">
        <v>1022</v>
      </c>
      <c r="C15" s="3" t="s">
        <v>122</v>
      </c>
      <c r="D15" s="34" t="s">
        <v>88</v>
      </c>
      <c r="E15" s="51" t="s">
        <v>124</v>
      </c>
      <c r="F15" s="4" t="s">
        <v>94</v>
      </c>
      <c r="G15" s="2">
        <v>278</v>
      </c>
      <c r="H15" s="2">
        <v>64.92</v>
      </c>
      <c r="I15" s="5">
        <f t="shared" si="0"/>
        <v>18047.760000000002</v>
      </c>
      <c r="J15" s="6">
        <f>2*50*1250*7.85/1000000</f>
        <v>0.98124999999999996</v>
      </c>
      <c r="K15" s="7">
        <f t="shared" si="30"/>
        <v>283.31210191082806</v>
      </c>
      <c r="L15" s="2">
        <v>283</v>
      </c>
      <c r="M15" s="2">
        <v>283</v>
      </c>
      <c r="N15" s="8">
        <v>24</v>
      </c>
      <c r="O15" s="2">
        <v>1</v>
      </c>
      <c r="P15" s="2">
        <f t="shared" si="25"/>
        <v>6792</v>
      </c>
      <c r="Q15" s="22">
        <v>6792</v>
      </c>
      <c r="R15" s="22">
        <v>6792</v>
      </c>
      <c r="S15" s="9">
        <f t="shared" ref="S15" si="41">Q15-R15</f>
        <v>0</v>
      </c>
      <c r="T15" s="2">
        <f t="shared" si="35"/>
        <v>0</v>
      </c>
      <c r="U15" s="10">
        <v>0.55000000000000004</v>
      </c>
      <c r="V15" s="7">
        <f t="shared" si="36"/>
        <v>3735.6000000000004</v>
      </c>
      <c r="W15" s="11">
        <v>2.9</v>
      </c>
      <c r="X15" s="2">
        <f t="shared" si="37"/>
        <v>19696.8</v>
      </c>
      <c r="Y15" s="2">
        <f t="shared" si="38"/>
        <v>1649.0399999999972</v>
      </c>
      <c r="Z15" s="7">
        <f t="shared" si="39"/>
        <v>4733.739999999998</v>
      </c>
      <c r="AA15" s="20">
        <f>Z15-V15</f>
        <v>998.1399999999976</v>
      </c>
      <c r="AB15" s="21" t="s">
        <v>37</v>
      </c>
      <c r="AC15" s="6">
        <v>0.34062500000000001</v>
      </c>
      <c r="AD15" s="5">
        <f t="shared" si="40"/>
        <v>96.396875000000009</v>
      </c>
      <c r="AE15" s="15">
        <v>32</v>
      </c>
      <c r="AF15" s="2">
        <f t="shared" si="33"/>
        <v>3084.7000000000003</v>
      </c>
    </row>
    <row r="16" spans="1:33" x14ac:dyDescent="0.25">
      <c r="A16" s="2">
        <v>15</v>
      </c>
      <c r="B16" s="3">
        <v>1022</v>
      </c>
      <c r="C16" s="3" t="s">
        <v>122</v>
      </c>
      <c r="D16" s="34" t="s">
        <v>88</v>
      </c>
      <c r="E16" s="2" t="s">
        <v>33</v>
      </c>
      <c r="F16" s="52">
        <v>6871</v>
      </c>
      <c r="G16" s="2">
        <v>234</v>
      </c>
      <c r="H16" s="2">
        <v>64.92</v>
      </c>
      <c r="I16" s="5">
        <f t="shared" ref="I16:I22" si="42">G16*H16</f>
        <v>15191.28</v>
      </c>
      <c r="J16" s="6">
        <f>3.2*35*1250*7.85/1000000</f>
        <v>1.099</v>
      </c>
      <c r="K16" s="7">
        <f t="shared" si="30"/>
        <v>212.92083712465879</v>
      </c>
      <c r="L16" s="2">
        <v>213</v>
      </c>
      <c r="M16" s="2">
        <v>213</v>
      </c>
      <c r="N16" s="8">
        <v>70</v>
      </c>
      <c r="O16" s="2">
        <v>2</v>
      </c>
      <c r="P16" s="2">
        <f t="shared" si="25"/>
        <v>29820</v>
      </c>
      <c r="Q16" s="22">
        <v>29820</v>
      </c>
      <c r="R16" s="22">
        <v>29820</v>
      </c>
      <c r="S16" s="9">
        <f>Q16-R16</f>
        <v>0</v>
      </c>
      <c r="T16" s="2">
        <f t="shared" si="35"/>
        <v>0</v>
      </c>
      <c r="U16" s="10">
        <v>0.15</v>
      </c>
      <c r="V16" s="7">
        <f t="shared" si="36"/>
        <v>4473</v>
      </c>
      <c r="W16" s="11">
        <v>0.6</v>
      </c>
      <c r="X16" s="2">
        <f t="shared" si="37"/>
        <v>17892</v>
      </c>
      <c r="Y16" s="2">
        <f t="shared" si="38"/>
        <v>2700.7199999999993</v>
      </c>
      <c r="Z16" s="7">
        <f t="shared" si="39"/>
        <v>7062.9599999999991</v>
      </c>
      <c r="AA16" s="20">
        <f t="shared" ref="AA16:AA21" si="43">Z16-V16</f>
        <v>2589.9599999999991</v>
      </c>
      <c r="AB16" s="21" t="s">
        <v>37</v>
      </c>
      <c r="AC16" s="6">
        <v>0.64</v>
      </c>
      <c r="AD16" s="2">
        <f t="shared" si="40"/>
        <v>136.32</v>
      </c>
      <c r="AE16" s="15">
        <v>32</v>
      </c>
      <c r="AF16" s="2">
        <f t="shared" si="33"/>
        <v>4362.24</v>
      </c>
    </row>
    <row r="17" spans="1:33" x14ac:dyDescent="0.25">
      <c r="A17" s="2">
        <v>16</v>
      </c>
      <c r="B17" s="3">
        <v>390</v>
      </c>
      <c r="C17" s="3" t="s">
        <v>122</v>
      </c>
      <c r="D17" s="46" t="s">
        <v>39</v>
      </c>
      <c r="E17" s="3" t="s">
        <v>49</v>
      </c>
      <c r="F17" s="3">
        <v>1329</v>
      </c>
      <c r="G17" s="3">
        <v>112</v>
      </c>
      <c r="H17" s="3">
        <v>73.92</v>
      </c>
      <c r="I17" s="17">
        <f t="shared" si="42"/>
        <v>8279.0400000000009</v>
      </c>
      <c r="J17" s="18">
        <f>1*47*1250*7.85/1000000</f>
        <v>0.46118749999999997</v>
      </c>
      <c r="K17" s="19">
        <f t="shared" si="30"/>
        <v>242.85133486922348</v>
      </c>
      <c r="L17" s="3">
        <v>243</v>
      </c>
      <c r="M17" s="3">
        <v>243</v>
      </c>
      <c r="N17" s="8">
        <v>77</v>
      </c>
      <c r="O17" s="3">
        <v>1</v>
      </c>
      <c r="P17" s="3">
        <f t="shared" si="25"/>
        <v>18711</v>
      </c>
      <c r="Q17" s="3">
        <v>18711</v>
      </c>
      <c r="R17" s="3">
        <v>18711</v>
      </c>
      <c r="S17" s="9">
        <f t="shared" ref="S17:S22" si="44">Q17-R17</f>
        <v>0</v>
      </c>
      <c r="T17" s="3">
        <f>P17-Q17</f>
        <v>0</v>
      </c>
      <c r="U17" s="10">
        <v>0.55000000000000004</v>
      </c>
      <c r="V17" s="19">
        <f t="shared" si="36"/>
        <v>10291.050000000001</v>
      </c>
      <c r="W17" s="11">
        <v>0.9</v>
      </c>
      <c r="X17" s="19">
        <f>Q17*W17</f>
        <v>16839.900000000001</v>
      </c>
      <c r="Y17" s="3">
        <f t="shared" si="38"/>
        <v>8560.86</v>
      </c>
      <c r="Z17" s="19">
        <f t="shared" si="39"/>
        <v>9395.2248</v>
      </c>
      <c r="AA17" s="13">
        <f t="shared" si="43"/>
        <v>-895.82520000000113</v>
      </c>
      <c r="AB17" s="14" t="s">
        <v>34</v>
      </c>
      <c r="AC17" s="18">
        <v>0.10730000000000001</v>
      </c>
      <c r="AD17" s="17">
        <f t="shared" si="40"/>
        <v>26.073900000000002</v>
      </c>
      <c r="AE17" s="15">
        <v>32</v>
      </c>
      <c r="AF17" s="3">
        <f t="shared" si="33"/>
        <v>834.36480000000006</v>
      </c>
    </row>
    <row r="18" spans="1:33" x14ac:dyDescent="0.25">
      <c r="A18" s="2">
        <v>17</v>
      </c>
      <c r="B18" s="3">
        <v>398</v>
      </c>
      <c r="C18" s="3" t="s">
        <v>125</v>
      </c>
      <c r="D18" s="34" t="s">
        <v>88</v>
      </c>
      <c r="E18" s="23" t="s">
        <v>53</v>
      </c>
      <c r="F18" s="2">
        <v>7145</v>
      </c>
      <c r="G18" s="3">
        <v>478</v>
      </c>
      <c r="H18" s="3">
        <v>63.92</v>
      </c>
      <c r="I18" s="17">
        <f t="shared" si="42"/>
        <v>30553.760000000002</v>
      </c>
      <c r="J18" s="18">
        <f>2.6*100*1250*7.85/1000000</f>
        <v>2.55125</v>
      </c>
      <c r="K18" s="19">
        <f t="shared" si="30"/>
        <v>187.35913767760903</v>
      </c>
      <c r="L18" s="3">
        <v>187</v>
      </c>
      <c r="M18" s="3">
        <v>187</v>
      </c>
      <c r="N18" s="8">
        <v>58</v>
      </c>
      <c r="O18" s="3">
        <v>1</v>
      </c>
      <c r="P18" s="3">
        <f t="shared" si="25"/>
        <v>10846</v>
      </c>
      <c r="Q18" s="3">
        <v>10846</v>
      </c>
      <c r="R18" s="3">
        <v>10846</v>
      </c>
      <c r="S18" s="9">
        <f t="shared" si="44"/>
        <v>0</v>
      </c>
      <c r="T18" s="3">
        <f t="shared" ref="T18:T22" si="45">P18-Q18</f>
        <v>0</v>
      </c>
      <c r="U18" s="10">
        <v>0.53</v>
      </c>
      <c r="V18" s="19">
        <f t="shared" si="36"/>
        <v>5748.38</v>
      </c>
      <c r="W18" s="11">
        <v>2.75</v>
      </c>
      <c r="X18" s="3">
        <f t="shared" ref="X18:X22" si="46">Q18*W18</f>
        <v>29826.5</v>
      </c>
      <c r="Y18" s="3">
        <f t="shared" si="38"/>
        <v>-727.26000000000204</v>
      </c>
      <c r="Z18" s="19">
        <f t="shared" si="39"/>
        <v>6214.1799999999976</v>
      </c>
      <c r="AA18" s="20">
        <f t="shared" si="43"/>
        <v>465.79999999999745</v>
      </c>
      <c r="AB18" s="21" t="s">
        <v>37</v>
      </c>
      <c r="AC18" s="18">
        <v>1.1599999999999999</v>
      </c>
      <c r="AD18" s="17">
        <f t="shared" si="40"/>
        <v>216.92</v>
      </c>
      <c r="AE18" s="15">
        <v>32</v>
      </c>
      <c r="AF18" s="3">
        <f t="shared" si="33"/>
        <v>6941.44</v>
      </c>
    </row>
    <row r="19" spans="1:33" x14ac:dyDescent="0.25">
      <c r="A19" s="2">
        <v>18</v>
      </c>
      <c r="B19" s="3">
        <v>1065</v>
      </c>
      <c r="C19" s="3" t="s">
        <v>125</v>
      </c>
      <c r="D19" s="34" t="s">
        <v>88</v>
      </c>
      <c r="E19" s="2" t="s">
        <v>33</v>
      </c>
      <c r="F19" s="4">
        <v>8200</v>
      </c>
      <c r="G19" s="2">
        <v>446</v>
      </c>
      <c r="H19" s="5">
        <v>73.5</v>
      </c>
      <c r="I19" s="5">
        <f t="shared" si="42"/>
        <v>32781</v>
      </c>
      <c r="J19" s="6">
        <f>1.6*78*1250*7.85/1000000</f>
        <v>1.2245999999999999</v>
      </c>
      <c r="K19" s="7">
        <f t="shared" si="30"/>
        <v>364.20055528335786</v>
      </c>
      <c r="L19" s="2">
        <v>364</v>
      </c>
      <c r="M19" s="2">
        <v>364</v>
      </c>
      <c r="N19" s="8">
        <v>60</v>
      </c>
      <c r="O19" s="2">
        <v>4</v>
      </c>
      <c r="P19" s="2">
        <f t="shared" si="25"/>
        <v>87360</v>
      </c>
      <c r="Q19" s="22">
        <v>87360</v>
      </c>
      <c r="R19" s="22">
        <v>87360</v>
      </c>
      <c r="S19" s="9">
        <f t="shared" si="44"/>
        <v>0</v>
      </c>
      <c r="T19" s="2">
        <f t="shared" si="45"/>
        <v>0</v>
      </c>
      <c r="U19" s="10">
        <v>0.1</v>
      </c>
      <c r="V19" s="7">
        <f t="shared" si="36"/>
        <v>8736</v>
      </c>
      <c r="W19" s="11">
        <v>0.39</v>
      </c>
      <c r="X19" s="2">
        <f t="shared" si="46"/>
        <v>34070.400000000001</v>
      </c>
      <c r="Y19" s="2">
        <f t="shared" si="38"/>
        <v>1289.4000000000015</v>
      </c>
      <c r="Z19" s="7">
        <f t="shared" si="39"/>
        <v>10176.824000000001</v>
      </c>
      <c r="AA19" s="20">
        <f t="shared" si="43"/>
        <v>1440.8240000000005</v>
      </c>
      <c r="AB19" s="21" t="s">
        <v>37</v>
      </c>
      <c r="AC19" s="18">
        <v>0.7629999999999999</v>
      </c>
      <c r="AD19" s="5">
        <f t="shared" si="40"/>
        <v>277.73199999999997</v>
      </c>
      <c r="AE19" s="15">
        <v>32</v>
      </c>
      <c r="AF19" s="2">
        <f t="shared" si="33"/>
        <v>8887.4239999999991</v>
      </c>
    </row>
    <row r="20" spans="1:33" x14ac:dyDescent="0.25">
      <c r="A20" s="2">
        <v>19</v>
      </c>
      <c r="B20" s="3">
        <v>1065</v>
      </c>
      <c r="C20" s="3" t="s">
        <v>125</v>
      </c>
      <c r="D20" s="34" t="s">
        <v>88</v>
      </c>
      <c r="E20" s="2" t="s">
        <v>33</v>
      </c>
      <c r="F20" s="4">
        <v>6086</v>
      </c>
      <c r="G20" s="2">
        <v>126</v>
      </c>
      <c r="H20" s="5">
        <v>73.5</v>
      </c>
      <c r="I20" s="5">
        <f t="shared" si="42"/>
        <v>9261</v>
      </c>
      <c r="J20" s="5">
        <f>1.6*66*1250*7.85/1000000</f>
        <v>1.0362</v>
      </c>
      <c r="K20" s="7">
        <f t="shared" si="30"/>
        <v>121.59814707585409</v>
      </c>
      <c r="L20" s="2">
        <v>122</v>
      </c>
      <c r="M20" s="2">
        <v>122</v>
      </c>
      <c r="N20" s="8">
        <v>42</v>
      </c>
      <c r="O20" s="2">
        <v>2</v>
      </c>
      <c r="P20" s="2">
        <f t="shared" si="25"/>
        <v>10248</v>
      </c>
      <c r="Q20" s="22">
        <v>10248</v>
      </c>
      <c r="R20" s="22">
        <v>10248</v>
      </c>
      <c r="S20" s="9">
        <f t="shared" si="44"/>
        <v>0</v>
      </c>
      <c r="T20" s="2">
        <f t="shared" si="45"/>
        <v>0</v>
      </c>
      <c r="U20" s="10">
        <v>0.2</v>
      </c>
      <c r="V20" s="7">
        <f t="shared" si="36"/>
        <v>2049.6</v>
      </c>
      <c r="W20" s="11">
        <v>0.89</v>
      </c>
      <c r="X20" s="2">
        <f t="shared" si="46"/>
        <v>9120.7199999999993</v>
      </c>
      <c r="Y20" s="2">
        <f t="shared" si="38"/>
        <v>-140.28000000000065</v>
      </c>
      <c r="Z20" s="7">
        <f t="shared" si="39"/>
        <v>2641.710399999999</v>
      </c>
      <c r="AA20" s="20">
        <f t="shared" si="43"/>
        <v>592.11039999999912</v>
      </c>
      <c r="AB20" s="21" t="s">
        <v>37</v>
      </c>
      <c r="AC20" s="18">
        <v>0.7125999999999999</v>
      </c>
      <c r="AD20" s="5">
        <f t="shared" si="40"/>
        <v>86.93719999999999</v>
      </c>
      <c r="AE20" s="15">
        <v>32</v>
      </c>
      <c r="AF20" s="2">
        <f t="shared" si="33"/>
        <v>2781.9903999999997</v>
      </c>
    </row>
    <row r="21" spans="1:33" x14ac:dyDescent="0.25">
      <c r="A21" s="2">
        <v>20</v>
      </c>
      <c r="B21" s="3">
        <v>1065</v>
      </c>
      <c r="C21" s="3" t="s">
        <v>125</v>
      </c>
      <c r="D21" s="34" t="s">
        <v>88</v>
      </c>
      <c r="E21" s="58" t="s">
        <v>103</v>
      </c>
      <c r="F21" s="58" t="s">
        <v>81</v>
      </c>
      <c r="G21" s="2">
        <v>675</v>
      </c>
      <c r="H21" s="47">
        <v>63.92</v>
      </c>
      <c r="I21" s="48">
        <f t="shared" si="42"/>
        <v>43146</v>
      </c>
      <c r="J21" s="6">
        <f>2.3*105*1250*7.85/1000000</f>
        <v>2.3697187499999997</v>
      </c>
      <c r="K21" s="57">
        <f t="shared" si="30"/>
        <v>284.84392926375762</v>
      </c>
      <c r="L21" s="34">
        <v>285</v>
      </c>
      <c r="M21" s="34">
        <v>285</v>
      </c>
      <c r="N21" s="8">
        <v>20</v>
      </c>
      <c r="O21" s="2">
        <v>1</v>
      </c>
      <c r="P21" s="2">
        <f t="shared" si="25"/>
        <v>5700</v>
      </c>
      <c r="Q21" s="22">
        <v>5700</v>
      </c>
      <c r="R21" s="22">
        <v>5700</v>
      </c>
      <c r="S21" s="9">
        <f t="shared" si="44"/>
        <v>0</v>
      </c>
      <c r="T21" s="2">
        <f t="shared" si="45"/>
        <v>0</v>
      </c>
      <c r="U21" s="10">
        <v>0.8</v>
      </c>
      <c r="V21" s="7">
        <f t="shared" si="36"/>
        <v>4560</v>
      </c>
      <c r="W21" s="11">
        <v>6.95</v>
      </c>
      <c r="X21" s="2">
        <f t="shared" si="46"/>
        <v>39615</v>
      </c>
      <c r="Y21" s="2">
        <f t="shared" si="38"/>
        <v>-3531</v>
      </c>
      <c r="Z21" s="7">
        <f t="shared" si="39"/>
        <v>5589</v>
      </c>
      <c r="AA21" s="20">
        <f t="shared" si="43"/>
        <v>1029</v>
      </c>
      <c r="AB21" s="21" t="s">
        <v>37</v>
      </c>
      <c r="AC21" s="6">
        <v>1</v>
      </c>
      <c r="AD21" s="5">
        <f t="shared" si="40"/>
        <v>285</v>
      </c>
      <c r="AE21" s="15">
        <v>32</v>
      </c>
      <c r="AF21" s="2">
        <f t="shared" si="33"/>
        <v>9120</v>
      </c>
      <c r="AG21" t="s">
        <v>127</v>
      </c>
    </row>
    <row r="22" spans="1:33" x14ac:dyDescent="0.25">
      <c r="A22" s="2">
        <v>21</v>
      </c>
      <c r="B22" s="3">
        <v>1108</v>
      </c>
      <c r="C22" s="3" t="s">
        <v>128</v>
      </c>
      <c r="D22" s="34" t="s">
        <v>88</v>
      </c>
      <c r="E22" s="2" t="s">
        <v>74</v>
      </c>
      <c r="F22" s="2" t="s">
        <v>75</v>
      </c>
      <c r="G22" s="58">
        <v>506</v>
      </c>
      <c r="H22" s="3">
        <v>68.92</v>
      </c>
      <c r="I22" s="5">
        <f t="shared" si="42"/>
        <v>34873.520000000004</v>
      </c>
      <c r="J22" s="6">
        <f>2*57*1250*7.85/1000000</f>
        <v>1.118625</v>
      </c>
      <c r="K22" s="60">
        <f t="shared" si="30"/>
        <v>452.34104369203266</v>
      </c>
      <c r="L22" s="58">
        <v>452</v>
      </c>
      <c r="M22" s="58">
        <v>452</v>
      </c>
      <c r="N22" s="8">
        <v>17</v>
      </c>
      <c r="O22" s="2">
        <v>1</v>
      </c>
      <c r="P22" s="2">
        <f t="shared" si="25"/>
        <v>7684</v>
      </c>
      <c r="Q22" s="22">
        <v>7684</v>
      </c>
      <c r="R22" s="22">
        <v>7684</v>
      </c>
      <c r="S22" s="9">
        <f t="shared" si="44"/>
        <v>0</v>
      </c>
      <c r="T22" s="2">
        <f t="shared" si="45"/>
        <v>0</v>
      </c>
      <c r="U22" s="10">
        <v>1.1000000000000001</v>
      </c>
      <c r="V22" s="7">
        <f t="shared" si="36"/>
        <v>8452.4000000000015</v>
      </c>
      <c r="W22" s="11">
        <v>4.8899999999999997</v>
      </c>
      <c r="X22" s="2">
        <f t="shared" si="46"/>
        <v>37574.759999999995</v>
      </c>
      <c r="Y22" s="2">
        <f t="shared" si="38"/>
        <v>2701.2399999999907</v>
      </c>
      <c r="Z22" s="7">
        <f t="shared" si="39"/>
        <v>9933.2399999999907</v>
      </c>
      <c r="AA22" s="20">
        <f>Z22-V22</f>
        <v>1480.8399999999892</v>
      </c>
      <c r="AB22" s="21" t="s">
        <v>37</v>
      </c>
      <c r="AC22" s="6">
        <v>0.5</v>
      </c>
      <c r="AD22" s="5">
        <f t="shared" si="40"/>
        <v>226</v>
      </c>
      <c r="AE22" s="15">
        <v>32</v>
      </c>
      <c r="AF22" s="2">
        <f t="shared" si="33"/>
        <v>7232</v>
      </c>
    </row>
    <row r="23" spans="1:33" x14ac:dyDescent="0.25">
      <c r="A23" s="2">
        <v>22</v>
      </c>
      <c r="B23" s="3">
        <v>1108</v>
      </c>
      <c r="C23" s="3" t="s">
        <v>128</v>
      </c>
      <c r="D23" s="34" t="s">
        <v>88</v>
      </c>
      <c r="E23" s="2" t="s">
        <v>74</v>
      </c>
      <c r="F23" s="4" t="s">
        <v>76</v>
      </c>
      <c r="G23" s="58">
        <v>610</v>
      </c>
      <c r="H23" s="2">
        <v>68.92</v>
      </c>
      <c r="I23" s="5">
        <f t="shared" ref="I23" si="47">G23*H23</f>
        <v>42041.200000000004</v>
      </c>
      <c r="J23" s="6">
        <f>2.3*57*1250*7.85/1000000</f>
        <v>1.2864187499999999</v>
      </c>
      <c r="K23" s="60">
        <f t="shared" ref="K23" si="48">G23/J23</f>
        <v>474.18463078216172</v>
      </c>
      <c r="L23" s="58">
        <v>474</v>
      </c>
      <c r="M23" s="58">
        <v>474</v>
      </c>
      <c r="N23" s="8">
        <v>31</v>
      </c>
      <c r="O23" s="2">
        <v>1</v>
      </c>
      <c r="P23" s="2">
        <f t="shared" ref="P23" si="49">M23*N23*O23</f>
        <v>14694</v>
      </c>
      <c r="Q23" s="2">
        <v>14694</v>
      </c>
      <c r="R23" s="2">
        <v>14694</v>
      </c>
      <c r="S23" s="9">
        <f t="shared" ref="S23:S24" si="50">Q23-R23</f>
        <v>0</v>
      </c>
      <c r="T23" s="2">
        <f t="shared" ref="T23:T24" si="51">P23-Q23</f>
        <v>0</v>
      </c>
      <c r="U23" s="10">
        <v>1.1000000000000001</v>
      </c>
      <c r="V23" s="7">
        <f t="shared" ref="V23" si="52">Q23*U23</f>
        <v>16163.400000000001</v>
      </c>
      <c r="W23" s="11">
        <v>3.41</v>
      </c>
      <c r="X23" s="2">
        <f t="shared" ref="X23:X24" si="53">Q23*W23</f>
        <v>50106.54</v>
      </c>
      <c r="Y23" s="2">
        <f t="shared" ref="Y23:Y24" si="54">X23-I23</f>
        <v>8065.3399999999965</v>
      </c>
      <c r="Z23" s="7">
        <f t="shared" ref="Z23:Z24" si="55">AF23+Y23</f>
        <v>17166.139999999996</v>
      </c>
      <c r="AA23" s="20">
        <f t="shared" ref="AA23:AA24" si="56">Z23-V23</f>
        <v>1002.7399999999943</v>
      </c>
      <c r="AB23" s="21" t="s">
        <v>37</v>
      </c>
      <c r="AC23" s="6">
        <v>0.6</v>
      </c>
      <c r="AD23" s="5">
        <f t="shared" ref="AD23" si="57">M23*AC23</f>
        <v>284.39999999999998</v>
      </c>
      <c r="AE23" s="15">
        <v>32</v>
      </c>
      <c r="AF23" s="2">
        <f t="shared" ref="AF23" si="58">AD23*AE23</f>
        <v>9100.7999999999993</v>
      </c>
    </row>
    <row r="24" spans="1:33" x14ac:dyDescent="0.25">
      <c r="A24" s="2">
        <v>23</v>
      </c>
      <c r="B24" s="3">
        <v>1172</v>
      </c>
      <c r="C24" s="3" t="s">
        <v>129</v>
      </c>
      <c r="D24" s="34" t="s">
        <v>88</v>
      </c>
      <c r="E24" s="29" t="s">
        <v>44</v>
      </c>
      <c r="F24" s="3">
        <v>8283</v>
      </c>
      <c r="G24" s="3">
        <v>2860</v>
      </c>
      <c r="H24" s="2">
        <v>2.68</v>
      </c>
      <c r="I24" s="17">
        <f>G24*H24</f>
        <v>7664.8</v>
      </c>
      <c r="J24" s="3">
        <v>0</v>
      </c>
      <c r="K24" s="3">
        <v>0</v>
      </c>
      <c r="L24" s="3">
        <v>0</v>
      </c>
      <c r="M24" s="3">
        <f>G24</f>
        <v>2860</v>
      </c>
      <c r="N24" s="8">
        <v>1</v>
      </c>
      <c r="O24" s="3">
        <v>1</v>
      </c>
      <c r="P24" s="3">
        <f>M24</f>
        <v>2860</v>
      </c>
      <c r="Q24" s="3">
        <f t="shared" ref="Q24:R24" si="59">P24</f>
        <v>2860</v>
      </c>
      <c r="R24" s="3">
        <f t="shared" si="59"/>
        <v>2860</v>
      </c>
      <c r="S24" s="9">
        <f t="shared" si="50"/>
        <v>0</v>
      </c>
      <c r="T24" s="3">
        <f t="shared" si="51"/>
        <v>0</v>
      </c>
      <c r="U24" s="10">
        <v>0.53</v>
      </c>
      <c r="V24" s="19">
        <f>Q24*U24</f>
        <v>1515.8000000000002</v>
      </c>
      <c r="W24" s="11">
        <v>3.25</v>
      </c>
      <c r="X24" s="3">
        <f t="shared" si="53"/>
        <v>9295</v>
      </c>
      <c r="Y24" s="3">
        <f t="shared" si="54"/>
        <v>1630.1999999999998</v>
      </c>
      <c r="Z24" s="19">
        <f t="shared" si="55"/>
        <v>1630.1999999999998</v>
      </c>
      <c r="AA24" s="20">
        <f t="shared" si="56"/>
        <v>114.39999999999964</v>
      </c>
      <c r="AB24" s="21" t="s">
        <v>37</v>
      </c>
      <c r="AC24" s="18">
        <v>0</v>
      </c>
      <c r="AD24" s="3">
        <f>M24*AC24</f>
        <v>0</v>
      </c>
      <c r="AE24" s="15"/>
      <c r="AF24" s="3">
        <f>AD24*AE24</f>
        <v>0</v>
      </c>
    </row>
    <row r="25" spans="1:33" x14ac:dyDescent="0.25">
      <c r="A25" s="2">
        <v>24</v>
      </c>
      <c r="B25" s="3">
        <v>1202</v>
      </c>
      <c r="C25" s="3" t="s">
        <v>129</v>
      </c>
      <c r="D25" s="34" t="s">
        <v>88</v>
      </c>
      <c r="E25" s="29" t="s">
        <v>44</v>
      </c>
      <c r="F25" s="3">
        <v>8283</v>
      </c>
      <c r="G25" s="3">
        <v>7440</v>
      </c>
      <c r="H25" s="2">
        <v>2.68</v>
      </c>
      <c r="I25" s="17">
        <f>G25*H25</f>
        <v>19939.2</v>
      </c>
      <c r="J25" s="3">
        <v>0</v>
      </c>
      <c r="K25" s="3">
        <v>0</v>
      </c>
      <c r="L25" s="3">
        <v>0</v>
      </c>
      <c r="M25" s="3">
        <f>G25</f>
        <v>7440</v>
      </c>
      <c r="N25" s="8">
        <v>1</v>
      </c>
      <c r="O25" s="3">
        <v>1</v>
      </c>
      <c r="P25" s="3">
        <f>M25</f>
        <v>7440</v>
      </c>
      <c r="Q25" s="3">
        <f t="shared" ref="Q25" si="60">P25</f>
        <v>7440</v>
      </c>
      <c r="R25" s="3">
        <f t="shared" ref="R25" si="61">Q25</f>
        <v>7440</v>
      </c>
      <c r="S25" s="9">
        <f t="shared" ref="S25" si="62">Q25-R25</f>
        <v>0</v>
      </c>
      <c r="T25" s="3">
        <f t="shared" ref="T25" si="63">P25-Q25</f>
        <v>0</v>
      </c>
      <c r="U25" s="10">
        <v>0.53</v>
      </c>
      <c r="V25" s="19">
        <f>Q25*U25</f>
        <v>3943.2000000000003</v>
      </c>
      <c r="W25" s="11">
        <v>3.25</v>
      </c>
      <c r="X25" s="3">
        <f t="shared" ref="X25" si="64">Q25*W25</f>
        <v>24180</v>
      </c>
      <c r="Y25" s="3">
        <f t="shared" ref="Y25:Y33" si="65">X25-I25</f>
        <v>4240.7999999999993</v>
      </c>
      <c r="Z25" s="19">
        <f t="shared" ref="Z25:Z28" si="66">AF25+Y25</f>
        <v>4240.7999999999993</v>
      </c>
      <c r="AA25" s="20">
        <f t="shared" ref="AA25:AA27" si="67">Z25-V25</f>
        <v>297.599999999999</v>
      </c>
      <c r="AB25" s="21" t="s">
        <v>37</v>
      </c>
      <c r="AC25" s="18">
        <v>0</v>
      </c>
      <c r="AD25" s="3">
        <f>M25*AC25</f>
        <v>0</v>
      </c>
      <c r="AE25" s="15"/>
      <c r="AF25" s="3">
        <f>AD25*AE25</f>
        <v>0</v>
      </c>
    </row>
    <row r="26" spans="1:33" x14ac:dyDescent="0.25">
      <c r="A26" s="2">
        <v>25</v>
      </c>
      <c r="B26" s="3">
        <v>410</v>
      </c>
      <c r="C26" s="3" t="s">
        <v>130</v>
      </c>
      <c r="D26" s="46" t="s">
        <v>39</v>
      </c>
      <c r="E26" s="23" t="s">
        <v>48</v>
      </c>
      <c r="F26" s="24">
        <v>7479</v>
      </c>
      <c r="G26" s="3">
        <v>306</v>
      </c>
      <c r="H26" s="3">
        <v>73.92</v>
      </c>
      <c r="I26" s="17">
        <f t="shared" ref="I26:I32" si="68">G26*H26</f>
        <v>22619.52</v>
      </c>
      <c r="J26" s="18">
        <f>1.6*39*1250*7.85/1000000</f>
        <v>0.61229999999999996</v>
      </c>
      <c r="K26" s="19">
        <f t="shared" ref="K26:K28" si="69">G26/J26</f>
        <v>499.75502204801569</v>
      </c>
      <c r="L26" s="19">
        <v>500</v>
      </c>
      <c r="M26" s="19">
        <v>500</v>
      </c>
      <c r="N26" s="8">
        <v>80</v>
      </c>
      <c r="O26" s="3">
        <v>1</v>
      </c>
      <c r="P26" s="3">
        <f t="shared" ref="P26:P32" si="70">M26*N26*O26</f>
        <v>40000</v>
      </c>
      <c r="Q26" s="3">
        <v>40000</v>
      </c>
      <c r="R26" s="3">
        <v>40000</v>
      </c>
      <c r="S26" s="9">
        <f>Q26-R26</f>
        <v>0</v>
      </c>
      <c r="T26" s="3">
        <f>P26-Q26</f>
        <v>0</v>
      </c>
      <c r="U26" s="10">
        <v>0.55000000000000004</v>
      </c>
      <c r="V26" s="19">
        <f t="shared" ref="V26:V30" si="71">Q26*U26</f>
        <v>22000</v>
      </c>
      <c r="W26" s="11">
        <v>1.07</v>
      </c>
      <c r="X26" s="3">
        <f>Q26*W26</f>
        <v>42800</v>
      </c>
      <c r="Y26" s="3">
        <f t="shared" si="65"/>
        <v>20180.48</v>
      </c>
      <c r="Z26" s="19">
        <f t="shared" si="66"/>
        <v>22580.48</v>
      </c>
      <c r="AA26" s="20">
        <f t="shared" si="67"/>
        <v>580.47999999999956</v>
      </c>
      <c r="AB26" s="21" t="s">
        <v>37</v>
      </c>
      <c r="AC26" s="18">
        <v>0.15</v>
      </c>
      <c r="AD26" s="17">
        <f t="shared" ref="AD26:AD33" si="72">M26*AC26</f>
        <v>75</v>
      </c>
      <c r="AE26" s="15">
        <v>32</v>
      </c>
      <c r="AF26" s="3">
        <f t="shared" ref="AF26:AF28" si="73">AD26*AE26</f>
        <v>2400</v>
      </c>
    </row>
    <row r="27" spans="1:33" x14ac:dyDescent="0.25">
      <c r="A27" s="2">
        <v>26</v>
      </c>
      <c r="B27" s="3">
        <v>1209</v>
      </c>
      <c r="C27" s="3" t="s">
        <v>130</v>
      </c>
      <c r="D27" s="34" t="s">
        <v>88</v>
      </c>
      <c r="E27" s="2" t="s">
        <v>90</v>
      </c>
      <c r="F27" s="4" t="s">
        <v>91</v>
      </c>
      <c r="G27" s="2">
        <v>236</v>
      </c>
      <c r="H27" s="3">
        <v>73.92</v>
      </c>
      <c r="I27" s="5">
        <f t="shared" si="68"/>
        <v>17445.12</v>
      </c>
      <c r="J27" s="6">
        <f>1.6*32*1250*7.85/1000000</f>
        <v>0.50239999999999996</v>
      </c>
      <c r="K27" s="7">
        <f t="shared" si="69"/>
        <v>469.74522292993635</v>
      </c>
      <c r="L27" s="2">
        <v>470</v>
      </c>
      <c r="M27" s="2">
        <v>470</v>
      </c>
      <c r="N27" s="8">
        <v>45</v>
      </c>
      <c r="O27" s="2">
        <v>1</v>
      </c>
      <c r="P27" s="2">
        <f t="shared" si="70"/>
        <v>21150</v>
      </c>
      <c r="Q27" s="22">
        <v>21150</v>
      </c>
      <c r="R27" s="22">
        <v>21150</v>
      </c>
      <c r="S27" s="9">
        <f t="shared" ref="S27:S34" si="74">Q27-R27</f>
        <v>0</v>
      </c>
      <c r="T27" s="2">
        <f t="shared" ref="T27:T34" si="75">P27-Q27</f>
        <v>0</v>
      </c>
      <c r="U27" s="10">
        <v>0.6</v>
      </c>
      <c r="V27" s="7">
        <f t="shared" si="71"/>
        <v>12690</v>
      </c>
      <c r="W27" s="11">
        <v>2.9</v>
      </c>
      <c r="X27" s="2">
        <f t="shared" ref="X27:X34" si="76">Q27*W27</f>
        <v>61335</v>
      </c>
      <c r="Y27" s="2">
        <f t="shared" si="65"/>
        <v>43889.880000000005</v>
      </c>
      <c r="Z27" s="7">
        <f t="shared" si="66"/>
        <v>49012.880000000005</v>
      </c>
      <c r="AA27" s="61">
        <f t="shared" si="67"/>
        <v>36322.880000000005</v>
      </c>
      <c r="AB27" s="21" t="s">
        <v>37</v>
      </c>
      <c r="AC27" s="18">
        <v>0.34062500000000001</v>
      </c>
      <c r="AD27" s="17">
        <f t="shared" si="72"/>
        <v>160.09375</v>
      </c>
      <c r="AE27" s="15">
        <v>32</v>
      </c>
      <c r="AF27" s="2">
        <f t="shared" si="73"/>
        <v>5123</v>
      </c>
    </row>
    <row r="28" spans="1:33" x14ac:dyDescent="0.25">
      <c r="A28" s="2">
        <v>27</v>
      </c>
      <c r="B28" s="3">
        <v>1209</v>
      </c>
      <c r="C28" s="3" t="s">
        <v>130</v>
      </c>
      <c r="D28" s="34" t="s">
        <v>88</v>
      </c>
      <c r="E28" s="2" t="s">
        <v>74</v>
      </c>
      <c r="F28" s="33" t="s">
        <v>97</v>
      </c>
      <c r="G28" s="2">
        <v>480</v>
      </c>
      <c r="H28" s="2">
        <v>64.92</v>
      </c>
      <c r="I28" s="5">
        <f t="shared" si="68"/>
        <v>31161.600000000002</v>
      </c>
      <c r="J28" s="6">
        <f>2.6*89*1250*7.85/1000000</f>
        <v>2.2706124999999999</v>
      </c>
      <c r="K28" s="7">
        <f t="shared" si="69"/>
        <v>211.39670463366164</v>
      </c>
      <c r="L28" s="2">
        <v>211</v>
      </c>
      <c r="M28" s="2">
        <v>211</v>
      </c>
      <c r="N28" s="8">
        <v>28</v>
      </c>
      <c r="O28" s="2">
        <v>1</v>
      </c>
      <c r="P28" s="2">
        <f t="shared" si="70"/>
        <v>5908</v>
      </c>
      <c r="Q28" s="2">
        <f>P28</f>
        <v>5908</v>
      </c>
      <c r="R28" s="2">
        <f>Q28</f>
        <v>5908</v>
      </c>
      <c r="S28" s="9">
        <f t="shared" si="74"/>
        <v>0</v>
      </c>
      <c r="T28" s="2">
        <f t="shared" si="75"/>
        <v>0</v>
      </c>
      <c r="U28" s="10">
        <v>1.3</v>
      </c>
      <c r="V28" s="7">
        <f t="shared" si="71"/>
        <v>7680.4000000000005</v>
      </c>
      <c r="W28" s="11">
        <v>5.96</v>
      </c>
      <c r="X28" s="2">
        <f t="shared" si="76"/>
        <v>35211.68</v>
      </c>
      <c r="Y28" s="2">
        <f t="shared" si="65"/>
        <v>4050.0799999999981</v>
      </c>
      <c r="Z28" s="7">
        <f t="shared" si="66"/>
        <v>10684.679599999996</v>
      </c>
      <c r="AA28" s="20">
        <f>Z28-V28</f>
        <v>3004.2795999999953</v>
      </c>
      <c r="AB28" s="21" t="s">
        <v>37</v>
      </c>
      <c r="AC28" s="18">
        <v>0.98261249999999978</v>
      </c>
      <c r="AD28" s="5">
        <f t="shared" si="72"/>
        <v>207.33123749999996</v>
      </c>
      <c r="AE28" s="15">
        <v>32</v>
      </c>
      <c r="AF28" s="2">
        <f t="shared" si="73"/>
        <v>6634.5995999999986</v>
      </c>
    </row>
    <row r="29" spans="1:33" x14ac:dyDescent="0.25">
      <c r="A29" s="2">
        <v>28</v>
      </c>
      <c r="B29" s="3">
        <v>1209</v>
      </c>
      <c r="C29" s="3" t="s">
        <v>130</v>
      </c>
      <c r="D29" s="34" t="s">
        <v>88</v>
      </c>
      <c r="E29" s="3" t="s">
        <v>33</v>
      </c>
      <c r="F29" s="24" t="s">
        <v>54</v>
      </c>
      <c r="G29" s="3">
        <v>304</v>
      </c>
      <c r="H29" s="3">
        <v>73.92</v>
      </c>
      <c r="I29" s="17">
        <f t="shared" si="68"/>
        <v>22471.68</v>
      </c>
      <c r="J29" s="18">
        <f>1.6*72*1250*7.85/1000000</f>
        <v>1.1304000000000001</v>
      </c>
      <c r="K29" s="19">
        <f>G29/J29</f>
        <v>268.93135173389948</v>
      </c>
      <c r="L29" s="3">
        <v>269</v>
      </c>
      <c r="M29" s="3">
        <v>269</v>
      </c>
      <c r="N29" s="8">
        <v>64</v>
      </c>
      <c r="O29" s="3">
        <v>4</v>
      </c>
      <c r="P29" s="3">
        <f t="shared" si="70"/>
        <v>68864</v>
      </c>
      <c r="Q29" s="3">
        <v>68864</v>
      </c>
      <c r="R29" s="3">
        <v>68864</v>
      </c>
      <c r="S29" s="9">
        <f t="shared" si="74"/>
        <v>0</v>
      </c>
      <c r="T29" s="3">
        <f t="shared" si="75"/>
        <v>0</v>
      </c>
      <c r="U29" s="10">
        <v>0.08</v>
      </c>
      <c r="V29" s="19">
        <f t="shared" si="71"/>
        <v>5509.12</v>
      </c>
      <c r="W29" s="11">
        <v>0.36</v>
      </c>
      <c r="X29" s="19">
        <f t="shared" si="76"/>
        <v>24791.040000000001</v>
      </c>
      <c r="Y29" s="17">
        <f t="shared" si="65"/>
        <v>2319.3600000000006</v>
      </c>
      <c r="Z29" s="19">
        <f>AF29+Y29</f>
        <v>5332.16</v>
      </c>
      <c r="AA29" s="13">
        <f t="shared" ref="AA29" si="77">Z29-V29</f>
        <v>-176.96000000000004</v>
      </c>
      <c r="AB29" s="14" t="s">
        <v>34</v>
      </c>
      <c r="AC29" s="18">
        <v>0.35</v>
      </c>
      <c r="AD29" s="17">
        <f t="shared" si="72"/>
        <v>94.149999999999991</v>
      </c>
      <c r="AE29" s="15">
        <v>32</v>
      </c>
      <c r="AF29" s="3">
        <f>AD29*AE29</f>
        <v>3012.7999999999997</v>
      </c>
    </row>
    <row r="30" spans="1:33" x14ac:dyDescent="0.25">
      <c r="A30" s="2">
        <v>29</v>
      </c>
      <c r="B30" s="3">
        <v>1019</v>
      </c>
      <c r="C30" s="3" t="s">
        <v>130</v>
      </c>
      <c r="D30" s="34" t="s">
        <v>88</v>
      </c>
      <c r="E30" s="30" t="s">
        <v>105</v>
      </c>
      <c r="F30" s="4" t="s">
        <v>96</v>
      </c>
      <c r="G30" s="2">
        <v>484</v>
      </c>
      <c r="H30" s="2">
        <v>68.92</v>
      </c>
      <c r="I30" s="5">
        <f t="shared" si="68"/>
        <v>33357.279999999999</v>
      </c>
      <c r="J30" s="6">
        <f>2*79*1250*7.85/1000000</f>
        <v>1.5503750000000001</v>
      </c>
      <c r="K30" s="7">
        <f t="shared" ref="K30:K32" si="78">G30/J30</f>
        <v>312.18253648310889</v>
      </c>
      <c r="L30" s="2">
        <v>312</v>
      </c>
      <c r="M30" s="2">
        <v>312</v>
      </c>
      <c r="N30" s="8">
        <v>30</v>
      </c>
      <c r="O30" s="2">
        <v>1</v>
      </c>
      <c r="P30" s="2">
        <f t="shared" si="70"/>
        <v>9360</v>
      </c>
      <c r="Q30" s="22">
        <v>9360</v>
      </c>
      <c r="R30" s="22">
        <v>9360</v>
      </c>
      <c r="S30" s="9">
        <f t="shared" si="74"/>
        <v>0</v>
      </c>
      <c r="T30" s="2">
        <f t="shared" si="75"/>
        <v>0</v>
      </c>
      <c r="U30" s="10">
        <v>0.8</v>
      </c>
      <c r="V30" s="7">
        <f t="shared" si="71"/>
        <v>7488</v>
      </c>
      <c r="W30" s="11">
        <v>3.75</v>
      </c>
      <c r="X30" s="2">
        <f t="shared" si="76"/>
        <v>35100</v>
      </c>
      <c r="Y30" s="2">
        <f t="shared" si="65"/>
        <v>1742.7200000000012</v>
      </c>
      <c r="Z30" s="7">
        <f t="shared" ref="Z30:Z34" si="79">AF30+Y30</f>
        <v>9434.1440000000039</v>
      </c>
      <c r="AA30" s="20">
        <f>Z30-V30</f>
        <v>1946.1440000000039</v>
      </c>
      <c r="AB30" s="21" t="s">
        <v>37</v>
      </c>
      <c r="AC30" s="18">
        <v>0.77037500000000014</v>
      </c>
      <c r="AD30" s="5">
        <f t="shared" si="72"/>
        <v>240.35700000000006</v>
      </c>
      <c r="AE30" s="15">
        <v>32</v>
      </c>
      <c r="AF30" s="2">
        <f t="shared" ref="AF30:AF33" si="80">AD30*AE30</f>
        <v>7691.4240000000018</v>
      </c>
    </row>
    <row r="31" spans="1:33" x14ac:dyDescent="0.25">
      <c r="A31" s="2">
        <v>30</v>
      </c>
      <c r="B31" s="3">
        <v>1285</v>
      </c>
      <c r="C31" s="3" t="s">
        <v>131</v>
      </c>
      <c r="D31" s="34" t="s">
        <v>88</v>
      </c>
      <c r="E31" s="2" t="s">
        <v>112</v>
      </c>
      <c r="F31" s="4" t="s">
        <v>113</v>
      </c>
      <c r="G31" s="2">
        <v>488</v>
      </c>
      <c r="H31" s="2">
        <v>63.92</v>
      </c>
      <c r="I31" s="5">
        <f t="shared" si="68"/>
        <v>31192.959999999999</v>
      </c>
      <c r="J31" s="6">
        <f>2*160*1250*7.85/1000000</f>
        <v>3.14</v>
      </c>
      <c r="K31" s="7">
        <f t="shared" si="78"/>
        <v>155.4140127388535</v>
      </c>
      <c r="L31" s="2">
        <v>155</v>
      </c>
      <c r="M31" s="2">
        <v>155</v>
      </c>
      <c r="N31" s="8">
        <v>41</v>
      </c>
      <c r="O31" s="2">
        <v>2</v>
      </c>
      <c r="P31" s="2">
        <f t="shared" si="70"/>
        <v>12710</v>
      </c>
      <c r="Q31" s="22">
        <v>12710</v>
      </c>
      <c r="R31" s="22">
        <v>12710</v>
      </c>
      <c r="S31" s="9">
        <f t="shared" si="74"/>
        <v>0</v>
      </c>
      <c r="T31" s="2">
        <f t="shared" si="75"/>
        <v>0</v>
      </c>
      <c r="U31" s="10">
        <v>0.4</v>
      </c>
      <c r="V31" s="7">
        <f>Q31*U31</f>
        <v>5084</v>
      </c>
      <c r="W31" s="11">
        <v>2.81</v>
      </c>
      <c r="X31" s="2">
        <f t="shared" si="76"/>
        <v>35715.1</v>
      </c>
      <c r="Y31" s="2">
        <f t="shared" si="65"/>
        <v>4522.1399999999994</v>
      </c>
      <c r="Z31" s="7">
        <f t="shared" si="79"/>
        <v>7894.94</v>
      </c>
      <c r="AA31" s="20">
        <f>Z31-V31</f>
        <v>2810.9399999999996</v>
      </c>
      <c r="AB31" s="21" t="s">
        <v>37</v>
      </c>
      <c r="AC31" s="6">
        <v>0.68</v>
      </c>
      <c r="AD31" s="5">
        <f t="shared" si="72"/>
        <v>105.4</v>
      </c>
      <c r="AE31" s="15">
        <v>32</v>
      </c>
      <c r="AF31" s="2">
        <f t="shared" si="80"/>
        <v>3372.8</v>
      </c>
    </row>
    <row r="32" spans="1:33" x14ac:dyDescent="0.25">
      <c r="A32" s="2">
        <v>31</v>
      </c>
      <c r="B32" s="3">
        <v>1317</v>
      </c>
      <c r="C32" s="3" t="s">
        <v>132</v>
      </c>
      <c r="D32" s="34" t="s">
        <v>88</v>
      </c>
      <c r="E32" s="2" t="s">
        <v>92</v>
      </c>
      <c r="F32" s="4" t="s">
        <v>93</v>
      </c>
      <c r="G32" s="2">
        <v>670</v>
      </c>
      <c r="H32" s="2">
        <v>63.92</v>
      </c>
      <c r="I32" s="5">
        <f t="shared" si="68"/>
        <v>42826.400000000001</v>
      </c>
      <c r="J32" s="6">
        <f>2*142*1250*7.85/1000000</f>
        <v>2.7867500000000001</v>
      </c>
      <c r="K32" s="7">
        <f t="shared" si="78"/>
        <v>240.42343231362699</v>
      </c>
      <c r="L32" s="2">
        <v>240</v>
      </c>
      <c r="M32" s="2">
        <v>240</v>
      </c>
      <c r="N32" s="8">
        <v>35</v>
      </c>
      <c r="O32" s="2">
        <v>1</v>
      </c>
      <c r="P32" s="2">
        <f t="shared" si="70"/>
        <v>8400</v>
      </c>
      <c r="Q32" s="22">
        <v>8400</v>
      </c>
      <c r="R32" s="22">
        <v>8400</v>
      </c>
      <c r="S32" s="9">
        <f t="shared" si="74"/>
        <v>0</v>
      </c>
      <c r="T32" s="2">
        <f t="shared" si="75"/>
        <v>0</v>
      </c>
      <c r="U32" s="10">
        <v>0.8</v>
      </c>
      <c r="V32" s="7">
        <f t="shared" ref="V32:V33" si="81">Q32*U32</f>
        <v>6720</v>
      </c>
      <c r="W32" s="11">
        <v>5.55</v>
      </c>
      <c r="X32" s="2">
        <f t="shared" si="76"/>
        <v>46620</v>
      </c>
      <c r="Y32" s="2">
        <f t="shared" si="65"/>
        <v>3793.5999999999985</v>
      </c>
      <c r="Z32" s="7">
        <f t="shared" si="79"/>
        <v>9016</v>
      </c>
      <c r="AA32" s="20">
        <f>Z32-V32</f>
        <v>2296</v>
      </c>
      <c r="AB32" s="21" t="s">
        <v>37</v>
      </c>
      <c r="AC32" s="6">
        <v>0.68</v>
      </c>
      <c r="AD32" s="5">
        <f t="shared" si="72"/>
        <v>163.20000000000002</v>
      </c>
      <c r="AE32" s="15">
        <v>32</v>
      </c>
      <c r="AF32" s="2">
        <f t="shared" si="80"/>
        <v>5222.4000000000005</v>
      </c>
    </row>
    <row r="33" spans="1:32" x14ac:dyDescent="0.25">
      <c r="A33" s="2">
        <v>32</v>
      </c>
      <c r="B33" s="3">
        <v>1317</v>
      </c>
      <c r="C33" s="3" t="s">
        <v>132</v>
      </c>
      <c r="D33" s="34" t="s">
        <v>88</v>
      </c>
      <c r="E33" s="2" t="s">
        <v>103</v>
      </c>
      <c r="F33" s="4" t="s">
        <v>81</v>
      </c>
      <c r="G33" s="2">
        <v>670</v>
      </c>
      <c r="H33" s="2">
        <v>63.92</v>
      </c>
      <c r="I33" s="5">
        <f t="shared" ref="I33" si="82">G33*H33</f>
        <v>42826.400000000001</v>
      </c>
      <c r="J33" s="6">
        <f>2.3*105*1250*7.85/1000000</f>
        <v>2.3697187499999997</v>
      </c>
      <c r="K33" s="7">
        <f t="shared" ref="K33" si="83">G33/J33</f>
        <v>282.73397423217421</v>
      </c>
      <c r="L33" s="2">
        <v>283</v>
      </c>
      <c r="M33" s="2">
        <v>283</v>
      </c>
      <c r="N33" s="8">
        <v>20</v>
      </c>
      <c r="O33" s="2">
        <v>1</v>
      </c>
      <c r="P33" s="2">
        <f>M33*N33*O33</f>
        <v>5660</v>
      </c>
      <c r="Q33" s="22">
        <v>5660</v>
      </c>
      <c r="R33" s="22">
        <v>5660</v>
      </c>
      <c r="S33" s="9">
        <f t="shared" si="74"/>
        <v>0</v>
      </c>
      <c r="T33" s="2">
        <f t="shared" si="75"/>
        <v>0</v>
      </c>
      <c r="U33" s="10">
        <v>0.8</v>
      </c>
      <c r="V33" s="7">
        <f t="shared" si="81"/>
        <v>4528</v>
      </c>
      <c r="W33" s="11">
        <v>6.95</v>
      </c>
      <c r="X33" s="2">
        <f t="shared" si="76"/>
        <v>39337</v>
      </c>
      <c r="Y33" s="2">
        <f t="shared" si="65"/>
        <v>-3489.4000000000015</v>
      </c>
      <c r="Z33" s="7">
        <f t="shared" si="79"/>
        <v>5566.5999999999985</v>
      </c>
      <c r="AA33" s="20">
        <f t="shared" ref="AA33:AA34" si="84">Z33-V33</f>
        <v>1038.5999999999985</v>
      </c>
      <c r="AB33" s="21" t="s">
        <v>37</v>
      </c>
      <c r="AC33" s="6">
        <v>1</v>
      </c>
      <c r="AD33" s="5">
        <f t="shared" si="72"/>
        <v>283</v>
      </c>
      <c r="AE33" s="15">
        <v>32</v>
      </c>
      <c r="AF33" s="2">
        <f t="shared" si="80"/>
        <v>9056</v>
      </c>
    </row>
    <row r="34" spans="1:32" x14ac:dyDescent="0.25">
      <c r="A34" s="2">
        <v>33</v>
      </c>
      <c r="B34" s="3">
        <v>1506</v>
      </c>
      <c r="C34" s="3" t="s">
        <v>133</v>
      </c>
      <c r="D34" s="34" t="s">
        <v>88</v>
      </c>
      <c r="E34" s="29" t="s">
        <v>44</v>
      </c>
      <c r="F34" s="3">
        <v>8283</v>
      </c>
      <c r="G34" s="3">
        <v>6100</v>
      </c>
      <c r="H34" s="2">
        <v>2.68</v>
      </c>
      <c r="I34" s="17">
        <f>G34*H34</f>
        <v>16348.000000000002</v>
      </c>
      <c r="J34" s="3">
        <v>0</v>
      </c>
      <c r="K34" s="3">
        <v>0</v>
      </c>
      <c r="L34" s="3">
        <v>0</v>
      </c>
      <c r="M34" s="3">
        <f>G34</f>
        <v>6100</v>
      </c>
      <c r="N34" s="8">
        <v>1</v>
      </c>
      <c r="O34" s="3">
        <v>1</v>
      </c>
      <c r="P34" s="3">
        <f>M34</f>
        <v>6100</v>
      </c>
      <c r="Q34" s="3">
        <f t="shared" ref="Q34" si="85">P34</f>
        <v>6100</v>
      </c>
      <c r="R34" s="3">
        <f t="shared" ref="R34" si="86">Q34</f>
        <v>6100</v>
      </c>
      <c r="S34" s="9">
        <f t="shared" si="74"/>
        <v>0</v>
      </c>
      <c r="T34" s="3">
        <f t="shared" si="75"/>
        <v>0</v>
      </c>
      <c r="U34" s="10">
        <v>0.53</v>
      </c>
      <c r="V34" s="19">
        <f>Q34*U34</f>
        <v>3233</v>
      </c>
      <c r="W34" s="11">
        <v>3.25</v>
      </c>
      <c r="X34" s="3">
        <f t="shared" si="76"/>
        <v>19825</v>
      </c>
      <c r="Y34" s="3">
        <f t="shared" ref="Y34:Y42" si="87">X34-I34</f>
        <v>3476.9999999999982</v>
      </c>
      <c r="Z34" s="19">
        <f t="shared" si="79"/>
        <v>3476.9999999999982</v>
      </c>
      <c r="AA34" s="20">
        <f t="shared" si="84"/>
        <v>243.99999999999818</v>
      </c>
      <c r="AB34" s="21" t="s">
        <v>37</v>
      </c>
      <c r="AC34" s="18">
        <v>0</v>
      </c>
      <c r="AD34" s="3">
        <f>M34*AC34</f>
        <v>0</v>
      </c>
      <c r="AE34" s="15"/>
      <c r="AF34" s="3">
        <f>AD34*AE34</f>
        <v>0</v>
      </c>
    </row>
    <row r="35" spans="1:32" x14ac:dyDescent="0.25">
      <c r="A35" s="2">
        <v>34</v>
      </c>
      <c r="B35" s="3">
        <v>1507</v>
      </c>
      <c r="C35" s="3" t="s">
        <v>133</v>
      </c>
      <c r="D35" s="34" t="s">
        <v>88</v>
      </c>
      <c r="E35" s="2" t="s">
        <v>92</v>
      </c>
      <c r="F35" s="4" t="s">
        <v>93</v>
      </c>
      <c r="G35" s="2">
        <v>660</v>
      </c>
      <c r="H35" s="2">
        <v>63.92</v>
      </c>
      <c r="I35" s="5">
        <f t="shared" ref="I35:I42" si="88">G35*H35</f>
        <v>42187.200000000004</v>
      </c>
      <c r="J35" s="6">
        <f>2*142*1250*7.85/1000000</f>
        <v>2.7867500000000001</v>
      </c>
      <c r="K35" s="7">
        <f t="shared" ref="K35:K42" si="89">G35/J35</f>
        <v>236.83502287611017</v>
      </c>
      <c r="L35" s="2">
        <v>237</v>
      </c>
      <c r="M35" s="2">
        <v>237</v>
      </c>
      <c r="N35" s="8">
        <v>35</v>
      </c>
      <c r="O35" s="2">
        <v>1</v>
      </c>
      <c r="P35" s="2">
        <f t="shared" ref="P35:P38" si="90">M35*N35*O35</f>
        <v>8295</v>
      </c>
      <c r="Q35" s="22">
        <v>8295</v>
      </c>
      <c r="R35" s="22">
        <v>8295</v>
      </c>
      <c r="S35" s="9">
        <f t="shared" ref="S35:S41" si="91">Q35-R35</f>
        <v>0</v>
      </c>
      <c r="T35" s="2">
        <f t="shared" ref="T35:T41" si="92">P35-Q35</f>
        <v>0</v>
      </c>
      <c r="U35" s="10">
        <v>0.8</v>
      </c>
      <c r="V35" s="7">
        <f t="shared" ref="V35" si="93">Q35*U35</f>
        <v>6636</v>
      </c>
      <c r="W35" s="11">
        <v>5.55</v>
      </c>
      <c r="X35" s="2">
        <f t="shared" ref="X35:X41" si="94">Q35*W35</f>
        <v>46037.25</v>
      </c>
      <c r="Y35" s="2">
        <f t="shared" si="87"/>
        <v>3850.0499999999956</v>
      </c>
      <c r="Z35" s="7">
        <f t="shared" ref="Z35:Z42" si="95">AF35+Y35</f>
        <v>9007.1699999999964</v>
      </c>
      <c r="AA35" s="20">
        <f>Z35-V35</f>
        <v>2371.1699999999964</v>
      </c>
      <c r="AB35" s="21" t="s">
        <v>37</v>
      </c>
      <c r="AC35" s="6">
        <v>0.68</v>
      </c>
      <c r="AD35" s="5">
        <f t="shared" ref="AD35:AD42" si="96">M35*AC35</f>
        <v>161.16000000000003</v>
      </c>
      <c r="AE35" s="15">
        <v>32</v>
      </c>
      <c r="AF35" s="2">
        <f t="shared" ref="AF35:AF42" si="97">AD35*AE35</f>
        <v>5157.1200000000008</v>
      </c>
    </row>
    <row r="36" spans="1:32" x14ac:dyDescent="0.25">
      <c r="A36" s="2">
        <v>35</v>
      </c>
      <c r="B36" s="3">
        <v>1509</v>
      </c>
      <c r="C36" s="3" t="s">
        <v>133</v>
      </c>
      <c r="D36" s="34" t="s">
        <v>88</v>
      </c>
      <c r="E36" s="2" t="s">
        <v>112</v>
      </c>
      <c r="F36" s="4" t="s">
        <v>113</v>
      </c>
      <c r="G36" s="2">
        <v>484</v>
      </c>
      <c r="H36" s="2">
        <v>63.92</v>
      </c>
      <c r="I36" s="5">
        <f t="shared" si="88"/>
        <v>30937.280000000002</v>
      </c>
      <c r="J36" s="6">
        <f>2*160*1250*7.85/1000000</f>
        <v>3.14</v>
      </c>
      <c r="K36" s="7">
        <f t="shared" si="89"/>
        <v>154.14012738853503</v>
      </c>
      <c r="L36" s="2">
        <v>154</v>
      </c>
      <c r="M36" s="2">
        <v>154</v>
      </c>
      <c r="N36" s="8">
        <v>41</v>
      </c>
      <c r="O36" s="2">
        <v>2</v>
      </c>
      <c r="P36" s="2">
        <f t="shared" si="90"/>
        <v>12628</v>
      </c>
      <c r="Q36" s="22">
        <v>12628</v>
      </c>
      <c r="R36" s="22">
        <v>12628</v>
      </c>
      <c r="S36" s="9">
        <f t="shared" si="91"/>
        <v>0</v>
      </c>
      <c r="T36" s="2">
        <f t="shared" si="92"/>
        <v>0</v>
      </c>
      <c r="U36" s="10">
        <v>0.4</v>
      </c>
      <c r="V36" s="7">
        <f>Q36*U36</f>
        <v>5051.2000000000007</v>
      </c>
      <c r="W36" s="11">
        <v>2.81</v>
      </c>
      <c r="X36" s="2">
        <f t="shared" si="94"/>
        <v>35484.68</v>
      </c>
      <c r="Y36" s="2">
        <f t="shared" si="87"/>
        <v>4547.3999999999978</v>
      </c>
      <c r="Z36" s="7">
        <f t="shared" si="95"/>
        <v>7898.4399999999987</v>
      </c>
      <c r="AA36" s="20">
        <f>Z36-V36</f>
        <v>2847.239999999998</v>
      </c>
      <c r="AB36" s="21" t="s">
        <v>37</v>
      </c>
      <c r="AC36" s="6">
        <v>0.68</v>
      </c>
      <c r="AD36" s="5">
        <f t="shared" si="96"/>
        <v>104.72000000000001</v>
      </c>
      <c r="AE36" s="15">
        <v>32</v>
      </c>
      <c r="AF36" s="2">
        <f t="shared" si="97"/>
        <v>3351.0400000000004</v>
      </c>
    </row>
    <row r="37" spans="1:32" x14ac:dyDescent="0.25">
      <c r="A37" s="2">
        <v>36</v>
      </c>
      <c r="B37" s="3">
        <v>1585</v>
      </c>
      <c r="C37" s="3" t="s">
        <v>134</v>
      </c>
      <c r="D37" s="34" t="s">
        <v>88</v>
      </c>
      <c r="E37" s="2" t="s">
        <v>74</v>
      </c>
      <c r="F37" s="4" t="s">
        <v>76</v>
      </c>
      <c r="G37" s="2">
        <v>552</v>
      </c>
      <c r="H37" s="2">
        <v>68.92</v>
      </c>
      <c r="I37" s="5">
        <f t="shared" si="88"/>
        <v>38043.840000000004</v>
      </c>
      <c r="J37" s="6">
        <f>2.3*57*1250*7.85/1000000</f>
        <v>1.2864187499999999</v>
      </c>
      <c r="K37" s="7">
        <f t="shared" si="89"/>
        <v>429.09822326516934</v>
      </c>
      <c r="L37" s="2">
        <v>429</v>
      </c>
      <c r="M37" s="2">
        <v>429</v>
      </c>
      <c r="N37" s="8">
        <v>31</v>
      </c>
      <c r="O37" s="2">
        <v>1</v>
      </c>
      <c r="P37" s="2">
        <f t="shared" si="90"/>
        <v>13299</v>
      </c>
      <c r="Q37" s="2">
        <v>13299</v>
      </c>
      <c r="R37" s="2">
        <v>13299</v>
      </c>
      <c r="S37" s="9">
        <f t="shared" si="91"/>
        <v>0</v>
      </c>
      <c r="T37" s="2">
        <f t="shared" si="92"/>
        <v>0</v>
      </c>
      <c r="U37" s="10">
        <v>1.1000000000000001</v>
      </c>
      <c r="V37" s="7">
        <f t="shared" ref="V37:V42" si="98">Q37*U37</f>
        <v>14628.900000000001</v>
      </c>
      <c r="W37" s="11">
        <v>3.41</v>
      </c>
      <c r="X37" s="2">
        <f t="shared" si="94"/>
        <v>45349.590000000004</v>
      </c>
      <c r="Y37" s="2">
        <f t="shared" si="87"/>
        <v>7305.75</v>
      </c>
      <c r="Z37" s="7">
        <f t="shared" si="95"/>
        <v>15542.55</v>
      </c>
      <c r="AA37" s="20">
        <f t="shared" ref="AA37" si="99">Z37-V37</f>
        <v>913.64999999999782</v>
      </c>
      <c r="AB37" s="21" t="s">
        <v>37</v>
      </c>
      <c r="AC37" s="6">
        <v>0.6</v>
      </c>
      <c r="AD37" s="5">
        <f t="shared" si="96"/>
        <v>257.39999999999998</v>
      </c>
      <c r="AE37" s="15">
        <v>32</v>
      </c>
      <c r="AF37" s="2">
        <f t="shared" si="97"/>
        <v>8236.7999999999993</v>
      </c>
    </row>
    <row r="38" spans="1:32" x14ac:dyDescent="0.25">
      <c r="A38" s="2">
        <v>37</v>
      </c>
      <c r="B38" s="3">
        <v>1585</v>
      </c>
      <c r="C38" s="3" t="s">
        <v>134</v>
      </c>
      <c r="D38" s="34" t="s">
        <v>88</v>
      </c>
      <c r="E38" s="2" t="s">
        <v>74</v>
      </c>
      <c r="F38" s="2" t="s">
        <v>75</v>
      </c>
      <c r="G38" s="2">
        <v>855</v>
      </c>
      <c r="H38" s="3">
        <v>68.92</v>
      </c>
      <c r="I38" s="5">
        <f t="shared" si="88"/>
        <v>58926.6</v>
      </c>
      <c r="J38" s="6">
        <f>2*57*1250*7.85/1000000</f>
        <v>1.118625</v>
      </c>
      <c r="K38" s="7">
        <f t="shared" si="89"/>
        <v>764.33121019108285</v>
      </c>
      <c r="L38" s="2">
        <v>764</v>
      </c>
      <c r="M38" s="2">
        <v>764</v>
      </c>
      <c r="N38" s="8">
        <v>17</v>
      </c>
      <c r="O38" s="2">
        <v>1</v>
      </c>
      <c r="P38" s="2">
        <f t="shared" si="90"/>
        <v>12988</v>
      </c>
      <c r="Q38" s="22">
        <v>12988</v>
      </c>
      <c r="R38" s="22">
        <v>12988</v>
      </c>
      <c r="S38" s="9">
        <f t="shared" si="91"/>
        <v>0</v>
      </c>
      <c r="T38" s="2">
        <f t="shared" si="92"/>
        <v>0</v>
      </c>
      <c r="U38" s="10">
        <v>1.1000000000000001</v>
      </c>
      <c r="V38" s="7">
        <f t="shared" si="98"/>
        <v>14286.800000000001</v>
      </c>
      <c r="W38" s="11">
        <v>4.8899999999999997</v>
      </c>
      <c r="X38" s="2">
        <f t="shared" si="94"/>
        <v>63511.319999999992</v>
      </c>
      <c r="Y38" s="2">
        <f t="shared" si="87"/>
        <v>4584.7199999999939</v>
      </c>
      <c r="Z38" s="7">
        <f t="shared" si="95"/>
        <v>16808.719999999994</v>
      </c>
      <c r="AA38" s="20">
        <f>Z38-V38</f>
        <v>2521.9199999999928</v>
      </c>
      <c r="AB38" s="21" t="s">
        <v>37</v>
      </c>
      <c r="AC38" s="6">
        <v>0.5</v>
      </c>
      <c r="AD38" s="5">
        <f t="shared" si="96"/>
        <v>382</v>
      </c>
      <c r="AE38" s="15">
        <v>32</v>
      </c>
      <c r="AF38" s="2">
        <f t="shared" si="97"/>
        <v>12224</v>
      </c>
    </row>
    <row r="39" spans="1:32" x14ac:dyDescent="0.25">
      <c r="A39" s="2">
        <v>38</v>
      </c>
      <c r="B39" s="3">
        <v>1585</v>
      </c>
      <c r="C39" s="3" t="s">
        <v>134</v>
      </c>
      <c r="D39" s="34" t="s">
        <v>88</v>
      </c>
      <c r="E39" s="2" t="s">
        <v>103</v>
      </c>
      <c r="F39" s="4" t="s">
        <v>81</v>
      </c>
      <c r="G39" s="2">
        <v>1667</v>
      </c>
      <c r="H39" s="2">
        <v>63.92</v>
      </c>
      <c r="I39" s="5">
        <f t="shared" si="88"/>
        <v>106554.64</v>
      </c>
      <c r="J39" s="6">
        <f>2.3*105*1250*7.85/1000000</f>
        <v>2.3697187499999997</v>
      </c>
      <c r="K39" s="7">
        <f t="shared" si="89"/>
        <v>703.45900752990212</v>
      </c>
      <c r="L39" s="2">
        <v>703</v>
      </c>
      <c r="M39" s="2">
        <v>703</v>
      </c>
      <c r="N39" s="8">
        <v>20</v>
      </c>
      <c r="O39" s="2">
        <v>1</v>
      </c>
      <c r="P39" s="2">
        <f>M39*N39*O39</f>
        <v>14060</v>
      </c>
      <c r="Q39" s="22">
        <v>14060</v>
      </c>
      <c r="R39" s="22">
        <v>14060</v>
      </c>
      <c r="S39" s="9">
        <f t="shared" si="91"/>
        <v>0</v>
      </c>
      <c r="T39" s="2">
        <f t="shared" si="92"/>
        <v>0</v>
      </c>
      <c r="U39" s="10">
        <v>0.8</v>
      </c>
      <c r="V39" s="7">
        <f t="shared" si="98"/>
        <v>11248</v>
      </c>
      <c r="W39" s="11">
        <v>6.95</v>
      </c>
      <c r="X39" s="2">
        <f t="shared" si="94"/>
        <v>97717</v>
      </c>
      <c r="Y39" s="2">
        <f t="shared" si="87"/>
        <v>-8837.64</v>
      </c>
      <c r="Z39" s="7">
        <f t="shared" si="95"/>
        <v>13658.36</v>
      </c>
      <c r="AA39" s="20">
        <f t="shared" ref="AA39" si="100">Z39-V39</f>
        <v>2410.3600000000006</v>
      </c>
      <c r="AB39" s="21" t="s">
        <v>37</v>
      </c>
      <c r="AC39" s="6">
        <v>1</v>
      </c>
      <c r="AD39" s="5">
        <f t="shared" si="96"/>
        <v>703</v>
      </c>
      <c r="AE39" s="15">
        <v>32</v>
      </c>
      <c r="AF39" s="2">
        <f t="shared" si="97"/>
        <v>22496</v>
      </c>
    </row>
    <row r="40" spans="1:32" x14ac:dyDescent="0.25">
      <c r="A40" s="2">
        <v>39</v>
      </c>
      <c r="B40" s="3">
        <v>1585</v>
      </c>
      <c r="C40" s="3" t="s">
        <v>134</v>
      </c>
      <c r="D40" s="34" t="s">
        <v>88</v>
      </c>
      <c r="E40" s="2" t="s">
        <v>92</v>
      </c>
      <c r="F40" s="4" t="s">
        <v>93</v>
      </c>
      <c r="G40" s="2">
        <v>1440</v>
      </c>
      <c r="H40" s="2">
        <v>63.92</v>
      </c>
      <c r="I40" s="5">
        <f t="shared" si="88"/>
        <v>92044.800000000003</v>
      </c>
      <c r="J40" s="6">
        <f>2*142*1250*7.85/1000000</f>
        <v>2.7867500000000001</v>
      </c>
      <c r="K40" s="7">
        <f t="shared" si="89"/>
        <v>516.7309590024222</v>
      </c>
      <c r="L40" s="2">
        <v>517</v>
      </c>
      <c r="M40" s="2">
        <v>517</v>
      </c>
      <c r="N40" s="8">
        <v>35</v>
      </c>
      <c r="O40" s="2">
        <v>1</v>
      </c>
      <c r="P40" s="2">
        <f t="shared" ref="P40:P42" si="101">M40*N40*O40</f>
        <v>18095</v>
      </c>
      <c r="Q40" s="22">
        <v>18095</v>
      </c>
      <c r="R40" s="22">
        <v>18095</v>
      </c>
      <c r="S40" s="9">
        <f t="shared" si="91"/>
        <v>0</v>
      </c>
      <c r="T40" s="2">
        <f t="shared" si="92"/>
        <v>0</v>
      </c>
      <c r="U40" s="10">
        <v>0.8</v>
      </c>
      <c r="V40" s="7">
        <f t="shared" si="98"/>
        <v>14476</v>
      </c>
      <c r="W40" s="11">
        <v>5.55</v>
      </c>
      <c r="X40" s="2">
        <f t="shared" si="94"/>
        <v>100427.25</v>
      </c>
      <c r="Y40" s="2">
        <f t="shared" si="87"/>
        <v>8382.4499999999971</v>
      </c>
      <c r="Z40" s="7">
        <f t="shared" si="95"/>
        <v>19632.369999999995</v>
      </c>
      <c r="AA40" s="20">
        <f>Z40-V40</f>
        <v>5156.3699999999953</v>
      </c>
      <c r="AB40" s="21" t="s">
        <v>37</v>
      </c>
      <c r="AC40" s="6">
        <v>0.68</v>
      </c>
      <c r="AD40" s="5">
        <f t="shared" si="96"/>
        <v>351.56</v>
      </c>
      <c r="AE40" s="15">
        <v>32</v>
      </c>
      <c r="AF40" s="2">
        <f t="shared" si="97"/>
        <v>11249.92</v>
      </c>
    </row>
    <row r="41" spans="1:32" x14ac:dyDescent="0.25">
      <c r="A41" s="2">
        <v>40</v>
      </c>
      <c r="B41" s="3">
        <v>1615</v>
      </c>
      <c r="C41" s="3" t="s">
        <v>134</v>
      </c>
      <c r="D41" s="34" t="s">
        <v>88</v>
      </c>
      <c r="E41" s="51" t="s">
        <v>124</v>
      </c>
      <c r="F41" s="4" t="s">
        <v>94</v>
      </c>
      <c r="G41" s="2">
        <v>396</v>
      </c>
      <c r="H41" s="2">
        <v>64.92</v>
      </c>
      <c r="I41" s="5">
        <f t="shared" si="88"/>
        <v>25708.32</v>
      </c>
      <c r="J41" s="6">
        <f>2*50*1250*7.85/1000000</f>
        <v>0.98124999999999996</v>
      </c>
      <c r="K41" s="7">
        <f t="shared" si="89"/>
        <v>403.56687898089172</v>
      </c>
      <c r="L41" s="2">
        <v>404</v>
      </c>
      <c r="M41" s="2">
        <v>404</v>
      </c>
      <c r="N41" s="8">
        <v>24</v>
      </c>
      <c r="O41" s="2">
        <v>1</v>
      </c>
      <c r="P41" s="2">
        <f t="shared" si="101"/>
        <v>9696</v>
      </c>
      <c r="Q41" s="22">
        <v>9696</v>
      </c>
      <c r="R41" s="22">
        <v>9696</v>
      </c>
      <c r="S41" s="9">
        <f t="shared" si="91"/>
        <v>0</v>
      </c>
      <c r="T41" s="2">
        <f t="shared" si="92"/>
        <v>0</v>
      </c>
      <c r="U41" s="10">
        <v>0.55000000000000004</v>
      </c>
      <c r="V41" s="7">
        <f t="shared" si="98"/>
        <v>5332.8</v>
      </c>
      <c r="W41" s="11">
        <v>2.9</v>
      </c>
      <c r="X41" s="2">
        <f t="shared" si="94"/>
        <v>28118.399999999998</v>
      </c>
      <c r="Y41" s="2">
        <f t="shared" si="87"/>
        <v>2410.0799999999981</v>
      </c>
      <c r="Z41" s="7">
        <f t="shared" si="95"/>
        <v>6813.6799999999985</v>
      </c>
      <c r="AA41" s="20">
        <f>Z41-V41</f>
        <v>1480.8799999999983</v>
      </c>
      <c r="AB41" s="21" t="s">
        <v>37</v>
      </c>
      <c r="AC41" s="6">
        <v>0.34062500000000001</v>
      </c>
      <c r="AD41" s="5">
        <f t="shared" si="96"/>
        <v>137.61250000000001</v>
      </c>
      <c r="AE41" s="15">
        <v>32</v>
      </c>
      <c r="AF41" s="2">
        <f t="shared" si="97"/>
        <v>4403.6000000000004</v>
      </c>
    </row>
    <row r="42" spans="1:32" x14ac:dyDescent="0.25">
      <c r="A42" s="2">
        <v>41</v>
      </c>
      <c r="B42" s="3">
        <v>438</v>
      </c>
      <c r="C42" s="3" t="s">
        <v>134</v>
      </c>
      <c r="D42" s="46" t="s">
        <v>39</v>
      </c>
      <c r="E42" s="23" t="s">
        <v>48</v>
      </c>
      <c r="F42" s="24">
        <v>7479</v>
      </c>
      <c r="G42" s="3">
        <v>578</v>
      </c>
      <c r="H42" s="3">
        <v>73.92</v>
      </c>
      <c r="I42" s="17">
        <f t="shared" si="88"/>
        <v>42725.760000000002</v>
      </c>
      <c r="J42" s="18">
        <f>1.6*39*1250*7.85/1000000</f>
        <v>0.61229999999999996</v>
      </c>
      <c r="K42" s="19">
        <f t="shared" si="89"/>
        <v>943.98170831291861</v>
      </c>
      <c r="L42" s="19">
        <v>944</v>
      </c>
      <c r="M42" s="19">
        <v>944</v>
      </c>
      <c r="N42" s="8">
        <v>80</v>
      </c>
      <c r="O42" s="3">
        <v>1</v>
      </c>
      <c r="P42" s="3">
        <f t="shared" si="101"/>
        <v>75520</v>
      </c>
      <c r="Q42" s="3">
        <v>75520</v>
      </c>
      <c r="R42" s="3">
        <v>75520</v>
      </c>
      <c r="S42" s="9">
        <f>Q42-R42</f>
        <v>0</v>
      </c>
      <c r="T42" s="3">
        <f>P42-Q42</f>
        <v>0</v>
      </c>
      <c r="U42" s="10">
        <v>0.55000000000000004</v>
      </c>
      <c r="V42" s="19">
        <f t="shared" si="98"/>
        <v>41536</v>
      </c>
      <c r="W42" s="11">
        <v>1.07</v>
      </c>
      <c r="X42" s="3">
        <f>Q42*W42</f>
        <v>80806.400000000009</v>
      </c>
      <c r="Y42" s="3">
        <f t="shared" si="87"/>
        <v>38080.640000000007</v>
      </c>
      <c r="Z42" s="19">
        <f t="shared" si="95"/>
        <v>42611.840000000004</v>
      </c>
      <c r="AA42" s="20">
        <f t="shared" ref="AA42" si="102">Z42-V42</f>
        <v>1075.8400000000038</v>
      </c>
      <c r="AB42" s="21" t="s">
        <v>37</v>
      </c>
      <c r="AC42" s="18">
        <v>0.15</v>
      </c>
      <c r="AD42" s="17">
        <f t="shared" si="96"/>
        <v>141.6</v>
      </c>
      <c r="AE42" s="15">
        <v>32</v>
      </c>
      <c r="AF42" s="3">
        <f t="shared" si="97"/>
        <v>4531.2</v>
      </c>
    </row>
    <row r="43" spans="1:32" x14ac:dyDescent="0.25">
      <c r="I43" s="54"/>
    </row>
    <row r="44" spans="1:32" ht="24.75" customHeight="1" x14ac:dyDescent="0.25">
      <c r="A44" s="49"/>
      <c r="B44" s="49"/>
      <c r="C44" s="49"/>
      <c r="D44" s="49"/>
      <c r="E44" s="50"/>
      <c r="F44" s="49"/>
      <c r="G44" s="55">
        <f>SUM(G2:G43)</f>
        <v>36616</v>
      </c>
      <c r="H44" s="56"/>
      <c r="I44" s="55">
        <f>SUM(I2:I43)</f>
        <v>1406812.02</v>
      </c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55">
        <f>SUM(AA2:AA43)</f>
        <v>95884.165999999939</v>
      </c>
      <c r="AB44" s="49"/>
      <c r="AC44" s="49"/>
      <c r="AD44" s="55">
        <f>SUM(AD2:AD43)</f>
        <v>7451.926124999999</v>
      </c>
      <c r="AE44" s="49"/>
      <c r="AF44" s="55">
        <f>SUM(AF2:AF43)</f>
        <v>238461.63599999997</v>
      </c>
    </row>
    <row r="46" spans="1:32" x14ac:dyDescent="0.25">
      <c r="J46" s="53"/>
    </row>
  </sheetData>
  <autoFilter ref="A1:AF42"/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0"/>
  <sheetViews>
    <sheetView tabSelected="1" zoomScaleNormal="100" workbookViewId="0">
      <selection activeCell="S15" sqref="S15"/>
    </sheetView>
  </sheetViews>
  <sheetFormatPr defaultRowHeight="15" x14ac:dyDescent="0.25"/>
  <cols>
    <col min="1" max="1" width="4.140625" bestFit="1" customWidth="1"/>
    <col min="2" max="2" width="5.28515625" customWidth="1"/>
    <col min="3" max="3" width="7" bestFit="1" customWidth="1"/>
    <col min="4" max="4" width="4.7109375" customWidth="1"/>
    <col min="5" max="5" width="9" customWidth="1"/>
    <col min="6" max="6" width="6" customWidth="1"/>
    <col min="7" max="7" width="6.42578125" customWidth="1"/>
    <col min="8" max="8" width="5.5703125" customWidth="1"/>
    <col min="9" max="9" width="8.85546875" customWidth="1"/>
    <col min="10" max="10" width="4.5703125" customWidth="1"/>
    <col min="11" max="13" width="5" customWidth="1"/>
    <col min="14" max="14" width="3" customWidth="1"/>
    <col min="15" max="15" width="2.5703125" customWidth="1"/>
    <col min="16" max="18" width="6.42578125" customWidth="1"/>
    <col min="19" max="19" width="3.28515625" customWidth="1"/>
    <col min="20" max="20" width="3.28515625" bestFit="1" customWidth="1"/>
    <col min="21" max="21" width="4.28515625" customWidth="1"/>
    <col min="22" max="22" width="6.28515625" customWidth="1"/>
    <col min="23" max="23" width="4.28515625" customWidth="1"/>
    <col min="24" max="24" width="5.85546875" customWidth="1"/>
    <col min="25" max="25" width="6.42578125" customWidth="1"/>
    <col min="26" max="26" width="6.85546875" bestFit="1" customWidth="1"/>
    <col min="27" max="27" width="8" customWidth="1"/>
    <col min="28" max="28" width="3.140625" bestFit="1" customWidth="1"/>
    <col min="29" max="29" width="6" customWidth="1"/>
    <col min="30" max="30" width="8.28515625" bestFit="1" customWidth="1"/>
    <col min="31" max="31" width="4.42578125" customWidth="1"/>
    <col min="32" max="32" width="7.85546875" bestFit="1" customWidth="1"/>
  </cols>
  <sheetData>
    <row r="1" spans="1:32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1</v>
      </c>
      <c r="B2" s="3">
        <v>1675</v>
      </c>
      <c r="C2" s="3" t="s">
        <v>135</v>
      </c>
      <c r="D2" s="34" t="s">
        <v>88</v>
      </c>
      <c r="E2" s="2" t="s">
        <v>112</v>
      </c>
      <c r="F2" s="4" t="s">
        <v>113</v>
      </c>
      <c r="G2" s="2">
        <v>728</v>
      </c>
      <c r="H2" s="2">
        <v>63.92</v>
      </c>
      <c r="I2" s="5">
        <f t="shared" ref="I2" si="0">G2*H2</f>
        <v>46533.760000000002</v>
      </c>
      <c r="J2" s="6">
        <f>2*160*1250*7.85/1000000</f>
        <v>3.14</v>
      </c>
      <c r="K2" s="7">
        <f t="shared" ref="K2" si="1">G2/J2</f>
        <v>231.84713375796179</v>
      </c>
      <c r="L2" s="2">
        <v>232</v>
      </c>
      <c r="M2" s="2">
        <v>232</v>
      </c>
      <c r="N2" s="8">
        <v>41</v>
      </c>
      <c r="O2" s="2">
        <v>2</v>
      </c>
      <c r="P2" s="2">
        <f t="shared" ref="P2" si="2">M2*N2*O2</f>
        <v>19024</v>
      </c>
      <c r="Q2" s="22">
        <v>19024</v>
      </c>
      <c r="R2" s="22">
        <v>19024</v>
      </c>
      <c r="S2" s="9">
        <f t="shared" ref="S2:S7" si="3">Q2-R2</f>
        <v>0</v>
      </c>
      <c r="T2" s="2">
        <f t="shared" ref="T2:T7" si="4">P2-Q2</f>
        <v>0</v>
      </c>
      <c r="U2" s="10">
        <v>0.4</v>
      </c>
      <c r="V2" s="7">
        <f>Q2*U2</f>
        <v>7609.6</v>
      </c>
      <c r="W2" s="11">
        <v>2.81</v>
      </c>
      <c r="X2" s="2">
        <f t="shared" ref="X2:X8" si="5">Q2*W2</f>
        <v>53457.440000000002</v>
      </c>
      <c r="Y2" s="2">
        <f t="shared" ref="Y2:Y8" si="6">X2-I2</f>
        <v>6923.68</v>
      </c>
      <c r="Z2" s="7">
        <f t="shared" ref="Z2:Z3" si="7">AF2+Y2</f>
        <v>11972</v>
      </c>
      <c r="AA2" s="20">
        <f>Z2-V2</f>
        <v>4362.3999999999996</v>
      </c>
      <c r="AB2" s="21" t="s">
        <v>37</v>
      </c>
      <c r="AC2" s="6">
        <v>0.68</v>
      </c>
      <c r="AD2" s="5">
        <f t="shared" ref="AD2" si="8">M2*AC2</f>
        <v>157.76000000000002</v>
      </c>
      <c r="AE2" s="15">
        <v>32</v>
      </c>
      <c r="AF2" s="2">
        <f t="shared" ref="AF2" si="9">AD2*AE2</f>
        <v>5048.3200000000006</v>
      </c>
    </row>
    <row r="3" spans="1:32" x14ac:dyDescent="0.25">
      <c r="A3" s="2">
        <v>2</v>
      </c>
      <c r="B3" s="3">
        <v>1685</v>
      </c>
      <c r="C3" s="3" t="s">
        <v>136</v>
      </c>
      <c r="D3" s="34" t="s">
        <v>88</v>
      </c>
      <c r="E3" s="29" t="s">
        <v>44</v>
      </c>
      <c r="F3" s="3">
        <v>8283</v>
      </c>
      <c r="G3" s="3">
        <v>11200</v>
      </c>
      <c r="H3" s="2">
        <v>2.68</v>
      </c>
      <c r="I3" s="17">
        <f>G3*H3</f>
        <v>30016</v>
      </c>
      <c r="J3" s="3">
        <v>0</v>
      </c>
      <c r="K3" s="3">
        <v>0</v>
      </c>
      <c r="L3" s="3">
        <v>0</v>
      </c>
      <c r="M3" s="3">
        <f>G3</f>
        <v>11200</v>
      </c>
      <c r="N3" s="8">
        <v>1</v>
      </c>
      <c r="O3" s="3">
        <v>1</v>
      </c>
      <c r="P3" s="3">
        <f>M3</f>
        <v>11200</v>
      </c>
      <c r="Q3" s="3">
        <f t="shared" ref="Q3:R3" si="10">P3</f>
        <v>11200</v>
      </c>
      <c r="R3" s="3">
        <f t="shared" si="10"/>
        <v>11200</v>
      </c>
      <c r="S3" s="9">
        <f t="shared" si="3"/>
        <v>0</v>
      </c>
      <c r="T3" s="3">
        <f t="shared" si="4"/>
        <v>0</v>
      </c>
      <c r="U3" s="10">
        <v>0.53</v>
      </c>
      <c r="V3" s="19">
        <f>Q3*U3</f>
        <v>5936</v>
      </c>
      <c r="W3" s="11">
        <v>3.21</v>
      </c>
      <c r="X3" s="3">
        <f t="shared" si="5"/>
        <v>35952</v>
      </c>
      <c r="Y3" s="3">
        <f t="shared" si="6"/>
        <v>5936</v>
      </c>
      <c r="Z3" s="19">
        <f t="shared" si="7"/>
        <v>5936</v>
      </c>
      <c r="AA3" s="20">
        <f t="shared" ref="AA3:AA6" si="11">Z3-V3</f>
        <v>0</v>
      </c>
      <c r="AB3" s="21" t="s">
        <v>37</v>
      </c>
      <c r="AC3" s="18">
        <v>0</v>
      </c>
      <c r="AD3" s="3">
        <f>M3*AC3</f>
        <v>0</v>
      </c>
      <c r="AE3" s="15">
        <v>0</v>
      </c>
      <c r="AF3" s="3">
        <f>AD3*AE3</f>
        <v>0</v>
      </c>
    </row>
    <row r="4" spans="1:32" x14ac:dyDescent="0.25">
      <c r="A4" s="2">
        <v>3</v>
      </c>
      <c r="B4" s="3">
        <v>1686</v>
      </c>
      <c r="C4" s="3" t="s">
        <v>136</v>
      </c>
      <c r="D4" s="34" t="s">
        <v>88</v>
      </c>
      <c r="E4" s="3" t="s">
        <v>33</v>
      </c>
      <c r="F4" s="63">
        <v>6380</v>
      </c>
      <c r="G4" s="3">
        <v>342</v>
      </c>
      <c r="H4" s="3">
        <v>73.92</v>
      </c>
      <c r="I4" s="17">
        <f t="shared" ref="I4:I8" si="12">G4*H4</f>
        <v>25280.639999999999</v>
      </c>
      <c r="J4" s="64">
        <f>1.6*81*1250*7.85/1000000</f>
        <v>1.2717000000000001</v>
      </c>
      <c r="K4" s="19">
        <f>G4/J4</f>
        <v>268.93135173389948</v>
      </c>
      <c r="L4" s="3">
        <v>269</v>
      </c>
      <c r="M4" s="3">
        <v>269</v>
      </c>
      <c r="N4" s="8">
        <v>64</v>
      </c>
      <c r="O4" s="3">
        <v>4</v>
      </c>
      <c r="P4" s="3">
        <f t="shared" ref="P4:P8" si="13">M4*N4*O4</f>
        <v>68864</v>
      </c>
      <c r="Q4" s="3">
        <v>68864</v>
      </c>
      <c r="R4" s="3">
        <v>68864</v>
      </c>
      <c r="S4" s="9">
        <f t="shared" si="3"/>
        <v>0</v>
      </c>
      <c r="T4" s="3">
        <f t="shared" si="4"/>
        <v>0</v>
      </c>
      <c r="U4" s="10">
        <v>0.08</v>
      </c>
      <c r="V4" s="19">
        <f t="shared" ref="V4:V8" si="14">Q4*U4</f>
        <v>5509.12</v>
      </c>
      <c r="W4" s="11">
        <v>0.36</v>
      </c>
      <c r="X4" s="19">
        <f t="shared" si="5"/>
        <v>24791.040000000001</v>
      </c>
      <c r="Y4" s="66">
        <f t="shared" si="6"/>
        <v>-489.59999999999854</v>
      </c>
      <c r="Z4" s="19">
        <f>AF4+Y4</f>
        <v>2523.2000000000012</v>
      </c>
      <c r="AA4" s="13">
        <f t="shared" si="11"/>
        <v>-2985.9199999999987</v>
      </c>
      <c r="AB4" s="14" t="s">
        <v>34</v>
      </c>
      <c r="AC4" s="18">
        <v>0.35</v>
      </c>
      <c r="AD4" s="17">
        <f t="shared" ref="AD4:AD8" si="15">M4*AC4</f>
        <v>94.149999999999991</v>
      </c>
      <c r="AE4" s="15">
        <v>32</v>
      </c>
      <c r="AF4" s="3">
        <f>AD4*AE4</f>
        <v>3012.7999999999997</v>
      </c>
    </row>
    <row r="5" spans="1:32" x14ac:dyDescent="0.25">
      <c r="A5" s="2">
        <v>4</v>
      </c>
      <c r="B5" s="3">
        <v>1686</v>
      </c>
      <c r="C5" s="3" t="s">
        <v>136</v>
      </c>
      <c r="D5" s="34" t="s">
        <v>88</v>
      </c>
      <c r="E5" s="2" t="s">
        <v>33</v>
      </c>
      <c r="F5" s="4">
        <v>8200</v>
      </c>
      <c r="G5" s="2">
        <v>356</v>
      </c>
      <c r="H5" s="5">
        <v>73.5</v>
      </c>
      <c r="I5" s="5">
        <f t="shared" si="12"/>
        <v>26166</v>
      </c>
      <c r="J5" s="6">
        <f>1.6*78*1250*7.85/1000000</f>
        <v>1.2245999999999999</v>
      </c>
      <c r="K5" s="7">
        <f t="shared" ref="K5:K8" si="16">G5/J5</f>
        <v>290.70716968806141</v>
      </c>
      <c r="L5" s="2">
        <v>291</v>
      </c>
      <c r="M5" s="2">
        <v>291</v>
      </c>
      <c r="N5" s="8">
        <v>60</v>
      </c>
      <c r="O5" s="2">
        <v>4</v>
      </c>
      <c r="P5" s="2">
        <f t="shared" si="13"/>
        <v>69840</v>
      </c>
      <c r="Q5" s="22">
        <v>69840</v>
      </c>
      <c r="R5" s="22">
        <v>69840</v>
      </c>
      <c r="S5" s="9">
        <f t="shared" si="3"/>
        <v>0</v>
      </c>
      <c r="T5" s="2">
        <f t="shared" si="4"/>
        <v>0</v>
      </c>
      <c r="U5" s="10">
        <v>0.1</v>
      </c>
      <c r="V5" s="7">
        <f t="shared" si="14"/>
        <v>6984</v>
      </c>
      <c r="W5" s="11">
        <v>0.39</v>
      </c>
      <c r="X5" s="2">
        <f t="shared" si="5"/>
        <v>27237.600000000002</v>
      </c>
      <c r="Y5" s="2">
        <f t="shared" si="6"/>
        <v>1071.6000000000022</v>
      </c>
      <c r="Z5" s="7">
        <f t="shared" ref="Z5:Z8" si="17">AF5+Y5</f>
        <v>8176.6560000000009</v>
      </c>
      <c r="AA5" s="20">
        <f t="shared" si="11"/>
        <v>1192.6560000000009</v>
      </c>
      <c r="AB5" s="21" t="s">
        <v>37</v>
      </c>
      <c r="AC5" s="18">
        <v>0.7629999999999999</v>
      </c>
      <c r="AD5" s="5">
        <f t="shared" si="15"/>
        <v>222.03299999999996</v>
      </c>
      <c r="AE5" s="15">
        <v>32</v>
      </c>
      <c r="AF5" s="2">
        <f t="shared" ref="AF5:AF8" si="18">AD5*AE5</f>
        <v>7105.0559999999987</v>
      </c>
    </row>
    <row r="6" spans="1:32" x14ac:dyDescent="0.25">
      <c r="A6" s="2">
        <v>5</v>
      </c>
      <c r="B6" s="3">
        <v>1686</v>
      </c>
      <c r="C6" s="3" t="s">
        <v>136</v>
      </c>
      <c r="D6" s="34" t="s">
        <v>88</v>
      </c>
      <c r="E6" s="2" t="s">
        <v>33</v>
      </c>
      <c r="F6" s="2">
        <v>6086</v>
      </c>
      <c r="G6" s="2">
        <v>104</v>
      </c>
      <c r="H6" s="5">
        <v>72</v>
      </c>
      <c r="I6" s="5">
        <f t="shared" si="12"/>
        <v>7488</v>
      </c>
      <c r="J6" s="5">
        <f>1.6*66*1250*7.85/1000000</f>
        <v>1.0362</v>
      </c>
      <c r="K6" s="7">
        <f t="shared" si="16"/>
        <v>100.36672457054622</v>
      </c>
      <c r="L6" s="2">
        <v>100</v>
      </c>
      <c r="M6" s="2">
        <v>100</v>
      </c>
      <c r="N6" s="8">
        <v>42</v>
      </c>
      <c r="O6" s="2">
        <v>2</v>
      </c>
      <c r="P6" s="2">
        <f t="shared" si="13"/>
        <v>8400</v>
      </c>
      <c r="Q6" s="22">
        <v>8400</v>
      </c>
      <c r="R6" s="22">
        <v>8400</v>
      </c>
      <c r="S6" s="9">
        <f t="shared" si="3"/>
        <v>0</v>
      </c>
      <c r="T6" s="2">
        <f t="shared" si="4"/>
        <v>0</v>
      </c>
      <c r="U6" s="10">
        <v>0.2</v>
      </c>
      <c r="V6" s="7">
        <f t="shared" si="14"/>
        <v>1680</v>
      </c>
      <c r="W6" s="11">
        <v>0.89</v>
      </c>
      <c r="X6" s="2">
        <f t="shared" si="5"/>
        <v>7476</v>
      </c>
      <c r="Y6" s="65">
        <f t="shared" si="6"/>
        <v>-12</v>
      </c>
      <c r="Z6" s="7">
        <f t="shared" si="17"/>
        <v>1108</v>
      </c>
      <c r="AA6" s="13">
        <f t="shared" si="11"/>
        <v>-572</v>
      </c>
      <c r="AB6" s="14" t="s">
        <v>34</v>
      </c>
      <c r="AC6" s="6">
        <v>0.35</v>
      </c>
      <c r="AD6" s="5">
        <f t="shared" si="15"/>
        <v>35</v>
      </c>
      <c r="AE6" s="15">
        <v>32</v>
      </c>
      <c r="AF6" s="2">
        <f t="shared" si="18"/>
        <v>1120</v>
      </c>
    </row>
    <row r="7" spans="1:32" x14ac:dyDescent="0.25">
      <c r="A7" s="2">
        <v>6</v>
      </c>
      <c r="B7" s="3">
        <v>1705</v>
      </c>
      <c r="C7" s="3" t="s">
        <v>137</v>
      </c>
      <c r="D7" s="34" t="s">
        <v>88</v>
      </c>
      <c r="E7" s="2" t="s">
        <v>74</v>
      </c>
      <c r="F7" s="2" t="s">
        <v>75</v>
      </c>
      <c r="G7" s="2">
        <v>728</v>
      </c>
      <c r="H7" s="3">
        <v>68.92</v>
      </c>
      <c r="I7" s="5">
        <f t="shared" si="12"/>
        <v>50173.760000000002</v>
      </c>
      <c r="J7" s="6">
        <f>2*57*1250*7.85/1000000</f>
        <v>1.118625</v>
      </c>
      <c r="K7" s="7">
        <f t="shared" si="16"/>
        <v>650.79897195217347</v>
      </c>
      <c r="L7" s="2">
        <v>651</v>
      </c>
      <c r="M7" s="2">
        <v>651</v>
      </c>
      <c r="N7" s="8">
        <v>17</v>
      </c>
      <c r="O7" s="2">
        <v>1</v>
      </c>
      <c r="P7" s="2">
        <f t="shared" si="13"/>
        <v>11067</v>
      </c>
      <c r="Q7" s="22">
        <v>11067</v>
      </c>
      <c r="R7" s="22">
        <v>11067</v>
      </c>
      <c r="S7" s="9">
        <f t="shared" si="3"/>
        <v>0</v>
      </c>
      <c r="T7" s="2">
        <f t="shared" si="4"/>
        <v>0</v>
      </c>
      <c r="U7" s="10">
        <v>1.1000000000000001</v>
      </c>
      <c r="V7" s="7">
        <f t="shared" si="14"/>
        <v>12173.7</v>
      </c>
      <c r="W7" s="11">
        <v>4.8899999999999997</v>
      </c>
      <c r="X7" s="2">
        <f t="shared" si="5"/>
        <v>54117.63</v>
      </c>
      <c r="Y7" s="2">
        <f t="shared" si="6"/>
        <v>3943.8699999999953</v>
      </c>
      <c r="Z7" s="7">
        <f t="shared" si="17"/>
        <v>14359.869999999995</v>
      </c>
      <c r="AA7" s="20">
        <f>Z7-V7</f>
        <v>2186.1699999999946</v>
      </c>
      <c r="AB7" s="21" t="s">
        <v>37</v>
      </c>
      <c r="AC7" s="6">
        <v>0.5</v>
      </c>
      <c r="AD7" s="5">
        <f t="shared" si="15"/>
        <v>325.5</v>
      </c>
      <c r="AE7" s="15">
        <v>32</v>
      </c>
      <c r="AF7" s="2">
        <f t="shared" si="18"/>
        <v>10416</v>
      </c>
    </row>
    <row r="8" spans="1:32" x14ac:dyDescent="0.25">
      <c r="A8" s="2">
        <v>7</v>
      </c>
      <c r="B8" s="3">
        <v>1719</v>
      </c>
      <c r="C8" s="3" t="s">
        <v>137</v>
      </c>
      <c r="D8" s="34" t="s">
        <v>88</v>
      </c>
      <c r="E8" s="3" t="s">
        <v>33</v>
      </c>
      <c r="F8" s="63">
        <v>6380</v>
      </c>
      <c r="G8" s="3">
        <v>264</v>
      </c>
      <c r="H8" s="3">
        <v>73.92</v>
      </c>
      <c r="I8" s="17">
        <f t="shared" si="12"/>
        <v>19514.88</v>
      </c>
      <c r="J8" s="64">
        <f>1.6*81*1250*7.85/1000000</f>
        <v>1.2717000000000001</v>
      </c>
      <c r="K8" s="19">
        <f t="shared" si="16"/>
        <v>207.59613116301014</v>
      </c>
      <c r="L8" s="3">
        <v>208</v>
      </c>
      <c r="M8" s="3">
        <v>208</v>
      </c>
      <c r="N8" s="8">
        <v>56</v>
      </c>
      <c r="O8" s="3">
        <v>4</v>
      </c>
      <c r="P8" s="3">
        <f t="shared" si="13"/>
        <v>46592</v>
      </c>
      <c r="Q8" s="3">
        <v>46592</v>
      </c>
      <c r="R8" s="3">
        <v>46592</v>
      </c>
      <c r="S8" s="9">
        <f>Q8-R8</f>
        <v>0</v>
      </c>
      <c r="T8" s="3">
        <f>P8-Q8</f>
        <v>0</v>
      </c>
      <c r="U8" s="10">
        <v>0.1</v>
      </c>
      <c r="V8" s="19">
        <f t="shared" si="14"/>
        <v>4659.2</v>
      </c>
      <c r="W8" s="11">
        <v>0.44</v>
      </c>
      <c r="X8" s="3">
        <f t="shared" si="5"/>
        <v>20500.48</v>
      </c>
      <c r="Y8" s="3">
        <f t="shared" si="6"/>
        <v>985.59999999999854</v>
      </c>
      <c r="Z8" s="19">
        <f t="shared" si="17"/>
        <v>3847.6799999999985</v>
      </c>
      <c r="AA8" s="13">
        <f t="shared" ref="AA8" si="19">Z8-V8</f>
        <v>-811.52000000000135</v>
      </c>
      <c r="AB8" s="14" t="s">
        <v>34</v>
      </c>
      <c r="AC8" s="18">
        <v>0.43</v>
      </c>
      <c r="AD8" s="17">
        <f t="shared" si="15"/>
        <v>89.44</v>
      </c>
      <c r="AE8" s="15">
        <v>32</v>
      </c>
      <c r="AF8" s="3">
        <f t="shared" si="18"/>
        <v>2862.08</v>
      </c>
    </row>
    <row r="9" spans="1:32" x14ac:dyDescent="0.25">
      <c r="A9" s="2">
        <v>8</v>
      </c>
      <c r="B9" s="3">
        <v>1777</v>
      </c>
      <c r="C9" s="3" t="s">
        <v>138</v>
      </c>
      <c r="D9" s="34" t="s">
        <v>88</v>
      </c>
      <c r="E9" s="2" t="s">
        <v>74</v>
      </c>
      <c r="F9" s="2" t="s">
        <v>75</v>
      </c>
      <c r="G9" s="2">
        <v>935</v>
      </c>
      <c r="H9" s="3">
        <v>68.92</v>
      </c>
      <c r="I9" s="5">
        <f t="shared" ref="I9:I13" si="20">G9*H9</f>
        <v>64440.200000000004</v>
      </c>
      <c r="J9" s="6">
        <f>2*57*1250*7.85/1000000</f>
        <v>1.118625</v>
      </c>
      <c r="K9" s="7">
        <f t="shared" ref="K9:K13" si="21">G9/J9</f>
        <v>835.84758073527769</v>
      </c>
      <c r="L9" s="2">
        <v>836</v>
      </c>
      <c r="M9" s="2">
        <v>836</v>
      </c>
      <c r="N9" s="8">
        <v>17</v>
      </c>
      <c r="O9" s="2">
        <v>1</v>
      </c>
      <c r="P9" s="2">
        <f t="shared" ref="P9:P11" si="22">M9*N9*O9</f>
        <v>14212</v>
      </c>
      <c r="Q9" s="22">
        <v>14212</v>
      </c>
      <c r="R9" s="22">
        <v>14212</v>
      </c>
      <c r="S9" s="9">
        <f t="shared" ref="S9:S13" si="23">Q9-R9</f>
        <v>0</v>
      </c>
      <c r="T9" s="2">
        <f t="shared" ref="T9:T13" si="24">P9-Q9</f>
        <v>0</v>
      </c>
      <c r="U9" s="10">
        <v>1.1000000000000001</v>
      </c>
      <c r="V9" s="7">
        <f t="shared" ref="V9:V13" si="25">Q9*U9</f>
        <v>15633.2</v>
      </c>
      <c r="W9" s="11">
        <v>4.8899999999999997</v>
      </c>
      <c r="X9" s="2">
        <f t="shared" ref="X9:X13" si="26">Q9*W9</f>
        <v>69496.679999999993</v>
      </c>
      <c r="Y9" s="2">
        <f t="shared" ref="Y9:Y13" si="27">X9-I9</f>
        <v>5056.4799999999886</v>
      </c>
      <c r="Z9" s="7">
        <f t="shared" ref="Z9:Z13" si="28">AF9+Y9</f>
        <v>18432.479999999989</v>
      </c>
      <c r="AA9" s="20">
        <f>Z9-V9</f>
        <v>2799.2799999999879</v>
      </c>
      <c r="AB9" s="21" t="s">
        <v>37</v>
      </c>
      <c r="AC9" s="6">
        <v>0.5</v>
      </c>
      <c r="AD9" s="5">
        <f t="shared" ref="AD9:AD13" si="29">M9*AC9</f>
        <v>418</v>
      </c>
      <c r="AE9" s="15">
        <v>32</v>
      </c>
      <c r="AF9" s="2">
        <f t="shared" ref="AF9:AF13" si="30">AD9*AE9</f>
        <v>13376</v>
      </c>
    </row>
    <row r="10" spans="1:32" x14ac:dyDescent="0.25">
      <c r="A10" s="2">
        <v>9</v>
      </c>
      <c r="B10" s="3">
        <v>1802</v>
      </c>
      <c r="C10" s="3" t="s">
        <v>139</v>
      </c>
      <c r="D10" s="34" t="s">
        <v>88</v>
      </c>
      <c r="E10" s="2" t="s">
        <v>74</v>
      </c>
      <c r="F10" s="4" t="s">
        <v>76</v>
      </c>
      <c r="G10" s="2">
        <v>548</v>
      </c>
      <c r="H10" s="2">
        <v>68.92</v>
      </c>
      <c r="I10" s="5">
        <f t="shared" si="20"/>
        <v>37768.160000000003</v>
      </c>
      <c r="J10" s="6">
        <f>2.3*57*1250*7.85/1000000</f>
        <v>1.2864187499999999</v>
      </c>
      <c r="K10" s="7">
        <f t="shared" si="21"/>
        <v>425.98881585020433</v>
      </c>
      <c r="L10" s="2">
        <v>426</v>
      </c>
      <c r="M10" s="2">
        <v>426</v>
      </c>
      <c r="N10" s="8">
        <v>31</v>
      </c>
      <c r="O10" s="2">
        <v>1</v>
      </c>
      <c r="P10" s="2">
        <f t="shared" si="22"/>
        <v>13206</v>
      </c>
      <c r="Q10" s="2">
        <v>13206</v>
      </c>
      <c r="R10" s="2">
        <v>13206</v>
      </c>
      <c r="S10" s="9">
        <f t="shared" si="23"/>
        <v>0</v>
      </c>
      <c r="T10" s="2">
        <f t="shared" si="24"/>
        <v>0</v>
      </c>
      <c r="U10" s="10">
        <v>1.1000000000000001</v>
      </c>
      <c r="V10" s="7">
        <f t="shared" si="25"/>
        <v>14526.6</v>
      </c>
      <c r="W10" s="11">
        <v>3.41</v>
      </c>
      <c r="X10" s="2">
        <f t="shared" si="26"/>
        <v>45032.46</v>
      </c>
      <c r="Y10" s="2">
        <f t="shared" si="27"/>
        <v>7264.2999999999956</v>
      </c>
      <c r="Z10" s="7">
        <f t="shared" si="28"/>
        <v>15443.499999999996</v>
      </c>
      <c r="AA10" s="20">
        <f t="shared" ref="AA10" si="31">Z10-V10</f>
        <v>916.899999999996</v>
      </c>
      <c r="AB10" s="21" t="s">
        <v>37</v>
      </c>
      <c r="AC10" s="6">
        <v>0.6</v>
      </c>
      <c r="AD10" s="5">
        <f t="shared" si="29"/>
        <v>255.6</v>
      </c>
      <c r="AE10" s="15">
        <v>32</v>
      </c>
      <c r="AF10" s="2">
        <f t="shared" si="30"/>
        <v>8179.2</v>
      </c>
    </row>
    <row r="11" spans="1:32" x14ac:dyDescent="0.25">
      <c r="A11" s="2">
        <v>10</v>
      </c>
      <c r="B11" s="3">
        <v>1802</v>
      </c>
      <c r="C11" s="3" t="s">
        <v>139</v>
      </c>
      <c r="D11" s="34" t="s">
        <v>88</v>
      </c>
      <c r="E11" s="30" t="s">
        <v>105</v>
      </c>
      <c r="F11" s="4" t="s">
        <v>96</v>
      </c>
      <c r="G11" s="2">
        <v>484</v>
      </c>
      <c r="H11" s="2">
        <v>68.92</v>
      </c>
      <c r="I11" s="5">
        <f t="shared" si="20"/>
        <v>33357.279999999999</v>
      </c>
      <c r="J11" s="6">
        <f>2*79*1250*7.85/1000000</f>
        <v>1.5503750000000001</v>
      </c>
      <c r="K11" s="7">
        <f t="shared" si="21"/>
        <v>312.18253648310889</v>
      </c>
      <c r="L11" s="2">
        <v>312</v>
      </c>
      <c r="M11" s="2">
        <v>312</v>
      </c>
      <c r="N11" s="8">
        <v>30</v>
      </c>
      <c r="O11" s="2">
        <v>1</v>
      </c>
      <c r="P11" s="2">
        <f t="shared" si="22"/>
        <v>9360</v>
      </c>
      <c r="Q11" s="22">
        <v>9360</v>
      </c>
      <c r="R11" s="22">
        <v>9360</v>
      </c>
      <c r="S11" s="9">
        <f t="shared" si="23"/>
        <v>0</v>
      </c>
      <c r="T11" s="2">
        <f t="shared" si="24"/>
        <v>0</v>
      </c>
      <c r="U11" s="10">
        <v>0.8</v>
      </c>
      <c r="V11" s="7">
        <f t="shared" si="25"/>
        <v>7488</v>
      </c>
      <c r="W11" s="11">
        <v>3.75</v>
      </c>
      <c r="X11" s="2">
        <f t="shared" si="26"/>
        <v>35100</v>
      </c>
      <c r="Y11" s="2">
        <f t="shared" si="27"/>
        <v>1742.7200000000012</v>
      </c>
      <c r="Z11" s="7">
        <f t="shared" si="28"/>
        <v>9434.1440000000039</v>
      </c>
      <c r="AA11" s="20">
        <f>Z11-V11</f>
        <v>1946.1440000000039</v>
      </c>
      <c r="AB11" s="21" t="s">
        <v>37</v>
      </c>
      <c r="AC11" s="18">
        <v>0.77037500000000014</v>
      </c>
      <c r="AD11" s="5">
        <f t="shared" si="29"/>
        <v>240.35700000000006</v>
      </c>
      <c r="AE11" s="15">
        <v>32</v>
      </c>
      <c r="AF11" s="2">
        <f t="shared" si="30"/>
        <v>7691.4240000000018</v>
      </c>
    </row>
    <row r="12" spans="1:32" x14ac:dyDescent="0.25">
      <c r="A12" s="2">
        <v>11</v>
      </c>
      <c r="B12" s="3">
        <v>1813</v>
      </c>
      <c r="C12" s="3" t="s">
        <v>139</v>
      </c>
      <c r="D12" s="34" t="s">
        <v>88</v>
      </c>
      <c r="E12" s="2" t="s">
        <v>103</v>
      </c>
      <c r="F12" s="4" t="s">
        <v>81</v>
      </c>
      <c r="G12" s="2">
        <v>665</v>
      </c>
      <c r="H12" s="2">
        <v>63.92</v>
      </c>
      <c r="I12" s="5">
        <f t="shared" si="20"/>
        <v>42506.8</v>
      </c>
      <c r="J12" s="6">
        <f>2.3*105*1250*7.85/1000000</f>
        <v>2.3697187499999997</v>
      </c>
      <c r="K12" s="7">
        <f t="shared" si="21"/>
        <v>280.62401920059085</v>
      </c>
      <c r="L12" s="2">
        <v>281</v>
      </c>
      <c r="M12" s="2">
        <v>281</v>
      </c>
      <c r="N12" s="8">
        <v>20</v>
      </c>
      <c r="O12" s="2">
        <v>1</v>
      </c>
      <c r="P12" s="2">
        <f>M12*N12*O12</f>
        <v>5620</v>
      </c>
      <c r="Q12" s="22">
        <v>5620</v>
      </c>
      <c r="R12" s="22">
        <v>5620</v>
      </c>
      <c r="S12" s="9">
        <f t="shared" si="23"/>
        <v>0</v>
      </c>
      <c r="T12" s="2">
        <f t="shared" si="24"/>
        <v>0</v>
      </c>
      <c r="U12" s="10">
        <v>0.8</v>
      </c>
      <c r="V12" s="7">
        <f t="shared" si="25"/>
        <v>4496</v>
      </c>
      <c r="W12" s="11">
        <v>6.95</v>
      </c>
      <c r="X12" s="2">
        <f t="shared" si="26"/>
        <v>39059</v>
      </c>
      <c r="Y12" s="65">
        <f t="shared" si="27"/>
        <v>-3447.8000000000029</v>
      </c>
      <c r="Z12" s="7">
        <f t="shared" si="28"/>
        <v>5544.1999999999971</v>
      </c>
      <c r="AA12" s="20">
        <f t="shared" ref="AA12" si="32">Z12-V12</f>
        <v>1048.1999999999971</v>
      </c>
      <c r="AB12" s="21" t="s">
        <v>37</v>
      </c>
      <c r="AC12" s="6">
        <v>1</v>
      </c>
      <c r="AD12" s="5">
        <f t="shared" si="29"/>
        <v>281</v>
      </c>
      <c r="AE12" s="15">
        <v>32</v>
      </c>
      <c r="AF12" s="2">
        <f t="shared" si="30"/>
        <v>8992</v>
      </c>
    </row>
    <row r="13" spans="1:32" x14ac:dyDescent="0.25">
      <c r="A13" s="2">
        <v>12</v>
      </c>
      <c r="B13" s="3">
        <v>1813</v>
      </c>
      <c r="C13" s="3" t="s">
        <v>139</v>
      </c>
      <c r="D13" s="34" t="s">
        <v>88</v>
      </c>
      <c r="E13" s="2" t="s">
        <v>92</v>
      </c>
      <c r="F13" s="4" t="s">
        <v>93</v>
      </c>
      <c r="G13" s="2">
        <v>1077</v>
      </c>
      <c r="H13" s="2">
        <v>63.92</v>
      </c>
      <c r="I13" s="5">
        <f t="shared" si="20"/>
        <v>68841.84</v>
      </c>
      <c r="J13" s="6">
        <f>2*142*1250*7.85/1000000</f>
        <v>2.7867500000000001</v>
      </c>
      <c r="K13" s="7">
        <f t="shared" si="21"/>
        <v>386.47169642056156</v>
      </c>
      <c r="L13" s="2">
        <v>386</v>
      </c>
      <c r="M13" s="2">
        <v>386</v>
      </c>
      <c r="N13" s="8">
        <v>35</v>
      </c>
      <c r="O13" s="2">
        <v>1</v>
      </c>
      <c r="P13" s="2">
        <f t="shared" ref="P13" si="33">M13*N13*O13</f>
        <v>13510</v>
      </c>
      <c r="Q13" s="22">
        <v>13510</v>
      </c>
      <c r="R13" s="22">
        <v>13510</v>
      </c>
      <c r="S13" s="9">
        <f t="shared" si="23"/>
        <v>0</v>
      </c>
      <c r="T13" s="2">
        <f t="shared" si="24"/>
        <v>0</v>
      </c>
      <c r="U13" s="10">
        <v>0.8</v>
      </c>
      <c r="V13" s="7">
        <f t="shared" si="25"/>
        <v>10808</v>
      </c>
      <c r="W13" s="11">
        <v>5.55</v>
      </c>
      <c r="X13" s="2">
        <f t="shared" si="26"/>
        <v>74980.5</v>
      </c>
      <c r="Y13" s="2">
        <f t="shared" si="27"/>
        <v>6138.6600000000035</v>
      </c>
      <c r="Z13" s="7">
        <f t="shared" si="28"/>
        <v>14538.020000000004</v>
      </c>
      <c r="AA13" s="20">
        <f>Z13-V13</f>
        <v>3730.0200000000041</v>
      </c>
      <c r="AB13" s="21" t="s">
        <v>37</v>
      </c>
      <c r="AC13" s="6">
        <v>0.68</v>
      </c>
      <c r="AD13" s="5">
        <f t="shared" si="29"/>
        <v>262.48</v>
      </c>
      <c r="AE13" s="15">
        <v>32</v>
      </c>
      <c r="AF13" s="2">
        <f t="shared" si="30"/>
        <v>8399.36</v>
      </c>
    </row>
    <row r="14" spans="1:32" x14ac:dyDescent="0.25">
      <c r="B14" s="3"/>
      <c r="I14" s="17"/>
    </row>
    <row r="15" spans="1:32" x14ac:dyDescent="0.25">
      <c r="B15" s="3"/>
      <c r="I15" s="17"/>
    </row>
    <row r="16" spans="1:32" x14ac:dyDescent="0.25">
      <c r="B16" s="3"/>
      <c r="I16" s="17"/>
    </row>
    <row r="17" spans="1:32" x14ac:dyDescent="0.25">
      <c r="B17" s="3"/>
      <c r="I17" s="54"/>
    </row>
    <row r="18" spans="1:32" ht="24.75" customHeight="1" x14ac:dyDescent="0.25">
      <c r="A18" s="49"/>
      <c r="B18" s="49"/>
      <c r="C18" s="49"/>
      <c r="D18" s="49"/>
      <c r="E18" s="50"/>
      <c r="F18" s="49"/>
      <c r="G18" s="55">
        <f>SUM(G2:G17)</f>
        <v>17431</v>
      </c>
      <c r="H18" s="56"/>
      <c r="I18" s="55">
        <f>SUM(I2:I17)</f>
        <v>452087.32000000007</v>
      </c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55">
        <f>SUM(AA2:AA17)</f>
        <v>13812.329999999984</v>
      </c>
      <c r="AB18" s="49"/>
      <c r="AC18" s="49"/>
      <c r="AD18" s="55">
        <f>SUM(AD2:AD17)</f>
        <v>2381.3200000000002</v>
      </c>
      <c r="AE18" s="49"/>
      <c r="AF18" s="55">
        <f>SUM(AF2:AF17)</f>
        <v>76202.240000000005</v>
      </c>
    </row>
    <row r="19" spans="1:32" x14ac:dyDescent="0.25">
      <c r="B19" s="3"/>
    </row>
    <row r="20" spans="1:32" x14ac:dyDescent="0.25">
      <c r="J20" s="53"/>
    </row>
  </sheetData>
  <autoFilter ref="A1:AF6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Apr'25</vt:lpstr>
      <vt:lpstr>May'25</vt:lpstr>
      <vt:lpstr>Jun'25</vt:lpstr>
      <vt:lpstr>Jul'25</vt:lpstr>
      <vt:lpstr>Aug'25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2025-08-07T12:55:42Z</dcterms:modified>
</cp:coreProperties>
</file>