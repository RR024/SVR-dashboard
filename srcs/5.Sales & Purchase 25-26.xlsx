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" sheetId="1" r:id="rId1"/>
    <sheet name="P" sheetId="2" r:id="rId2"/>
  </sheets>
  <definedNames>
    <definedName name="_xlnm._FilterDatabase" localSheetId="1" hidden="1">P!$A$1:$N$85</definedName>
    <definedName name="_xlnm._FilterDatabase" localSheetId="0" hidden="1">S!$A$1:$Q$152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5" i="2" l="1"/>
  <c r="G85" i="2"/>
  <c r="L85" i="2"/>
  <c r="M85" i="2"/>
  <c r="N85" i="2"/>
  <c r="I84" i="2"/>
  <c r="H84" i="2"/>
  <c r="H83" i="2"/>
  <c r="I83" i="2"/>
  <c r="H82" i="2"/>
  <c r="I82" i="2"/>
  <c r="H81" i="2"/>
  <c r="I81" i="2"/>
  <c r="H80" i="2"/>
  <c r="I80" i="2"/>
  <c r="H79" i="2"/>
  <c r="I79" i="2"/>
  <c r="H78" i="2"/>
  <c r="I78" i="2"/>
  <c r="H77" i="2"/>
  <c r="I77" i="2"/>
  <c r="H76" i="2"/>
  <c r="I76" i="2"/>
  <c r="H75" i="2"/>
  <c r="I75" i="2"/>
  <c r="I74" i="2"/>
  <c r="H74" i="2"/>
  <c r="I73" i="2"/>
  <c r="H73" i="2"/>
  <c r="H72" i="2"/>
  <c r="I72" i="2"/>
  <c r="H71" i="2"/>
  <c r="I71" i="2"/>
  <c r="H70" i="2"/>
  <c r="I70" i="2"/>
  <c r="I69" i="2"/>
  <c r="H69" i="2"/>
  <c r="H68" i="2"/>
  <c r="I68" i="2"/>
  <c r="I67" i="2"/>
  <c r="H67" i="2"/>
  <c r="H66" i="2"/>
  <c r="I66" i="2"/>
  <c r="I65" i="2"/>
  <c r="H65" i="2"/>
  <c r="I64" i="2"/>
  <c r="H64" i="2"/>
  <c r="H63" i="2"/>
  <c r="I63" i="2"/>
  <c r="I62" i="2"/>
  <c r="H62" i="2"/>
  <c r="K78" i="2" l="1"/>
  <c r="J71" i="2"/>
  <c r="K73" i="2"/>
  <c r="K71" i="2"/>
  <c r="K75" i="2"/>
  <c r="K66" i="2"/>
  <c r="K67" i="2"/>
  <c r="K69" i="2"/>
  <c r="J77" i="2"/>
  <c r="K76" i="2"/>
  <c r="K64" i="2"/>
  <c r="K77" i="2"/>
  <c r="J76" i="2"/>
  <c r="J63" i="2"/>
  <c r="J75" i="2"/>
  <c r="I85" i="2"/>
  <c r="J80" i="2"/>
  <c r="K81" i="2"/>
  <c r="K63" i="2"/>
  <c r="K80" i="2"/>
  <c r="J83" i="2"/>
  <c r="K62" i="2"/>
  <c r="K65" i="2"/>
  <c r="J70" i="2"/>
  <c r="K72" i="2"/>
  <c r="K74" i="2"/>
  <c r="J82" i="2"/>
  <c r="K84" i="2"/>
  <c r="H85" i="2"/>
  <c r="J84" i="2"/>
  <c r="K83" i="2"/>
  <c r="K82" i="2"/>
  <c r="J81" i="2"/>
  <c r="J79" i="2"/>
  <c r="K79" i="2"/>
  <c r="J78" i="2"/>
  <c r="J74" i="2"/>
  <c r="J73" i="2"/>
  <c r="J72" i="2"/>
  <c r="K70" i="2"/>
  <c r="J69" i="2"/>
  <c r="J68" i="2"/>
  <c r="K68" i="2"/>
  <c r="J67" i="2"/>
  <c r="J66" i="2"/>
  <c r="J65" i="2"/>
  <c r="J64" i="2"/>
  <c r="J62" i="2"/>
  <c r="K85" i="2" l="1"/>
  <c r="J85" i="2"/>
  <c r="Q152" i="1" l="1"/>
  <c r="M152" i="1"/>
  <c r="Q104" i="1"/>
  <c r="M104" i="1"/>
  <c r="M83" i="1"/>
  <c r="M56" i="1"/>
  <c r="Q82" i="1"/>
  <c r="J141" i="1" l="1"/>
  <c r="I141" i="1"/>
  <c r="I142" i="1"/>
  <c r="J142" i="1"/>
  <c r="K141" i="1" l="1"/>
  <c r="K142" i="1"/>
  <c r="L142" i="1"/>
  <c r="P142" i="1" s="1"/>
  <c r="L141" i="1"/>
  <c r="P141" i="1" s="1"/>
  <c r="J151" i="1"/>
  <c r="I151" i="1"/>
  <c r="J150" i="1"/>
  <c r="I150" i="1"/>
  <c r="I149" i="1"/>
  <c r="J149" i="1"/>
  <c r="I148" i="1"/>
  <c r="J148" i="1"/>
  <c r="J147" i="1"/>
  <c r="I147" i="1"/>
  <c r="J146" i="1"/>
  <c r="I146" i="1"/>
  <c r="J145" i="1"/>
  <c r="I145" i="1"/>
  <c r="I144" i="1"/>
  <c r="J144" i="1"/>
  <c r="J143" i="1"/>
  <c r="I143" i="1"/>
  <c r="I140" i="1"/>
  <c r="J140" i="1"/>
  <c r="I139" i="1"/>
  <c r="J139" i="1"/>
  <c r="J138" i="1"/>
  <c r="I138" i="1"/>
  <c r="J137" i="1"/>
  <c r="I137" i="1"/>
  <c r="L137" i="1" l="1"/>
  <c r="P137" i="1" s="1"/>
  <c r="L143" i="1"/>
  <c r="P143" i="1" s="1"/>
  <c r="K149" i="1"/>
  <c r="L151" i="1"/>
  <c r="P151" i="1" s="1"/>
  <c r="K140" i="1"/>
  <c r="L145" i="1"/>
  <c r="P145" i="1" s="1"/>
  <c r="L147" i="1"/>
  <c r="P147" i="1" s="1"/>
  <c r="L150" i="1"/>
  <c r="P150" i="1" s="1"/>
  <c r="K148" i="1"/>
  <c r="L149" i="1"/>
  <c r="P149" i="1" s="1"/>
  <c r="L148" i="1"/>
  <c r="P148" i="1" s="1"/>
  <c r="K151" i="1"/>
  <c r="K150" i="1"/>
  <c r="K147" i="1"/>
  <c r="K146" i="1"/>
  <c r="L146" i="1"/>
  <c r="P146" i="1" s="1"/>
  <c r="K145" i="1"/>
  <c r="K144" i="1"/>
  <c r="L144" i="1"/>
  <c r="P144" i="1" s="1"/>
  <c r="K143" i="1"/>
  <c r="K139" i="1"/>
  <c r="L140" i="1"/>
  <c r="P140" i="1" s="1"/>
  <c r="L139" i="1"/>
  <c r="P139" i="1" s="1"/>
  <c r="K137" i="1"/>
  <c r="L138" i="1"/>
  <c r="P138" i="1" s="1"/>
  <c r="K138" i="1"/>
  <c r="H152" i="1"/>
  <c r="J136" i="1"/>
  <c r="I136" i="1"/>
  <c r="I135" i="1"/>
  <c r="J135" i="1"/>
  <c r="J134" i="1"/>
  <c r="I134" i="1"/>
  <c r="I133" i="1"/>
  <c r="J133" i="1"/>
  <c r="I132" i="1"/>
  <c r="J132" i="1"/>
  <c r="J131" i="1"/>
  <c r="I131" i="1"/>
  <c r="J130" i="1"/>
  <c r="I130" i="1"/>
  <c r="J129" i="1"/>
  <c r="I129" i="1"/>
  <c r="J128" i="1"/>
  <c r="I128" i="1"/>
  <c r="J127" i="1"/>
  <c r="I127" i="1"/>
  <c r="J126" i="1"/>
  <c r="I126" i="1"/>
  <c r="I125" i="1"/>
  <c r="J125" i="1"/>
  <c r="J124" i="1"/>
  <c r="I124" i="1"/>
  <c r="I123" i="1"/>
  <c r="J123" i="1"/>
  <c r="J122" i="1"/>
  <c r="I122" i="1"/>
  <c r="I121" i="1"/>
  <c r="J121" i="1"/>
  <c r="I120" i="1"/>
  <c r="J120" i="1"/>
  <c r="J119" i="1"/>
  <c r="I119" i="1"/>
  <c r="I118" i="1"/>
  <c r="J118" i="1"/>
  <c r="J117" i="1"/>
  <c r="I117" i="1"/>
  <c r="I116" i="1"/>
  <c r="J116" i="1"/>
  <c r="J115" i="1"/>
  <c r="I115" i="1"/>
  <c r="J114" i="1"/>
  <c r="I114" i="1"/>
  <c r="J113" i="1"/>
  <c r="I113" i="1"/>
  <c r="I112" i="1"/>
  <c r="J112" i="1"/>
  <c r="J111" i="1"/>
  <c r="I111" i="1"/>
  <c r="J110" i="1"/>
  <c r="I110" i="1"/>
  <c r="J109" i="1"/>
  <c r="I109" i="1"/>
  <c r="I108" i="1"/>
  <c r="J108" i="1"/>
  <c r="I107" i="1"/>
  <c r="J107" i="1"/>
  <c r="I106" i="1"/>
  <c r="J106" i="1"/>
  <c r="J105" i="1"/>
  <c r="I105" i="1"/>
  <c r="L126" i="1" l="1"/>
  <c r="P126" i="1" s="1"/>
  <c r="L128" i="1"/>
  <c r="P128" i="1" s="1"/>
  <c r="K130" i="1"/>
  <c r="L132" i="1"/>
  <c r="P132" i="1" s="1"/>
  <c r="L133" i="1"/>
  <c r="P133" i="1" s="1"/>
  <c r="K132" i="1"/>
  <c r="K123" i="1"/>
  <c r="L125" i="1"/>
  <c r="P125" i="1" s="1"/>
  <c r="L127" i="1"/>
  <c r="P127" i="1" s="1"/>
  <c r="L129" i="1"/>
  <c r="P129" i="1" s="1"/>
  <c r="L131" i="1"/>
  <c r="P131" i="1" s="1"/>
  <c r="K112" i="1"/>
  <c r="L114" i="1"/>
  <c r="P114" i="1" s="1"/>
  <c r="K116" i="1"/>
  <c r="K118" i="1"/>
  <c r="I152" i="1"/>
  <c r="L111" i="1"/>
  <c r="P111" i="1" s="1"/>
  <c r="L113" i="1"/>
  <c r="P113" i="1" s="1"/>
  <c r="L115" i="1"/>
  <c r="P115" i="1" s="1"/>
  <c r="K117" i="1"/>
  <c r="L119" i="1"/>
  <c r="P119" i="1" s="1"/>
  <c r="L123" i="1"/>
  <c r="P123" i="1" s="1"/>
  <c r="J152" i="1"/>
  <c r="K133" i="1"/>
  <c r="L135" i="1"/>
  <c r="P135" i="1" s="1"/>
  <c r="K107" i="1"/>
  <c r="L109" i="1"/>
  <c r="P109" i="1" s="1"/>
  <c r="L110" i="1"/>
  <c r="P110" i="1" s="1"/>
  <c r="L122" i="1"/>
  <c r="P122" i="1" s="1"/>
  <c r="K136" i="1"/>
  <c r="L136" i="1"/>
  <c r="P136" i="1" s="1"/>
  <c r="K135" i="1"/>
  <c r="L134" i="1"/>
  <c r="P134" i="1" s="1"/>
  <c r="K134" i="1"/>
  <c r="K131" i="1"/>
  <c r="L130" i="1"/>
  <c r="P130" i="1" s="1"/>
  <c r="K129" i="1"/>
  <c r="K128" i="1"/>
  <c r="K127" i="1"/>
  <c r="K126" i="1"/>
  <c r="K125" i="1"/>
  <c r="L124" i="1"/>
  <c r="P124" i="1" s="1"/>
  <c r="K124" i="1"/>
  <c r="K122" i="1"/>
  <c r="K121" i="1"/>
  <c r="L121" i="1"/>
  <c r="P121" i="1" s="1"/>
  <c r="K120" i="1"/>
  <c r="L120" i="1"/>
  <c r="P120" i="1" s="1"/>
  <c r="K119" i="1"/>
  <c r="L118" i="1"/>
  <c r="P118" i="1" s="1"/>
  <c r="L117" i="1"/>
  <c r="P117" i="1" s="1"/>
  <c r="L116" i="1"/>
  <c r="P116" i="1" s="1"/>
  <c r="K115" i="1"/>
  <c r="K114" i="1"/>
  <c r="K113" i="1"/>
  <c r="L112" i="1"/>
  <c r="P112" i="1" s="1"/>
  <c r="K111" i="1"/>
  <c r="K110" i="1"/>
  <c r="K109" i="1"/>
  <c r="K108" i="1"/>
  <c r="L108" i="1"/>
  <c r="P108" i="1" s="1"/>
  <c r="L105" i="1"/>
  <c r="L107" i="1"/>
  <c r="P107" i="1" s="1"/>
  <c r="K106" i="1"/>
  <c r="L106" i="1"/>
  <c r="P106" i="1" s="1"/>
  <c r="K105" i="1"/>
  <c r="H104" i="1"/>
  <c r="K152" i="1" l="1"/>
  <c r="P105" i="1"/>
  <c r="L152" i="1"/>
  <c r="I103" i="1"/>
  <c r="J103" i="1"/>
  <c r="J102" i="1"/>
  <c r="I102" i="1"/>
  <c r="N61" i="2"/>
  <c r="M61" i="2"/>
  <c r="L61" i="2"/>
  <c r="G61" i="2"/>
  <c r="F61" i="2"/>
  <c r="H60" i="2"/>
  <c r="I60" i="2"/>
  <c r="H59" i="2"/>
  <c r="I59" i="2"/>
  <c r="L103" i="1" l="1"/>
  <c r="P103" i="1" s="1"/>
  <c r="K103" i="1"/>
  <c r="J60" i="2"/>
  <c r="L102" i="1"/>
  <c r="P102" i="1" s="1"/>
  <c r="K102" i="1"/>
  <c r="K60" i="2"/>
  <c r="J59" i="2"/>
  <c r="K59" i="2"/>
  <c r="J101" i="1"/>
  <c r="I101" i="1"/>
  <c r="O104" i="1"/>
  <c r="N104" i="1"/>
  <c r="J100" i="1"/>
  <c r="I100" i="1"/>
  <c r="J99" i="1"/>
  <c r="I99" i="1"/>
  <c r="J98" i="1"/>
  <c r="I98" i="1"/>
  <c r="I97" i="1"/>
  <c r="J97" i="1"/>
  <c r="J96" i="1"/>
  <c r="I96" i="1"/>
  <c r="J95" i="1"/>
  <c r="I95" i="1"/>
  <c r="J94" i="1"/>
  <c r="I94" i="1"/>
  <c r="I93" i="1"/>
  <c r="J93" i="1"/>
  <c r="J92" i="1"/>
  <c r="I92" i="1"/>
  <c r="I91" i="1"/>
  <c r="J91" i="1"/>
  <c r="J90" i="1"/>
  <c r="I90" i="1"/>
  <c r="J89" i="1"/>
  <c r="I89" i="1"/>
  <c r="J88" i="1"/>
  <c r="I88" i="1"/>
  <c r="I87" i="1"/>
  <c r="J87" i="1"/>
  <c r="J86" i="1"/>
  <c r="I86" i="1"/>
  <c r="J85" i="1"/>
  <c r="I85" i="1"/>
  <c r="J84" i="1"/>
  <c r="I84" i="1"/>
  <c r="I104" i="1" l="1"/>
  <c r="L84" i="1"/>
  <c r="P84" i="1" s="1"/>
  <c r="P104" i="1" s="1"/>
  <c r="L86" i="1"/>
  <c r="P86" i="1" s="1"/>
  <c r="L88" i="1"/>
  <c r="P88" i="1" s="1"/>
  <c r="L98" i="1"/>
  <c r="P98" i="1" s="1"/>
  <c r="L100" i="1"/>
  <c r="P100" i="1" s="1"/>
  <c r="K97" i="1"/>
  <c r="L99" i="1"/>
  <c r="P99" i="1" s="1"/>
  <c r="L101" i="1"/>
  <c r="P101" i="1" s="1"/>
  <c r="K91" i="1"/>
  <c r="L97" i="1"/>
  <c r="P97" i="1" s="1"/>
  <c r="K92" i="1"/>
  <c r="L87" i="1"/>
  <c r="P87" i="1" s="1"/>
  <c r="L91" i="1"/>
  <c r="P91" i="1" s="1"/>
  <c r="L95" i="1"/>
  <c r="P95" i="1" s="1"/>
  <c r="K100" i="1"/>
  <c r="L85" i="1"/>
  <c r="P85" i="1" s="1"/>
  <c r="J104" i="1"/>
  <c r="K86" i="1"/>
  <c r="K87" i="1"/>
  <c r="L89" i="1"/>
  <c r="P89" i="1" s="1"/>
  <c r="L92" i="1"/>
  <c r="P92" i="1" s="1"/>
  <c r="L94" i="1"/>
  <c r="P94" i="1" s="1"/>
  <c r="L96" i="1"/>
  <c r="P96" i="1" s="1"/>
  <c r="K101" i="1"/>
  <c r="K99" i="1"/>
  <c r="K98" i="1"/>
  <c r="K96" i="1"/>
  <c r="K95" i="1"/>
  <c r="K94" i="1"/>
  <c r="K93" i="1"/>
  <c r="L93" i="1"/>
  <c r="P93" i="1" s="1"/>
  <c r="L90" i="1"/>
  <c r="P90" i="1" s="1"/>
  <c r="K90" i="1"/>
  <c r="K89" i="1"/>
  <c r="K88" i="1"/>
  <c r="K85" i="1"/>
  <c r="K84" i="1"/>
  <c r="H58" i="2"/>
  <c r="I58" i="2"/>
  <c r="H57" i="2"/>
  <c r="I57" i="2"/>
  <c r="H56" i="2"/>
  <c r="I56" i="2"/>
  <c r="H55" i="2"/>
  <c r="I55" i="2"/>
  <c r="H54" i="2"/>
  <c r="I54" i="2"/>
  <c r="I53" i="2"/>
  <c r="H53" i="2"/>
  <c r="I52" i="2"/>
  <c r="H52" i="2"/>
  <c r="J57" i="2" l="1"/>
  <c r="K56" i="2"/>
  <c r="K52" i="2"/>
  <c r="J56" i="2"/>
  <c r="J58" i="2"/>
  <c r="J54" i="2"/>
  <c r="K57" i="2"/>
  <c r="K54" i="2"/>
  <c r="J55" i="2"/>
  <c r="K53" i="2"/>
  <c r="L104" i="1"/>
  <c r="K104" i="1"/>
  <c r="K58" i="2"/>
  <c r="K55" i="2"/>
  <c r="J53" i="2"/>
  <c r="J52" i="2"/>
  <c r="H50" i="2" l="1"/>
  <c r="I50" i="2"/>
  <c r="H49" i="2"/>
  <c r="I49" i="2"/>
  <c r="H48" i="2"/>
  <c r="I48" i="2"/>
  <c r="H47" i="2"/>
  <c r="I47" i="2"/>
  <c r="I45" i="2"/>
  <c r="H45" i="2"/>
  <c r="I44" i="2"/>
  <c r="H44" i="2"/>
  <c r="I42" i="2"/>
  <c r="H42" i="2"/>
  <c r="I41" i="2"/>
  <c r="H41" i="2"/>
  <c r="K48" i="2" l="1"/>
  <c r="K47" i="2"/>
  <c r="K41" i="2"/>
  <c r="K45" i="2"/>
  <c r="J48" i="2"/>
  <c r="K42" i="2"/>
  <c r="J50" i="2"/>
  <c r="K49" i="2"/>
  <c r="K50" i="2"/>
  <c r="J49" i="2"/>
  <c r="J47" i="2"/>
  <c r="J45" i="2"/>
  <c r="K44" i="2"/>
  <c r="J44" i="2"/>
  <c r="J42" i="2"/>
  <c r="J41" i="2"/>
  <c r="N39" i="2" l="1"/>
  <c r="M39" i="2"/>
  <c r="L39" i="2"/>
  <c r="I40" i="2"/>
  <c r="I61" i="2" s="1"/>
  <c r="H40" i="2"/>
  <c r="K40" i="2" l="1"/>
  <c r="K61" i="2" s="1"/>
  <c r="H61" i="2"/>
  <c r="J40" i="2"/>
  <c r="J61" i="2" s="1"/>
  <c r="I82" i="1"/>
  <c r="J82" i="1"/>
  <c r="K82" i="1" l="1"/>
  <c r="L82" i="1"/>
  <c r="P82" i="1" s="1"/>
  <c r="I38" i="2"/>
  <c r="H38" i="2"/>
  <c r="H37" i="2"/>
  <c r="I37" i="2"/>
  <c r="I81" i="1"/>
  <c r="J81" i="1"/>
  <c r="J80" i="1"/>
  <c r="I80" i="1"/>
  <c r="J79" i="1"/>
  <c r="I79" i="1"/>
  <c r="J78" i="1"/>
  <c r="I78" i="1"/>
  <c r="J77" i="1"/>
  <c r="I77" i="1"/>
  <c r="J76" i="1"/>
  <c r="I76" i="1"/>
  <c r="K38" i="2" l="1"/>
  <c r="L81" i="1"/>
  <c r="L76" i="1"/>
  <c r="P76" i="1" s="1"/>
  <c r="K78" i="1"/>
  <c r="L80" i="1"/>
  <c r="K81" i="1"/>
  <c r="L77" i="1"/>
  <c r="K79" i="1"/>
  <c r="J38" i="2"/>
  <c r="J37" i="2"/>
  <c r="K37" i="2"/>
  <c r="K80" i="1"/>
  <c r="L79" i="1"/>
  <c r="P79" i="1" s="1"/>
  <c r="L78" i="1"/>
  <c r="P78" i="1" s="1"/>
  <c r="K77" i="1"/>
  <c r="K76" i="1"/>
  <c r="O83" i="1"/>
  <c r="N83" i="1"/>
  <c r="H83" i="1"/>
  <c r="I75" i="1"/>
  <c r="J75" i="1"/>
  <c r="J74" i="1"/>
  <c r="I74" i="1"/>
  <c r="J73" i="1"/>
  <c r="I73" i="1"/>
  <c r="J72" i="1"/>
  <c r="I72" i="1"/>
  <c r="J71" i="1"/>
  <c r="I71" i="1"/>
  <c r="I70" i="1"/>
  <c r="J70" i="1"/>
  <c r="I69" i="1"/>
  <c r="J69" i="1"/>
  <c r="J68" i="1"/>
  <c r="I68" i="1"/>
  <c r="J67" i="1"/>
  <c r="I67" i="1"/>
  <c r="J66" i="1"/>
  <c r="I66" i="1"/>
  <c r="J65" i="1"/>
  <c r="I65" i="1"/>
  <c r="J64" i="1"/>
  <c r="I64" i="1"/>
  <c r="J63" i="1"/>
  <c r="I63" i="1"/>
  <c r="J62" i="1"/>
  <c r="I62" i="1"/>
  <c r="I61" i="1"/>
  <c r="J61" i="1"/>
  <c r="J60" i="1"/>
  <c r="I60" i="1"/>
  <c r="J59" i="1"/>
  <c r="I59" i="1"/>
  <c r="I58" i="1"/>
  <c r="J58" i="1"/>
  <c r="J57" i="1"/>
  <c r="I57" i="1"/>
  <c r="Q77" i="1" l="1"/>
  <c r="P77" i="1"/>
  <c r="Q81" i="1"/>
  <c r="P81" i="1"/>
  <c r="Q80" i="1"/>
  <c r="P80" i="1"/>
  <c r="K58" i="1"/>
  <c r="L58" i="1"/>
  <c r="P58" i="1" s="1"/>
  <c r="L70" i="1"/>
  <c r="P70" i="1" s="1"/>
  <c r="K61" i="1"/>
  <c r="L63" i="1"/>
  <c r="P63" i="1" s="1"/>
  <c r="L65" i="1"/>
  <c r="P65" i="1" s="1"/>
  <c r="L67" i="1"/>
  <c r="L61" i="1"/>
  <c r="P61" i="1" s="1"/>
  <c r="K70" i="1"/>
  <c r="L74" i="1"/>
  <c r="P74" i="1" s="1"/>
  <c r="J83" i="1"/>
  <c r="L64" i="1"/>
  <c r="P64" i="1" s="1"/>
  <c r="L71" i="1"/>
  <c r="P71" i="1" s="1"/>
  <c r="K66" i="1"/>
  <c r="L68" i="1"/>
  <c r="P68" i="1" s="1"/>
  <c r="L73" i="1"/>
  <c r="P73" i="1" s="1"/>
  <c r="K75" i="1"/>
  <c r="K57" i="1"/>
  <c r="L72" i="1"/>
  <c r="P72" i="1" s="1"/>
  <c r="I83" i="1"/>
  <c r="L75" i="1"/>
  <c r="P75" i="1" s="1"/>
  <c r="K74" i="1"/>
  <c r="K73" i="1"/>
  <c r="K72" i="1"/>
  <c r="K71" i="1"/>
  <c r="K69" i="1"/>
  <c r="L69" i="1"/>
  <c r="P69" i="1" s="1"/>
  <c r="K68" i="1"/>
  <c r="K67" i="1"/>
  <c r="L66" i="1"/>
  <c r="P66" i="1" s="1"/>
  <c r="K65" i="1"/>
  <c r="K64" i="1"/>
  <c r="K63" i="1"/>
  <c r="L62" i="1"/>
  <c r="K62" i="1"/>
  <c r="L60" i="1"/>
  <c r="P60" i="1" s="1"/>
  <c r="K60" i="1"/>
  <c r="L59" i="1"/>
  <c r="K59" i="1"/>
  <c r="L57" i="1"/>
  <c r="Q59" i="1" l="1"/>
  <c r="P59" i="1"/>
  <c r="Q62" i="1"/>
  <c r="P62" i="1"/>
  <c r="Q67" i="1"/>
  <c r="P67" i="1"/>
  <c r="K83" i="1"/>
  <c r="P57" i="1"/>
  <c r="P83" i="1" s="1"/>
  <c r="L83" i="1"/>
  <c r="Q83" i="1" l="1"/>
  <c r="F39" i="2"/>
  <c r="I36" i="2"/>
  <c r="H36" i="2"/>
  <c r="H35" i="2"/>
  <c r="I35" i="2"/>
  <c r="I34" i="2"/>
  <c r="H34" i="2"/>
  <c r="H33" i="2"/>
  <c r="I33" i="2"/>
  <c r="H32" i="2"/>
  <c r="I32" i="2"/>
  <c r="I31" i="2"/>
  <c r="H31" i="2"/>
  <c r="I30" i="2"/>
  <c r="H30" i="2"/>
  <c r="H29" i="2"/>
  <c r="I29" i="2"/>
  <c r="I28" i="2"/>
  <c r="H28" i="2"/>
  <c r="I27" i="2"/>
  <c r="H27" i="2"/>
  <c r="J32" i="2" l="1"/>
  <c r="K31" i="2"/>
  <c r="I39" i="2"/>
  <c r="K32" i="2"/>
  <c r="K34" i="2"/>
  <c r="K36" i="2"/>
  <c r="K27" i="2"/>
  <c r="H39" i="2"/>
  <c r="J35" i="2"/>
  <c r="J28" i="2"/>
  <c r="K30" i="2"/>
  <c r="K33" i="2"/>
  <c r="K35" i="2"/>
  <c r="J36" i="2"/>
  <c r="J34" i="2"/>
  <c r="J33" i="2"/>
  <c r="J31" i="2"/>
  <c r="J30" i="2"/>
  <c r="J29" i="2"/>
  <c r="K29" i="2"/>
  <c r="K28" i="2"/>
  <c r="J27" i="2"/>
  <c r="K39" i="2" l="1"/>
  <c r="J39" i="2"/>
  <c r="J35" i="1" l="1"/>
  <c r="I35" i="1"/>
  <c r="J32" i="1"/>
  <c r="I32" i="1"/>
  <c r="I30" i="1"/>
  <c r="J30" i="1"/>
  <c r="L35" i="1" l="1"/>
  <c r="P35" i="1" s="1"/>
  <c r="K35" i="1"/>
  <c r="L32" i="1"/>
  <c r="P32" i="1" s="1"/>
  <c r="K32" i="1"/>
  <c r="K30" i="1"/>
  <c r="L30" i="1"/>
  <c r="P30" i="1" s="1"/>
  <c r="H25" i="2"/>
  <c r="I25" i="2"/>
  <c r="I24" i="2"/>
  <c r="H24" i="2"/>
  <c r="I23" i="2"/>
  <c r="H23" i="2"/>
  <c r="H22" i="2"/>
  <c r="I22" i="2"/>
  <c r="I21" i="2"/>
  <c r="H21" i="2"/>
  <c r="I20" i="2"/>
  <c r="H20" i="2"/>
  <c r="H19" i="2"/>
  <c r="I19" i="2"/>
  <c r="H18" i="2"/>
  <c r="I18" i="2"/>
  <c r="I17" i="2"/>
  <c r="H17" i="2"/>
  <c r="I16" i="2"/>
  <c r="H16" i="2"/>
  <c r="H15" i="2"/>
  <c r="I15" i="2"/>
  <c r="H14" i="2"/>
  <c r="I14" i="2"/>
  <c r="I13" i="2"/>
  <c r="H13" i="2"/>
  <c r="I12" i="2"/>
  <c r="H12" i="2"/>
  <c r="H11" i="2"/>
  <c r="I11" i="2"/>
  <c r="H10" i="2"/>
  <c r="I10" i="2"/>
  <c r="F26" i="2"/>
  <c r="L26" i="2"/>
  <c r="M26" i="2"/>
  <c r="I9" i="2"/>
  <c r="H9" i="2"/>
  <c r="H8" i="2"/>
  <c r="I8" i="2"/>
  <c r="I7" i="2"/>
  <c r="H7" i="2"/>
  <c r="I6" i="2"/>
  <c r="H6" i="2"/>
  <c r="I5" i="2"/>
  <c r="H5" i="2"/>
  <c r="H4" i="2"/>
  <c r="I4" i="2"/>
  <c r="I3" i="2"/>
  <c r="H3" i="2"/>
  <c r="I2" i="2"/>
  <c r="H2" i="2"/>
  <c r="K22" i="2" l="1"/>
  <c r="K6" i="2"/>
  <c r="N6" i="2" s="1"/>
  <c r="K24" i="2"/>
  <c r="J2" i="2"/>
  <c r="K18" i="2"/>
  <c r="N18" i="2" s="1"/>
  <c r="J11" i="2"/>
  <c r="K13" i="2"/>
  <c r="N13" i="2" s="1"/>
  <c r="K21" i="2"/>
  <c r="N21" i="2" s="1"/>
  <c r="K2" i="2"/>
  <c r="N2" i="2" s="1"/>
  <c r="K10" i="2"/>
  <c r="N10" i="2" s="1"/>
  <c r="J14" i="2"/>
  <c r="J22" i="2"/>
  <c r="K14" i="2"/>
  <c r="N14" i="2" s="1"/>
  <c r="K16" i="2"/>
  <c r="N16" i="2" s="1"/>
  <c r="J4" i="2"/>
  <c r="J10" i="2"/>
  <c r="J18" i="2"/>
  <c r="K3" i="2"/>
  <c r="N3" i="2" s="1"/>
  <c r="K5" i="2"/>
  <c r="N5" i="2" s="1"/>
  <c r="K9" i="2"/>
  <c r="N9" i="2" s="1"/>
  <c r="K12" i="2"/>
  <c r="N12" i="2" s="1"/>
  <c r="K17" i="2"/>
  <c r="N17" i="2" s="1"/>
  <c r="K20" i="2"/>
  <c r="K23" i="2"/>
  <c r="J25" i="2"/>
  <c r="K25" i="2"/>
  <c r="J24" i="2"/>
  <c r="J23" i="2"/>
  <c r="J21" i="2"/>
  <c r="J20" i="2"/>
  <c r="J19" i="2"/>
  <c r="K19" i="2"/>
  <c r="N19" i="2" s="1"/>
  <c r="J17" i="2"/>
  <c r="J16" i="2"/>
  <c r="J15" i="2"/>
  <c r="K15" i="2"/>
  <c r="N15" i="2" s="1"/>
  <c r="K11" i="2"/>
  <c r="N11" i="2" s="1"/>
  <c r="J13" i="2"/>
  <c r="J12" i="2"/>
  <c r="H26" i="2"/>
  <c r="I26" i="2"/>
  <c r="J9" i="2"/>
  <c r="J8" i="2"/>
  <c r="K8" i="2"/>
  <c r="N8" i="2" s="1"/>
  <c r="K7" i="2"/>
  <c r="N7" i="2" s="1"/>
  <c r="J7" i="2"/>
  <c r="J6" i="2"/>
  <c r="J5" i="2"/>
  <c r="K4" i="2"/>
  <c r="N4" i="2" s="1"/>
  <c r="J3" i="2"/>
  <c r="J55" i="1"/>
  <c r="I55" i="1"/>
  <c r="J54" i="1"/>
  <c r="I54" i="1"/>
  <c r="N26" i="2" l="1"/>
  <c r="K26" i="2"/>
  <c r="J26" i="2"/>
  <c r="L55" i="1"/>
  <c r="L54" i="1"/>
  <c r="P54" i="1" s="1"/>
  <c r="K55" i="1"/>
  <c r="K54" i="1"/>
  <c r="J51" i="1"/>
  <c r="I51" i="1"/>
  <c r="J50" i="1"/>
  <c r="I50" i="1"/>
  <c r="Q55" i="1" l="1"/>
  <c r="P55" i="1"/>
  <c r="K50" i="1"/>
  <c r="L51" i="1"/>
  <c r="P51" i="1" s="1"/>
  <c r="L50" i="1"/>
  <c r="P50" i="1" s="1"/>
  <c r="K51" i="1"/>
  <c r="H56" i="1"/>
  <c r="I53" i="1" l="1"/>
  <c r="J53" i="1"/>
  <c r="J52" i="1"/>
  <c r="I52" i="1"/>
  <c r="I49" i="1"/>
  <c r="J49" i="1"/>
  <c r="I48" i="1"/>
  <c r="J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4" i="1"/>
  <c r="I34" i="1"/>
  <c r="J33" i="1"/>
  <c r="I33" i="1"/>
  <c r="J31" i="1"/>
  <c r="I31" i="1"/>
  <c r="L36" i="1" l="1"/>
  <c r="P36" i="1" s="1"/>
  <c r="L38" i="1"/>
  <c r="P38" i="1" s="1"/>
  <c r="L40" i="1"/>
  <c r="P40" i="1" s="1"/>
  <c r="L42" i="1"/>
  <c r="P42" i="1" s="1"/>
  <c r="L52" i="1"/>
  <c r="P52" i="1" s="1"/>
  <c r="K53" i="1"/>
  <c r="L44" i="1"/>
  <c r="P44" i="1" s="1"/>
  <c r="L46" i="1"/>
  <c r="K31" i="1"/>
  <c r="L31" i="1"/>
  <c r="L53" i="1"/>
  <c r="P53" i="1" s="1"/>
  <c r="L34" i="1"/>
  <c r="K46" i="1"/>
  <c r="K48" i="1"/>
  <c r="L37" i="1"/>
  <c r="P37" i="1" s="1"/>
  <c r="L39" i="1"/>
  <c r="L43" i="1"/>
  <c r="L45" i="1"/>
  <c r="P45" i="1" s="1"/>
  <c r="L47" i="1"/>
  <c r="P47" i="1" s="1"/>
  <c r="K52" i="1"/>
  <c r="K49" i="1"/>
  <c r="L49" i="1"/>
  <c r="P49" i="1" s="1"/>
  <c r="L48" i="1"/>
  <c r="P48" i="1" s="1"/>
  <c r="K47" i="1"/>
  <c r="K45" i="1"/>
  <c r="K44" i="1"/>
  <c r="K43" i="1"/>
  <c r="K42" i="1"/>
  <c r="L41" i="1"/>
  <c r="P41" i="1" s="1"/>
  <c r="K41" i="1"/>
  <c r="K40" i="1"/>
  <c r="K39" i="1"/>
  <c r="K38" i="1"/>
  <c r="K37" i="1"/>
  <c r="K36" i="1"/>
  <c r="K34" i="1"/>
  <c r="L33" i="1"/>
  <c r="P33" i="1" s="1"/>
  <c r="K33" i="1"/>
  <c r="Q34" i="1" l="1"/>
  <c r="P34" i="1"/>
  <c r="Q39" i="1"/>
  <c r="P39" i="1"/>
  <c r="Q46" i="1"/>
  <c r="P46" i="1"/>
  <c r="Q31" i="1"/>
  <c r="P31" i="1"/>
  <c r="Q43" i="1"/>
  <c r="P43" i="1"/>
  <c r="I29" i="1"/>
  <c r="J29" i="1"/>
  <c r="J28" i="1"/>
  <c r="I28" i="1"/>
  <c r="I27" i="1"/>
  <c r="J27" i="1"/>
  <c r="J26" i="1"/>
  <c r="I26" i="1"/>
  <c r="J25" i="1"/>
  <c r="I25" i="1"/>
  <c r="J24" i="1"/>
  <c r="I24" i="1"/>
  <c r="J23" i="1"/>
  <c r="I23" i="1"/>
  <c r="J22" i="1"/>
  <c r="I22" i="1"/>
  <c r="I21" i="1"/>
  <c r="J21" i="1"/>
  <c r="J20" i="1"/>
  <c r="I20" i="1"/>
  <c r="J19" i="1"/>
  <c r="I19" i="1"/>
  <c r="J18" i="1"/>
  <c r="I18" i="1"/>
  <c r="J17" i="1"/>
  <c r="I17" i="1"/>
  <c r="J16" i="1"/>
  <c r="I16" i="1"/>
  <c r="I15" i="1"/>
  <c r="J15" i="1"/>
  <c r="J14" i="1"/>
  <c r="I14" i="1"/>
  <c r="J13" i="1"/>
  <c r="I13" i="1"/>
  <c r="J12" i="1"/>
  <c r="I12" i="1"/>
  <c r="J11" i="1"/>
  <c r="I11" i="1"/>
  <c r="I10" i="1"/>
  <c r="J10" i="1"/>
  <c r="J9" i="1"/>
  <c r="I9" i="1"/>
  <c r="J8" i="1"/>
  <c r="I8" i="1"/>
  <c r="J7" i="1"/>
  <c r="I7" i="1"/>
  <c r="J6" i="1"/>
  <c r="I6" i="1"/>
  <c r="J5" i="1"/>
  <c r="I5" i="1"/>
  <c r="N56" i="1"/>
  <c r="O56" i="1"/>
  <c r="J4" i="1"/>
  <c r="I4" i="1"/>
  <c r="J3" i="1"/>
  <c r="I3" i="1"/>
  <c r="J2" i="1"/>
  <c r="I2" i="1"/>
  <c r="L6" i="1" l="1"/>
  <c r="L8" i="1"/>
  <c r="L24" i="1"/>
  <c r="L27" i="1"/>
  <c r="K15" i="1"/>
  <c r="K29" i="1"/>
  <c r="L3" i="1"/>
  <c r="L10" i="1"/>
  <c r="K17" i="1"/>
  <c r="L19" i="1"/>
  <c r="P19" i="1" s="1"/>
  <c r="K27" i="1"/>
  <c r="L14" i="1"/>
  <c r="L15" i="1"/>
  <c r="K21" i="1"/>
  <c r="K4" i="1"/>
  <c r="L21" i="1"/>
  <c r="L29" i="1"/>
  <c r="K9" i="1"/>
  <c r="L11" i="1"/>
  <c r="P11" i="1" s="1"/>
  <c r="L13" i="1"/>
  <c r="L16" i="1"/>
  <c r="L18" i="1"/>
  <c r="L20" i="1"/>
  <c r="L23" i="1"/>
  <c r="L25" i="1"/>
  <c r="P25" i="1" s="1"/>
  <c r="L28" i="1"/>
  <c r="K28" i="1"/>
  <c r="L26" i="1"/>
  <c r="K26" i="1"/>
  <c r="K25" i="1"/>
  <c r="K24" i="1"/>
  <c r="K23" i="1"/>
  <c r="L22" i="1"/>
  <c r="K22" i="1"/>
  <c r="K20" i="1"/>
  <c r="K19" i="1"/>
  <c r="K18" i="1"/>
  <c r="L17" i="1"/>
  <c r="K16" i="1"/>
  <c r="K3" i="1"/>
  <c r="L2" i="1"/>
  <c r="L4" i="1"/>
  <c r="L5" i="1"/>
  <c r="L7" i="1"/>
  <c r="L9" i="1"/>
  <c r="K14" i="1"/>
  <c r="K13" i="1"/>
  <c r="K12" i="1"/>
  <c r="L12" i="1"/>
  <c r="I56" i="1"/>
  <c r="K11" i="1"/>
  <c r="K10" i="1"/>
  <c r="K8" i="1"/>
  <c r="K7" i="1"/>
  <c r="K6" i="1"/>
  <c r="J56" i="1"/>
  <c r="K5" i="1"/>
  <c r="K2" i="1"/>
  <c r="Q9" i="1" l="1"/>
  <c r="P9" i="1"/>
  <c r="P15" i="1"/>
  <c r="Q15" i="1"/>
  <c r="P7" i="1"/>
  <c r="Q7" i="1"/>
  <c r="P14" i="1"/>
  <c r="Q14" i="1"/>
  <c r="Q20" i="1"/>
  <c r="P20" i="1"/>
  <c r="P12" i="1"/>
  <c r="Q12" i="1"/>
  <c r="Q2" i="1"/>
  <c r="P2" i="1"/>
  <c r="Q29" i="1"/>
  <c r="P29" i="1"/>
  <c r="P23" i="1"/>
  <c r="Q23" i="1"/>
  <c r="P21" i="1"/>
  <c r="Q21" i="1"/>
  <c r="P10" i="1"/>
  <c r="Q10" i="1"/>
  <c r="P4" i="1"/>
  <c r="Q4" i="1"/>
  <c r="P17" i="1"/>
  <c r="Q17" i="1"/>
  <c r="Q28" i="1"/>
  <c r="P28" i="1"/>
  <c r="P18" i="1"/>
  <c r="Q18" i="1"/>
  <c r="Q26" i="1"/>
  <c r="P26" i="1"/>
  <c r="Q13" i="1"/>
  <c r="P13" i="1"/>
  <c r="Q27" i="1"/>
  <c r="P27" i="1"/>
  <c r="Q5" i="1"/>
  <c r="P5" i="1"/>
  <c r="Q24" i="1"/>
  <c r="P24" i="1"/>
  <c r="Q8" i="1"/>
  <c r="P8" i="1"/>
  <c r="Q22" i="1"/>
  <c r="P22" i="1"/>
  <c r="P3" i="1"/>
  <c r="Q3" i="1"/>
  <c r="Q16" i="1"/>
  <c r="P16" i="1"/>
  <c r="P6" i="1"/>
  <c r="Q6" i="1"/>
  <c r="K56" i="1"/>
  <c r="L56" i="1"/>
  <c r="Q56" i="1" l="1"/>
  <c r="P56" i="1"/>
</calcChain>
</file>

<file path=xl/sharedStrings.xml><?xml version="1.0" encoding="utf-8"?>
<sst xmlns="http://schemas.openxmlformats.org/spreadsheetml/2006/main" count="1221" uniqueCount="286">
  <si>
    <t>33AAOCM1264H1ZH</t>
  </si>
  <si>
    <t>Maha Auto Components Pvt Ltd</t>
  </si>
  <si>
    <t>NOT PAID</t>
  </si>
  <si>
    <t>S.No</t>
  </si>
  <si>
    <t>Date</t>
  </si>
  <si>
    <t>Invoice No.</t>
  </si>
  <si>
    <t>GST No</t>
  </si>
  <si>
    <t>Customer Name</t>
  </si>
  <si>
    <t>Taxable Value</t>
  </si>
  <si>
    <t>SGST</t>
  </si>
  <si>
    <t>CGST</t>
  </si>
  <si>
    <t>Total GST</t>
  </si>
  <si>
    <t>Invoice Value</t>
  </si>
  <si>
    <t>Paid Value</t>
  </si>
  <si>
    <t>Paid Date</t>
  </si>
  <si>
    <t>Paid Status</t>
  </si>
  <si>
    <t>TDS %</t>
  </si>
  <si>
    <t>TDS Value</t>
  </si>
  <si>
    <t>02.04.2025</t>
  </si>
  <si>
    <t>SVR001</t>
  </si>
  <si>
    <t>33AAAFY7376B1Z8</t>
  </si>
  <si>
    <t>Yathra Automotive Industries</t>
  </si>
  <si>
    <t>03.04.2025</t>
  </si>
  <si>
    <t>SVR002</t>
  </si>
  <si>
    <t>07.04.2025</t>
  </si>
  <si>
    <t>SVR003</t>
  </si>
  <si>
    <t>TOTAL</t>
  </si>
  <si>
    <t>SVR004</t>
  </si>
  <si>
    <t>33AXYPS3922L1ZP</t>
  </si>
  <si>
    <t>Maha Enterprises</t>
  </si>
  <si>
    <t>25/26</t>
  </si>
  <si>
    <t>SVR005</t>
  </si>
  <si>
    <t>08.04.2025</t>
  </si>
  <si>
    <t>SVR006</t>
  </si>
  <si>
    <t>SVR007</t>
  </si>
  <si>
    <t>SVR008</t>
  </si>
  <si>
    <t>09.04.2025</t>
  </si>
  <si>
    <t>SVR009</t>
  </si>
  <si>
    <t>33ABBCS4319R1ZZ</t>
  </si>
  <si>
    <t>Seikodenki Million mfg India Pvt Ltd</t>
  </si>
  <si>
    <t>10.04.2025</t>
  </si>
  <si>
    <t>SVR010</t>
  </si>
  <si>
    <t>11.04.2025</t>
  </si>
  <si>
    <t>SVR011</t>
  </si>
  <si>
    <t>12.04.2025</t>
  </si>
  <si>
    <t>SVR012</t>
  </si>
  <si>
    <t>SVR013</t>
  </si>
  <si>
    <t>SVR014</t>
  </si>
  <si>
    <t>15.04.2025</t>
  </si>
  <si>
    <t>SVR015</t>
  </si>
  <si>
    <t>SVR016</t>
  </si>
  <si>
    <t>SVR017</t>
  </si>
  <si>
    <t>SVR018</t>
  </si>
  <si>
    <t>16.04.2025</t>
  </si>
  <si>
    <t>SVR019</t>
  </si>
  <si>
    <t>SVR020</t>
  </si>
  <si>
    <t>SVR021</t>
  </si>
  <si>
    <t>17.04.2025</t>
  </si>
  <si>
    <t>SVR022</t>
  </si>
  <si>
    <t>SVR023</t>
  </si>
  <si>
    <t>SVR024</t>
  </si>
  <si>
    <t>18.04.2025</t>
  </si>
  <si>
    <t>SVR025</t>
  </si>
  <si>
    <t>SVR026</t>
  </si>
  <si>
    <t>SVR027</t>
  </si>
  <si>
    <t>19.04.2025</t>
  </si>
  <si>
    <t>SVR028</t>
  </si>
  <si>
    <t>21.04.2025</t>
  </si>
  <si>
    <t>SVR029</t>
  </si>
  <si>
    <t>SVR030</t>
  </si>
  <si>
    <t>22.04.2025</t>
  </si>
  <si>
    <t>SVR031</t>
  </si>
  <si>
    <t>SVR032</t>
  </si>
  <si>
    <t>SVR033</t>
  </si>
  <si>
    <t>23.04.2025</t>
  </si>
  <si>
    <t>SVR035</t>
  </si>
  <si>
    <t>SVR036</t>
  </si>
  <si>
    <t>SVR037</t>
  </si>
  <si>
    <t>SVR038</t>
  </si>
  <si>
    <t>24.04.2025</t>
  </si>
  <si>
    <t>SVR039</t>
  </si>
  <si>
    <t>SVR040</t>
  </si>
  <si>
    <t>25.04.2025</t>
  </si>
  <si>
    <t>SVR041</t>
  </si>
  <si>
    <t>26.04.2025</t>
  </si>
  <si>
    <t>SVR042</t>
  </si>
  <si>
    <t>SVR043</t>
  </si>
  <si>
    <t>28.04.2025</t>
  </si>
  <si>
    <t>SVR044</t>
  </si>
  <si>
    <t>SVR045</t>
  </si>
  <si>
    <t>SVR046</t>
  </si>
  <si>
    <t>SVR047</t>
  </si>
  <si>
    <t>29.04.2025</t>
  </si>
  <si>
    <t>SVR048</t>
  </si>
  <si>
    <t>30.04.2025</t>
  </si>
  <si>
    <t>SVR051</t>
  </si>
  <si>
    <t>SVR049</t>
  </si>
  <si>
    <t>SVR050</t>
  </si>
  <si>
    <t>SVR053</t>
  </si>
  <si>
    <t>SVR054</t>
  </si>
  <si>
    <t>SVR052</t>
  </si>
  <si>
    <t>Invoice Date</t>
  </si>
  <si>
    <t>Inv No.</t>
  </si>
  <si>
    <t>Party Name</t>
  </si>
  <si>
    <t>Party GST No.</t>
  </si>
  <si>
    <t>%</t>
  </si>
  <si>
    <t>Diff</t>
  </si>
  <si>
    <t>Tamilnad Aluminium Company</t>
  </si>
  <si>
    <t>33AARFT4320R1ZL</t>
  </si>
  <si>
    <t>Total</t>
  </si>
  <si>
    <t>Jairam hardwares &amp; electricals</t>
  </si>
  <si>
    <t>33CAVPS3493N1ZN</t>
  </si>
  <si>
    <t>Sri Satyapurnaya specialities</t>
  </si>
  <si>
    <t>33AAZCS2069R1ZA</t>
  </si>
  <si>
    <t>SVR034</t>
  </si>
  <si>
    <t>02.05.2025</t>
  </si>
  <si>
    <t>05.05.2025</t>
  </si>
  <si>
    <t>08.05.2025</t>
  </si>
  <si>
    <t>09.05.2025</t>
  </si>
  <si>
    <t>12.05.2025</t>
  </si>
  <si>
    <t>13.05.2025</t>
  </si>
  <si>
    <t>14.05.2025</t>
  </si>
  <si>
    <t>19.05.2025</t>
  </si>
  <si>
    <t>SVR055</t>
  </si>
  <si>
    <t>03.05.2025</t>
  </si>
  <si>
    <t>SVR056</t>
  </si>
  <si>
    <t>SVR057</t>
  </si>
  <si>
    <t>06.05.2025</t>
  </si>
  <si>
    <t>SVR058</t>
  </si>
  <si>
    <t>07.05.2025</t>
  </si>
  <si>
    <t>SVR059</t>
  </si>
  <si>
    <t>SVR060</t>
  </si>
  <si>
    <t>SVR061</t>
  </si>
  <si>
    <t>SVR062</t>
  </si>
  <si>
    <t>SVR063</t>
  </si>
  <si>
    <t>SVR064</t>
  </si>
  <si>
    <t>SVR065</t>
  </si>
  <si>
    <t>SVR066</t>
  </si>
  <si>
    <t>SVR067</t>
  </si>
  <si>
    <t>SVR068</t>
  </si>
  <si>
    <t>15.05.2025</t>
  </si>
  <si>
    <t>SVR069</t>
  </si>
  <si>
    <t>SVR070</t>
  </si>
  <si>
    <t>SVR071</t>
  </si>
  <si>
    <t>20.05.2025</t>
  </si>
  <si>
    <t>SVR072</t>
  </si>
  <si>
    <t>22.05.2025</t>
  </si>
  <si>
    <t>SVR073</t>
  </si>
  <si>
    <t>24.05.2025</t>
  </si>
  <si>
    <t>SVR074</t>
  </si>
  <si>
    <t>27.05.2025</t>
  </si>
  <si>
    <t>SVR075</t>
  </si>
  <si>
    <t>28.05.2025</t>
  </si>
  <si>
    <t>SVR076</t>
  </si>
  <si>
    <t>30.05.2025</t>
  </si>
  <si>
    <t>SVR077</t>
  </si>
  <si>
    <t>SVR078</t>
  </si>
  <si>
    <t>31.05.2025</t>
  </si>
  <si>
    <t>SVR079</t>
  </si>
  <si>
    <t>Santek Solution</t>
  </si>
  <si>
    <t>SVR080</t>
  </si>
  <si>
    <t>33BUZPR3576E1ZZ</t>
  </si>
  <si>
    <t>19.06.2025</t>
  </si>
  <si>
    <t xml:space="preserve">PAID  </t>
  </si>
  <si>
    <t>27.06.25</t>
  </si>
  <si>
    <t>02.06.2025</t>
  </si>
  <si>
    <t>Maha Precision Fit Limited</t>
  </si>
  <si>
    <t>33AASCM7320A1ZQ</t>
  </si>
  <si>
    <t>09.06.2025</t>
  </si>
  <si>
    <t>17.06.2025</t>
  </si>
  <si>
    <t>18.06.2025</t>
  </si>
  <si>
    <t>20.06.2025</t>
  </si>
  <si>
    <t>21.06.2025</t>
  </si>
  <si>
    <t>23.06.2025</t>
  </si>
  <si>
    <t>24.06.2025</t>
  </si>
  <si>
    <t>26.06.2025</t>
  </si>
  <si>
    <t>27.06.2025</t>
  </si>
  <si>
    <t>30.06.2025</t>
  </si>
  <si>
    <t>05.06.2025</t>
  </si>
  <si>
    <t>SVR081</t>
  </si>
  <si>
    <t>SVR082</t>
  </si>
  <si>
    <t>07.06.2025</t>
  </si>
  <si>
    <t>SVR083</t>
  </si>
  <si>
    <t>11.06.2025</t>
  </si>
  <si>
    <t>SVR084</t>
  </si>
  <si>
    <t>SVR085</t>
  </si>
  <si>
    <t>14.06.2025</t>
  </si>
  <si>
    <t>SVR086</t>
  </si>
  <si>
    <t>15.06.2025</t>
  </si>
  <si>
    <t>SVR087</t>
  </si>
  <si>
    <t>SVR088</t>
  </si>
  <si>
    <t>SVR089</t>
  </si>
  <si>
    <t>SVR090</t>
  </si>
  <si>
    <t>A R Traders</t>
  </si>
  <si>
    <t>33AJQPH5765E1Z2</t>
  </si>
  <si>
    <t>SVR091</t>
  </si>
  <si>
    <t>SVR092</t>
  </si>
  <si>
    <t>25.06.2025</t>
  </si>
  <si>
    <t>SVR093</t>
  </si>
  <si>
    <t>SVR094</t>
  </si>
  <si>
    <t>SVR095</t>
  </si>
  <si>
    <t>SVR096</t>
  </si>
  <si>
    <t>28.06.2025</t>
  </si>
  <si>
    <t>SVR097</t>
  </si>
  <si>
    <t>SVR098</t>
  </si>
  <si>
    <t xml:space="preserve">Cancelled </t>
  </si>
  <si>
    <t>SVR099</t>
  </si>
  <si>
    <t>SVR100</t>
  </si>
  <si>
    <t>HSN Code</t>
  </si>
  <si>
    <t>M/Y</t>
  </si>
  <si>
    <t>Jun'25/26</t>
  </si>
  <si>
    <t>01.07.2025</t>
  </si>
  <si>
    <t>SVR101</t>
  </si>
  <si>
    <t>Jul'25/26</t>
  </si>
  <si>
    <t>SVR102</t>
  </si>
  <si>
    <t>SVR103</t>
  </si>
  <si>
    <t>SVR104</t>
  </si>
  <si>
    <t>33DMHPS7852G1ZN</t>
  </si>
  <si>
    <t>Magha Engineers</t>
  </si>
  <si>
    <t>02.07.2025</t>
  </si>
  <si>
    <t>SVR105</t>
  </si>
  <si>
    <t>03.07.2025</t>
  </si>
  <si>
    <t>SVR106</t>
  </si>
  <si>
    <t>SVR107</t>
  </si>
  <si>
    <t>SVR108</t>
  </si>
  <si>
    <t>SVR109</t>
  </si>
  <si>
    <t>04.07.2025</t>
  </si>
  <si>
    <t>SVR110</t>
  </si>
  <si>
    <t>SVR111</t>
  </si>
  <si>
    <t>05.07.2025</t>
  </si>
  <si>
    <t>SVR112</t>
  </si>
  <si>
    <t>SVR113</t>
  </si>
  <si>
    <t>07.07.2025</t>
  </si>
  <si>
    <t>SVR114</t>
  </si>
  <si>
    <t>SVR115</t>
  </si>
  <si>
    <t>SVR116</t>
  </si>
  <si>
    <t>09.07.2025</t>
  </si>
  <si>
    <t>SVR117</t>
  </si>
  <si>
    <t>SVR118</t>
  </si>
  <si>
    <t>10.07.2025</t>
  </si>
  <si>
    <t>SVR119</t>
  </si>
  <si>
    <t>12.07.2025</t>
  </si>
  <si>
    <t>SVR120</t>
  </si>
  <si>
    <t>SVR121</t>
  </si>
  <si>
    <t>SVR122</t>
  </si>
  <si>
    <t>15.07.2025</t>
  </si>
  <si>
    <t>SVR123</t>
  </si>
  <si>
    <t>SVR124</t>
  </si>
  <si>
    <t>SVR125</t>
  </si>
  <si>
    <t>16.07.2025</t>
  </si>
  <si>
    <t>SVR126</t>
  </si>
  <si>
    <t>17.07.2025</t>
  </si>
  <si>
    <t>SVR127</t>
  </si>
  <si>
    <t>18.07.2025</t>
  </si>
  <si>
    <t>SVR128</t>
  </si>
  <si>
    <t>22.07.2025</t>
  </si>
  <si>
    <t>SVR129</t>
  </si>
  <si>
    <t>23.07.2025</t>
  </si>
  <si>
    <t>SVR130</t>
  </si>
  <si>
    <t>SVR131</t>
  </si>
  <si>
    <t>SVR132</t>
  </si>
  <si>
    <t>26.07.25</t>
  </si>
  <si>
    <t>SVR133</t>
  </si>
  <si>
    <t>25.07.2025</t>
  </si>
  <si>
    <t>24.07.2025</t>
  </si>
  <si>
    <t>SVR134</t>
  </si>
  <si>
    <t>SVR135</t>
  </si>
  <si>
    <t>26.07.2025</t>
  </si>
  <si>
    <t>SVR136</t>
  </si>
  <si>
    <t>SVR137</t>
  </si>
  <si>
    <t>29.07.2025</t>
  </si>
  <si>
    <t>SVR138</t>
  </si>
  <si>
    <t>SVR139</t>
  </si>
  <si>
    <t>SVR140</t>
  </si>
  <si>
    <t>SVR141</t>
  </si>
  <si>
    <t>SVR142</t>
  </si>
  <si>
    <t>30.07.2025</t>
  </si>
  <si>
    <t>SVR143</t>
  </si>
  <si>
    <t>31.07.2025</t>
  </si>
  <si>
    <t>SVR144</t>
  </si>
  <si>
    <t>SVR145</t>
  </si>
  <si>
    <t>SVR146</t>
  </si>
  <si>
    <t>SVR147</t>
  </si>
  <si>
    <t>08.07.2025</t>
  </si>
  <si>
    <t>11.07.2025</t>
  </si>
  <si>
    <t>28.07.2025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</si>
</sst>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0"/>
      <color rgb="FFFFC000"/>
      <name val="Arial Narrow"/>
      <family val="2"/>
    </font>
    <font>
      <b/>
      <sz val="12"/>
      <color rgb="FFFFFF00"/>
      <name val="Arial Narrow"/>
      <family val="2"/>
    </font>
    <font>
      <b/>
      <sz val="14"/>
      <color rgb="FFFFFF00"/>
      <name val="Arial Narrow"/>
      <family val="2"/>
    </font>
    <font>
      <b/>
      <sz val="10"/>
      <color rgb="FFFF0000"/>
      <name val="Arial Narrow"/>
      <family val="2"/>
    </font>
  </fonts>
  <fills count="19">
    <fill>
      <patternFill patternType="none"/>
    </fill>
    <fill>
      <patternFill patternType="gray125"/>
    </fill>
    <fill>
      <patternFill patternType="solid">
        <fgColor rgb="FF00CC99"/>
        <bgColor indexed="64"/>
      </patternFill>
    </fill>
    <fill>
      <patternFill patternType="solid">
        <fgColor rgb="FF33669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rgb="FF9966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2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2" fontId="1" fillId="6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2" fontId="1" fillId="7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2" fontId="1" fillId="8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2" fontId="1" fillId="10" borderId="1" xfId="0" applyNumberFormat="1" applyFont="1" applyFill="1" applyBorder="1" applyAlignment="1">
      <alignment horizontal="center" vertical="center"/>
    </xf>
    <xf numFmtId="2" fontId="1" fillId="11" borderId="1" xfId="0" applyNumberFormat="1" applyFont="1" applyFill="1" applyBorder="1" applyAlignment="1">
      <alignment horizontal="center" vertical="center"/>
    </xf>
    <xf numFmtId="2" fontId="1" fillId="12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2" fontId="3" fillId="13" borderId="1" xfId="0" applyNumberFormat="1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2" fontId="1" fillId="15" borderId="1" xfId="0" applyNumberFormat="1" applyFont="1" applyFill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/>
    </xf>
    <xf numFmtId="1" fontId="2" fillId="16" borderId="1" xfId="0" applyNumberFormat="1" applyFont="1" applyFill="1" applyBorder="1" applyAlignment="1">
      <alignment horizontal="center" vertical="center"/>
    </xf>
    <xf numFmtId="1" fontId="1" fillId="5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2" fontId="1" fillId="17" borderId="1" xfId="0" applyNumberFormat="1" applyFont="1" applyFill="1" applyBorder="1" applyAlignment="1">
      <alignment horizontal="center" vertical="center"/>
    </xf>
    <xf numFmtId="2" fontId="5" fillId="15" borderId="1" xfId="0" applyNumberFormat="1" applyFont="1" applyFill="1" applyBorder="1" applyAlignment="1">
      <alignment horizontal="center" vertical="center"/>
    </xf>
    <xf numFmtId="1" fontId="3" fillId="13" borderId="1" xfId="0" applyNumberFormat="1" applyFont="1" applyFill="1" applyBorder="1" applyAlignment="1">
      <alignment horizontal="center" vertical="center"/>
    </xf>
    <xf numFmtId="1" fontId="1" fillId="7" borderId="1" xfId="0" applyNumberFormat="1" applyFont="1" applyFill="1" applyBorder="1" applyAlignment="1">
      <alignment horizontal="center" vertical="center"/>
    </xf>
    <xf numFmtId="0" fontId="4" fillId="13" borderId="6" xfId="0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1" fontId="1" fillId="14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/>
    </xf>
    <xf numFmtId="2" fontId="1" fillId="18" borderId="1" xfId="0" applyNumberFormat="1" applyFont="1" applyFill="1" applyBorder="1" applyAlignment="1">
      <alignment horizontal="center" vertical="center"/>
    </xf>
    <xf numFmtId="1" fontId="1" fillId="18" borderId="1" xfId="0" applyNumberFormat="1" applyFont="1" applyFill="1" applyBorder="1" applyAlignment="1">
      <alignment horizontal="center" vertical="center"/>
    </xf>
    <xf numFmtId="1" fontId="1" fillId="11" borderId="1" xfId="0" applyNumberFormat="1" applyFont="1" applyFill="1" applyBorder="1" applyAlignment="1">
      <alignment horizontal="center" vertical="center"/>
    </xf>
    <xf numFmtId="1" fontId="1" fillId="12" borderId="1" xfId="0" applyNumberFormat="1" applyFont="1" applyFill="1" applyBorder="1" applyAlignment="1">
      <alignment horizontal="center" vertical="center"/>
    </xf>
    <xf numFmtId="0" fontId="4" fillId="13" borderId="4" xfId="0" applyFont="1" applyFill="1" applyBorder="1" applyAlignment="1">
      <alignment horizontal="center" vertical="center"/>
    </xf>
    <xf numFmtId="0" fontId="4" fillId="13" borderId="5" xfId="0" applyFont="1" applyFill="1" applyBorder="1" applyAlignment="1">
      <alignment horizontal="center" vertical="center"/>
    </xf>
    <xf numFmtId="0" fontId="4" fillId="13" borderId="6" xfId="0" applyFont="1" applyFill="1" applyBorder="1" applyAlignment="1">
      <alignment horizontal="center" vertical="center"/>
    </xf>
    <xf numFmtId="2" fontId="3" fillId="13" borderId="4" xfId="0" applyNumberFormat="1" applyFont="1" applyFill="1" applyBorder="1" applyAlignment="1">
      <alignment horizontal="center" vertical="center"/>
    </xf>
    <xf numFmtId="2" fontId="3" fillId="13" borderId="5" xfId="0" applyNumberFormat="1" applyFont="1" applyFill="1" applyBorder="1" applyAlignment="1">
      <alignment horizontal="center" vertical="center"/>
    </xf>
    <xf numFmtId="2" fontId="3" fillId="13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66FF"/>
      <color rgb="FF9999FF"/>
      <color rgb="FF3399FF"/>
      <color rgb="FF6666FF"/>
      <color rgb="FF33CCCC"/>
      <color rgb="FF006600"/>
      <color rgb="FF996633"/>
      <color rgb="FF336699"/>
      <color rgb="FF006666"/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257175</xdr:colOff>
      <xdr:row>4</xdr:row>
      <xdr:rowOff>104776</xdr:rowOff>
    </xdr:from>
    <xdr:to>
      <xdr:col>18</xdr:col>
      <xdr:colOff>419100</xdr:colOff>
      <xdr:row>10</xdr:row>
      <xdr:rowOff>114300</xdr:rowOff>
    </xdr:to>
    <xdr:sp macro="" textlink="">
      <xdr:nvSpPr>
        <xdr:cNvPr id="5" name="10-Point Star 4"/>
        <xdr:cNvSpPr/>
      </xdr:nvSpPr>
      <xdr:spPr>
        <a:xfrm>
          <a:off x="12601575" y="1000126"/>
          <a:ext cx="771525" cy="1152524"/>
        </a:xfrm>
        <a:prstGeom prst="star10">
          <a:avLst>
            <a:gd name="adj" fmla="val 25714"/>
            <a:gd name="hf" fmla="val 105146"/>
          </a:avLst>
        </a:prstGeom>
        <a:blipFill>
          <a:blip xmlns:r="http://schemas.openxmlformats.org/officeDocument/2006/relationships" r:embed="rId1"/>
          <a:tile tx="0" ty="0" sx="100000" sy="100000" flip="none" algn="tl"/>
        </a:blipFill>
        <a:ln>
          <a:solidFill>
            <a:srgbClr val="006600"/>
          </a:solidFill>
        </a:ln>
        <a:effectLst>
          <a:glow rad="63500">
            <a:schemeClr val="accent1">
              <a:satMod val="175000"/>
              <a:alpha val="40000"/>
            </a:schemeClr>
          </a:glow>
          <a:outerShdw blurRad="57150" dist="19050" dir="5400000" algn="ctr" rotWithShape="0">
            <a:srgbClr val="000000">
              <a:alpha val="63000"/>
            </a:srgbClr>
          </a:outerShdw>
        </a:effectLst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800" b="1">
              <a:solidFill>
                <a:srgbClr val="FFC000"/>
              </a:solidFill>
              <a:latin typeface="Pristina" panose="03060402040406080204" pitchFamily="66" charset="0"/>
            </a:rPr>
            <a:t>ri</a:t>
          </a:r>
          <a:r>
            <a:rPr lang="en-US" sz="1800" b="1" baseline="0">
              <a:solidFill>
                <a:srgbClr val="FFC000"/>
              </a:solidFill>
              <a:latin typeface="Pristina" panose="03060402040406080204" pitchFamily="66" charset="0"/>
            </a:rPr>
            <a:t> Veera Raghava Sheet Metal Component </a:t>
          </a:r>
        </a:p>
        <a:p>
          <a:pPr algn="ctr"/>
          <a:r>
            <a:rPr lang="en-US" sz="1800" b="1" baseline="0">
              <a:solidFill>
                <a:srgbClr val="FFC000"/>
              </a:solidFill>
              <a:latin typeface="Pristina" panose="03060402040406080204" pitchFamily="66" charset="0"/>
            </a:rPr>
            <a:t>S 115 Sidco Industrial Estate</a:t>
          </a:r>
        </a:p>
        <a:p>
          <a:pPr algn="ctr"/>
          <a:r>
            <a:rPr lang="en-US" sz="1800" b="1" baseline="0">
              <a:solidFill>
                <a:srgbClr val="FFC000"/>
              </a:solidFill>
              <a:latin typeface="Pristina" panose="03060402040406080204" pitchFamily="66" charset="0"/>
            </a:rPr>
            <a:t>Kakkalur</a:t>
          </a:r>
          <a:endParaRPr lang="en-US" sz="1800" b="1">
            <a:solidFill>
              <a:srgbClr val="FFC000"/>
            </a:solidFill>
            <a:latin typeface="Pristina" panose="03060402040406080204" pitchFamily="66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Q152"/>
  <sheetViews>
    <sheetView tabSelected="1" topLeftCell="A63" zoomScaleNormal="100" workbookViewId="0">
      <selection activeCell="L30" sqref="L30:L85"/>
    </sheetView>
  </sheetViews>
  <sheetFormatPr defaultRowHeight="15" x14ac:dyDescent="0.25"/>
  <cols>
    <col min="1" max="1" width="5.85546875" customWidth="1"/>
    <col min="3" max="3" width="8.42578125" customWidth="1"/>
    <col min="4" max="4" width="7.5703125" bestFit="1" customWidth="1"/>
    <col min="5" max="5" width="16" bestFit="1" customWidth="1"/>
    <col min="6" max="6" width="28" customWidth="1"/>
    <col min="7" max="7" width="12.7109375" customWidth="1"/>
    <col min="8" max="8" width="11.42578125" customWidth="1"/>
    <col min="9" max="11" width="9.28515625" customWidth="1"/>
    <col min="12" max="12" width="11.42578125" customWidth="1"/>
    <col min="13" max="13" width="11" customWidth="1"/>
    <col min="14" max="14" width="9.5703125" customWidth="1"/>
    <col min="15" max="16" width="8.42578125" customWidth="1"/>
    <col min="17" max="17" width="9.28515625" customWidth="1"/>
  </cols>
  <sheetData>
    <row r="1" spans="1:17" ht="25.5" x14ac:dyDescent="0.25">
      <c r="A1" s="2" t="s">
        <v>3</v>
      </c>
      <c r="B1" s="2" t="s">
        <v>4</v>
      </c>
      <c r="C1" s="41" t="s">
        <v>5</v>
      </c>
      <c r="D1" s="39" t="s">
        <v>209</v>
      </c>
      <c r="E1" s="2" t="s">
        <v>6</v>
      </c>
      <c r="F1" s="2" t="s">
        <v>7</v>
      </c>
      <c r="G1" s="2" t="s">
        <v>208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</row>
    <row r="2" spans="1:17" ht="15" hidden="1" customHeight="1" x14ac:dyDescent="0.25">
      <c r="A2" s="1">
        <v>1</v>
      </c>
      <c r="B2" s="1" t="s">
        <v>18</v>
      </c>
      <c r="C2" s="1" t="s">
        <v>19</v>
      </c>
      <c r="D2" s="1" t="s">
        <v>30</v>
      </c>
      <c r="E2" s="1" t="s">
        <v>0</v>
      </c>
      <c r="F2" s="1" t="s">
        <v>1</v>
      </c>
      <c r="G2" s="1"/>
      <c r="H2" s="9">
        <v>152231.5</v>
      </c>
      <c r="I2" s="9">
        <f t="shared" ref="I2:I32" si="0">H2*9%</f>
        <v>13700.834999999999</v>
      </c>
      <c r="J2" s="9">
        <f t="shared" ref="J2:J32" si="1">H2*9%</f>
        <v>13700.834999999999</v>
      </c>
      <c r="K2" s="9">
        <f>I2+J2</f>
        <v>27401.67</v>
      </c>
      <c r="L2" s="9">
        <f>H2+I2+J2</f>
        <v>179633.16999999998</v>
      </c>
      <c r="M2" s="9">
        <v>178111</v>
      </c>
      <c r="N2" s="1" t="s">
        <v>202</v>
      </c>
      <c r="O2" s="28" t="s">
        <v>163</v>
      </c>
      <c r="P2" s="15">
        <f t="shared" ref="P2" si="2">L2/M2</f>
        <v>1.0085461874898236</v>
      </c>
      <c r="Q2" s="15">
        <f t="shared" ref="Q2:Q10" si="3">L2-M2</f>
        <v>1522.1699999999837</v>
      </c>
    </row>
    <row r="3" spans="1:17" ht="15" hidden="1" customHeight="1" x14ac:dyDescent="0.25">
      <c r="A3" s="4">
        <v>2</v>
      </c>
      <c r="B3" s="4" t="s">
        <v>22</v>
      </c>
      <c r="C3" s="4" t="s">
        <v>23</v>
      </c>
      <c r="D3" s="4" t="s">
        <v>30</v>
      </c>
      <c r="E3" s="4" t="s">
        <v>20</v>
      </c>
      <c r="F3" s="4" t="s">
        <v>21</v>
      </c>
      <c r="G3" s="4"/>
      <c r="H3" s="5">
        <v>10000</v>
      </c>
      <c r="I3" s="5">
        <f t="shared" si="0"/>
        <v>900</v>
      </c>
      <c r="J3" s="5">
        <f t="shared" si="1"/>
        <v>900</v>
      </c>
      <c r="K3" s="5">
        <f>J3+I3</f>
        <v>1800</v>
      </c>
      <c r="L3" s="5">
        <f>SUM(H3:J3)</f>
        <v>11800</v>
      </c>
      <c r="M3" s="5">
        <v>11682</v>
      </c>
      <c r="N3" s="4" t="s">
        <v>164</v>
      </c>
      <c r="O3" s="28" t="s">
        <v>163</v>
      </c>
      <c r="P3" s="29">
        <f t="shared" ref="P3:P32" si="4">L3/M3</f>
        <v>1.0101010101010102</v>
      </c>
      <c r="Q3" s="5">
        <f t="shared" si="3"/>
        <v>118</v>
      </c>
    </row>
    <row r="4" spans="1:17" ht="15" hidden="1" customHeight="1" x14ac:dyDescent="0.25">
      <c r="A4" s="1">
        <v>3</v>
      </c>
      <c r="B4" s="1" t="s">
        <v>24</v>
      </c>
      <c r="C4" s="1" t="s">
        <v>25</v>
      </c>
      <c r="D4" s="1" t="s">
        <v>30</v>
      </c>
      <c r="E4" s="1" t="s">
        <v>0</v>
      </c>
      <c r="F4" s="1" t="s">
        <v>1</v>
      </c>
      <c r="G4" s="1"/>
      <c r="H4" s="9">
        <v>333429.48</v>
      </c>
      <c r="I4" s="9">
        <f t="shared" si="0"/>
        <v>30008.653199999997</v>
      </c>
      <c r="J4" s="9">
        <f t="shared" si="1"/>
        <v>30008.653199999997</v>
      </c>
      <c r="K4" s="9">
        <f>I4+J4</f>
        <v>60017.306399999994</v>
      </c>
      <c r="L4" s="9">
        <f>H4+I4+J4</f>
        <v>393446.78639999998</v>
      </c>
      <c r="M4" s="9">
        <v>390112</v>
      </c>
      <c r="N4" s="1" t="s">
        <v>202</v>
      </c>
      <c r="O4" s="28" t="s">
        <v>163</v>
      </c>
      <c r="P4" s="15">
        <f t="shared" ref="P4" si="5">L4/M4</f>
        <v>1.0085482794684604</v>
      </c>
      <c r="Q4" s="15">
        <f t="shared" si="3"/>
        <v>3334.7863999999827</v>
      </c>
    </row>
    <row r="5" spans="1:17" ht="15" hidden="1" customHeight="1" x14ac:dyDescent="0.25">
      <c r="A5" s="4">
        <v>4</v>
      </c>
      <c r="B5" s="4" t="s">
        <v>24</v>
      </c>
      <c r="C5" s="4" t="s">
        <v>27</v>
      </c>
      <c r="D5" s="4" t="s">
        <v>30</v>
      </c>
      <c r="E5" s="4" t="s">
        <v>20</v>
      </c>
      <c r="F5" s="4" t="s">
        <v>21</v>
      </c>
      <c r="G5" s="4"/>
      <c r="H5" s="5">
        <v>5000</v>
      </c>
      <c r="I5" s="5">
        <f t="shared" si="0"/>
        <v>450</v>
      </c>
      <c r="J5" s="5">
        <f t="shared" si="1"/>
        <v>450</v>
      </c>
      <c r="K5" s="5">
        <f>J5+I5</f>
        <v>900</v>
      </c>
      <c r="L5" s="5">
        <f>SUM(H5:J5)</f>
        <v>5900</v>
      </c>
      <c r="M5" s="5">
        <v>5841</v>
      </c>
      <c r="N5" s="4" t="s">
        <v>164</v>
      </c>
      <c r="O5" s="28" t="s">
        <v>163</v>
      </c>
      <c r="P5" s="29">
        <f t="shared" ref="P5" si="6">L5/M5</f>
        <v>1.0101010101010102</v>
      </c>
      <c r="Q5" s="5">
        <f t="shared" si="3"/>
        <v>59</v>
      </c>
    </row>
    <row r="6" spans="1:17" ht="15" hidden="1" customHeight="1" x14ac:dyDescent="0.25">
      <c r="A6" s="6">
        <v>5</v>
      </c>
      <c r="B6" s="6" t="s">
        <v>32</v>
      </c>
      <c r="C6" s="6" t="s">
        <v>31</v>
      </c>
      <c r="D6" s="6" t="s">
        <v>30</v>
      </c>
      <c r="E6" s="6" t="s">
        <v>28</v>
      </c>
      <c r="F6" s="6" t="s">
        <v>29</v>
      </c>
      <c r="G6" s="6"/>
      <c r="H6" s="7">
        <v>24647.61</v>
      </c>
      <c r="I6" s="7">
        <f t="shared" si="0"/>
        <v>2218.2849000000001</v>
      </c>
      <c r="J6" s="7">
        <f t="shared" si="1"/>
        <v>2218.2849000000001</v>
      </c>
      <c r="K6" s="7">
        <f>I6+J6</f>
        <v>4436.5698000000002</v>
      </c>
      <c r="L6" s="7">
        <f>H6+I6+J6</f>
        <v>29084.179799999998</v>
      </c>
      <c r="M6" s="6">
        <v>28838</v>
      </c>
      <c r="N6" s="6" t="s">
        <v>162</v>
      </c>
      <c r="O6" s="28" t="s">
        <v>163</v>
      </c>
      <c r="P6" s="27">
        <f t="shared" si="4"/>
        <v>1.008536646091962</v>
      </c>
      <c r="Q6" s="7">
        <f t="shared" si="3"/>
        <v>246.17979999999807</v>
      </c>
    </row>
    <row r="7" spans="1:17" ht="15" hidden="1" customHeight="1" x14ac:dyDescent="0.25">
      <c r="A7" s="8">
        <v>6</v>
      </c>
      <c r="B7" s="8" t="s">
        <v>32</v>
      </c>
      <c r="C7" s="8" t="s">
        <v>33</v>
      </c>
      <c r="D7" s="8" t="s">
        <v>30</v>
      </c>
      <c r="E7" s="8" t="s">
        <v>0</v>
      </c>
      <c r="F7" s="8" t="s">
        <v>1</v>
      </c>
      <c r="G7" s="8"/>
      <c r="H7" s="10">
        <v>18304</v>
      </c>
      <c r="I7" s="10">
        <f t="shared" si="0"/>
        <v>1647.36</v>
      </c>
      <c r="J7" s="10">
        <f t="shared" si="1"/>
        <v>1647.36</v>
      </c>
      <c r="K7" s="10">
        <f>I7+J7</f>
        <v>3294.72</v>
      </c>
      <c r="L7" s="10">
        <f>H7+I7+J7</f>
        <v>21598.720000000001</v>
      </c>
      <c r="M7" s="10">
        <v>21416</v>
      </c>
      <c r="N7" s="8" t="s">
        <v>202</v>
      </c>
      <c r="O7" s="28" t="s">
        <v>163</v>
      </c>
      <c r="P7" s="36">
        <f t="shared" si="4"/>
        <v>1.0085319387373926</v>
      </c>
      <c r="Q7" s="36">
        <f t="shared" si="3"/>
        <v>182.72000000000116</v>
      </c>
    </row>
    <row r="8" spans="1:17" ht="15" hidden="1" customHeight="1" x14ac:dyDescent="0.25">
      <c r="A8" s="4">
        <v>7</v>
      </c>
      <c r="B8" s="4" t="s">
        <v>32</v>
      </c>
      <c r="C8" s="4" t="s">
        <v>34</v>
      </c>
      <c r="D8" s="4" t="s">
        <v>30</v>
      </c>
      <c r="E8" s="4" t="s">
        <v>20</v>
      </c>
      <c r="F8" s="4" t="s">
        <v>21</v>
      </c>
      <c r="G8" s="4"/>
      <c r="H8" s="5">
        <v>8000</v>
      </c>
      <c r="I8" s="5">
        <f t="shared" si="0"/>
        <v>720</v>
      </c>
      <c r="J8" s="5">
        <f t="shared" si="1"/>
        <v>720</v>
      </c>
      <c r="K8" s="5">
        <f>J8+I8</f>
        <v>1440</v>
      </c>
      <c r="L8" s="5">
        <f>SUM(H8:J8)</f>
        <v>9440</v>
      </c>
      <c r="M8" s="5">
        <v>9345.6</v>
      </c>
      <c r="N8" s="4" t="s">
        <v>164</v>
      </c>
      <c r="O8" s="28" t="s">
        <v>163</v>
      </c>
      <c r="P8" s="29">
        <f t="shared" ref="P8:P10" si="7">L8/M8</f>
        <v>1.0101010101010102</v>
      </c>
      <c r="Q8" s="5">
        <f t="shared" si="3"/>
        <v>94.399999999999636</v>
      </c>
    </row>
    <row r="9" spans="1:17" ht="15" hidden="1" customHeight="1" x14ac:dyDescent="0.25">
      <c r="A9" s="1">
        <v>8</v>
      </c>
      <c r="B9" s="1" t="s">
        <v>32</v>
      </c>
      <c r="C9" s="1" t="s">
        <v>35</v>
      </c>
      <c r="D9" s="1" t="s">
        <v>30</v>
      </c>
      <c r="E9" s="1" t="s">
        <v>0</v>
      </c>
      <c r="F9" s="1" t="s">
        <v>1</v>
      </c>
      <c r="G9" s="1"/>
      <c r="H9" s="9">
        <v>37728</v>
      </c>
      <c r="I9" s="9">
        <f t="shared" si="0"/>
        <v>3395.52</v>
      </c>
      <c r="J9" s="9">
        <f t="shared" si="1"/>
        <v>3395.52</v>
      </c>
      <c r="K9" s="9">
        <f>I9+J9</f>
        <v>6791.04</v>
      </c>
      <c r="L9" s="9">
        <f>H9+I9+J9</f>
        <v>44519.039999999994</v>
      </c>
      <c r="M9" s="9">
        <v>44142</v>
      </c>
      <c r="N9" s="1" t="s">
        <v>202</v>
      </c>
      <c r="O9" s="28" t="s">
        <v>163</v>
      </c>
      <c r="P9" s="15">
        <f t="shared" si="7"/>
        <v>1.0085415250781566</v>
      </c>
      <c r="Q9" s="15">
        <f t="shared" si="3"/>
        <v>377.0399999999936</v>
      </c>
    </row>
    <row r="10" spans="1:17" ht="15" hidden="1" customHeight="1" x14ac:dyDescent="0.25">
      <c r="A10" s="1">
        <v>9</v>
      </c>
      <c r="B10" s="1" t="s">
        <v>36</v>
      </c>
      <c r="C10" s="1" t="s">
        <v>37</v>
      </c>
      <c r="D10" s="1" t="s">
        <v>30</v>
      </c>
      <c r="E10" s="1" t="s">
        <v>0</v>
      </c>
      <c r="F10" s="1" t="s">
        <v>1</v>
      </c>
      <c r="G10" s="1"/>
      <c r="H10" s="9">
        <v>23580</v>
      </c>
      <c r="I10" s="9">
        <f t="shared" si="0"/>
        <v>2122.1999999999998</v>
      </c>
      <c r="J10" s="9">
        <f t="shared" si="1"/>
        <v>2122.1999999999998</v>
      </c>
      <c r="K10" s="9">
        <f>I10+J10</f>
        <v>4244.3999999999996</v>
      </c>
      <c r="L10" s="9">
        <f>H10+I10+J10</f>
        <v>27824.400000000001</v>
      </c>
      <c r="M10" s="9">
        <v>27589</v>
      </c>
      <c r="N10" s="1" t="s">
        <v>202</v>
      </c>
      <c r="O10" s="28" t="s">
        <v>163</v>
      </c>
      <c r="P10" s="15">
        <f t="shared" si="7"/>
        <v>1.0085323860959079</v>
      </c>
      <c r="Q10" s="15">
        <f t="shared" si="3"/>
        <v>235.40000000000146</v>
      </c>
    </row>
    <row r="11" spans="1:17" ht="15" hidden="1" customHeight="1" x14ac:dyDescent="0.25">
      <c r="A11" s="11">
        <v>10</v>
      </c>
      <c r="B11" s="11" t="s">
        <v>40</v>
      </c>
      <c r="C11" s="11" t="s">
        <v>41</v>
      </c>
      <c r="D11" s="11" t="s">
        <v>30</v>
      </c>
      <c r="E11" s="11" t="s">
        <v>38</v>
      </c>
      <c r="F11" s="13" t="s">
        <v>39</v>
      </c>
      <c r="G11" s="13"/>
      <c r="H11" s="12">
        <v>12167.5</v>
      </c>
      <c r="I11" s="12">
        <f t="shared" si="0"/>
        <v>1095.075</v>
      </c>
      <c r="J11" s="12">
        <f t="shared" si="1"/>
        <v>1095.075</v>
      </c>
      <c r="K11" s="12">
        <f>I11+J11</f>
        <v>2190.15</v>
      </c>
      <c r="L11" s="12">
        <f>H11+I11+J11</f>
        <v>14357.650000000001</v>
      </c>
      <c r="M11" s="11"/>
      <c r="N11" s="11"/>
      <c r="O11" s="3" t="s">
        <v>2</v>
      </c>
      <c r="P11" s="11" t="e">
        <f t="shared" si="4"/>
        <v>#DIV/0!</v>
      </c>
      <c r="Q11" s="11"/>
    </row>
    <row r="12" spans="1:17" ht="15" hidden="1" customHeight="1" x14ac:dyDescent="0.25">
      <c r="A12" s="1">
        <v>11</v>
      </c>
      <c r="B12" s="1" t="s">
        <v>42</v>
      </c>
      <c r="C12" s="1" t="s">
        <v>43</v>
      </c>
      <c r="D12" s="1" t="s">
        <v>30</v>
      </c>
      <c r="E12" s="1" t="s">
        <v>0</v>
      </c>
      <c r="F12" s="1" t="s">
        <v>1</v>
      </c>
      <c r="G12" s="1"/>
      <c r="H12" s="9">
        <v>30654</v>
      </c>
      <c r="I12" s="9">
        <f t="shared" si="0"/>
        <v>2758.8599999999997</v>
      </c>
      <c r="J12" s="9">
        <f t="shared" si="1"/>
        <v>2758.8599999999997</v>
      </c>
      <c r="K12" s="9">
        <f>I12+J12</f>
        <v>5517.7199999999993</v>
      </c>
      <c r="L12" s="9">
        <f>H12+I12+J12</f>
        <v>36171.72</v>
      </c>
      <c r="M12" s="9">
        <v>35865</v>
      </c>
      <c r="N12" s="1" t="s">
        <v>202</v>
      </c>
      <c r="O12" s="28" t="s">
        <v>163</v>
      </c>
      <c r="P12" s="15">
        <f t="shared" ref="P12" si="8">L12/M12</f>
        <v>1.008552070263488</v>
      </c>
      <c r="Q12" s="15">
        <f t="shared" ref="Q12:Q18" si="9">L12-M12</f>
        <v>306.72000000000116</v>
      </c>
    </row>
    <row r="13" spans="1:17" ht="15" hidden="1" customHeight="1" x14ac:dyDescent="0.25">
      <c r="A13" s="4">
        <v>12</v>
      </c>
      <c r="B13" s="4" t="s">
        <v>42</v>
      </c>
      <c r="C13" s="4" t="s">
        <v>45</v>
      </c>
      <c r="D13" s="4" t="s">
        <v>30</v>
      </c>
      <c r="E13" s="4" t="s">
        <v>20</v>
      </c>
      <c r="F13" s="4" t="s">
        <v>21</v>
      </c>
      <c r="G13" s="4"/>
      <c r="H13" s="5">
        <v>7009</v>
      </c>
      <c r="I13" s="5">
        <f t="shared" si="0"/>
        <v>630.80999999999995</v>
      </c>
      <c r="J13" s="5">
        <f t="shared" si="1"/>
        <v>630.80999999999995</v>
      </c>
      <c r="K13" s="5">
        <f>J13+I13</f>
        <v>1261.6199999999999</v>
      </c>
      <c r="L13" s="5">
        <f>SUM(H13:J13)</f>
        <v>8270.619999999999</v>
      </c>
      <c r="M13" s="5">
        <v>8188.29</v>
      </c>
      <c r="N13" s="4" t="s">
        <v>164</v>
      </c>
      <c r="O13" s="28" t="s">
        <v>163</v>
      </c>
      <c r="P13" s="29">
        <f t="shared" ref="P13:P15" si="10">L13/M13</f>
        <v>1.0100546023650847</v>
      </c>
      <c r="Q13" s="5">
        <f t="shared" si="9"/>
        <v>82.329999999999018</v>
      </c>
    </row>
    <row r="14" spans="1:17" ht="15" hidden="1" customHeight="1" x14ac:dyDescent="0.25">
      <c r="A14" s="1">
        <v>13</v>
      </c>
      <c r="B14" s="1" t="s">
        <v>44</v>
      </c>
      <c r="C14" s="1" t="s">
        <v>46</v>
      </c>
      <c r="D14" s="1" t="s">
        <v>30</v>
      </c>
      <c r="E14" s="1" t="s">
        <v>0</v>
      </c>
      <c r="F14" s="1" t="s">
        <v>1</v>
      </c>
      <c r="G14" s="1"/>
      <c r="H14" s="9">
        <v>140240</v>
      </c>
      <c r="I14" s="9">
        <f t="shared" si="0"/>
        <v>12621.6</v>
      </c>
      <c r="J14" s="9">
        <f t="shared" si="1"/>
        <v>12621.6</v>
      </c>
      <c r="K14" s="9">
        <f t="shared" ref="K14:K21" si="11">I14+J14</f>
        <v>25243.200000000001</v>
      </c>
      <c r="L14" s="9">
        <f t="shared" ref="L14:L21" si="12">H14+I14+J14</f>
        <v>165483.20000000001</v>
      </c>
      <c r="M14" s="9">
        <v>165483</v>
      </c>
      <c r="N14" s="1" t="s">
        <v>202</v>
      </c>
      <c r="O14" s="28" t="s">
        <v>163</v>
      </c>
      <c r="P14" s="15">
        <f t="shared" si="10"/>
        <v>1.0000012085833592</v>
      </c>
      <c r="Q14" s="15">
        <f t="shared" si="9"/>
        <v>0.20000000001164153</v>
      </c>
    </row>
    <row r="15" spans="1:17" ht="15" hidden="1" customHeight="1" x14ac:dyDescent="0.25">
      <c r="A15" s="1">
        <v>14</v>
      </c>
      <c r="B15" s="1" t="s">
        <v>44</v>
      </c>
      <c r="C15" s="1" t="s">
        <v>47</v>
      </c>
      <c r="D15" s="1" t="s">
        <v>30</v>
      </c>
      <c r="E15" s="1" t="s">
        <v>0</v>
      </c>
      <c r="F15" s="1" t="s">
        <v>1</v>
      </c>
      <c r="G15" s="1"/>
      <c r="H15" s="9">
        <v>48266</v>
      </c>
      <c r="I15" s="9">
        <f t="shared" si="0"/>
        <v>4343.9399999999996</v>
      </c>
      <c r="J15" s="9">
        <f t="shared" si="1"/>
        <v>4343.9399999999996</v>
      </c>
      <c r="K15" s="9">
        <f t="shared" si="11"/>
        <v>8687.8799999999992</v>
      </c>
      <c r="L15" s="9">
        <f t="shared" si="12"/>
        <v>56953.880000000005</v>
      </c>
      <c r="M15" s="9">
        <v>56471</v>
      </c>
      <c r="N15" s="1" t="s">
        <v>202</v>
      </c>
      <c r="O15" s="28" t="s">
        <v>163</v>
      </c>
      <c r="P15" s="15">
        <f t="shared" si="10"/>
        <v>1.0085509376494131</v>
      </c>
      <c r="Q15" s="15">
        <f t="shared" si="9"/>
        <v>482.88000000000466</v>
      </c>
    </row>
    <row r="16" spans="1:17" ht="15" hidden="1" customHeight="1" x14ac:dyDescent="0.25">
      <c r="A16" s="6">
        <v>15</v>
      </c>
      <c r="B16" s="6" t="s">
        <v>48</v>
      </c>
      <c r="C16" s="6" t="s">
        <v>49</v>
      </c>
      <c r="D16" s="6" t="s">
        <v>30</v>
      </c>
      <c r="E16" s="6" t="s">
        <v>28</v>
      </c>
      <c r="F16" s="6" t="s">
        <v>29</v>
      </c>
      <c r="G16" s="6"/>
      <c r="H16" s="7">
        <v>49792.82</v>
      </c>
      <c r="I16" s="7">
        <f t="shared" si="0"/>
        <v>4481.3537999999999</v>
      </c>
      <c r="J16" s="7">
        <f t="shared" si="1"/>
        <v>4481.3537999999999</v>
      </c>
      <c r="K16" s="7">
        <f t="shared" si="11"/>
        <v>8962.7075999999997</v>
      </c>
      <c r="L16" s="7">
        <f t="shared" si="12"/>
        <v>58755.527599999994</v>
      </c>
      <c r="M16" s="6">
        <v>58258</v>
      </c>
      <c r="N16" s="6" t="s">
        <v>162</v>
      </c>
      <c r="O16" s="28" t="s">
        <v>163</v>
      </c>
      <c r="P16" s="27">
        <f t="shared" ref="P16:P17" si="13">L16/M16</f>
        <v>1.008540073466305</v>
      </c>
      <c r="Q16" s="7">
        <f t="shared" si="9"/>
        <v>497.52759999999398</v>
      </c>
    </row>
    <row r="17" spans="1:17" ht="15" hidden="1" customHeight="1" x14ac:dyDescent="0.25">
      <c r="A17" s="8">
        <v>16</v>
      </c>
      <c r="B17" s="8" t="s">
        <v>48</v>
      </c>
      <c r="C17" s="8" t="s">
        <v>50</v>
      </c>
      <c r="D17" s="8" t="s">
        <v>30</v>
      </c>
      <c r="E17" s="8" t="s">
        <v>0</v>
      </c>
      <c r="F17" s="8" t="s">
        <v>1</v>
      </c>
      <c r="G17" s="8"/>
      <c r="H17" s="10">
        <v>36564</v>
      </c>
      <c r="I17" s="10">
        <f t="shared" si="0"/>
        <v>3290.7599999999998</v>
      </c>
      <c r="J17" s="10">
        <f t="shared" si="1"/>
        <v>3290.7599999999998</v>
      </c>
      <c r="K17" s="10">
        <f t="shared" si="11"/>
        <v>6581.5199999999995</v>
      </c>
      <c r="L17" s="10">
        <f t="shared" si="12"/>
        <v>43145.520000000004</v>
      </c>
      <c r="M17" s="10">
        <v>42780</v>
      </c>
      <c r="N17" s="8" t="s">
        <v>202</v>
      </c>
      <c r="O17" s="28" t="s">
        <v>163</v>
      </c>
      <c r="P17" s="36">
        <f t="shared" si="13"/>
        <v>1.0085441795231418</v>
      </c>
      <c r="Q17" s="36">
        <f t="shared" si="9"/>
        <v>365.52000000000407</v>
      </c>
    </row>
    <row r="18" spans="1:17" ht="15" hidden="1" customHeight="1" x14ac:dyDescent="0.25">
      <c r="A18" s="1">
        <v>17</v>
      </c>
      <c r="B18" s="1" t="s">
        <v>48</v>
      </c>
      <c r="C18" s="1" t="s">
        <v>51</v>
      </c>
      <c r="D18" s="1" t="s">
        <v>30</v>
      </c>
      <c r="E18" s="1" t="s">
        <v>0</v>
      </c>
      <c r="F18" s="1" t="s">
        <v>1</v>
      </c>
      <c r="G18" s="1"/>
      <c r="H18" s="9">
        <v>92456</v>
      </c>
      <c r="I18" s="9">
        <f t="shared" si="0"/>
        <v>8321.0399999999991</v>
      </c>
      <c r="J18" s="9">
        <f t="shared" si="1"/>
        <v>8321.0399999999991</v>
      </c>
      <c r="K18" s="9">
        <f t="shared" si="11"/>
        <v>16642.079999999998</v>
      </c>
      <c r="L18" s="9">
        <f t="shared" si="12"/>
        <v>109098.07999999999</v>
      </c>
      <c r="M18" s="9">
        <v>108174</v>
      </c>
      <c r="N18" s="1" t="s">
        <v>202</v>
      </c>
      <c r="O18" s="28" t="s">
        <v>163</v>
      </c>
      <c r="P18" s="15">
        <f t="shared" ref="P18" si="14">L18/M18</f>
        <v>1.0085425333259377</v>
      </c>
      <c r="Q18" s="15">
        <f t="shared" si="9"/>
        <v>924.07999999998719</v>
      </c>
    </row>
    <row r="19" spans="1:17" ht="15" hidden="1" customHeight="1" x14ac:dyDescent="0.25">
      <c r="A19" s="11">
        <v>18</v>
      </c>
      <c r="B19" s="11" t="s">
        <v>48</v>
      </c>
      <c r="C19" s="11" t="s">
        <v>52</v>
      </c>
      <c r="D19" s="11" t="s">
        <v>30</v>
      </c>
      <c r="E19" s="11" t="s">
        <v>38</v>
      </c>
      <c r="F19" s="13" t="s">
        <v>39</v>
      </c>
      <c r="G19" s="13"/>
      <c r="H19" s="12">
        <v>16218.1</v>
      </c>
      <c r="I19" s="12">
        <f t="shared" si="0"/>
        <v>1459.6289999999999</v>
      </c>
      <c r="J19" s="12">
        <f t="shared" si="1"/>
        <v>1459.6289999999999</v>
      </c>
      <c r="K19" s="12">
        <f t="shared" si="11"/>
        <v>2919.2579999999998</v>
      </c>
      <c r="L19" s="12">
        <f t="shared" si="12"/>
        <v>19137.358</v>
      </c>
      <c r="M19" s="11"/>
      <c r="N19" s="11"/>
      <c r="O19" s="3" t="s">
        <v>2</v>
      </c>
      <c r="P19" s="11" t="e">
        <f t="shared" si="4"/>
        <v>#DIV/0!</v>
      </c>
      <c r="Q19" s="11"/>
    </row>
    <row r="20" spans="1:17" ht="15" hidden="1" customHeight="1" x14ac:dyDescent="0.25">
      <c r="A20" s="1">
        <v>19</v>
      </c>
      <c r="B20" s="1" t="s">
        <v>53</v>
      </c>
      <c r="C20" s="1" t="s">
        <v>54</v>
      </c>
      <c r="D20" s="1" t="s">
        <v>30</v>
      </c>
      <c r="E20" s="1" t="s">
        <v>0</v>
      </c>
      <c r="F20" s="1" t="s">
        <v>1</v>
      </c>
      <c r="G20" s="1"/>
      <c r="H20" s="9">
        <v>28928</v>
      </c>
      <c r="I20" s="9">
        <f t="shared" si="0"/>
        <v>2603.52</v>
      </c>
      <c r="J20" s="9">
        <f t="shared" si="1"/>
        <v>2603.52</v>
      </c>
      <c r="K20" s="9">
        <f t="shared" si="11"/>
        <v>5207.04</v>
      </c>
      <c r="L20" s="9">
        <f t="shared" si="12"/>
        <v>34135.040000000001</v>
      </c>
      <c r="M20" s="9">
        <v>33846</v>
      </c>
      <c r="N20" s="1" t="s">
        <v>202</v>
      </c>
      <c r="O20" s="28" t="s">
        <v>163</v>
      </c>
      <c r="P20" s="15">
        <f t="shared" ref="P20" si="15">L20/M20</f>
        <v>1.00853985699935</v>
      </c>
      <c r="Q20" s="15">
        <f>L20-M20</f>
        <v>289.04000000000087</v>
      </c>
    </row>
    <row r="21" spans="1:17" ht="15" hidden="1" customHeight="1" x14ac:dyDescent="0.25">
      <c r="A21" s="1">
        <v>20</v>
      </c>
      <c r="B21" s="1" t="s">
        <v>53</v>
      </c>
      <c r="C21" s="1" t="s">
        <v>55</v>
      </c>
      <c r="D21" s="1" t="s">
        <v>30</v>
      </c>
      <c r="E21" s="1" t="s">
        <v>0</v>
      </c>
      <c r="F21" s="1" t="s">
        <v>1</v>
      </c>
      <c r="G21" s="1"/>
      <c r="H21" s="9">
        <v>23114</v>
      </c>
      <c r="I21" s="9">
        <f t="shared" si="0"/>
        <v>2080.2599999999998</v>
      </c>
      <c r="J21" s="9">
        <f t="shared" si="1"/>
        <v>2080.2599999999998</v>
      </c>
      <c r="K21" s="9">
        <f t="shared" si="11"/>
        <v>4160.5199999999995</v>
      </c>
      <c r="L21" s="9">
        <f t="shared" si="12"/>
        <v>27274.519999999997</v>
      </c>
      <c r="M21" s="9">
        <v>27043</v>
      </c>
      <c r="N21" s="1" t="s">
        <v>202</v>
      </c>
      <c r="O21" s="28" t="s">
        <v>163</v>
      </c>
      <c r="P21" s="15">
        <f t="shared" si="4"/>
        <v>1.0085611803424175</v>
      </c>
      <c r="Q21" s="15">
        <f>L21-M21</f>
        <v>231.5199999999968</v>
      </c>
    </row>
    <row r="22" spans="1:17" ht="15" hidden="1" customHeight="1" x14ac:dyDescent="0.25">
      <c r="A22" s="4">
        <v>21</v>
      </c>
      <c r="B22" s="4" t="s">
        <v>53</v>
      </c>
      <c r="C22" s="4" t="s">
        <v>56</v>
      </c>
      <c r="D22" s="4" t="s">
        <v>30</v>
      </c>
      <c r="E22" s="4" t="s">
        <v>20</v>
      </c>
      <c r="F22" s="4" t="s">
        <v>21</v>
      </c>
      <c r="G22" s="4"/>
      <c r="H22" s="5">
        <v>3600</v>
      </c>
      <c r="I22" s="5">
        <f t="shared" si="0"/>
        <v>324</v>
      </c>
      <c r="J22" s="5">
        <f t="shared" si="1"/>
        <v>324</v>
      </c>
      <c r="K22" s="5">
        <f>J22+I22</f>
        <v>648</v>
      </c>
      <c r="L22" s="5">
        <f>SUM(H22:J22)</f>
        <v>4248</v>
      </c>
      <c r="M22" s="5">
        <v>4205.5200000000004</v>
      </c>
      <c r="N22" s="4" t="s">
        <v>164</v>
      </c>
      <c r="O22" s="28" t="s">
        <v>163</v>
      </c>
      <c r="P22" s="29">
        <f t="shared" ref="P22:P23" si="16">L22/M22</f>
        <v>1.0101010101010099</v>
      </c>
      <c r="Q22" s="5">
        <f>L22-M22</f>
        <v>42.479999999999563</v>
      </c>
    </row>
    <row r="23" spans="1:17" ht="15" hidden="1" customHeight="1" x14ac:dyDescent="0.25">
      <c r="A23" s="1">
        <v>22</v>
      </c>
      <c r="B23" s="1" t="s">
        <v>57</v>
      </c>
      <c r="C23" s="1" t="s">
        <v>58</v>
      </c>
      <c r="D23" s="1" t="s">
        <v>30</v>
      </c>
      <c r="E23" s="1" t="s">
        <v>0</v>
      </c>
      <c r="F23" s="1" t="s">
        <v>1</v>
      </c>
      <c r="G23" s="1"/>
      <c r="H23" s="9">
        <v>89620</v>
      </c>
      <c r="I23" s="9">
        <f t="shared" si="0"/>
        <v>8065.7999999999993</v>
      </c>
      <c r="J23" s="9">
        <f t="shared" si="1"/>
        <v>8065.7999999999993</v>
      </c>
      <c r="K23" s="9">
        <f>I23+J23</f>
        <v>16131.599999999999</v>
      </c>
      <c r="L23" s="9">
        <f>H23+I23+J23</f>
        <v>105751.6</v>
      </c>
      <c r="M23" s="9">
        <v>104855</v>
      </c>
      <c r="N23" s="1" t="s">
        <v>202</v>
      </c>
      <c r="O23" s="28" t="s">
        <v>163</v>
      </c>
      <c r="P23" s="15">
        <f t="shared" si="16"/>
        <v>1.0085508559439227</v>
      </c>
      <c r="Q23" s="15">
        <f>L23-M23</f>
        <v>896.60000000000582</v>
      </c>
    </row>
    <row r="24" spans="1:17" ht="15" hidden="1" customHeight="1" x14ac:dyDescent="0.25">
      <c r="A24" s="4">
        <v>23</v>
      </c>
      <c r="B24" s="4" t="s">
        <v>57</v>
      </c>
      <c r="C24" s="4" t="s">
        <v>59</v>
      </c>
      <c r="D24" s="4" t="s">
        <v>30</v>
      </c>
      <c r="E24" s="4" t="s">
        <v>20</v>
      </c>
      <c r="F24" s="4" t="s">
        <v>21</v>
      </c>
      <c r="G24" s="4"/>
      <c r="H24" s="5">
        <v>4000</v>
      </c>
      <c r="I24" s="5">
        <f t="shared" si="0"/>
        <v>360</v>
      </c>
      <c r="J24" s="5">
        <f t="shared" si="1"/>
        <v>360</v>
      </c>
      <c r="K24" s="5">
        <f>J24+I24</f>
        <v>720</v>
      </c>
      <c r="L24" s="5">
        <f>SUM(H24:J24)</f>
        <v>4720</v>
      </c>
      <c r="M24" s="5">
        <v>4672.8</v>
      </c>
      <c r="N24" s="4" t="s">
        <v>164</v>
      </c>
      <c r="O24" s="28" t="s">
        <v>163</v>
      </c>
      <c r="P24" s="29">
        <f t="shared" ref="P24" si="17">L24/M24</f>
        <v>1.0101010101010102</v>
      </c>
      <c r="Q24" s="5">
        <f>L24-M24</f>
        <v>47.199999999999818</v>
      </c>
    </row>
    <row r="25" spans="1:17" ht="15" hidden="1" customHeight="1" x14ac:dyDescent="0.25">
      <c r="A25" s="11">
        <v>24</v>
      </c>
      <c r="B25" s="11" t="s">
        <v>57</v>
      </c>
      <c r="C25" s="11" t="s">
        <v>60</v>
      </c>
      <c r="D25" s="11" t="s">
        <v>30</v>
      </c>
      <c r="E25" s="11" t="s">
        <v>38</v>
      </c>
      <c r="F25" s="13" t="s">
        <v>39</v>
      </c>
      <c r="G25" s="13"/>
      <c r="H25" s="12">
        <v>15197.6</v>
      </c>
      <c r="I25" s="12">
        <f t="shared" si="0"/>
        <v>1367.7839999999999</v>
      </c>
      <c r="J25" s="12">
        <f t="shared" si="1"/>
        <v>1367.7839999999999</v>
      </c>
      <c r="K25" s="12">
        <f>I25+J25</f>
        <v>2735.5679999999998</v>
      </c>
      <c r="L25" s="12">
        <f>H25+I25+J25</f>
        <v>17933.168000000001</v>
      </c>
      <c r="M25" s="11"/>
      <c r="N25" s="11"/>
      <c r="O25" s="3" t="s">
        <v>2</v>
      </c>
      <c r="P25" s="11" t="e">
        <f t="shared" si="4"/>
        <v>#DIV/0!</v>
      </c>
      <c r="Q25" s="11"/>
    </row>
    <row r="26" spans="1:17" ht="15" hidden="1" customHeight="1" x14ac:dyDescent="0.25">
      <c r="A26" s="4">
        <v>25</v>
      </c>
      <c r="B26" s="4" t="s">
        <v>61</v>
      </c>
      <c r="C26" s="4" t="s">
        <v>62</v>
      </c>
      <c r="D26" s="4" t="s">
        <v>30</v>
      </c>
      <c r="E26" s="4" t="s">
        <v>20</v>
      </c>
      <c r="F26" s="4" t="s">
        <v>21</v>
      </c>
      <c r="G26" s="4"/>
      <c r="H26" s="5">
        <v>3000</v>
      </c>
      <c r="I26" s="5">
        <f t="shared" si="0"/>
        <v>270</v>
      </c>
      <c r="J26" s="5">
        <f t="shared" si="1"/>
        <v>270</v>
      </c>
      <c r="K26" s="5">
        <f>J26+I26</f>
        <v>540</v>
      </c>
      <c r="L26" s="5">
        <f>SUM(H26:J26)</f>
        <v>3540</v>
      </c>
      <c r="M26" s="5">
        <v>3504.6</v>
      </c>
      <c r="N26" s="4" t="s">
        <v>164</v>
      </c>
      <c r="O26" s="28" t="s">
        <v>163</v>
      </c>
      <c r="P26" s="29">
        <f t="shared" ref="P26:P29" si="18">L26/M26</f>
        <v>1.0101010101010102</v>
      </c>
      <c r="Q26" s="5">
        <f>L26-M26</f>
        <v>35.400000000000091</v>
      </c>
    </row>
    <row r="27" spans="1:17" ht="15" hidden="1" customHeight="1" x14ac:dyDescent="0.25">
      <c r="A27" s="4">
        <v>26</v>
      </c>
      <c r="B27" s="4" t="s">
        <v>61</v>
      </c>
      <c r="C27" s="4" t="s">
        <v>63</v>
      </c>
      <c r="D27" s="4" t="s">
        <v>30</v>
      </c>
      <c r="E27" s="4" t="s">
        <v>20</v>
      </c>
      <c r="F27" s="4" t="s">
        <v>21</v>
      </c>
      <c r="G27" s="4"/>
      <c r="H27" s="5">
        <v>4000</v>
      </c>
      <c r="I27" s="5">
        <f t="shared" si="0"/>
        <v>360</v>
      </c>
      <c r="J27" s="5">
        <f t="shared" si="1"/>
        <v>360</v>
      </c>
      <c r="K27" s="5">
        <f>J27+I27</f>
        <v>720</v>
      </c>
      <c r="L27" s="5">
        <f>SUM(H27:J27)</f>
        <v>4720</v>
      </c>
      <c r="M27" s="5">
        <v>4672.8</v>
      </c>
      <c r="N27" s="4" t="s">
        <v>164</v>
      </c>
      <c r="O27" s="28" t="s">
        <v>163</v>
      </c>
      <c r="P27" s="29">
        <f t="shared" si="18"/>
        <v>1.0101010101010102</v>
      </c>
      <c r="Q27" s="5">
        <f>L27-M27</f>
        <v>47.199999999999818</v>
      </c>
    </row>
    <row r="28" spans="1:17" ht="15" hidden="1" customHeight="1" x14ac:dyDescent="0.25">
      <c r="A28" s="1">
        <v>27</v>
      </c>
      <c r="B28" s="1" t="s">
        <v>61</v>
      </c>
      <c r="C28" s="1" t="s">
        <v>64</v>
      </c>
      <c r="D28" s="1" t="s">
        <v>30</v>
      </c>
      <c r="E28" s="1" t="s">
        <v>0</v>
      </c>
      <c r="F28" s="1" t="s">
        <v>1</v>
      </c>
      <c r="G28" s="1"/>
      <c r="H28" s="9">
        <v>68003.399999999994</v>
      </c>
      <c r="I28" s="9">
        <f t="shared" si="0"/>
        <v>6120.3059999999996</v>
      </c>
      <c r="J28" s="9">
        <f t="shared" si="1"/>
        <v>6120.3059999999996</v>
      </c>
      <c r="K28" s="9">
        <f>I28+J28</f>
        <v>12240.611999999999</v>
      </c>
      <c r="L28" s="9">
        <f>H28+I28+J28</f>
        <v>80244.011999999988</v>
      </c>
      <c r="M28" s="9">
        <v>79564</v>
      </c>
      <c r="N28" s="1" t="s">
        <v>202</v>
      </c>
      <c r="O28" s="28" t="s">
        <v>163</v>
      </c>
      <c r="P28" s="15">
        <f t="shared" si="18"/>
        <v>1.0085467296767381</v>
      </c>
      <c r="Q28" s="15">
        <f>L28-M28</f>
        <v>680.01199999998789</v>
      </c>
    </row>
    <row r="29" spans="1:17" ht="15" hidden="1" customHeight="1" x14ac:dyDescent="0.25">
      <c r="A29" s="1">
        <v>28</v>
      </c>
      <c r="B29" s="1" t="s">
        <v>65</v>
      </c>
      <c r="C29" s="1" t="s">
        <v>66</v>
      </c>
      <c r="D29" s="1" t="s">
        <v>30</v>
      </c>
      <c r="E29" s="1" t="s">
        <v>0</v>
      </c>
      <c r="F29" s="1" t="s">
        <v>1</v>
      </c>
      <c r="G29" s="1"/>
      <c r="H29" s="9">
        <v>78616</v>
      </c>
      <c r="I29" s="9">
        <f t="shared" si="0"/>
        <v>7075.44</v>
      </c>
      <c r="J29" s="9">
        <f t="shared" si="1"/>
        <v>7075.44</v>
      </c>
      <c r="K29" s="9">
        <f>I29+J29</f>
        <v>14150.88</v>
      </c>
      <c r="L29" s="9">
        <f>H29+I29+J29</f>
        <v>92766.88</v>
      </c>
      <c r="M29" s="9">
        <v>91981</v>
      </c>
      <c r="N29" s="1" t="s">
        <v>202</v>
      </c>
      <c r="O29" s="28" t="s">
        <v>163</v>
      </c>
      <c r="P29" s="15">
        <f t="shared" si="18"/>
        <v>1.0085439384220656</v>
      </c>
      <c r="Q29" s="15">
        <f>L29-M29</f>
        <v>785.88000000000466</v>
      </c>
    </row>
    <row r="30" spans="1:17" ht="15" customHeight="1" x14ac:dyDescent="0.25">
      <c r="A30" s="1">
        <v>29</v>
      </c>
      <c r="B30" s="1" t="s">
        <v>67</v>
      </c>
      <c r="C30" s="1" t="s">
        <v>68</v>
      </c>
      <c r="D30" s="1" t="s">
        <v>30</v>
      </c>
      <c r="E30" s="1" t="s">
        <v>0</v>
      </c>
      <c r="F30" s="1" t="s">
        <v>1</v>
      </c>
      <c r="G30" s="1"/>
      <c r="H30" s="9">
        <v>72644</v>
      </c>
      <c r="I30" s="9">
        <f t="shared" ref="I30" si="19">H30*9%</f>
        <v>6537.96</v>
      </c>
      <c r="J30" s="9">
        <f t="shared" ref="J30" si="20">H30*9%</f>
        <v>6537.96</v>
      </c>
      <c r="K30" s="9">
        <f>I30+J30</f>
        <v>13075.92</v>
      </c>
      <c r="L30" s="9">
        <f>H30+I30+J30</f>
        <v>85719.920000000013</v>
      </c>
      <c r="M30" s="1"/>
      <c r="N30" s="1"/>
      <c r="O30" s="3" t="s">
        <v>2</v>
      </c>
      <c r="P30" s="1" t="e">
        <f t="shared" ref="P30:P31" si="21">L30/M30</f>
        <v>#DIV/0!</v>
      </c>
      <c r="Q30" s="1"/>
    </row>
    <row r="31" spans="1:17" ht="15" hidden="1" customHeight="1" x14ac:dyDescent="0.25">
      <c r="A31" s="4">
        <v>30</v>
      </c>
      <c r="B31" s="4" t="s">
        <v>67</v>
      </c>
      <c r="C31" s="4" t="s">
        <v>69</v>
      </c>
      <c r="D31" s="4" t="s">
        <v>30</v>
      </c>
      <c r="E31" s="4" t="s">
        <v>20</v>
      </c>
      <c r="F31" s="4" t="s">
        <v>21</v>
      </c>
      <c r="G31" s="4"/>
      <c r="H31" s="5">
        <v>4000</v>
      </c>
      <c r="I31" s="5">
        <f t="shared" si="0"/>
        <v>360</v>
      </c>
      <c r="J31" s="5">
        <f t="shared" si="1"/>
        <v>360</v>
      </c>
      <c r="K31" s="5">
        <f>J31+I31</f>
        <v>720</v>
      </c>
      <c r="L31" s="5">
        <f>SUM(H31:J31)</f>
        <v>4720</v>
      </c>
      <c r="M31" s="5">
        <v>4672.8</v>
      </c>
      <c r="N31" s="4" t="s">
        <v>164</v>
      </c>
      <c r="O31" s="28" t="s">
        <v>163</v>
      </c>
      <c r="P31" s="29">
        <f t="shared" si="21"/>
        <v>1.0101010101010102</v>
      </c>
      <c r="Q31" s="5">
        <f>L31-M31</f>
        <v>47.199999999999818</v>
      </c>
    </row>
    <row r="32" spans="1:17" ht="15" customHeight="1" x14ac:dyDescent="0.25">
      <c r="A32" s="1">
        <v>31</v>
      </c>
      <c r="B32" s="1" t="s">
        <v>70</v>
      </c>
      <c r="C32" s="1" t="s">
        <v>71</v>
      </c>
      <c r="D32" s="1" t="s">
        <v>30</v>
      </c>
      <c r="E32" s="1" t="s">
        <v>0</v>
      </c>
      <c r="F32" s="1" t="s">
        <v>1</v>
      </c>
      <c r="G32" s="1"/>
      <c r="H32" s="9">
        <v>76321.679999999993</v>
      </c>
      <c r="I32" s="9">
        <f t="shared" si="0"/>
        <v>6868.9511999999995</v>
      </c>
      <c r="J32" s="9">
        <f t="shared" si="1"/>
        <v>6868.9511999999995</v>
      </c>
      <c r="K32" s="9">
        <f>I32+J32</f>
        <v>13737.902399999999</v>
      </c>
      <c r="L32" s="9">
        <f>H32+I32+J32</f>
        <v>90059.582399999985</v>
      </c>
      <c r="M32" s="1"/>
      <c r="N32" s="1"/>
      <c r="O32" s="3" t="s">
        <v>2</v>
      </c>
      <c r="P32" s="1" t="e">
        <f t="shared" si="4"/>
        <v>#DIV/0!</v>
      </c>
      <c r="Q32" s="1"/>
    </row>
    <row r="33" spans="1:17" ht="15" hidden="1" customHeight="1" x14ac:dyDescent="0.25">
      <c r="A33" s="11">
        <v>32</v>
      </c>
      <c r="B33" s="11" t="s">
        <v>70</v>
      </c>
      <c r="C33" s="11" t="s">
        <v>72</v>
      </c>
      <c r="D33" s="11" t="s">
        <v>30</v>
      </c>
      <c r="E33" s="11" t="s">
        <v>38</v>
      </c>
      <c r="F33" s="13" t="s">
        <v>39</v>
      </c>
      <c r="G33" s="13"/>
      <c r="H33" s="12">
        <v>7850</v>
      </c>
      <c r="I33" s="12">
        <f t="shared" ref="I33:I55" si="22">H33*9%</f>
        <v>706.5</v>
      </c>
      <c r="J33" s="12">
        <f t="shared" ref="J33:J53" si="23">H33*9%</f>
        <v>706.5</v>
      </c>
      <c r="K33" s="12">
        <f>I33+J33</f>
        <v>1413</v>
      </c>
      <c r="L33" s="12">
        <f>H33+I33+J33</f>
        <v>9263</v>
      </c>
      <c r="M33" s="11"/>
      <c r="N33" s="11"/>
      <c r="O33" s="3" t="s">
        <v>2</v>
      </c>
      <c r="P33" s="11" t="e">
        <f t="shared" ref="P33:P53" si="24">L33/M33</f>
        <v>#DIV/0!</v>
      </c>
      <c r="Q33" s="11"/>
    </row>
    <row r="34" spans="1:17" ht="15" hidden="1" customHeight="1" x14ac:dyDescent="0.25">
      <c r="A34" s="4">
        <v>33</v>
      </c>
      <c r="B34" s="4" t="s">
        <v>70</v>
      </c>
      <c r="C34" s="4" t="s">
        <v>73</v>
      </c>
      <c r="D34" s="4" t="s">
        <v>30</v>
      </c>
      <c r="E34" s="4" t="s">
        <v>20</v>
      </c>
      <c r="F34" s="4" t="s">
        <v>21</v>
      </c>
      <c r="G34" s="4"/>
      <c r="H34" s="5">
        <v>6000</v>
      </c>
      <c r="I34" s="5">
        <f t="shared" si="22"/>
        <v>540</v>
      </c>
      <c r="J34" s="5">
        <f t="shared" si="23"/>
        <v>540</v>
      </c>
      <c r="K34" s="5">
        <f>J34+I34</f>
        <v>1080</v>
      </c>
      <c r="L34" s="5">
        <f>SUM(H34:J34)</f>
        <v>7080</v>
      </c>
      <c r="M34" s="5">
        <v>7009.2</v>
      </c>
      <c r="N34" s="4" t="s">
        <v>164</v>
      </c>
      <c r="O34" s="28" t="s">
        <v>163</v>
      </c>
      <c r="P34" s="29">
        <f t="shared" si="24"/>
        <v>1.0101010101010102</v>
      </c>
      <c r="Q34" s="5">
        <f>L34-M34</f>
        <v>70.800000000000182</v>
      </c>
    </row>
    <row r="35" spans="1:17" ht="15" customHeight="1" x14ac:dyDescent="0.25">
      <c r="A35" s="6">
        <v>34</v>
      </c>
      <c r="B35" s="6" t="s">
        <v>74</v>
      </c>
      <c r="C35" s="6" t="s">
        <v>114</v>
      </c>
      <c r="D35" s="6" t="s">
        <v>30</v>
      </c>
      <c r="E35" s="6" t="s">
        <v>28</v>
      </c>
      <c r="F35" s="6" t="s">
        <v>29</v>
      </c>
      <c r="G35" s="6"/>
      <c r="H35" s="7">
        <v>19500</v>
      </c>
      <c r="I35" s="7">
        <f t="shared" si="22"/>
        <v>1755</v>
      </c>
      <c r="J35" s="7">
        <f t="shared" si="23"/>
        <v>1755</v>
      </c>
      <c r="K35" s="7">
        <f>I35+J35</f>
        <v>3510</v>
      </c>
      <c r="L35" s="7">
        <f>H35+I35+J35</f>
        <v>23010</v>
      </c>
      <c r="M35" s="6"/>
      <c r="N35" s="6"/>
      <c r="O35" s="3" t="s">
        <v>2</v>
      </c>
      <c r="P35" s="6" t="e">
        <f t="shared" si="24"/>
        <v>#DIV/0!</v>
      </c>
      <c r="Q35" s="6"/>
    </row>
    <row r="36" spans="1:17" ht="15" customHeight="1" x14ac:dyDescent="0.25">
      <c r="A36" s="8">
        <v>35</v>
      </c>
      <c r="B36" s="8" t="s">
        <v>74</v>
      </c>
      <c r="C36" s="8" t="s">
        <v>75</v>
      </c>
      <c r="D36" s="8" t="s">
        <v>30</v>
      </c>
      <c r="E36" s="8" t="s">
        <v>0</v>
      </c>
      <c r="F36" s="8" t="s">
        <v>1</v>
      </c>
      <c r="G36" s="8"/>
      <c r="H36" s="10">
        <v>25574</v>
      </c>
      <c r="I36" s="10">
        <f t="shared" si="22"/>
        <v>2301.66</v>
      </c>
      <c r="J36" s="10">
        <f t="shared" si="23"/>
        <v>2301.66</v>
      </c>
      <c r="K36" s="10">
        <f>I36+J36</f>
        <v>4603.32</v>
      </c>
      <c r="L36" s="10">
        <f>H36+I36+J36</f>
        <v>30177.32</v>
      </c>
      <c r="M36" s="8"/>
      <c r="N36" s="8"/>
      <c r="O36" s="3" t="s">
        <v>2</v>
      </c>
      <c r="P36" s="8" t="e">
        <f t="shared" si="24"/>
        <v>#DIV/0!</v>
      </c>
      <c r="Q36" s="8"/>
    </row>
    <row r="37" spans="1:17" ht="15" hidden="1" customHeight="1" x14ac:dyDescent="0.25">
      <c r="A37" s="11">
        <v>36</v>
      </c>
      <c r="B37" s="11" t="s">
        <v>74</v>
      </c>
      <c r="C37" s="11" t="s">
        <v>76</v>
      </c>
      <c r="D37" s="11" t="s">
        <v>30</v>
      </c>
      <c r="E37" s="11" t="s">
        <v>38</v>
      </c>
      <c r="F37" s="13" t="s">
        <v>39</v>
      </c>
      <c r="G37" s="13"/>
      <c r="H37" s="12">
        <v>7850</v>
      </c>
      <c r="I37" s="12">
        <f t="shared" si="22"/>
        <v>706.5</v>
      </c>
      <c r="J37" s="12">
        <f t="shared" si="23"/>
        <v>706.5</v>
      </c>
      <c r="K37" s="12">
        <f>I37+J37</f>
        <v>1413</v>
      </c>
      <c r="L37" s="12">
        <f>H37+I37+J37</f>
        <v>9263</v>
      </c>
      <c r="M37" s="11"/>
      <c r="N37" s="11"/>
      <c r="O37" s="3" t="s">
        <v>2</v>
      </c>
      <c r="P37" s="11" t="e">
        <f t="shared" si="24"/>
        <v>#DIV/0!</v>
      </c>
      <c r="Q37" s="11"/>
    </row>
    <row r="38" spans="1:17" ht="15" customHeight="1" x14ac:dyDescent="0.25">
      <c r="A38" s="1">
        <v>37</v>
      </c>
      <c r="B38" s="1" t="s">
        <v>74</v>
      </c>
      <c r="C38" s="1" t="s">
        <v>77</v>
      </c>
      <c r="D38" s="1" t="s">
        <v>30</v>
      </c>
      <c r="E38" s="1" t="s">
        <v>0</v>
      </c>
      <c r="F38" s="1" t="s">
        <v>1</v>
      </c>
      <c r="G38" s="1"/>
      <c r="H38" s="9">
        <v>78065.8</v>
      </c>
      <c r="I38" s="9">
        <f t="shared" si="22"/>
        <v>7025.9219999999996</v>
      </c>
      <c r="J38" s="9">
        <f t="shared" si="23"/>
        <v>7025.9219999999996</v>
      </c>
      <c r="K38" s="9">
        <f>I38+J38</f>
        <v>14051.843999999999</v>
      </c>
      <c r="L38" s="9">
        <f>H38+I38+J38</f>
        <v>92117.644000000015</v>
      </c>
      <c r="M38" s="1"/>
      <c r="N38" s="1"/>
      <c r="O38" s="3" t="s">
        <v>2</v>
      </c>
      <c r="P38" s="1" t="e">
        <f t="shared" si="24"/>
        <v>#DIV/0!</v>
      </c>
      <c r="Q38" s="1"/>
    </row>
    <row r="39" spans="1:17" ht="15" hidden="1" customHeight="1" x14ac:dyDescent="0.25">
      <c r="A39" s="4">
        <v>38</v>
      </c>
      <c r="B39" s="4" t="s">
        <v>74</v>
      </c>
      <c r="C39" s="4" t="s">
        <v>78</v>
      </c>
      <c r="D39" s="4" t="s">
        <v>30</v>
      </c>
      <c r="E39" s="4" t="s">
        <v>20</v>
      </c>
      <c r="F39" s="4" t="s">
        <v>21</v>
      </c>
      <c r="G39" s="4"/>
      <c r="H39" s="5">
        <v>6500</v>
      </c>
      <c r="I39" s="5">
        <f t="shared" si="22"/>
        <v>585</v>
      </c>
      <c r="J39" s="5">
        <f t="shared" si="23"/>
        <v>585</v>
      </c>
      <c r="K39" s="5">
        <f>J39+I39</f>
        <v>1170</v>
      </c>
      <c r="L39" s="5">
        <f>SUM(H39:J39)</f>
        <v>7670</v>
      </c>
      <c r="M39" s="5">
        <v>7593.3</v>
      </c>
      <c r="N39" s="4" t="s">
        <v>164</v>
      </c>
      <c r="O39" s="28" t="s">
        <v>163</v>
      </c>
      <c r="P39" s="29">
        <f t="shared" si="24"/>
        <v>1.0101010101010102</v>
      </c>
      <c r="Q39" s="5">
        <f>L39-M39</f>
        <v>76.699999999999818</v>
      </c>
    </row>
    <row r="40" spans="1:17" ht="15" customHeight="1" x14ac:dyDescent="0.25">
      <c r="A40" s="1">
        <v>39</v>
      </c>
      <c r="B40" s="1" t="s">
        <v>79</v>
      </c>
      <c r="C40" s="1" t="s">
        <v>80</v>
      </c>
      <c r="D40" s="1" t="s">
        <v>30</v>
      </c>
      <c r="E40" s="1" t="s">
        <v>0</v>
      </c>
      <c r="F40" s="1" t="s">
        <v>1</v>
      </c>
      <c r="G40" s="1"/>
      <c r="H40" s="9">
        <v>56134</v>
      </c>
      <c r="I40" s="9">
        <f t="shared" si="22"/>
        <v>5052.0599999999995</v>
      </c>
      <c r="J40" s="9">
        <f t="shared" si="23"/>
        <v>5052.0599999999995</v>
      </c>
      <c r="K40" s="9">
        <f>I40+J40</f>
        <v>10104.119999999999</v>
      </c>
      <c r="L40" s="9">
        <f>H40+I40+J40</f>
        <v>66238.12</v>
      </c>
      <c r="M40" s="1"/>
      <c r="N40" s="1"/>
      <c r="O40" s="3" t="s">
        <v>2</v>
      </c>
      <c r="P40" s="1" t="e">
        <f t="shared" si="24"/>
        <v>#DIV/0!</v>
      </c>
      <c r="Q40" s="1"/>
    </row>
    <row r="41" spans="1:17" ht="15" hidden="1" customHeight="1" x14ac:dyDescent="0.25">
      <c r="A41" s="11">
        <v>40</v>
      </c>
      <c r="B41" s="11" t="s">
        <v>79</v>
      </c>
      <c r="C41" s="11" t="s">
        <v>81</v>
      </c>
      <c r="D41" s="11" t="s">
        <v>30</v>
      </c>
      <c r="E41" s="11" t="s">
        <v>38</v>
      </c>
      <c r="F41" s="13" t="s">
        <v>39</v>
      </c>
      <c r="G41" s="13"/>
      <c r="H41" s="12">
        <v>21352</v>
      </c>
      <c r="I41" s="12">
        <f t="shared" si="22"/>
        <v>1921.6799999999998</v>
      </c>
      <c r="J41" s="12">
        <f t="shared" si="23"/>
        <v>1921.6799999999998</v>
      </c>
      <c r="K41" s="12">
        <f>I41+J41</f>
        <v>3843.3599999999997</v>
      </c>
      <c r="L41" s="12">
        <f>H41+I41+J41</f>
        <v>25195.360000000001</v>
      </c>
      <c r="M41" s="11"/>
      <c r="N41" s="11"/>
      <c r="O41" s="3" t="s">
        <v>2</v>
      </c>
      <c r="P41" s="11" t="e">
        <f t="shared" si="24"/>
        <v>#DIV/0!</v>
      </c>
      <c r="Q41" s="11"/>
    </row>
    <row r="42" spans="1:17" ht="15" customHeight="1" x14ac:dyDescent="0.25">
      <c r="A42" s="1">
        <v>41</v>
      </c>
      <c r="B42" s="1" t="s">
        <v>82</v>
      </c>
      <c r="C42" s="1" t="s">
        <v>83</v>
      </c>
      <c r="D42" s="1" t="s">
        <v>30</v>
      </c>
      <c r="E42" s="1" t="s">
        <v>0</v>
      </c>
      <c r="F42" s="1" t="s">
        <v>1</v>
      </c>
      <c r="G42" s="1"/>
      <c r="H42" s="9">
        <v>66040</v>
      </c>
      <c r="I42" s="9">
        <f t="shared" si="22"/>
        <v>5943.5999999999995</v>
      </c>
      <c r="J42" s="9">
        <f t="shared" si="23"/>
        <v>5943.5999999999995</v>
      </c>
      <c r="K42" s="9">
        <f>I42+J42</f>
        <v>11887.199999999999</v>
      </c>
      <c r="L42" s="9">
        <f>H42+I42+J42</f>
        <v>77927.200000000012</v>
      </c>
      <c r="M42" s="1"/>
      <c r="N42" s="1"/>
      <c r="O42" s="3" t="s">
        <v>2</v>
      </c>
      <c r="P42" s="1" t="e">
        <f t="shared" si="24"/>
        <v>#DIV/0!</v>
      </c>
      <c r="Q42" s="1"/>
    </row>
    <row r="43" spans="1:17" ht="15" hidden="1" customHeight="1" x14ac:dyDescent="0.25">
      <c r="A43" s="4">
        <v>42</v>
      </c>
      <c r="B43" s="4" t="s">
        <v>82</v>
      </c>
      <c r="C43" s="4" t="s">
        <v>85</v>
      </c>
      <c r="D43" s="4" t="s">
        <v>30</v>
      </c>
      <c r="E43" s="4" t="s">
        <v>20</v>
      </c>
      <c r="F43" s="4" t="s">
        <v>21</v>
      </c>
      <c r="G43" s="4"/>
      <c r="H43" s="5">
        <v>7500</v>
      </c>
      <c r="I43" s="5">
        <f t="shared" si="22"/>
        <v>675</v>
      </c>
      <c r="J43" s="5">
        <f t="shared" si="23"/>
        <v>675</v>
      </c>
      <c r="K43" s="5">
        <f>J43+I43</f>
        <v>1350</v>
      </c>
      <c r="L43" s="5">
        <f>SUM(H43:J43)</f>
        <v>8850</v>
      </c>
      <c r="M43" s="5">
        <v>8761.5</v>
      </c>
      <c r="N43" s="4" t="s">
        <v>164</v>
      </c>
      <c r="O43" s="28" t="s">
        <v>163</v>
      </c>
      <c r="P43" s="29">
        <f t="shared" si="24"/>
        <v>1.0101010101010102</v>
      </c>
      <c r="Q43" s="5">
        <f>L43-M43</f>
        <v>88.5</v>
      </c>
    </row>
    <row r="44" spans="1:17" ht="15" customHeight="1" x14ac:dyDescent="0.25">
      <c r="A44" s="1">
        <v>43</v>
      </c>
      <c r="B44" s="1" t="s">
        <v>84</v>
      </c>
      <c r="C44" s="1" t="s">
        <v>86</v>
      </c>
      <c r="D44" s="1" t="s">
        <v>30</v>
      </c>
      <c r="E44" s="1" t="s">
        <v>0</v>
      </c>
      <c r="F44" s="1" t="s">
        <v>1</v>
      </c>
      <c r="G44" s="1"/>
      <c r="H44" s="9">
        <v>31367</v>
      </c>
      <c r="I44" s="9">
        <f t="shared" si="22"/>
        <v>2823.0299999999997</v>
      </c>
      <c r="J44" s="9">
        <f t="shared" si="23"/>
        <v>2823.0299999999997</v>
      </c>
      <c r="K44" s="9">
        <f>I44+J44</f>
        <v>5646.0599999999995</v>
      </c>
      <c r="L44" s="9">
        <f>H44+I44+J44</f>
        <v>37013.06</v>
      </c>
      <c r="M44" s="1"/>
      <c r="N44" s="1"/>
      <c r="O44" s="3" t="s">
        <v>2</v>
      </c>
      <c r="P44" s="1" t="e">
        <f t="shared" si="24"/>
        <v>#DIV/0!</v>
      </c>
      <c r="Q44" s="1"/>
    </row>
    <row r="45" spans="1:17" ht="15" hidden="1" customHeight="1" x14ac:dyDescent="0.25">
      <c r="A45" s="11">
        <v>44</v>
      </c>
      <c r="B45" s="11" t="s">
        <v>87</v>
      </c>
      <c r="C45" s="11" t="s">
        <v>88</v>
      </c>
      <c r="D45" s="11" t="s">
        <v>30</v>
      </c>
      <c r="E45" s="11" t="s">
        <v>38</v>
      </c>
      <c r="F45" s="13" t="s">
        <v>39</v>
      </c>
      <c r="G45" s="13"/>
      <c r="H45" s="12">
        <v>29516</v>
      </c>
      <c r="I45" s="12">
        <f t="shared" si="22"/>
        <v>2656.44</v>
      </c>
      <c r="J45" s="12">
        <f t="shared" si="23"/>
        <v>2656.44</v>
      </c>
      <c r="K45" s="12">
        <f>I45+J45</f>
        <v>5312.88</v>
      </c>
      <c r="L45" s="12">
        <f>H45+I45+J45</f>
        <v>34828.879999999997</v>
      </c>
      <c r="M45" s="11"/>
      <c r="N45" s="11"/>
      <c r="O45" s="3" t="s">
        <v>2</v>
      </c>
      <c r="P45" s="11" t="e">
        <f t="shared" si="24"/>
        <v>#DIV/0!</v>
      </c>
      <c r="Q45" s="11"/>
    </row>
    <row r="46" spans="1:17" ht="15" hidden="1" customHeight="1" x14ac:dyDescent="0.25">
      <c r="A46" s="4">
        <v>45</v>
      </c>
      <c r="B46" s="4" t="s">
        <v>87</v>
      </c>
      <c r="C46" s="4" t="s">
        <v>89</v>
      </c>
      <c r="D46" s="4" t="s">
        <v>30</v>
      </c>
      <c r="E46" s="4" t="s">
        <v>20</v>
      </c>
      <c r="F46" s="4" t="s">
        <v>21</v>
      </c>
      <c r="G46" s="4"/>
      <c r="H46" s="5">
        <v>9351</v>
      </c>
      <c r="I46" s="5">
        <f t="shared" si="22"/>
        <v>841.58999999999992</v>
      </c>
      <c r="J46" s="5">
        <f t="shared" si="23"/>
        <v>841.58999999999992</v>
      </c>
      <c r="K46" s="5">
        <f>J46+I46</f>
        <v>1683.1799999999998</v>
      </c>
      <c r="L46" s="5">
        <f>SUM(H46:J46)</f>
        <v>11034.18</v>
      </c>
      <c r="M46" s="5">
        <v>10923.66</v>
      </c>
      <c r="N46" s="4" t="s">
        <v>164</v>
      </c>
      <c r="O46" s="28" t="s">
        <v>163</v>
      </c>
      <c r="P46" s="29">
        <f t="shared" si="24"/>
        <v>1.0101174880946497</v>
      </c>
      <c r="Q46" s="5">
        <f>L46-M46</f>
        <v>110.52000000000044</v>
      </c>
    </row>
    <row r="47" spans="1:17" ht="15" customHeight="1" x14ac:dyDescent="0.25">
      <c r="A47" s="1">
        <v>46</v>
      </c>
      <c r="B47" s="1" t="s">
        <v>87</v>
      </c>
      <c r="C47" s="1" t="s">
        <v>90</v>
      </c>
      <c r="D47" s="1" t="s">
        <v>30</v>
      </c>
      <c r="E47" s="1" t="s">
        <v>0</v>
      </c>
      <c r="F47" s="1" t="s">
        <v>1</v>
      </c>
      <c r="G47" s="1"/>
      <c r="H47" s="9">
        <v>75391</v>
      </c>
      <c r="I47" s="9">
        <f t="shared" si="22"/>
        <v>6785.19</v>
      </c>
      <c r="J47" s="9">
        <f t="shared" si="23"/>
        <v>6785.19</v>
      </c>
      <c r="K47" s="9">
        <f t="shared" ref="K47:K53" si="25">I47+J47</f>
        <v>13570.38</v>
      </c>
      <c r="L47" s="9">
        <f t="shared" ref="L47:L53" si="26">H47+I47+J47</f>
        <v>88961.38</v>
      </c>
      <c r="M47" s="1"/>
      <c r="N47" s="1"/>
      <c r="O47" s="3" t="s">
        <v>2</v>
      </c>
      <c r="P47" s="1" t="e">
        <f t="shared" si="24"/>
        <v>#DIV/0!</v>
      </c>
      <c r="Q47" s="1"/>
    </row>
    <row r="48" spans="1:17" ht="15" customHeight="1" x14ac:dyDescent="0.25">
      <c r="A48" s="1">
        <v>47</v>
      </c>
      <c r="B48" s="1" t="s">
        <v>87</v>
      </c>
      <c r="C48" s="1" t="s">
        <v>91</v>
      </c>
      <c r="D48" s="1" t="s">
        <v>30</v>
      </c>
      <c r="E48" s="1" t="s">
        <v>0</v>
      </c>
      <c r="F48" s="1" t="s">
        <v>1</v>
      </c>
      <c r="G48" s="1"/>
      <c r="H48" s="9">
        <v>33020</v>
      </c>
      <c r="I48" s="9">
        <f t="shared" si="22"/>
        <v>2971.7999999999997</v>
      </c>
      <c r="J48" s="9">
        <f t="shared" si="23"/>
        <v>2971.7999999999997</v>
      </c>
      <c r="K48" s="9">
        <f t="shared" si="25"/>
        <v>5943.5999999999995</v>
      </c>
      <c r="L48" s="9">
        <f t="shared" si="26"/>
        <v>38963.600000000006</v>
      </c>
      <c r="M48" s="1"/>
      <c r="N48" s="1"/>
      <c r="O48" s="3" t="s">
        <v>2</v>
      </c>
      <c r="P48" s="1" t="e">
        <f t="shared" si="24"/>
        <v>#DIV/0!</v>
      </c>
      <c r="Q48" s="1"/>
    </row>
    <row r="49" spans="1:17" ht="15" customHeight="1" x14ac:dyDescent="0.25">
      <c r="A49" s="1">
        <v>48</v>
      </c>
      <c r="B49" s="1" t="s">
        <v>92</v>
      </c>
      <c r="C49" s="1" t="s">
        <v>93</v>
      </c>
      <c r="D49" s="1" t="s">
        <v>30</v>
      </c>
      <c r="E49" s="1" t="s">
        <v>0</v>
      </c>
      <c r="F49" s="1" t="s">
        <v>1</v>
      </c>
      <c r="G49" s="1"/>
      <c r="H49" s="9">
        <v>66238.12</v>
      </c>
      <c r="I49" s="9">
        <f t="shared" si="22"/>
        <v>5961.4307999999992</v>
      </c>
      <c r="J49" s="9">
        <f t="shared" si="23"/>
        <v>5961.4307999999992</v>
      </c>
      <c r="K49" s="9">
        <f t="shared" si="25"/>
        <v>11922.861599999998</v>
      </c>
      <c r="L49" s="9">
        <f t="shared" si="26"/>
        <v>78160.981599999999</v>
      </c>
      <c r="M49" s="1"/>
      <c r="N49" s="1"/>
      <c r="O49" s="3" t="s">
        <v>2</v>
      </c>
      <c r="P49" s="1" t="e">
        <f t="shared" si="24"/>
        <v>#DIV/0!</v>
      </c>
      <c r="Q49" s="1"/>
    </row>
    <row r="50" spans="1:17" ht="15" customHeight="1" x14ac:dyDescent="0.25">
      <c r="A50" s="6">
        <v>49</v>
      </c>
      <c r="B50" s="6" t="s">
        <v>94</v>
      </c>
      <c r="C50" s="6" t="s">
        <v>96</v>
      </c>
      <c r="D50" s="6" t="s">
        <v>30</v>
      </c>
      <c r="E50" s="6" t="s">
        <v>28</v>
      </c>
      <c r="F50" s="6" t="s">
        <v>29</v>
      </c>
      <c r="G50" s="6"/>
      <c r="H50" s="7">
        <v>39000</v>
      </c>
      <c r="I50" s="7">
        <f t="shared" si="22"/>
        <v>3510</v>
      </c>
      <c r="J50" s="7">
        <f t="shared" si="23"/>
        <v>3510</v>
      </c>
      <c r="K50" s="7">
        <f t="shared" si="25"/>
        <v>7020</v>
      </c>
      <c r="L50" s="7">
        <f t="shared" si="26"/>
        <v>46020</v>
      </c>
      <c r="M50" s="6"/>
      <c r="N50" s="6"/>
      <c r="O50" s="3" t="s">
        <v>2</v>
      </c>
      <c r="P50" s="6" t="e">
        <f t="shared" si="24"/>
        <v>#DIV/0!</v>
      </c>
      <c r="Q50" s="6"/>
    </row>
    <row r="51" spans="1:17" ht="15" customHeight="1" x14ac:dyDescent="0.25">
      <c r="A51" s="8">
        <v>50</v>
      </c>
      <c r="B51" s="8" t="s">
        <v>94</v>
      </c>
      <c r="C51" s="8" t="s">
        <v>97</v>
      </c>
      <c r="D51" s="8" t="s">
        <v>30</v>
      </c>
      <c r="E51" s="8" t="s">
        <v>0</v>
      </c>
      <c r="F51" s="8" t="s">
        <v>1</v>
      </c>
      <c r="G51" s="8"/>
      <c r="H51" s="8">
        <v>47268.5</v>
      </c>
      <c r="I51" s="10">
        <f t="shared" si="22"/>
        <v>4254.165</v>
      </c>
      <c r="J51" s="10">
        <f t="shared" si="23"/>
        <v>4254.165</v>
      </c>
      <c r="K51" s="10">
        <f t="shared" si="25"/>
        <v>8508.33</v>
      </c>
      <c r="L51" s="10">
        <f t="shared" si="26"/>
        <v>55776.83</v>
      </c>
      <c r="M51" s="8"/>
      <c r="N51" s="8"/>
      <c r="O51" s="3" t="s">
        <v>2</v>
      </c>
      <c r="P51" s="8" t="e">
        <f t="shared" si="24"/>
        <v>#DIV/0!</v>
      </c>
      <c r="Q51" s="8"/>
    </row>
    <row r="52" spans="1:17" ht="15" customHeight="1" x14ac:dyDescent="0.25">
      <c r="A52" s="1">
        <v>51</v>
      </c>
      <c r="B52" s="1" t="s">
        <v>94</v>
      </c>
      <c r="C52" s="1" t="s">
        <v>95</v>
      </c>
      <c r="D52" s="1" t="s">
        <v>30</v>
      </c>
      <c r="E52" s="1" t="s">
        <v>0</v>
      </c>
      <c r="F52" s="1" t="s">
        <v>1</v>
      </c>
      <c r="G52" s="1"/>
      <c r="H52" s="9">
        <v>16510</v>
      </c>
      <c r="I52" s="9">
        <f t="shared" si="22"/>
        <v>1485.8999999999999</v>
      </c>
      <c r="J52" s="9">
        <f t="shared" si="23"/>
        <v>1485.8999999999999</v>
      </c>
      <c r="K52" s="9">
        <f t="shared" si="25"/>
        <v>2971.7999999999997</v>
      </c>
      <c r="L52" s="9">
        <f t="shared" si="26"/>
        <v>19481.800000000003</v>
      </c>
      <c r="M52" s="1"/>
      <c r="N52" s="1"/>
      <c r="O52" s="3" t="s">
        <v>2</v>
      </c>
      <c r="P52" s="1" t="e">
        <f t="shared" si="24"/>
        <v>#DIV/0!</v>
      </c>
      <c r="Q52" s="1"/>
    </row>
    <row r="53" spans="1:17" ht="15" customHeight="1" x14ac:dyDescent="0.25">
      <c r="A53" s="1">
        <v>52</v>
      </c>
      <c r="B53" s="1" t="s">
        <v>94</v>
      </c>
      <c r="C53" s="1" t="s">
        <v>100</v>
      </c>
      <c r="D53" s="1" t="s">
        <v>30</v>
      </c>
      <c r="E53" s="1" t="s">
        <v>0</v>
      </c>
      <c r="F53" s="1" t="s">
        <v>1</v>
      </c>
      <c r="G53" s="1"/>
      <c r="H53" s="9">
        <v>29718</v>
      </c>
      <c r="I53" s="9">
        <f t="shared" si="22"/>
        <v>2674.62</v>
      </c>
      <c r="J53" s="9">
        <f t="shared" si="23"/>
        <v>2674.62</v>
      </c>
      <c r="K53" s="9">
        <f t="shared" si="25"/>
        <v>5349.24</v>
      </c>
      <c r="L53" s="9">
        <f t="shared" si="26"/>
        <v>35067.24</v>
      </c>
      <c r="M53" s="1"/>
      <c r="N53" s="1"/>
      <c r="O53" s="3" t="s">
        <v>2</v>
      </c>
      <c r="P53" s="1" t="e">
        <f t="shared" si="24"/>
        <v>#DIV/0!</v>
      </c>
      <c r="Q53" s="1"/>
    </row>
    <row r="54" spans="1:17" x14ac:dyDescent="0.25">
      <c r="A54" s="6">
        <v>53</v>
      </c>
      <c r="B54" s="6" t="s">
        <v>94</v>
      </c>
      <c r="C54" s="6" t="s">
        <v>98</v>
      </c>
      <c r="D54" s="6" t="s">
        <v>30</v>
      </c>
      <c r="E54" s="6" t="s">
        <v>28</v>
      </c>
      <c r="F54" s="6" t="s">
        <v>29</v>
      </c>
      <c r="G54" s="6"/>
      <c r="H54" s="6">
        <v>32318.16</v>
      </c>
      <c r="I54" s="7">
        <f t="shared" si="22"/>
        <v>2908.6343999999999</v>
      </c>
      <c r="J54" s="7">
        <f t="shared" ref="J54:J55" si="27">H54*9%</f>
        <v>2908.6343999999999</v>
      </c>
      <c r="K54" s="7">
        <f t="shared" ref="K54" si="28">I54+J54</f>
        <v>5817.2687999999998</v>
      </c>
      <c r="L54" s="7">
        <f t="shared" ref="L54" si="29">H54+I54+J54</f>
        <v>38135.428800000002</v>
      </c>
      <c r="M54" s="6"/>
      <c r="N54" s="6"/>
      <c r="O54" s="3" t="s">
        <v>2</v>
      </c>
      <c r="P54" s="6" t="e">
        <f t="shared" ref="P54:P55" si="30">L54/M54</f>
        <v>#DIV/0!</v>
      </c>
      <c r="Q54" s="6"/>
    </row>
    <row r="55" spans="1:17" hidden="1" x14ac:dyDescent="0.25">
      <c r="A55" s="4">
        <v>54</v>
      </c>
      <c r="B55" s="4" t="s">
        <v>94</v>
      </c>
      <c r="C55" s="4" t="s">
        <v>99</v>
      </c>
      <c r="D55" s="4" t="s">
        <v>30</v>
      </c>
      <c r="E55" s="4" t="s">
        <v>20</v>
      </c>
      <c r="F55" s="4" t="s">
        <v>21</v>
      </c>
      <c r="G55" s="4"/>
      <c r="H55" s="5">
        <v>3700</v>
      </c>
      <c r="I55" s="5">
        <f t="shared" si="22"/>
        <v>333</v>
      </c>
      <c r="J55" s="5">
        <f t="shared" si="27"/>
        <v>333</v>
      </c>
      <c r="K55" s="5">
        <f>J55+I55</f>
        <v>666</v>
      </c>
      <c r="L55" s="5">
        <f>SUM(H55:J55)</f>
        <v>4366</v>
      </c>
      <c r="M55" s="5">
        <v>4322.34</v>
      </c>
      <c r="N55" s="4" t="s">
        <v>164</v>
      </c>
      <c r="O55" s="28" t="s">
        <v>163</v>
      </c>
      <c r="P55" s="29">
        <f t="shared" si="30"/>
        <v>1.0101010101010102</v>
      </c>
      <c r="Q55" s="5">
        <f>L55-M55</f>
        <v>43.659999999999854</v>
      </c>
    </row>
    <row r="56" spans="1:17" ht="26.25" hidden="1" customHeight="1" x14ac:dyDescent="0.25">
      <c r="A56" s="47" t="s">
        <v>26</v>
      </c>
      <c r="B56" s="48"/>
      <c r="C56" s="48"/>
      <c r="D56" s="48"/>
      <c r="E56" s="48"/>
      <c r="F56" s="49"/>
      <c r="G56" s="37"/>
      <c r="H56" s="22">
        <f t="shared" ref="H56:Q56" si="31">SUM(H2:H55)</f>
        <v>2233096.27</v>
      </c>
      <c r="I56" s="22">
        <f t="shared" si="31"/>
        <v>200978.66429999997</v>
      </c>
      <c r="J56" s="22">
        <f t="shared" si="31"/>
        <v>200978.66429999997</v>
      </c>
      <c r="K56" s="22">
        <f t="shared" si="31"/>
        <v>401957.32859999995</v>
      </c>
      <c r="L56" s="22">
        <f t="shared" si="31"/>
        <v>2635053.5986000006</v>
      </c>
      <c r="M56" s="22">
        <f t="shared" si="31"/>
        <v>1589923.4100000004</v>
      </c>
      <c r="N56" s="23">
        <f t="shared" si="31"/>
        <v>0</v>
      </c>
      <c r="O56" s="23">
        <f t="shared" si="31"/>
        <v>0</v>
      </c>
      <c r="P56" s="23" t="e">
        <f t="shared" si="31"/>
        <v>#DIV/0!</v>
      </c>
      <c r="Q56" s="22">
        <f t="shared" si="31"/>
        <v>12321.665799999959</v>
      </c>
    </row>
    <row r="57" spans="1:17" x14ac:dyDescent="0.25">
      <c r="A57" s="1">
        <v>55</v>
      </c>
      <c r="B57" s="1" t="s">
        <v>115</v>
      </c>
      <c r="C57" s="1" t="s">
        <v>123</v>
      </c>
      <c r="D57" s="1" t="s">
        <v>30</v>
      </c>
      <c r="E57" s="1" t="s">
        <v>0</v>
      </c>
      <c r="F57" s="1" t="s">
        <v>1</v>
      </c>
      <c r="G57" s="1"/>
      <c r="H57" s="9">
        <v>39624</v>
      </c>
      <c r="I57" s="9">
        <f t="shared" ref="I57" si="32">H57*9%</f>
        <v>3566.16</v>
      </c>
      <c r="J57" s="9">
        <f t="shared" ref="J57" si="33">H57*9%</f>
        <v>3566.16</v>
      </c>
      <c r="K57" s="9">
        <f t="shared" ref="K57" si="34">I57+J57</f>
        <v>7132.32</v>
      </c>
      <c r="L57" s="9">
        <f t="shared" ref="L57" si="35">H57+I57+J57</f>
        <v>46756.320000000007</v>
      </c>
      <c r="M57" s="1"/>
      <c r="N57" s="1"/>
      <c r="O57" s="3" t="s">
        <v>2</v>
      </c>
      <c r="P57" s="1" t="e">
        <f t="shared" ref="P57" si="36">L57/M57</f>
        <v>#DIV/0!</v>
      </c>
      <c r="Q57" s="1"/>
    </row>
    <row r="58" spans="1:17" x14ac:dyDescent="0.25">
      <c r="A58" s="1">
        <v>56</v>
      </c>
      <c r="B58" s="1" t="s">
        <v>124</v>
      </c>
      <c r="C58" s="1" t="s">
        <v>125</v>
      </c>
      <c r="D58" s="1" t="s">
        <v>30</v>
      </c>
      <c r="E58" s="1" t="s">
        <v>0</v>
      </c>
      <c r="F58" s="1" t="s">
        <v>1</v>
      </c>
      <c r="G58" s="1"/>
      <c r="H58" s="9">
        <v>38303.199999999997</v>
      </c>
      <c r="I58" s="9">
        <f t="shared" ref="I58:I59" si="37">H58*9%</f>
        <v>3447.2879999999996</v>
      </c>
      <c r="J58" s="9">
        <f t="shared" ref="J58:J59" si="38">H58*9%</f>
        <v>3447.2879999999996</v>
      </c>
      <c r="K58" s="9">
        <f t="shared" ref="K58" si="39">I58+J58</f>
        <v>6894.5759999999991</v>
      </c>
      <c r="L58" s="9">
        <f t="shared" ref="L58" si="40">H58+I58+J58</f>
        <v>45197.775999999998</v>
      </c>
      <c r="M58" s="1"/>
      <c r="N58" s="1"/>
      <c r="O58" s="3" t="s">
        <v>2</v>
      </c>
      <c r="P58" s="1" t="e">
        <f t="shared" ref="P58:P59" si="41">L58/M58</f>
        <v>#DIV/0!</v>
      </c>
      <c r="Q58" s="1"/>
    </row>
    <row r="59" spans="1:17" hidden="1" x14ac:dyDescent="0.25">
      <c r="A59" s="4">
        <v>57</v>
      </c>
      <c r="B59" s="4" t="s">
        <v>116</v>
      </c>
      <c r="C59" s="4" t="s">
        <v>126</v>
      </c>
      <c r="D59" s="4" t="s">
        <v>30</v>
      </c>
      <c r="E59" s="4" t="s">
        <v>20</v>
      </c>
      <c r="F59" s="4" t="s">
        <v>21</v>
      </c>
      <c r="G59" s="4"/>
      <c r="H59" s="5">
        <v>19000</v>
      </c>
      <c r="I59" s="5">
        <f t="shared" si="37"/>
        <v>1710</v>
      </c>
      <c r="J59" s="5">
        <f t="shared" si="38"/>
        <v>1710</v>
      </c>
      <c r="K59" s="5">
        <f>J59+I59</f>
        <v>3420</v>
      </c>
      <c r="L59" s="5">
        <f>SUM(H59:J59)</f>
        <v>22420</v>
      </c>
      <c r="M59" s="5">
        <v>22195.8</v>
      </c>
      <c r="N59" s="4" t="s">
        <v>261</v>
      </c>
      <c r="O59" s="28" t="s">
        <v>163</v>
      </c>
      <c r="P59" s="29">
        <f t="shared" si="41"/>
        <v>1.0101010101010102</v>
      </c>
      <c r="Q59" s="5">
        <f>L59-M59</f>
        <v>224.20000000000073</v>
      </c>
    </row>
    <row r="60" spans="1:17" x14ac:dyDescent="0.25">
      <c r="A60" s="1">
        <v>58</v>
      </c>
      <c r="B60" s="1" t="s">
        <v>127</v>
      </c>
      <c r="C60" s="1" t="s">
        <v>128</v>
      </c>
      <c r="D60" s="1" t="s">
        <v>30</v>
      </c>
      <c r="E60" s="1" t="s">
        <v>0</v>
      </c>
      <c r="F60" s="1" t="s">
        <v>1</v>
      </c>
      <c r="G60" s="1"/>
      <c r="H60" s="9">
        <v>52832</v>
      </c>
      <c r="I60" s="9">
        <f t="shared" ref="I60" si="42">H60*9%</f>
        <v>4754.88</v>
      </c>
      <c r="J60" s="9">
        <f t="shared" ref="J60" si="43">H60*9%</f>
        <v>4754.88</v>
      </c>
      <c r="K60" s="9">
        <f t="shared" ref="K60" si="44">I60+J60</f>
        <v>9509.76</v>
      </c>
      <c r="L60" s="9">
        <f t="shared" ref="L60" si="45">H60+I60+J60</f>
        <v>62341.759999999995</v>
      </c>
      <c r="M60" s="1"/>
      <c r="N60" s="1"/>
      <c r="O60" s="3" t="s">
        <v>2</v>
      </c>
      <c r="P60" s="1" t="e">
        <f t="shared" ref="P60" si="46">L60/M60</f>
        <v>#DIV/0!</v>
      </c>
      <c r="Q60" s="1"/>
    </row>
    <row r="61" spans="1:17" x14ac:dyDescent="0.25">
      <c r="A61" s="1">
        <v>59</v>
      </c>
      <c r="B61" s="1" t="s">
        <v>129</v>
      </c>
      <c r="C61" s="1" t="s">
        <v>130</v>
      </c>
      <c r="D61" s="1" t="s">
        <v>30</v>
      </c>
      <c r="E61" s="1" t="s">
        <v>0</v>
      </c>
      <c r="F61" s="1" t="s">
        <v>1</v>
      </c>
      <c r="G61" s="1"/>
      <c r="H61" s="9">
        <v>92456</v>
      </c>
      <c r="I61" s="9">
        <f t="shared" ref="I61:I62" si="47">H61*9%</f>
        <v>8321.0399999999991</v>
      </c>
      <c r="J61" s="9">
        <f t="shared" ref="J61:J62" si="48">H61*9%</f>
        <v>8321.0399999999991</v>
      </c>
      <c r="K61" s="9">
        <f t="shared" ref="K61" si="49">I61+J61</f>
        <v>16642.079999999998</v>
      </c>
      <c r="L61" s="9">
        <f t="shared" ref="L61" si="50">H61+I61+J61</f>
        <v>109098.07999999999</v>
      </c>
      <c r="M61" s="1"/>
      <c r="N61" s="1"/>
      <c r="O61" s="3" t="s">
        <v>2</v>
      </c>
      <c r="P61" s="1" t="e">
        <f t="shared" ref="P61:P62" si="51">L61/M61</f>
        <v>#DIV/0!</v>
      </c>
      <c r="Q61" s="1"/>
    </row>
    <row r="62" spans="1:17" hidden="1" x14ac:dyDescent="0.25">
      <c r="A62" s="4">
        <v>60</v>
      </c>
      <c r="B62" s="4" t="s">
        <v>117</v>
      </c>
      <c r="C62" s="4" t="s">
        <v>131</v>
      </c>
      <c r="D62" s="4" t="s">
        <v>30</v>
      </c>
      <c r="E62" s="4" t="s">
        <v>20</v>
      </c>
      <c r="F62" s="4" t="s">
        <v>21</v>
      </c>
      <c r="G62" s="4"/>
      <c r="H62" s="5">
        <v>20000</v>
      </c>
      <c r="I62" s="5">
        <f t="shared" si="47"/>
        <v>1800</v>
      </c>
      <c r="J62" s="5">
        <f t="shared" si="48"/>
        <v>1800</v>
      </c>
      <c r="K62" s="5">
        <f>J62+I62</f>
        <v>3600</v>
      </c>
      <c r="L62" s="5">
        <f>SUM(H62:J62)</f>
        <v>23600</v>
      </c>
      <c r="M62" s="5">
        <v>23364</v>
      </c>
      <c r="N62" s="4" t="s">
        <v>261</v>
      </c>
      <c r="O62" s="28" t="s">
        <v>163</v>
      </c>
      <c r="P62" s="29">
        <f t="shared" si="51"/>
        <v>1.0101010101010102</v>
      </c>
      <c r="Q62" s="5">
        <f>L62-M62</f>
        <v>236</v>
      </c>
    </row>
    <row r="63" spans="1:17" x14ac:dyDescent="0.25">
      <c r="A63" s="1">
        <v>61</v>
      </c>
      <c r="B63" s="1" t="s">
        <v>117</v>
      </c>
      <c r="C63" s="1" t="s">
        <v>132</v>
      </c>
      <c r="D63" s="1" t="s">
        <v>30</v>
      </c>
      <c r="E63" s="1" t="s">
        <v>0</v>
      </c>
      <c r="F63" s="1" t="s">
        <v>1</v>
      </c>
      <c r="G63" s="1"/>
      <c r="H63" s="9">
        <v>19812</v>
      </c>
      <c r="I63" s="9">
        <f t="shared" ref="I63:I65" si="52">H63*9%</f>
        <v>1783.08</v>
      </c>
      <c r="J63" s="9">
        <f t="shared" ref="J63:J65" si="53">H63*9%</f>
        <v>1783.08</v>
      </c>
      <c r="K63" s="9">
        <f t="shared" ref="K63:K65" si="54">I63+J63</f>
        <v>3566.16</v>
      </c>
      <c r="L63" s="9">
        <f t="shared" ref="L63:L65" si="55">H63+I63+J63</f>
        <v>23378.160000000003</v>
      </c>
      <c r="M63" s="1"/>
      <c r="N63" s="1"/>
      <c r="O63" s="3" t="s">
        <v>2</v>
      </c>
      <c r="P63" s="1" t="e">
        <f t="shared" ref="P63:P65" si="56">L63/M63</f>
        <v>#DIV/0!</v>
      </c>
      <c r="Q63" s="1"/>
    </row>
    <row r="64" spans="1:17" x14ac:dyDescent="0.25">
      <c r="A64" s="8">
        <v>62</v>
      </c>
      <c r="B64" s="8" t="s">
        <v>117</v>
      </c>
      <c r="C64" s="8" t="s">
        <v>133</v>
      </c>
      <c r="D64" s="8" t="s">
        <v>30</v>
      </c>
      <c r="E64" s="8" t="s">
        <v>0</v>
      </c>
      <c r="F64" s="8" t="s">
        <v>1</v>
      </c>
      <c r="G64" s="8"/>
      <c r="H64" s="8">
        <v>45334</v>
      </c>
      <c r="I64" s="10">
        <f t="shared" si="52"/>
        <v>4080.06</v>
      </c>
      <c r="J64" s="10">
        <f t="shared" si="53"/>
        <v>4080.06</v>
      </c>
      <c r="K64" s="10">
        <f t="shared" si="54"/>
        <v>8160.12</v>
      </c>
      <c r="L64" s="10">
        <f t="shared" si="55"/>
        <v>53494.119999999995</v>
      </c>
      <c r="M64" s="8"/>
      <c r="N64" s="8"/>
      <c r="O64" s="3" t="s">
        <v>2</v>
      </c>
      <c r="P64" s="8" t="e">
        <f t="shared" si="56"/>
        <v>#DIV/0!</v>
      </c>
      <c r="Q64" s="8"/>
    </row>
    <row r="65" spans="1:17" x14ac:dyDescent="0.25">
      <c r="A65" s="6">
        <v>63</v>
      </c>
      <c r="B65" s="6" t="s">
        <v>117</v>
      </c>
      <c r="C65" s="6" t="s">
        <v>134</v>
      </c>
      <c r="D65" s="6" t="s">
        <v>30</v>
      </c>
      <c r="E65" s="6" t="s">
        <v>28</v>
      </c>
      <c r="F65" s="6" t="s">
        <v>29</v>
      </c>
      <c r="G65" s="6"/>
      <c r="H65" s="7">
        <v>27276</v>
      </c>
      <c r="I65" s="7">
        <f t="shared" si="52"/>
        <v>2454.8399999999997</v>
      </c>
      <c r="J65" s="7">
        <f t="shared" si="53"/>
        <v>2454.8399999999997</v>
      </c>
      <c r="K65" s="7">
        <f t="shared" si="54"/>
        <v>4909.6799999999994</v>
      </c>
      <c r="L65" s="7">
        <f t="shared" si="55"/>
        <v>32185.68</v>
      </c>
      <c r="M65" s="6"/>
      <c r="N65" s="6"/>
      <c r="O65" s="3" t="s">
        <v>2</v>
      </c>
      <c r="P65" s="6" t="e">
        <f t="shared" si="56"/>
        <v>#DIV/0!</v>
      </c>
      <c r="Q65" s="6"/>
    </row>
    <row r="66" spans="1:17" x14ac:dyDescent="0.25">
      <c r="A66" s="1">
        <v>64</v>
      </c>
      <c r="B66" s="1" t="s">
        <v>117</v>
      </c>
      <c r="C66" s="1" t="s">
        <v>135</v>
      </c>
      <c r="D66" s="1" t="s">
        <v>30</v>
      </c>
      <c r="E66" s="1" t="s">
        <v>0</v>
      </c>
      <c r="F66" s="1" t="s">
        <v>1</v>
      </c>
      <c r="G66" s="1"/>
      <c r="H66" s="9">
        <v>19812</v>
      </c>
      <c r="I66" s="9">
        <f t="shared" ref="I66:I67" si="57">H66*9%</f>
        <v>1783.08</v>
      </c>
      <c r="J66" s="9">
        <f t="shared" ref="J66:J67" si="58">H66*9%</f>
        <v>1783.08</v>
      </c>
      <c r="K66" s="9">
        <f t="shared" ref="K66" si="59">I66+J66</f>
        <v>3566.16</v>
      </c>
      <c r="L66" s="9">
        <f t="shared" ref="L66" si="60">H66+I66+J66</f>
        <v>23378.160000000003</v>
      </c>
      <c r="M66" s="1"/>
      <c r="N66" s="1"/>
      <c r="O66" s="3" t="s">
        <v>2</v>
      </c>
      <c r="P66" s="1" t="e">
        <f t="shared" ref="P66:P67" si="61">L66/M66</f>
        <v>#DIV/0!</v>
      </c>
      <c r="Q66" s="1"/>
    </row>
    <row r="67" spans="1:17" hidden="1" x14ac:dyDescent="0.25">
      <c r="A67" s="4">
        <v>65</v>
      </c>
      <c r="B67" s="4" t="s">
        <v>119</v>
      </c>
      <c r="C67" s="4" t="s">
        <v>136</v>
      </c>
      <c r="D67" s="4" t="s">
        <v>30</v>
      </c>
      <c r="E67" s="4" t="s">
        <v>20</v>
      </c>
      <c r="F67" s="4" t="s">
        <v>21</v>
      </c>
      <c r="G67" s="4"/>
      <c r="H67" s="5">
        <v>8220</v>
      </c>
      <c r="I67" s="5">
        <f t="shared" si="57"/>
        <v>739.8</v>
      </c>
      <c r="J67" s="5">
        <f t="shared" si="58"/>
        <v>739.8</v>
      </c>
      <c r="K67" s="5">
        <f>J67+I67</f>
        <v>1479.6</v>
      </c>
      <c r="L67" s="5">
        <f>SUM(H67:J67)</f>
        <v>9699.5999999999985</v>
      </c>
      <c r="M67" s="5">
        <v>9603</v>
      </c>
      <c r="N67" s="4" t="s">
        <v>261</v>
      </c>
      <c r="O67" s="28" t="s">
        <v>163</v>
      </c>
      <c r="P67" s="29">
        <f t="shared" si="61"/>
        <v>1.0100593564511089</v>
      </c>
      <c r="Q67" s="5">
        <f>L67-M67</f>
        <v>96.599999999998545</v>
      </c>
    </row>
    <row r="68" spans="1:17" x14ac:dyDescent="0.25">
      <c r="A68" s="1">
        <v>66</v>
      </c>
      <c r="B68" s="1" t="s">
        <v>119</v>
      </c>
      <c r="C68" s="1" t="s">
        <v>137</v>
      </c>
      <c r="D68" s="1" t="s">
        <v>30</v>
      </c>
      <c r="E68" s="1" t="s">
        <v>0</v>
      </c>
      <c r="F68" s="1" t="s">
        <v>1</v>
      </c>
      <c r="G68" s="1"/>
      <c r="H68" s="9">
        <v>141986</v>
      </c>
      <c r="I68" s="9">
        <f t="shared" ref="I68" si="62">H68*9%</f>
        <v>12778.74</v>
      </c>
      <c r="J68" s="9">
        <f t="shared" ref="J68" si="63">H68*9%</f>
        <v>12778.74</v>
      </c>
      <c r="K68" s="9">
        <f t="shared" ref="K68" si="64">I68+J68</f>
        <v>25557.48</v>
      </c>
      <c r="L68" s="9">
        <f t="shared" ref="L68" si="65">H68+I68+J68</f>
        <v>167543.47999999998</v>
      </c>
      <c r="M68" s="1"/>
      <c r="N68" s="1"/>
      <c r="O68" s="3" t="s">
        <v>2</v>
      </c>
      <c r="P68" s="1" t="e">
        <f t="shared" ref="P68" si="66">L68/M68</f>
        <v>#DIV/0!</v>
      </c>
      <c r="Q68" s="1"/>
    </row>
    <row r="69" spans="1:17" x14ac:dyDescent="0.25">
      <c r="A69" s="1">
        <v>67</v>
      </c>
      <c r="B69" s="1" t="s">
        <v>119</v>
      </c>
      <c r="C69" s="1" t="s">
        <v>138</v>
      </c>
      <c r="D69" s="1" t="s">
        <v>30</v>
      </c>
      <c r="E69" s="1" t="s">
        <v>0</v>
      </c>
      <c r="F69" s="1" t="s">
        <v>1</v>
      </c>
      <c r="G69" s="1"/>
      <c r="H69" s="9">
        <v>33020</v>
      </c>
      <c r="I69" s="9">
        <f t="shared" ref="I69" si="67">H69*9%</f>
        <v>2971.7999999999997</v>
      </c>
      <c r="J69" s="9">
        <f t="shared" ref="J69" si="68">H69*9%</f>
        <v>2971.7999999999997</v>
      </c>
      <c r="K69" s="9">
        <f t="shared" ref="K69" si="69">I69+J69</f>
        <v>5943.5999999999995</v>
      </c>
      <c r="L69" s="9">
        <f t="shared" ref="L69" si="70">H69+I69+J69</f>
        <v>38963.600000000006</v>
      </c>
      <c r="M69" s="1"/>
      <c r="N69" s="1"/>
      <c r="O69" s="3" t="s">
        <v>2</v>
      </c>
      <c r="P69" s="1" t="e">
        <f t="shared" ref="P69" si="71">L69/M69</f>
        <v>#DIV/0!</v>
      </c>
      <c r="Q69" s="1"/>
    </row>
    <row r="70" spans="1:17" x14ac:dyDescent="0.25">
      <c r="A70" s="1">
        <v>68</v>
      </c>
      <c r="B70" s="1" t="s">
        <v>121</v>
      </c>
      <c r="C70" s="1" t="s">
        <v>139</v>
      </c>
      <c r="D70" s="1" t="s">
        <v>30</v>
      </c>
      <c r="E70" s="1" t="s">
        <v>0</v>
      </c>
      <c r="F70" s="1" t="s">
        <v>1</v>
      </c>
      <c r="G70" s="1"/>
      <c r="H70" s="9">
        <v>87024.21</v>
      </c>
      <c r="I70" s="9">
        <f t="shared" ref="I70:I72" si="72">H70*9%</f>
        <v>7832.1788999999999</v>
      </c>
      <c r="J70" s="9">
        <f t="shared" ref="J70:J72" si="73">H70*9%</f>
        <v>7832.1788999999999</v>
      </c>
      <c r="K70" s="9">
        <f t="shared" ref="K70:K72" si="74">I70+J70</f>
        <v>15664.3578</v>
      </c>
      <c r="L70" s="9">
        <f t="shared" ref="L70:L72" si="75">H70+I70+J70</f>
        <v>102688.5678</v>
      </c>
      <c r="M70" s="1"/>
      <c r="N70" s="1"/>
      <c r="O70" s="3" t="s">
        <v>2</v>
      </c>
      <c r="P70" s="1" t="e">
        <f t="shared" ref="P70:P72" si="76">L70/M70</f>
        <v>#DIV/0!</v>
      </c>
      <c r="Q70" s="1"/>
    </row>
    <row r="71" spans="1:17" x14ac:dyDescent="0.25">
      <c r="A71" s="6">
        <v>69</v>
      </c>
      <c r="B71" s="6" t="s">
        <v>140</v>
      </c>
      <c r="C71" s="6" t="s">
        <v>141</v>
      </c>
      <c r="D71" s="6" t="s">
        <v>30</v>
      </c>
      <c r="E71" s="6" t="s">
        <v>28</v>
      </c>
      <c r="F71" s="6" t="s">
        <v>29</v>
      </c>
      <c r="G71" s="6"/>
      <c r="H71" s="6">
        <v>41107.519999999997</v>
      </c>
      <c r="I71" s="7">
        <f t="shared" si="72"/>
        <v>3699.6767999999997</v>
      </c>
      <c r="J71" s="7">
        <f t="shared" si="73"/>
        <v>3699.6767999999997</v>
      </c>
      <c r="K71" s="7">
        <f t="shared" si="74"/>
        <v>7399.3535999999995</v>
      </c>
      <c r="L71" s="7">
        <f t="shared" si="75"/>
        <v>48506.873599999999</v>
      </c>
      <c r="M71" s="6"/>
      <c r="N71" s="6"/>
      <c r="O71" s="3" t="s">
        <v>2</v>
      </c>
      <c r="P71" s="6" t="e">
        <f t="shared" si="76"/>
        <v>#DIV/0!</v>
      </c>
      <c r="Q71" s="6"/>
    </row>
    <row r="72" spans="1:17" x14ac:dyDescent="0.25">
      <c r="A72" s="8">
        <v>70</v>
      </c>
      <c r="B72" s="8" t="s">
        <v>140</v>
      </c>
      <c r="C72" s="8" t="s">
        <v>142</v>
      </c>
      <c r="D72" s="8" t="s">
        <v>30</v>
      </c>
      <c r="E72" s="8" t="s">
        <v>0</v>
      </c>
      <c r="F72" s="8" t="s">
        <v>1</v>
      </c>
      <c r="G72" s="8"/>
      <c r="H72" s="8">
        <v>11136</v>
      </c>
      <c r="I72" s="10">
        <f t="shared" si="72"/>
        <v>1002.24</v>
      </c>
      <c r="J72" s="10">
        <f t="shared" si="73"/>
        <v>1002.24</v>
      </c>
      <c r="K72" s="10">
        <f t="shared" si="74"/>
        <v>2004.48</v>
      </c>
      <c r="L72" s="10">
        <f t="shared" si="75"/>
        <v>13140.48</v>
      </c>
      <c r="M72" s="8"/>
      <c r="N72" s="8"/>
      <c r="O72" s="3" t="s">
        <v>2</v>
      </c>
      <c r="P72" s="8" t="e">
        <f t="shared" si="76"/>
        <v>#DIV/0!</v>
      </c>
      <c r="Q72" s="8"/>
    </row>
    <row r="73" spans="1:17" x14ac:dyDescent="0.25">
      <c r="A73" s="6">
        <v>71</v>
      </c>
      <c r="B73" s="6" t="s">
        <v>122</v>
      </c>
      <c r="C73" s="6" t="s">
        <v>143</v>
      </c>
      <c r="D73" s="6" t="s">
        <v>30</v>
      </c>
      <c r="E73" s="6" t="s">
        <v>28</v>
      </c>
      <c r="F73" s="6" t="s">
        <v>29</v>
      </c>
      <c r="G73" s="6"/>
      <c r="H73" s="7">
        <v>39219</v>
      </c>
      <c r="I73" s="7">
        <f t="shared" ref="I73:I74" si="77">H73*9%</f>
        <v>3529.71</v>
      </c>
      <c r="J73" s="7">
        <f t="shared" ref="J73:J74" si="78">H73*9%</f>
        <v>3529.71</v>
      </c>
      <c r="K73" s="7">
        <f t="shared" ref="K73:K74" si="79">I73+J73</f>
        <v>7059.42</v>
      </c>
      <c r="L73" s="7">
        <f t="shared" ref="L73:L74" si="80">H73+I73+J73</f>
        <v>46278.42</v>
      </c>
      <c r="M73" s="6"/>
      <c r="N73" s="6"/>
      <c r="O73" s="3" t="s">
        <v>2</v>
      </c>
      <c r="P73" s="6" t="e">
        <f t="shared" ref="P73:P74" si="81">L73/M73</f>
        <v>#DIV/0!</v>
      </c>
      <c r="Q73" s="6"/>
    </row>
    <row r="74" spans="1:17" x14ac:dyDescent="0.25">
      <c r="A74" s="8">
        <v>72</v>
      </c>
      <c r="B74" s="8" t="s">
        <v>144</v>
      </c>
      <c r="C74" s="8" t="s">
        <v>145</v>
      </c>
      <c r="D74" s="8" t="s">
        <v>30</v>
      </c>
      <c r="E74" s="8" t="s">
        <v>0</v>
      </c>
      <c r="F74" s="8" t="s">
        <v>1</v>
      </c>
      <c r="G74" s="8"/>
      <c r="H74" s="8">
        <v>22788</v>
      </c>
      <c r="I74" s="10">
        <f t="shared" si="77"/>
        <v>2050.92</v>
      </c>
      <c r="J74" s="10">
        <f t="shared" si="78"/>
        <v>2050.92</v>
      </c>
      <c r="K74" s="10">
        <f t="shared" si="79"/>
        <v>4101.84</v>
      </c>
      <c r="L74" s="10">
        <f t="shared" si="80"/>
        <v>26889.839999999997</v>
      </c>
      <c r="M74" s="8"/>
      <c r="N74" s="8"/>
      <c r="O74" s="3" t="s">
        <v>2</v>
      </c>
      <c r="P74" s="8" t="e">
        <f t="shared" si="81"/>
        <v>#DIV/0!</v>
      </c>
      <c r="Q74" s="8"/>
    </row>
    <row r="75" spans="1:17" x14ac:dyDescent="0.25">
      <c r="A75" s="8">
        <v>73</v>
      </c>
      <c r="B75" s="8" t="s">
        <v>146</v>
      </c>
      <c r="C75" s="8" t="s">
        <v>147</v>
      </c>
      <c r="D75" s="8" t="s">
        <v>30</v>
      </c>
      <c r="E75" s="8" t="s">
        <v>0</v>
      </c>
      <c r="F75" s="8" t="s">
        <v>1</v>
      </c>
      <c r="G75" s="8"/>
      <c r="H75" s="8">
        <v>24295</v>
      </c>
      <c r="I75" s="10">
        <f t="shared" ref="I75:I78" si="82">H75*9%</f>
        <v>2186.5499999999997</v>
      </c>
      <c r="J75" s="10">
        <f t="shared" ref="J75:J78" si="83">H75*9%</f>
        <v>2186.5499999999997</v>
      </c>
      <c r="K75" s="10">
        <f t="shared" ref="K75:K76" si="84">I75+J75</f>
        <v>4373.0999999999995</v>
      </c>
      <c r="L75" s="10">
        <f t="shared" ref="L75:L76" si="85">H75+I75+J75</f>
        <v>28668.1</v>
      </c>
      <c r="M75" s="8"/>
      <c r="N75" s="8"/>
      <c r="O75" s="3" t="s">
        <v>2</v>
      </c>
      <c r="P75" s="8" t="e">
        <f t="shared" ref="P75:P78" si="86">L75/M75</f>
        <v>#DIV/0!</v>
      </c>
      <c r="Q75" s="8"/>
    </row>
    <row r="76" spans="1:17" x14ac:dyDescent="0.25">
      <c r="A76" s="6">
        <v>74</v>
      </c>
      <c r="B76" s="6" t="s">
        <v>148</v>
      </c>
      <c r="C76" s="6" t="s">
        <v>149</v>
      </c>
      <c r="D76" s="6" t="s">
        <v>30</v>
      </c>
      <c r="E76" s="6" t="s">
        <v>28</v>
      </c>
      <c r="F76" s="6" t="s">
        <v>29</v>
      </c>
      <c r="G76" s="6"/>
      <c r="H76" s="7">
        <v>89993.5</v>
      </c>
      <c r="I76" s="7">
        <f t="shared" si="82"/>
        <v>8099.415</v>
      </c>
      <c r="J76" s="7">
        <f t="shared" si="83"/>
        <v>8099.415</v>
      </c>
      <c r="K76" s="7">
        <f t="shared" si="84"/>
        <v>16198.83</v>
      </c>
      <c r="L76" s="7">
        <f t="shared" si="85"/>
        <v>106192.32999999999</v>
      </c>
      <c r="M76" s="6"/>
      <c r="N76" s="6"/>
      <c r="O76" s="3" t="s">
        <v>2</v>
      </c>
      <c r="P76" s="6" t="e">
        <f t="shared" si="86"/>
        <v>#DIV/0!</v>
      </c>
      <c r="Q76" s="6"/>
    </row>
    <row r="77" spans="1:17" hidden="1" x14ac:dyDescent="0.25">
      <c r="A77" s="4">
        <v>75</v>
      </c>
      <c r="B77" s="4" t="s">
        <v>150</v>
      </c>
      <c r="C77" s="4" t="s">
        <v>151</v>
      </c>
      <c r="D77" s="4" t="s">
        <v>30</v>
      </c>
      <c r="E77" s="4" t="s">
        <v>20</v>
      </c>
      <c r="F77" s="4" t="s">
        <v>21</v>
      </c>
      <c r="G77" s="4"/>
      <c r="H77" s="5">
        <v>15100</v>
      </c>
      <c r="I77" s="5">
        <f t="shared" si="82"/>
        <v>1359</v>
      </c>
      <c r="J77" s="5">
        <f t="shared" si="83"/>
        <v>1359</v>
      </c>
      <c r="K77" s="5">
        <f>J77+I77</f>
        <v>2718</v>
      </c>
      <c r="L77" s="5">
        <f>SUM(H77:J77)</f>
        <v>17818</v>
      </c>
      <c r="M77" s="5">
        <v>17639.82</v>
      </c>
      <c r="N77" s="4" t="s">
        <v>261</v>
      </c>
      <c r="O77" s="28" t="s">
        <v>163</v>
      </c>
      <c r="P77" s="29">
        <f t="shared" si="86"/>
        <v>1.0101010101010102</v>
      </c>
      <c r="Q77" s="5">
        <f>L77-M77</f>
        <v>178.18000000000029</v>
      </c>
    </row>
    <row r="78" spans="1:17" x14ac:dyDescent="0.25">
      <c r="A78" s="1">
        <v>76</v>
      </c>
      <c r="B78" s="1" t="s">
        <v>152</v>
      </c>
      <c r="C78" s="1" t="s">
        <v>153</v>
      </c>
      <c r="D78" s="1" t="s">
        <v>30</v>
      </c>
      <c r="E78" s="1" t="s">
        <v>0</v>
      </c>
      <c r="F78" s="1" t="s">
        <v>1</v>
      </c>
      <c r="G78" s="1"/>
      <c r="H78" s="9">
        <v>9440</v>
      </c>
      <c r="I78" s="9">
        <f t="shared" si="82"/>
        <v>849.6</v>
      </c>
      <c r="J78" s="9">
        <f t="shared" si="83"/>
        <v>849.6</v>
      </c>
      <c r="K78" s="9">
        <f t="shared" ref="K78:K79" si="87">I78+J78</f>
        <v>1699.2</v>
      </c>
      <c r="L78" s="9">
        <f t="shared" ref="L78:L79" si="88">H78+I78+J78</f>
        <v>11139.2</v>
      </c>
      <c r="M78" s="1"/>
      <c r="N78" s="1"/>
      <c r="O78" s="3" t="s">
        <v>2</v>
      </c>
      <c r="P78" s="1" t="e">
        <f t="shared" si="86"/>
        <v>#DIV/0!</v>
      </c>
      <c r="Q78" s="1"/>
    </row>
    <row r="79" spans="1:17" x14ac:dyDescent="0.25">
      <c r="A79" s="6">
        <v>77</v>
      </c>
      <c r="B79" s="6" t="s">
        <v>154</v>
      </c>
      <c r="C79" s="6" t="s">
        <v>155</v>
      </c>
      <c r="D79" s="6" t="s">
        <v>30</v>
      </c>
      <c r="E79" s="6" t="s">
        <v>28</v>
      </c>
      <c r="F79" s="6" t="s">
        <v>29</v>
      </c>
      <c r="G79" s="6"/>
      <c r="H79" s="6">
        <v>36433.440000000002</v>
      </c>
      <c r="I79" s="7">
        <f t="shared" ref="I79:I80" si="89">H79*9%</f>
        <v>3279.0095999999999</v>
      </c>
      <c r="J79" s="7">
        <f t="shared" ref="J79:J80" si="90">H79*9%</f>
        <v>3279.0095999999999</v>
      </c>
      <c r="K79" s="7">
        <f t="shared" si="87"/>
        <v>6558.0191999999997</v>
      </c>
      <c r="L79" s="7">
        <f t="shared" si="88"/>
        <v>42991.459199999998</v>
      </c>
      <c r="M79" s="6"/>
      <c r="N79" s="6"/>
      <c r="O79" s="3" t="s">
        <v>2</v>
      </c>
      <c r="P79" s="6" t="e">
        <f t="shared" ref="P79:P81" si="91">L79/M79</f>
        <v>#DIV/0!</v>
      </c>
      <c r="Q79" s="6"/>
    </row>
    <row r="80" spans="1:17" hidden="1" x14ac:dyDescent="0.25">
      <c r="A80" s="4">
        <v>78</v>
      </c>
      <c r="B80" s="4" t="s">
        <v>154</v>
      </c>
      <c r="C80" s="4" t="s">
        <v>156</v>
      </c>
      <c r="D80" s="4" t="s">
        <v>30</v>
      </c>
      <c r="E80" s="4" t="s">
        <v>20</v>
      </c>
      <c r="F80" s="4" t="s">
        <v>21</v>
      </c>
      <c r="G80" s="4"/>
      <c r="H80" s="5">
        <v>12375</v>
      </c>
      <c r="I80" s="5">
        <f t="shared" si="89"/>
        <v>1113.75</v>
      </c>
      <c r="J80" s="5">
        <f t="shared" si="90"/>
        <v>1113.75</v>
      </c>
      <c r="K80" s="5">
        <f>J80+I80</f>
        <v>2227.5</v>
      </c>
      <c r="L80" s="5">
        <f>SUM(H80:J80)</f>
        <v>14602.5</v>
      </c>
      <c r="M80" s="5">
        <v>14456.97</v>
      </c>
      <c r="N80" s="4" t="s">
        <v>261</v>
      </c>
      <c r="O80" s="28" t="s">
        <v>163</v>
      </c>
      <c r="P80" s="29">
        <f t="shared" si="91"/>
        <v>1.0100664247072519</v>
      </c>
      <c r="Q80" s="5">
        <f>L80-M80</f>
        <v>145.53000000000065</v>
      </c>
    </row>
    <row r="81" spans="1:17" hidden="1" x14ac:dyDescent="0.25">
      <c r="A81" s="4">
        <v>79</v>
      </c>
      <c r="B81" s="4" t="s">
        <v>157</v>
      </c>
      <c r="C81" s="4" t="s">
        <v>158</v>
      </c>
      <c r="D81" s="4" t="s">
        <v>30</v>
      </c>
      <c r="E81" s="4" t="s">
        <v>20</v>
      </c>
      <c r="F81" s="4" t="s">
        <v>21</v>
      </c>
      <c r="G81" s="4"/>
      <c r="H81" s="5">
        <v>7550</v>
      </c>
      <c r="I81" s="5">
        <f t="shared" ref="I81:I82" si="92">H81*9%</f>
        <v>679.5</v>
      </c>
      <c r="J81" s="5">
        <f t="shared" ref="J81:J82" si="93">H81*9%</f>
        <v>679.5</v>
      </c>
      <c r="K81" s="5">
        <f>J81+I81</f>
        <v>1359</v>
      </c>
      <c r="L81" s="5">
        <f>SUM(H81:J81)</f>
        <v>8909</v>
      </c>
      <c r="M81" s="4">
        <v>8819.91</v>
      </c>
      <c r="N81" s="4" t="s">
        <v>261</v>
      </c>
      <c r="O81" s="28" t="s">
        <v>163</v>
      </c>
      <c r="P81" s="29">
        <f t="shared" si="91"/>
        <v>1.0101010101010102</v>
      </c>
      <c r="Q81" s="5">
        <f>L81-M81</f>
        <v>89.090000000000146</v>
      </c>
    </row>
    <row r="82" spans="1:17" hidden="1" x14ac:dyDescent="0.25">
      <c r="A82" s="25">
        <v>80</v>
      </c>
      <c r="B82" s="25" t="s">
        <v>157</v>
      </c>
      <c r="C82" s="25" t="s">
        <v>160</v>
      </c>
      <c r="D82" s="25" t="s">
        <v>30</v>
      </c>
      <c r="E82" s="25" t="s">
        <v>161</v>
      </c>
      <c r="F82" s="25" t="s">
        <v>159</v>
      </c>
      <c r="G82" s="25">
        <v>87082900</v>
      </c>
      <c r="H82" s="25">
        <v>9822</v>
      </c>
      <c r="I82" s="26">
        <f t="shared" si="92"/>
        <v>883.98</v>
      </c>
      <c r="J82" s="26">
        <f t="shared" si="93"/>
        <v>883.98</v>
      </c>
      <c r="K82" s="26">
        <f>J82+I82</f>
        <v>1767.96</v>
      </c>
      <c r="L82" s="26">
        <f>SUM(H82:J82)</f>
        <v>11589.96</v>
      </c>
      <c r="M82" s="25"/>
      <c r="N82" s="25"/>
      <c r="O82" s="3" t="s">
        <v>2</v>
      </c>
      <c r="P82" s="24" t="e">
        <f t="shared" ref="P82" si="94">L82/M82</f>
        <v>#DIV/0!</v>
      </c>
      <c r="Q82" s="26">
        <f>SUM(M82:O82)</f>
        <v>0</v>
      </c>
    </row>
    <row r="83" spans="1:17" ht="27" hidden="1" customHeight="1" x14ac:dyDescent="0.25">
      <c r="A83" s="47" t="s">
        <v>26</v>
      </c>
      <c r="B83" s="48"/>
      <c r="C83" s="48"/>
      <c r="D83" s="48"/>
      <c r="E83" s="48"/>
      <c r="F83" s="49"/>
      <c r="G83" s="37"/>
      <c r="H83" s="22">
        <f t="shared" ref="H83:Q83" si="95">SUM(H57:H82)</f>
        <v>963958.86999999988</v>
      </c>
      <c r="I83" s="22">
        <f t="shared" si="95"/>
        <v>86756.298300000009</v>
      </c>
      <c r="J83" s="22">
        <f t="shared" si="95"/>
        <v>86756.298300000009</v>
      </c>
      <c r="K83" s="22">
        <f t="shared" si="95"/>
        <v>173512.59660000002</v>
      </c>
      <c r="L83" s="22">
        <f t="shared" si="95"/>
        <v>1137471.4665999997</v>
      </c>
      <c r="M83" s="22">
        <f t="shared" si="95"/>
        <v>96079.5</v>
      </c>
      <c r="N83" s="22">
        <f t="shared" si="95"/>
        <v>0</v>
      </c>
      <c r="O83" s="22">
        <f t="shared" si="95"/>
        <v>0</v>
      </c>
      <c r="P83" s="22" t="e">
        <f t="shared" si="95"/>
        <v>#DIV/0!</v>
      </c>
      <c r="Q83" s="22">
        <f t="shared" si="95"/>
        <v>969.60000000000036</v>
      </c>
    </row>
    <row r="84" spans="1:17" x14ac:dyDescent="0.25">
      <c r="A84" s="30">
        <v>81</v>
      </c>
      <c r="B84" s="30" t="s">
        <v>178</v>
      </c>
      <c r="C84" s="30" t="s">
        <v>179</v>
      </c>
      <c r="D84" s="30" t="s">
        <v>210</v>
      </c>
      <c r="E84" s="30" t="s">
        <v>167</v>
      </c>
      <c r="F84" s="31" t="s">
        <v>166</v>
      </c>
      <c r="G84" s="38">
        <v>87082900</v>
      </c>
      <c r="H84" s="31">
        <v>63197.88</v>
      </c>
      <c r="I84" s="31">
        <f t="shared" ref="I84:I86" si="96">H84*9%</f>
        <v>5687.8091999999997</v>
      </c>
      <c r="J84" s="31">
        <f t="shared" ref="J84:J86" si="97">H84*9%</f>
        <v>5687.8091999999997</v>
      </c>
      <c r="K84" s="31">
        <f t="shared" ref="K84:K85" si="98">I84+J84</f>
        <v>11375.618399999999</v>
      </c>
      <c r="L84" s="31">
        <f t="shared" ref="L84:L85" si="99">H84+I84+J84</f>
        <v>74573.498399999997</v>
      </c>
      <c r="M84" s="30"/>
      <c r="N84" s="30"/>
      <c r="O84" s="3" t="s">
        <v>2</v>
      </c>
      <c r="P84" s="30" t="e">
        <f t="shared" ref="P84:P86" si="100">L84/M84</f>
        <v>#DIV/0!</v>
      </c>
      <c r="Q84" s="30"/>
    </row>
    <row r="85" spans="1:17" x14ac:dyDescent="0.25">
      <c r="A85" s="8">
        <v>82</v>
      </c>
      <c r="B85" s="8" t="s">
        <v>178</v>
      </c>
      <c r="C85" s="8" t="s">
        <v>180</v>
      </c>
      <c r="D85" s="8" t="s">
        <v>210</v>
      </c>
      <c r="E85" s="8" t="s">
        <v>0</v>
      </c>
      <c r="F85" s="8" t="s">
        <v>1</v>
      </c>
      <c r="G85" s="8">
        <v>87082900</v>
      </c>
      <c r="H85" s="10">
        <v>74825</v>
      </c>
      <c r="I85" s="10">
        <f t="shared" si="96"/>
        <v>6734.25</v>
      </c>
      <c r="J85" s="10">
        <f t="shared" si="97"/>
        <v>6734.25</v>
      </c>
      <c r="K85" s="10">
        <f t="shared" si="98"/>
        <v>13468.5</v>
      </c>
      <c r="L85" s="10">
        <f t="shared" si="99"/>
        <v>88293.5</v>
      </c>
      <c r="M85" s="8"/>
      <c r="N85" s="8"/>
      <c r="O85" s="3" t="s">
        <v>2</v>
      </c>
      <c r="P85" s="8" t="e">
        <f t="shared" si="100"/>
        <v>#DIV/0!</v>
      </c>
      <c r="Q85" s="8"/>
    </row>
    <row r="86" spans="1:17" hidden="1" x14ac:dyDescent="0.25">
      <c r="A86" s="4">
        <v>83</v>
      </c>
      <c r="B86" s="4" t="s">
        <v>181</v>
      </c>
      <c r="C86" s="4" t="s">
        <v>182</v>
      </c>
      <c r="D86" s="4" t="s">
        <v>210</v>
      </c>
      <c r="E86" s="4" t="s">
        <v>20</v>
      </c>
      <c r="F86" s="4" t="s">
        <v>21</v>
      </c>
      <c r="G86" s="4">
        <v>87082900</v>
      </c>
      <c r="H86" s="5">
        <v>13000</v>
      </c>
      <c r="I86" s="5">
        <f t="shared" si="96"/>
        <v>1170</v>
      </c>
      <c r="J86" s="5">
        <f t="shared" si="97"/>
        <v>1170</v>
      </c>
      <c r="K86" s="5">
        <f>J86+I86</f>
        <v>2340</v>
      </c>
      <c r="L86" s="5">
        <f>SUM(H86:J86)</f>
        <v>15340</v>
      </c>
      <c r="M86" s="4"/>
      <c r="N86" s="4"/>
      <c r="O86" s="3" t="s">
        <v>2</v>
      </c>
      <c r="P86" s="4" t="e">
        <f t="shared" si="100"/>
        <v>#DIV/0!</v>
      </c>
      <c r="Q86" s="4"/>
    </row>
    <row r="87" spans="1:17" hidden="1" x14ac:dyDescent="0.25">
      <c r="A87" s="4">
        <v>84</v>
      </c>
      <c r="B87" s="4" t="s">
        <v>183</v>
      </c>
      <c r="C87" s="4" t="s">
        <v>184</v>
      </c>
      <c r="D87" s="4" t="s">
        <v>210</v>
      </c>
      <c r="E87" s="4" t="s">
        <v>20</v>
      </c>
      <c r="F87" s="4" t="s">
        <v>21</v>
      </c>
      <c r="G87" s="4">
        <v>87082900</v>
      </c>
      <c r="H87" s="5">
        <v>7200</v>
      </c>
      <c r="I87" s="5">
        <f t="shared" ref="I87:I88" si="101">H87*9%</f>
        <v>648</v>
      </c>
      <c r="J87" s="5">
        <f t="shared" ref="J87:J88" si="102">H87*9%</f>
        <v>648</v>
      </c>
      <c r="K87" s="5">
        <f>J87+I87</f>
        <v>1296</v>
      </c>
      <c r="L87" s="5">
        <f>SUM(H87:J87)</f>
        <v>8496</v>
      </c>
      <c r="M87" s="4"/>
      <c r="N87" s="4"/>
      <c r="O87" s="3" t="s">
        <v>2</v>
      </c>
      <c r="P87" s="4" t="e">
        <f t="shared" ref="P87:P88" si="103">L87/M87</f>
        <v>#DIV/0!</v>
      </c>
      <c r="Q87" s="4"/>
    </row>
    <row r="88" spans="1:17" x14ac:dyDescent="0.25">
      <c r="A88" s="8">
        <v>85</v>
      </c>
      <c r="B88" s="8" t="s">
        <v>183</v>
      </c>
      <c r="C88" s="8" t="s">
        <v>185</v>
      </c>
      <c r="D88" s="8" t="s">
        <v>210</v>
      </c>
      <c r="E88" s="8" t="s">
        <v>0</v>
      </c>
      <c r="F88" s="8" t="s">
        <v>1</v>
      </c>
      <c r="G88" s="8">
        <v>87082900</v>
      </c>
      <c r="H88" s="10">
        <v>43569.5</v>
      </c>
      <c r="I88" s="10">
        <f t="shared" si="101"/>
        <v>3921.2549999999997</v>
      </c>
      <c r="J88" s="10">
        <f t="shared" si="102"/>
        <v>3921.2549999999997</v>
      </c>
      <c r="K88" s="10">
        <f t="shared" ref="K88" si="104">I88+J88</f>
        <v>7842.5099999999993</v>
      </c>
      <c r="L88" s="10">
        <f t="shared" ref="L88" si="105">H88+I88+J88</f>
        <v>51412.009999999995</v>
      </c>
      <c r="M88" s="8"/>
      <c r="N88" s="8"/>
      <c r="O88" s="3" t="s">
        <v>2</v>
      </c>
      <c r="P88" s="8" t="e">
        <f t="shared" si="103"/>
        <v>#DIV/0!</v>
      </c>
      <c r="Q88" s="8"/>
    </row>
    <row r="89" spans="1:17" hidden="1" x14ac:dyDescent="0.25">
      <c r="A89" s="4">
        <v>86</v>
      </c>
      <c r="B89" s="4" t="s">
        <v>186</v>
      </c>
      <c r="C89" s="4" t="s">
        <v>187</v>
      </c>
      <c r="D89" s="4" t="s">
        <v>210</v>
      </c>
      <c r="E89" s="4" t="s">
        <v>20</v>
      </c>
      <c r="F89" s="4" t="s">
        <v>21</v>
      </c>
      <c r="G89" s="4">
        <v>87082900</v>
      </c>
      <c r="H89" s="5">
        <v>19900</v>
      </c>
      <c r="I89" s="5">
        <f t="shared" ref="I89:I90" si="106">H89*9%</f>
        <v>1791</v>
      </c>
      <c r="J89" s="5">
        <f t="shared" ref="J89:J90" si="107">H89*9%</f>
        <v>1791</v>
      </c>
      <c r="K89" s="5">
        <f>J89+I89</f>
        <v>3582</v>
      </c>
      <c r="L89" s="5">
        <f>SUM(H89:J89)</f>
        <v>23482</v>
      </c>
      <c r="M89" s="4"/>
      <c r="N89" s="4"/>
      <c r="O89" s="3" t="s">
        <v>2</v>
      </c>
      <c r="P89" s="4" t="e">
        <f t="shared" ref="P89:P90" si="108">L89/M89</f>
        <v>#DIV/0!</v>
      </c>
      <c r="Q89" s="4"/>
    </row>
    <row r="90" spans="1:17" x14ac:dyDescent="0.25">
      <c r="A90" s="8">
        <v>87</v>
      </c>
      <c r="B90" s="8" t="s">
        <v>188</v>
      </c>
      <c r="C90" s="8" t="s">
        <v>189</v>
      </c>
      <c r="D90" s="8" t="s">
        <v>210</v>
      </c>
      <c r="E90" s="8" t="s">
        <v>0</v>
      </c>
      <c r="F90" s="8" t="s">
        <v>1</v>
      </c>
      <c r="G90" s="8">
        <v>87082900</v>
      </c>
      <c r="H90" s="10">
        <v>10463</v>
      </c>
      <c r="I90" s="10">
        <f t="shared" si="106"/>
        <v>941.67</v>
      </c>
      <c r="J90" s="10">
        <f t="shared" si="107"/>
        <v>941.67</v>
      </c>
      <c r="K90" s="10">
        <f t="shared" ref="K90" si="109">I90+J90</f>
        <v>1883.34</v>
      </c>
      <c r="L90" s="10">
        <f t="shared" ref="L90" si="110">H90+I90+J90</f>
        <v>12346.34</v>
      </c>
      <c r="M90" s="8"/>
      <c r="N90" s="8"/>
      <c r="O90" s="3" t="s">
        <v>2</v>
      </c>
      <c r="P90" s="8" t="e">
        <f t="shared" si="108"/>
        <v>#DIV/0!</v>
      </c>
      <c r="Q90" s="8"/>
    </row>
    <row r="91" spans="1:17" x14ac:dyDescent="0.25">
      <c r="A91" s="8">
        <v>88</v>
      </c>
      <c r="B91" s="8" t="s">
        <v>169</v>
      </c>
      <c r="C91" s="8" t="s">
        <v>190</v>
      </c>
      <c r="D91" s="8" t="s">
        <v>210</v>
      </c>
      <c r="E91" s="8" t="s">
        <v>0</v>
      </c>
      <c r="F91" s="8" t="s">
        <v>1</v>
      </c>
      <c r="G91" s="8">
        <v>87082900</v>
      </c>
      <c r="H91" s="10">
        <v>10235</v>
      </c>
      <c r="I91" s="10">
        <f t="shared" ref="I91:I92" si="111">H91*9%</f>
        <v>921.15</v>
      </c>
      <c r="J91" s="10">
        <f t="shared" ref="J91:J92" si="112">H91*9%</f>
        <v>921.15</v>
      </c>
      <c r="K91" s="10">
        <f t="shared" ref="K91:K92" si="113">I91+J91</f>
        <v>1842.3</v>
      </c>
      <c r="L91" s="10">
        <f t="shared" ref="L91:L92" si="114">H91+I91+J91</f>
        <v>12077.3</v>
      </c>
      <c r="M91" s="8"/>
      <c r="N91" s="8"/>
      <c r="O91" s="3" t="s">
        <v>2</v>
      </c>
      <c r="P91" s="8" t="e">
        <f t="shared" ref="P91:P92" si="115">L91/M91</f>
        <v>#DIV/0!</v>
      </c>
      <c r="Q91" s="8"/>
    </row>
    <row r="92" spans="1:17" x14ac:dyDescent="0.25">
      <c r="A92" s="30">
        <v>89</v>
      </c>
      <c r="B92" s="30" t="s">
        <v>169</v>
      </c>
      <c r="C92" s="30" t="s">
        <v>191</v>
      </c>
      <c r="D92" s="30" t="s">
        <v>210</v>
      </c>
      <c r="E92" s="30" t="s">
        <v>167</v>
      </c>
      <c r="F92" s="31" t="s">
        <v>166</v>
      </c>
      <c r="G92" s="38">
        <v>87082900</v>
      </c>
      <c r="H92" s="31">
        <v>32100</v>
      </c>
      <c r="I92" s="31">
        <f t="shared" si="111"/>
        <v>2889</v>
      </c>
      <c r="J92" s="31">
        <f t="shared" si="112"/>
        <v>2889</v>
      </c>
      <c r="K92" s="31">
        <f t="shared" si="113"/>
        <v>5778</v>
      </c>
      <c r="L92" s="31">
        <f t="shared" si="114"/>
        <v>37878</v>
      </c>
      <c r="M92" s="30"/>
      <c r="N92" s="30"/>
      <c r="O92" s="3" t="s">
        <v>2</v>
      </c>
      <c r="P92" s="30" t="e">
        <f t="shared" si="115"/>
        <v>#DIV/0!</v>
      </c>
      <c r="Q92" s="30"/>
    </row>
    <row r="93" spans="1:17" hidden="1" x14ac:dyDescent="0.25">
      <c r="A93" s="32">
        <v>90</v>
      </c>
      <c r="B93" s="32" t="s">
        <v>170</v>
      </c>
      <c r="C93" s="32" t="s">
        <v>192</v>
      </c>
      <c r="D93" s="32" t="s">
        <v>210</v>
      </c>
      <c r="E93" s="32" t="s">
        <v>194</v>
      </c>
      <c r="F93" s="33" t="s">
        <v>193</v>
      </c>
      <c r="G93" s="40">
        <v>72044900</v>
      </c>
      <c r="H93" s="33">
        <v>116675</v>
      </c>
      <c r="I93" s="33">
        <f t="shared" ref="I93:I96" si="116">H93*9%</f>
        <v>10500.75</v>
      </c>
      <c r="J93" s="33">
        <f t="shared" ref="J93:J96" si="117">H93*9%</f>
        <v>10500.75</v>
      </c>
      <c r="K93" s="33">
        <f t="shared" ref="K93:K94" si="118">I93+J93</f>
        <v>21001.5</v>
      </c>
      <c r="L93" s="33">
        <f t="shared" ref="L93:L94" si="119">H93+I93+J93</f>
        <v>137676.5</v>
      </c>
      <c r="M93" s="32">
        <v>137676.5</v>
      </c>
      <c r="N93" s="32" t="s">
        <v>171</v>
      </c>
      <c r="O93" s="28" t="s">
        <v>163</v>
      </c>
      <c r="P93" s="30">
        <f t="shared" ref="P93:P96" si="120">L93/M93</f>
        <v>1</v>
      </c>
      <c r="Q93" s="30"/>
    </row>
    <row r="94" spans="1:17" x14ac:dyDescent="0.25">
      <c r="A94" s="8">
        <v>91</v>
      </c>
      <c r="B94" s="8" t="s">
        <v>173</v>
      </c>
      <c r="C94" s="8" t="s">
        <v>195</v>
      </c>
      <c r="D94" s="8" t="s">
        <v>210</v>
      </c>
      <c r="E94" s="8" t="s">
        <v>0</v>
      </c>
      <c r="F94" s="8" t="s">
        <v>1</v>
      </c>
      <c r="G94" s="8">
        <v>87082900</v>
      </c>
      <c r="H94" s="10">
        <v>23208</v>
      </c>
      <c r="I94" s="10">
        <f t="shared" si="116"/>
        <v>2088.7199999999998</v>
      </c>
      <c r="J94" s="10">
        <f t="shared" si="117"/>
        <v>2088.7199999999998</v>
      </c>
      <c r="K94" s="10">
        <f t="shared" si="118"/>
        <v>4177.4399999999996</v>
      </c>
      <c r="L94" s="10">
        <f t="shared" si="119"/>
        <v>27385.440000000002</v>
      </c>
      <c r="M94" s="8"/>
      <c r="N94" s="8"/>
      <c r="O94" s="3" t="s">
        <v>2</v>
      </c>
      <c r="P94" s="8" t="e">
        <f t="shared" si="120"/>
        <v>#DIV/0!</v>
      </c>
      <c r="Q94" s="8"/>
    </row>
    <row r="95" spans="1:17" hidden="1" x14ac:dyDescent="0.25">
      <c r="A95" s="4">
        <v>92</v>
      </c>
      <c r="B95" s="4" t="s">
        <v>173</v>
      </c>
      <c r="C95" s="4" t="s">
        <v>196</v>
      </c>
      <c r="D95" s="4" t="s">
        <v>210</v>
      </c>
      <c r="E95" s="4" t="s">
        <v>20</v>
      </c>
      <c r="F95" s="4" t="s">
        <v>21</v>
      </c>
      <c r="G95" s="4">
        <v>87082900</v>
      </c>
      <c r="H95" s="5">
        <v>15200</v>
      </c>
      <c r="I95" s="5">
        <f t="shared" si="116"/>
        <v>1368</v>
      </c>
      <c r="J95" s="5">
        <f t="shared" si="117"/>
        <v>1368</v>
      </c>
      <c r="K95" s="5">
        <f>J95+I95</f>
        <v>2736</v>
      </c>
      <c r="L95" s="5">
        <f>SUM(H95:J95)</f>
        <v>17936</v>
      </c>
      <c r="M95" s="4"/>
      <c r="N95" s="4"/>
      <c r="O95" s="3" t="s">
        <v>2</v>
      </c>
      <c r="P95" s="4" t="e">
        <f t="shared" si="120"/>
        <v>#DIV/0!</v>
      </c>
      <c r="Q95" s="4"/>
    </row>
    <row r="96" spans="1:17" x14ac:dyDescent="0.25">
      <c r="A96" s="30">
        <v>93</v>
      </c>
      <c r="B96" s="30" t="s">
        <v>197</v>
      </c>
      <c r="C96" s="30" t="s">
        <v>198</v>
      </c>
      <c r="D96" s="30" t="s">
        <v>210</v>
      </c>
      <c r="E96" s="30" t="s">
        <v>167</v>
      </c>
      <c r="F96" s="31" t="s">
        <v>166</v>
      </c>
      <c r="G96" s="40">
        <v>7209</v>
      </c>
      <c r="H96" s="31">
        <v>66997.440000000002</v>
      </c>
      <c r="I96" s="31">
        <f t="shared" si="116"/>
        <v>6029.7695999999996</v>
      </c>
      <c r="J96" s="31">
        <f t="shared" si="117"/>
        <v>6029.7695999999996</v>
      </c>
      <c r="K96" s="31">
        <f t="shared" ref="K96" si="121">I96+J96</f>
        <v>12059.539199999999</v>
      </c>
      <c r="L96" s="31">
        <f t="shared" ref="L96" si="122">H96+I96+J96</f>
        <v>79056.979200000002</v>
      </c>
      <c r="M96" s="30"/>
      <c r="N96" s="30"/>
      <c r="O96" s="3" t="s">
        <v>2</v>
      </c>
      <c r="P96" s="30" t="e">
        <f t="shared" si="120"/>
        <v>#DIV/0!</v>
      </c>
      <c r="Q96" s="30"/>
    </row>
    <row r="97" spans="1:17" x14ac:dyDescent="0.25">
      <c r="A97" s="30">
        <v>94</v>
      </c>
      <c r="B97" s="30" t="s">
        <v>197</v>
      </c>
      <c r="C97" s="30" t="s">
        <v>199</v>
      </c>
      <c r="D97" s="30" t="s">
        <v>210</v>
      </c>
      <c r="E97" s="30" t="s">
        <v>167</v>
      </c>
      <c r="F97" s="31" t="s">
        <v>166</v>
      </c>
      <c r="G97" s="38">
        <v>87082900</v>
      </c>
      <c r="H97" s="31">
        <v>53928</v>
      </c>
      <c r="I97" s="31">
        <f t="shared" ref="I97:I99" si="123">H97*9%</f>
        <v>4853.5199999999995</v>
      </c>
      <c r="J97" s="31">
        <f t="shared" ref="J97:J99" si="124">H97*9%</f>
        <v>4853.5199999999995</v>
      </c>
      <c r="K97" s="31">
        <f t="shared" ref="K97:K98" si="125">I97+J97</f>
        <v>9707.0399999999991</v>
      </c>
      <c r="L97" s="31">
        <f t="shared" ref="L97:L98" si="126">H97+I97+J97</f>
        <v>63635.039999999994</v>
      </c>
      <c r="M97" s="30"/>
      <c r="N97" s="30"/>
      <c r="O97" s="3" t="s">
        <v>2</v>
      </c>
      <c r="P97" s="30" t="e">
        <f t="shared" ref="P97:P99" si="127">L97/M97</f>
        <v>#DIV/0!</v>
      </c>
      <c r="Q97" s="30"/>
    </row>
    <row r="98" spans="1:17" x14ac:dyDescent="0.25">
      <c r="A98" s="8">
        <v>95</v>
      </c>
      <c r="B98" s="8" t="s">
        <v>197</v>
      </c>
      <c r="C98" s="8" t="s">
        <v>200</v>
      </c>
      <c r="D98" s="8" t="s">
        <v>210</v>
      </c>
      <c r="E98" s="8" t="s">
        <v>0</v>
      </c>
      <c r="F98" s="8" t="s">
        <v>1</v>
      </c>
      <c r="G98" s="36">
        <v>87082900</v>
      </c>
      <c r="H98" s="10">
        <v>19800</v>
      </c>
      <c r="I98" s="10">
        <f t="shared" si="123"/>
        <v>1782</v>
      </c>
      <c r="J98" s="10">
        <f t="shared" si="124"/>
        <v>1782</v>
      </c>
      <c r="K98" s="10">
        <f t="shared" si="125"/>
        <v>3564</v>
      </c>
      <c r="L98" s="10">
        <f t="shared" si="126"/>
        <v>23364</v>
      </c>
      <c r="M98" s="8"/>
      <c r="N98" s="8"/>
      <c r="O98" s="3" t="s">
        <v>2</v>
      </c>
      <c r="P98" s="8" t="e">
        <f t="shared" si="127"/>
        <v>#DIV/0!</v>
      </c>
      <c r="Q98" s="8"/>
    </row>
    <row r="99" spans="1:17" hidden="1" x14ac:dyDescent="0.25">
      <c r="A99" s="4">
        <v>96</v>
      </c>
      <c r="B99" s="4" t="s">
        <v>175</v>
      </c>
      <c r="C99" s="4" t="s">
        <v>201</v>
      </c>
      <c r="D99" s="4" t="s">
        <v>210</v>
      </c>
      <c r="E99" s="4" t="s">
        <v>20</v>
      </c>
      <c r="F99" s="4" t="s">
        <v>21</v>
      </c>
      <c r="G99" s="29">
        <v>87082900</v>
      </c>
      <c r="H99" s="5">
        <v>13100</v>
      </c>
      <c r="I99" s="5">
        <f t="shared" si="123"/>
        <v>1179</v>
      </c>
      <c r="J99" s="5">
        <f t="shared" si="124"/>
        <v>1179</v>
      </c>
      <c r="K99" s="5">
        <f>J99+I99</f>
        <v>2358</v>
      </c>
      <c r="L99" s="5">
        <f>SUM(H99:J99)</f>
        <v>15458</v>
      </c>
      <c r="M99" s="4"/>
      <c r="N99" s="4"/>
      <c r="O99" s="3" t="s">
        <v>2</v>
      </c>
      <c r="P99" s="4" t="e">
        <f t="shared" si="127"/>
        <v>#DIV/0!</v>
      </c>
      <c r="Q99" s="4"/>
    </row>
    <row r="100" spans="1:17" x14ac:dyDescent="0.25">
      <c r="A100" s="8">
        <v>97</v>
      </c>
      <c r="B100" s="8" t="s">
        <v>202</v>
      </c>
      <c r="C100" s="8" t="s">
        <v>203</v>
      </c>
      <c r="D100" s="8" t="s">
        <v>210</v>
      </c>
      <c r="E100" s="8" t="s">
        <v>0</v>
      </c>
      <c r="F100" s="8" t="s">
        <v>1</v>
      </c>
      <c r="G100" s="36">
        <v>87082900</v>
      </c>
      <c r="H100" s="10">
        <v>15194</v>
      </c>
      <c r="I100" s="10">
        <f t="shared" ref="I100:I102" si="128">H100*9%</f>
        <v>1367.46</v>
      </c>
      <c r="J100" s="10">
        <f t="shared" ref="J100:J102" si="129">H100*9%</f>
        <v>1367.46</v>
      </c>
      <c r="K100" s="10">
        <f t="shared" ref="K100" si="130">I100+J100</f>
        <v>2734.92</v>
      </c>
      <c r="L100" s="10">
        <f t="shared" ref="L100" si="131">H100+I100+J100</f>
        <v>17928.919999999998</v>
      </c>
      <c r="M100" s="8"/>
      <c r="N100" s="8"/>
      <c r="O100" s="3" t="s">
        <v>2</v>
      </c>
      <c r="P100" s="8" t="e">
        <f t="shared" ref="P100:P102" si="132">L100/M100</f>
        <v>#DIV/0!</v>
      </c>
      <c r="Q100" s="8"/>
    </row>
    <row r="101" spans="1:17" hidden="1" x14ac:dyDescent="0.25">
      <c r="A101" s="4">
        <v>98</v>
      </c>
      <c r="B101" s="4" t="s">
        <v>177</v>
      </c>
      <c r="C101" s="4" t="s">
        <v>204</v>
      </c>
      <c r="D101" s="4" t="s">
        <v>210</v>
      </c>
      <c r="E101" s="4" t="s">
        <v>20</v>
      </c>
      <c r="F101" s="4" t="s">
        <v>21</v>
      </c>
      <c r="G101" s="29">
        <v>87082900</v>
      </c>
      <c r="H101" s="5">
        <v>6900</v>
      </c>
      <c r="I101" s="5">
        <f t="shared" si="128"/>
        <v>621</v>
      </c>
      <c r="J101" s="5">
        <f t="shared" si="129"/>
        <v>621</v>
      </c>
      <c r="K101" s="5">
        <f>J101+I101</f>
        <v>1242</v>
      </c>
      <c r="L101" s="5">
        <f>SUM(H101:J101)</f>
        <v>8142</v>
      </c>
      <c r="M101" s="4"/>
      <c r="N101" s="4"/>
      <c r="O101" s="3" t="s">
        <v>2</v>
      </c>
      <c r="P101" s="4" t="e">
        <f t="shared" si="132"/>
        <v>#DIV/0!</v>
      </c>
      <c r="Q101" s="4"/>
    </row>
    <row r="102" spans="1:17" x14ac:dyDescent="0.25">
      <c r="A102" s="30">
        <v>99</v>
      </c>
      <c r="B102" s="30" t="s">
        <v>177</v>
      </c>
      <c r="C102" s="30" t="s">
        <v>206</v>
      </c>
      <c r="D102" s="30" t="s">
        <v>210</v>
      </c>
      <c r="E102" s="30" t="s">
        <v>167</v>
      </c>
      <c r="F102" s="31" t="s">
        <v>166</v>
      </c>
      <c r="G102" s="38">
        <v>87082900</v>
      </c>
      <c r="H102" s="31">
        <v>618427.1</v>
      </c>
      <c r="I102" s="31">
        <f t="shared" si="128"/>
        <v>55658.438999999998</v>
      </c>
      <c r="J102" s="31">
        <f t="shared" si="129"/>
        <v>55658.438999999998</v>
      </c>
      <c r="K102" s="31">
        <f t="shared" ref="K102" si="133">I102+J102</f>
        <v>111316.878</v>
      </c>
      <c r="L102" s="31">
        <f t="shared" ref="L102" si="134">H102+I102+J102</f>
        <v>729743.978</v>
      </c>
      <c r="M102" s="30"/>
      <c r="N102" s="30"/>
      <c r="O102" s="3" t="s">
        <v>2</v>
      </c>
      <c r="P102" s="30" t="e">
        <f t="shared" si="132"/>
        <v>#DIV/0!</v>
      </c>
      <c r="Q102" s="30"/>
    </row>
    <row r="103" spans="1:17" x14ac:dyDescent="0.25">
      <c r="A103" s="30">
        <v>100</v>
      </c>
      <c r="B103" s="30" t="s">
        <v>177</v>
      </c>
      <c r="C103" s="30" t="s">
        <v>207</v>
      </c>
      <c r="D103" s="30" t="s">
        <v>210</v>
      </c>
      <c r="E103" s="30" t="s">
        <v>167</v>
      </c>
      <c r="F103" s="31" t="s">
        <v>166</v>
      </c>
      <c r="G103" s="38">
        <v>87082900</v>
      </c>
      <c r="H103" s="31">
        <v>828265.4</v>
      </c>
      <c r="I103" s="31">
        <f t="shared" ref="I103" si="135">H103*9%</f>
        <v>74543.885999999999</v>
      </c>
      <c r="J103" s="31">
        <f t="shared" ref="J103" si="136">H103*9%</f>
        <v>74543.885999999999</v>
      </c>
      <c r="K103" s="31">
        <f t="shared" ref="K103" si="137">I103+J103</f>
        <v>149087.772</v>
      </c>
      <c r="L103" s="31">
        <f t="shared" ref="L103" si="138">H103+I103+J103</f>
        <v>977353.17200000002</v>
      </c>
      <c r="M103" s="30"/>
      <c r="N103" s="30"/>
      <c r="O103" s="3" t="s">
        <v>2</v>
      </c>
      <c r="P103" s="30" t="e">
        <f t="shared" ref="P103" si="139">L103/M103</f>
        <v>#DIV/0!</v>
      </c>
      <c r="Q103" s="30"/>
    </row>
    <row r="104" spans="1:17" ht="24.75" hidden="1" customHeight="1" x14ac:dyDescent="0.25">
      <c r="A104" s="47" t="s">
        <v>26</v>
      </c>
      <c r="B104" s="48"/>
      <c r="C104" s="48"/>
      <c r="D104" s="48"/>
      <c r="E104" s="48"/>
      <c r="F104" s="48"/>
      <c r="G104" s="49"/>
      <c r="H104" s="22">
        <f t="shared" ref="H104:Q104" si="140">SUM(H84:H103)</f>
        <v>2052185.3199999998</v>
      </c>
      <c r="I104" s="22">
        <f t="shared" si="140"/>
        <v>184696.67879999999</v>
      </c>
      <c r="J104" s="22">
        <f t="shared" si="140"/>
        <v>184696.67879999999</v>
      </c>
      <c r="K104" s="22">
        <f t="shared" si="140"/>
        <v>369393.35759999999</v>
      </c>
      <c r="L104" s="22">
        <f t="shared" si="140"/>
        <v>2421578.6776000001</v>
      </c>
      <c r="M104" s="22">
        <f t="shared" si="140"/>
        <v>137676.5</v>
      </c>
      <c r="N104" s="22">
        <f t="shared" si="140"/>
        <v>0</v>
      </c>
      <c r="O104" s="22">
        <f t="shared" si="140"/>
        <v>0</v>
      </c>
      <c r="P104" s="22" t="e">
        <f t="shared" si="140"/>
        <v>#DIV/0!</v>
      </c>
      <c r="Q104" s="22">
        <f t="shared" si="140"/>
        <v>0</v>
      </c>
    </row>
    <row r="105" spans="1:17" x14ac:dyDescent="0.25">
      <c r="A105" s="30">
        <v>101</v>
      </c>
      <c r="B105" s="30" t="s">
        <v>211</v>
      </c>
      <c r="C105" s="30" t="s">
        <v>212</v>
      </c>
      <c r="D105" s="30" t="s">
        <v>213</v>
      </c>
      <c r="E105" s="30" t="s">
        <v>167</v>
      </c>
      <c r="F105" s="31" t="s">
        <v>166</v>
      </c>
      <c r="G105" s="38">
        <v>87082900</v>
      </c>
      <c r="H105" s="31">
        <v>283780.7</v>
      </c>
      <c r="I105" s="31">
        <f t="shared" ref="I105" si="141">H105*9%</f>
        <v>25540.262999999999</v>
      </c>
      <c r="J105" s="31">
        <f t="shared" ref="J105" si="142">H105*9%</f>
        <v>25540.262999999999</v>
      </c>
      <c r="K105" s="31">
        <f t="shared" ref="K105" si="143">I105+J105</f>
        <v>51080.525999999998</v>
      </c>
      <c r="L105" s="31">
        <f t="shared" ref="L105" si="144">H105+I105+J105</f>
        <v>334861.22599999997</v>
      </c>
      <c r="M105" s="30"/>
      <c r="N105" s="30"/>
      <c r="O105" s="3" t="s">
        <v>2</v>
      </c>
      <c r="P105" s="30" t="e">
        <f t="shared" ref="P105" si="145">L105/M105</f>
        <v>#DIV/0!</v>
      </c>
      <c r="Q105" s="30"/>
    </row>
    <row r="106" spans="1:17" x14ac:dyDescent="0.25">
      <c r="A106" s="30">
        <v>102</v>
      </c>
      <c r="B106" s="30" t="s">
        <v>211</v>
      </c>
      <c r="C106" s="30" t="s">
        <v>214</v>
      </c>
      <c r="D106" s="30" t="s">
        <v>213</v>
      </c>
      <c r="E106" s="30" t="s">
        <v>167</v>
      </c>
      <c r="F106" s="31" t="s">
        <v>166</v>
      </c>
      <c r="G106" s="38">
        <v>87082900</v>
      </c>
      <c r="H106" s="31">
        <v>87510</v>
      </c>
      <c r="I106" s="31">
        <f t="shared" ref="I106" si="146">H106*9%</f>
        <v>7875.9</v>
      </c>
      <c r="J106" s="31">
        <f t="shared" ref="J106" si="147">H106*9%</f>
        <v>7875.9</v>
      </c>
      <c r="K106" s="31">
        <f t="shared" ref="K106" si="148">I106+J106</f>
        <v>15751.8</v>
      </c>
      <c r="L106" s="31">
        <f t="shared" ref="L106" si="149">H106+I106+J106</f>
        <v>103261.79999999999</v>
      </c>
      <c r="M106" s="30"/>
      <c r="N106" s="30"/>
      <c r="O106" s="3" t="s">
        <v>2</v>
      </c>
      <c r="P106" s="30" t="e">
        <f t="shared" ref="P106" si="150">L106/M106</f>
        <v>#DIV/0!</v>
      </c>
      <c r="Q106" s="30"/>
    </row>
    <row r="107" spans="1:17" x14ac:dyDescent="0.25">
      <c r="A107" s="30">
        <v>103</v>
      </c>
      <c r="B107" s="30" t="s">
        <v>211</v>
      </c>
      <c r="C107" s="30" t="s">
        <v>215</v>
      </c>
      <c r="D107" s="30" t="s">
        <v>213</v>
      </c>
      <c r="E107" s="30" t="s">
        <v>167</v>
      </c>
      <c r="F107" s="31" t="s">
        <v>166</v>
      </c>
      <c r="G107" s="38">
        <v>87082900</v>
      </c>
      <c r="H107" s="31">
        <v>21240</v>
      </c>
      <c r="I107" s="31">
        <f t="shared" ref="I107" si="151">H107*9%</f>
        <v>1911.6</v>
      </c>
      <c r="J107" s="31">
        <f t="shared" ref="J107" si="152">H107*9%</f>
        <v>1911.6</v>
      </c>
      <c r="K107" s="31">
        <f t="shared" ref="K107" si="153">I107+J107</f>
        <v>3823.2</v>
      </c>
      <c r="L107" s="31">
        <f t="shared" ref="L107" si="154">H107+I107+J107</f>
        <v>25063.199999999997</v>
      </c>
      <c r="M107" s="30"/>
      <c r="N107" s="30"/>
      <c r="O107" s="3" t="s">
        <v>2</v>
      </c>
      <c r="P107" s="30" t="e">
        <f t="shared" ref="P107" si="155">L107/M107</f>
        <v>#DIV/0!</v>
      </c>
      <c r="Q107" s="30"/>
    </row>
    <row r="108" spans="1:17" hidden="1" x14ac:dyDescent="0.25">
      <c r="A108" s="42">
        <v>104</v>
      </c>
      <c r="B108" s="42" t="s">
        <v>211</v>
      </c>
      <c r="C108" s="42" t="s">
        <v>216</v>
      </c>
      <c r="D108" s="42" t="s">
        <v>213</v>
      </c>
      <c r="E108" s="42" t="s">
        <v>217</v>
      </c>
      <c r="F108" s="43" t="s">
        <v>218</v>
      </c>
      <c r="G108" s="44">
        <v>87082900</v>
      </c>
      <c r="H108" s="43">
        <v>10002</v>
      </c>
      <c r="I108" s="43">
        <f t="shared" ref="I108:I111" si="156">H108*9%</f>
        <v>900.18</v>
      </c>
      <c r="J108" s="43">
        <f t="shared" ref="J108:J111" si="157">H108*9%</f>
        <v>900.18</v>
      </c>
      <c r="K108" s="43">
        <f t="shared" ref="K108" si="158">I108+J108</f>
        <v>1800.36</v>
      </c>
      <c r="L108" s="43">
        <f t="shared" ref="L108" si="159">H108+I108+J108</f>
        <v>11802.36</v>
      </c>
      <c r="M108" s="42">
        <v>11802.36</v>
      </c>
      <c r="N108" s="42"/>
      <c r="O108" s="28" t="s">
        <v>163</v>
      </c>
      <c r="P108" s="42">
        <f t="shared" ref="P108:P111" si="160">L108/M108</f>
        <v>1</v>
      </c>
      <c r="Q108" s="42"/>
    </row>
    <row r="109" spans="1:17" hidden="1" x14ac:dyDescent="0.25">
      <c r="A109" s="4">
        <v>105</v>
      </c>
      <c r="B109" s="4" t="s">
        <v>219</v>
      </c>
      <c r="C109" s="4" t="s">
        <v>220</v>
      </c>
      <c r="D109" s="4" t="s">
        <v>213</v>
      </c>
      <c r="E109" s="4" t="s">
        <v>20</v>
      </c>
      <c r="F109" s="4" t="s">
        <v>21</v>
      </c>
      <c r="G109" s="29">
        <v>87082900</v>
      </c>
      <c r="H109" s="5">
        <v>4000</v>
      </c>
      <c r="I109" s="5">
        <f t="shared" si="156"/>
        <v>360</v>
      </c>
      <c r="J109" s="5">
        <f t="shared" si="157"/>
        <v>360</v>
      </c>
      <c r="K109" s="5">
        <f>J109+I109</f>
        <v>720</v>
      </c>
      <c r="L109" s="5">
        <f>SUM(H109:J109)</f>
        <v>4720</v>
      </c>
      <c r="M109" s="4"/>
      <c r="N109" s="4"/>
      <c r="O109" s="3" t="s">
        <v>2</v>
      </c>
      <c r="P109" s="4" t="e">
        <f t="shared" si="160"/>
        <v>#DIV/0!</v>
      </c>
      <c r="Q109" s="4"/>
    </row>
    <row r="110" spans="1:17" hidden="1" x14ac:dyDescent="0.25">
      <c r="A110" s="32">
        <v>106</v>
      </c>
      <c r="B110" s="32" t="s">
        <v>221</v>
      </c>
      <c r="C110" s="32" t="s">
        <v>222</v>
      </c>
      <c r="D110" s="32" t="s">
        <v>213</v>
      </c>
      <c r="E110" s="32" t="s">
        <v>194</v>
      </c>
      <c r="F110" s="33" t="s">
        <v>193</v>
      </c>
      <c r="G110" s="40">
        <v>72044900</v>
      </c>
      <c r="H110" s="33">
        <v>127075</v>
      </c>
      <c r="I110" s="33">
        <f t="shared" si="156"/>
        <v>11436.75</v>
      </c>
      <c r="J110" s="33">
        <f t="shared" si="157"/>
        <v>11436.75</v>
      </c>
      <c r="K110" s="33">
        <f t="shared" ref="K110:K111" si="161">I110+J110</f>
        <v>22873.5</v>
      </c>
      <c r="L110" s="33">
        <f t="shared" ref="L110:L111" si="162">H110+I110+J110</f>
        <v>149948.5</v>
      </c>
      <c r="M110" s="32">
        <v>149948.5</v>
      </c>
      <c r="N110" s="32"/>
      <c r="O110" s="28" t="s">
        <v>163</v>
      </c>
      <c r="P110" s="30">
        <f t="shared" si="160"/>
        <v>1</v>
      </c>
      <c r="Q110" s="30"/>
    </row>
    <row r="111" spans="1:17" x14ac:dyDescent="0.25">
      <c r="A111" s="30">
        <v>107</v>
      </c>
      <c r="B111" s="30" t="s">
        <v>221</v>
      </c>
      <c r="C111" s="30" t="s">
        <v>223</v>
      </c>
      <c r="D111" s="30" t="s">
        <v>213</v>
      </c>
      <c r="E111" s="30" t="s">
        <v>167</v>
      </c>
      <c r="F111" s="31" t="s">
        <v>166</v>
      </c>
      <c r="G111" s="38">
        <v>87082900</v>
      </c>
      <c r="H111" s="31">
        <v>110417.8</v>
      </c>
      <c r="I111" s="31">
        <f t="shared" si="156"/>
        <v>9937.6020000000008</v>
      </c>
      <c r="J111" s="31">
        <f t="shared" si="157"/>
        <v>9937.6020000000008</v>
      </c>
      <c r="K111" s="31">
        <f t="shared" si="161"/>
        <v>19875.204000000002</v>
      </c>
      <c r="L111" s="31">
        <f t="shared" si="162"/>
        <v>130293.004</v>
      </c>
      <c r="M111" s="30"/>
      <c r="N111" s="30"/>
      <c r="O111" s="3" t="s">
        <v>2</v>
      </c>
      <c r="P111" s="30" t="e">
        <f t="shared" si="160"/>
        <v>#DIV/0!</v>
      </c>
      <c r="Q111" s="30"/>
    </row>
    <row r="112" spans="1:17" x14ac:dyDescent="0.25">
      <c r="A112" s="30">
        <v>108</v>
      </c>
      <c r="B112" s="30" t="s">
        <v>221</v>
      </c>
      <c r="C112" s="30" t="s">
        <v>224</v>
      </c>
      <c r="D112" s="30" t="s">
        <v>213</v>
      </c>
      <c r="E112" s="30" t="s">
        <v>167</v>
      </c>
      <c r="F112" s="31" t="s">
        <v>166</v>
      </c>
      <c r="G112" s="38">
        <v>87082900</v>
      </c>
      <c r="H112" s="31">
        <v>17937.16</v>
      </c>
      <c r="I112" s="31">
        <f t="shared" ref="I112:I114" si="163">H112*9%</f>
        <v>1614.3444</v>
      </c>
      <c r="J112" s="31">
        <f t="shared" ref="J112:J114" si="164">H112*9%</f>
        <v>1614.3444</v>
      </c>
      <c r="K112" s="31">
        <f t="shared" ref="K112:K113" si="165">I112+J112</f>
        <v>3228.6887999999999</v>
      </c>
      <c r="L112" s="31">
        <f t="shared" ref="L112:L113" si="166">H112+I112+J112</f>
        <v>21165.8488</v>
      </c>
      <c r="M112" s="30"/>
      <c r="N112" s="30"/>
      <c r="O112" s="3" t="s">
        <v>2</v>
      </c>
      <c r="P112" s="30" t="e">
        <f t="shared" ref="P112:P114" si="167">L112/M112</f>
        <v>#DIV/0!</v>
      </c>
      <c r="Q112" s="30"/>
    </row>
    <row r="113" spans="1:17" x14ac:dyDescent="0.25">
      <c r="A113" s="8">
        <v>109</v>
      </c>
      <c r="B113" s="8" t="s">
        <v>221</v>
      </c>
      <c r="C113" s="8" t="s">
        <v>225</v>
      </c>
      <c r="D113" s="8" t="s">
        <v>213</v>
      </c>
      <c r="E113" s="8" t="s">
        <v>0</v>
      </c>
      <c r="F113" s="8" t="s">
        <v>1</v>
      </c>
      <c r="G113" s="36">
        <v>87082900</v>
      </c>
      <c r="H113" s="10">
        <v>19414.080000000002</v>
      </c>
      <c r="I113" s="10">
        <f t="shared" si="163"/>
        <v>1747.2672</v>
      </c>
      <c r="J113" s="10">
        <f t="shared" si="164"/>
        <v>1747.2672</v>
      </c>
      <c r="K113" s="10">
        <f t="shared" si="165"/>
        <v>3494.5344</v>
      </c>
      <c r="L113" s="10">
        <f t="shared" si="166"/>
        <v>22908.614399999999</v>
      </c>
      <c r="M113" s="8"/>
      <c r="N113" s="8"/>
      <c r="O113" s="3" t="s">
        <v>2</v>
      </c>
      <c r="P113" s="8" t="e">
        <f t="shared" si="167"/>
        <v>#DIV/0!</v>
      </c>
      <c r="Q113" s="8"/>
    </row>
    <row r="114" spans="1:17" hidden="1" x14ac:dyDescent="0.25">
      <c r="A114" s="4">
        <v>110</v>
      </c>
      <c r="B114" s="4" t="s">
        <v>226</v>
      </c>
      <c r="C114" s="4" t="s">
        <v>227</v>
      </c>
      <c r="D114" s="4" t="s">
        <v>213</v>
      </c>
      <c r="E114" s="4" t="s">
        <v>20</v>
      </c>
      <c r="F114" s="4" t="s">
        <v>21</v>
      </c>
      <c r="G114" s="29">
        <v>87082900</v>
      </c>
      <c r="H114" s="5">
        <v>11025</v>
      </c>
      <c r="I114" s="5">
        <f t="shared" si="163"/>
        <v>992.25</v>
      </c>
      <c r="J114" s="5">
        <f t="shared" si="164"/>
        <v>992.25</v>
      </c>
      <c r="K114" s="5">
        <f>J114+I114</f>
        <v>1984.5</v>
      </c>
      <c r="L114" s="5">
        <f>SUM(H114:J114)</f>
        <v>13009.5</v>
      </c>
      <c r="M114" s="4"/>
      <c r="N114" s="4"/>
      <c r="O114" s="3" t="s">
        <v>2</v>
      </c>
      <c r="P114" s="4" t="e">
        <f t="shared" si="167"/>
        <v>#DIV/0!</v>
      </c>
      <c r="Q114" s="4"/>
    </row>
    <row r="115" spans="1:17" x14ac:dyDescent="0.25">
      <c r="A115" s="30">
        <v>111</v>
      </c>
      <c r="B115" s="30" t="s">
        <v>226</v>
      </c>
      <c r="C115" s="30" t="s">
        <v>228</v>
      </c>
      <c r="D115" s="30" t="s">
        <v>213</v>
      </c>
      <c r="E115" s="30" t="s">
        <v>167</v>
      </c>
      <c r="F115" s="31" t="s">
        <v>166</v>
      </c>
      <c r="G115" s="38">
        <v>87082900</v>
      </c>
      <c r="H115" s="31">
        <v>63193.5</v>
      </c>
      <c r="I115" s="31">
        <f t="shared" ref="I115" si="168">H115*9%</f>
        <v>5687.415</v>
      </c>
      <c r="J115" s="31">
        <f t="shared" ref="J115" si="169">H115*9%</f>
        <v>5687.415</v>
      </c>
      <c r="K115" s="31">
        <f t="shared" ref="K115" si="170">I115+J115</f>
        <v>11374.83</v>
      </c>
      <c r="L115" s="31">
        <f t="shared" ref="L115" si="171">H115+I115+J115</f>
        <v>74568.329999999987</v>
      </c>
      <c r="M115" s="30"/>
      <c r="N115" s="30"/>
      <c r="O115" s="3" t="s">
        <v>2</v>
      </c>
      <c r="P115" s="30" t="e">
        <f t="shared" ref="P115" si="172">L115/M115</f>
        <v>#DIV/0!</v>
      </c>
      <c r="Q115" s="30"/>
    </row>
    <row r="116" spans="1:17" x14ac:dyDescent="0.25">
      <c r="A116" s="30">
        <v>112</v>
      </c>
      <c r="B116" s="30" t="s">
        <v>229</v>
      </c>
      <c r="C116" s="30" t="s">
        <v>230</v>
      </c>
      <c r="D116" s="30" t="s">
        <v>213</v>
      </c>
      <c r="E116" s="30" t="s">
        <v>167</v>
      </c>
      <c r="F116" s="31" t="s">
        <v>166</v>
      </c>
      <c r="G116" s="38">
        <v>87082900</v>
      </c>
      <c r="H116" s="31">
        <v>106910.6</v>
      </c>
      <c r="I116" s="31">
        <f t="shared" ref="I116:I117" si="173">H116*9%</f>
        <v>9621.9539999999997</v>
      </c>
      <c r="J116" s="31">
        <f t="shared" ref="J116:J117" si="174">H116*9%</f>
        <v>9621.9539999999997</v>
      </c>
      <c r="K116" s="31">
        <f t="shared" ref="K116:K117" si="175">I116+J116</f>
        <v>19243.907999999999</v>
      </c>
      <c r="L116" s="31">
        <f t="shared" ref="L116:L117" si="176">H116+I116+J116</f>
        <v>126154.508</v>
      </c>
      <c r="M116" s="30"/>
      <c r="N116" s="30"/>
      <c r="O116" s="3" t="s">
        <v>2</v>
      </c>
      <c r="P116" s="30" t="e">
        <f t="shared" ref="P116:P117" si="177">L116/M116</f>
        <v>#DIV/0!</v>
      </c>
      <c r="Q116" s="30"/>
    </row>
    <row r="117" spans="1:17" x14ac:dyDescent="0.25">
      <c r="A117" s="8">
        <v>113</v>
      </c>
      <c r="B117" s="8" t="s">
        <v>229</v>
      </c>
      <c r="C117" s="8" t="s">
        <v>231</v>
      </c>
      <c r="D117" s="8" t="s">
        <v>213</v>
      </c>
      <c r="E117" s="8" t="s">
        <v>0</v>
      </c>
      <c r="F117" s="8" t="s">
        <v>1</v>
      </c>
      <c r="G117" s="36">
        <v>87082900</v>
      </c>
      <c r="H117" s="10">
        <v>35808</v>
      </c>
      <c r="I117" s="10">
        <f t="shared" si="173"/>
        <v>3222.72</v>
      </c>
      <c r="J117" s="10">
        <f t="shared" si="174"/>
        <v>3222.72</v>
      </c>
      <c r="K117" s="10">
        <f t="shared" si="175"/>
        <v>6445.44</v>
      </c>
      <c r="L117" s="10">
        <f t="shared" si="176"/>
        <v>42253.440000000002</v>
      </c>
      <c r="M117" s="8"/>
      <c r="N117" s="8"/>
      <c r="O117" s="3" t="s">
        <v>2</v>
      </c>
      <c r="P117" s="8" t="e">
        <f t="shared" si="177"/>
        <v>#DIV/0!</v>
      </c>
      <c r="Q117" s="8"/>
    </row>
    <row r="118" spans="1:17" x14ac:dyDescent="0.25">
      <c r="A118" s="8">
        <v>114</v>
      </c>
      <c r="B118" s="8" t="s">
        <v>232</v>
      </c>
      <c r="C118" s="8" t="s">
        <v>233</v>
      </c>
      <c r="D118" s="8" t="s">
        <v>213</v>
      </c>
      <c r="E118" s="8" t="s">
        <v>0</v>
      </c>
      <c r="F118" s="8" t="s">
        <v>1</v>
      </c>
      <c r="G118" s="36">
        <v>87082900</v>
      </c>
      <c r="H118" s="10">
        <v>12982.5</v>
      </c>
      <c r="I118" s="10">
        <f t="shared" ref="I118:I119" si="178">H118*9%</f>
        <v>1168.425</v>
      </c>
      <c r="J118" s="10">
        <f t="shared" ref="J118:J119" si="179">H118*9%</f>
        <v>1168.425</v>
      </c>
      <c r="K118" s="10">
        <f t="shared" ref="K118:K119" si="180">I118+J118</f>
        <v>2336.85</v>
      </c>
      <c r="L118" s="10">
        <f t="shared" ref="L118:L119" si="181">H118+I118+J118</f>
        <v>15319.349999999999</v>
      </c>
      <c r="M118" s="8"/>
      <c r="N118" s="8"/>
      <c r="O118" s="3" t="s">
        <v>2</v>
      </c>
      <c r="P118" s="8" t="e">
        <f t="shared" ref="P118:P119" si="182">L118/M118</f>
        <v>#DIV/0!</v>
      </c>
      <c r="Q118" s="8"/>
    </row>
    <row r="119" spans="1:17" x14ac:dyDescent="0.25">
      <c r="A119" s="30">
        <v>115</v>
      </c>
      <c r="B119" s="30" t="s">
        <v>232</v>
      </c>
      <c r="C119" s="30" t="s">
        <v>234</v>
      </c>
      <c r="D119" s="30" t="s">
        <v>213</v>
      </c>
      <c r="E119" s="30" t="s">
        <v>167</v>
      </c>
      <c r="F119" s="31" t="s">
        <v>166</v>
      </c>
      <c r="G119" s="38">
        <v>87082900</v>
      </c>
      <c r="H119" s="31">
        <v>39246.6</v>
      </c>
      <c r="I119" s="31">
        <f t="shared" si="178"/>
        <v>3532.194</v>
      </c>
      <c r="J119" s="31">
        <f t="shared" si="179"/>
        <v>3532.194</v>
      </c>
      <c r="K119" s="31">
        <f t="shared" si="180"/>
        <v>7064.3879999999999</v>
      </c>
      <c r="L119" s="31">
        <f t="shared" si="181"/>
        <v>46310.988000000005</v>
      </c>
      <c r="M119" s="30"/>
      <c r="N119" s="30"/>
      <c r="O119" s="3" t="s">
        <v>2</v>
      </c>
      <c r="P119" s="30" t="e">
        <f t="shared" si="182"/>
        <v>#DIV/0!</v>
      </c>
      <c r="Q119" s="30"/>
    </row>
    <row r="120" spans="1:17" x14ac:dyDescent="0.25">
      <c r="A120" s="30">
        <v>116</v>
      </c>
      <c r="B120" s="30" t="s">
        <v>232</v>
      </c>
      <c r="C120" s="30" t="s">
        <v>235</v>
      </c>
      <c r="D120" s="30" t="s">
        <v>213</v>
      </c>
      <c r="E120" s="30" t="s">
        <v>167</v>
      </c>
      <c r="F120" s="31" t="s">
        <v>166</v>
      </c>
      <c r="G120" s="38">
        <v>87082900</v>
      </c>
      <c r="H120" s="31">
        <v>16680</v>
      </c>
      <c r="I120" s="31">
        <f t="shared" ref="I120" si="183">H120*9%</f>
        <v>1501.2</v>
      </c>
      <c r="J120" s="31">
        <f t="shared" ref="J120" si="184">H120*9%</f>
        <v>1501.2</v>
      </c>
      <c r="K120" s="31">
        <f t="shared" ref="K120" si="185">I120+J120</f>
        <v>3002.4</v>
      </c>
      <c r="L120" s="31">
        <f t="shared" ref="L120" si="186">H120+I120+J120</f>
        <v>19682.400000000001</v>
      </c>
      <c r="M120" s="30"/>
      <c r="N120" s="30"/>
      <c r="O120" s="3" t="s">
        <v>2</v>
      </c>
      <c r="P120" s="30" t="e">
        <f t="shared" ref="P120" si="187">L120/M120</f>
        <v>#DIV/0!</v>
      </c>
      <c r="Q120" s="30"/>
    </row>
    <row r="121" spans="1:17" x14ac:dyDescent="0.25">
      <c r="A121" s="30">
        <v>117</v>
      </c>
      <c r="B121" s="30" t="s">
        <v>236</v>
      </c>
      <c r="C121" s="30" t="s">
        <v>237</v>
      </c>
      <c r="D121" s="30" t="s">
        <v>213</v>
      </c>
      <c r="E121" s="30" t="s">
        <v>167</v>
      </c>
      <c r="F121" s="31" t="s">
        <v>166</v>
      </c>
      <c r="G121" s="38">
        <v>87082900</v>
      </c>
      <c r="H121" s="31">
        <v>128822.84</v>
      </c>
      <c r="I121" s="31">
        <f t="shared" ref="I121:I122" si="188">H121*9%</f>
        <v>11594.0556</v>
      </c>
      <c r="J121" s="31">
        <f t="shared" ref="J121:J122" si="189">H121*9%</f>
        <v>11594.0556</v>
      </c>
      <c r="K121" s="31">
        <f t="shared" ref="K121" si="190">I121+J121</f>
        <v>23188.111199999999</v>
      </c>
      <c r="L121" s="31">
        <f t="shared" ref="L121" si="191">H121+I121+J121</f>
        <v>152010.95119999998</v>
      </c>
      <c r="M121" s="30"/>
      <c r="N121" s="30"/>
      <c r="O121" s="3" t="s">
        <v>2</v>
      </c>
      <c r="P121" s="30" t="e">
        <f t="shared" ref="P121:P122" si="192">L121/M121</f>
        <v>#DIV/0!</v>
      </c>
      <c r="Q121" s="30"/>
    </row>
    <row r="122" spans="1:17" hidden="1" x14ac:dyDescent="0.25">
      <c r="A122" s="4">
        <v>118</v>
      </c>
      <c r="B122" s="4" t="s">
        <v>236</v>
      </c>
      <c r="C122" s="4" t="s">
        <v>238</v>
      </c>
      <c r="D122" s="4" t="s">
        <v>213</v>
      </c>
      <c r="E122" s="4" t="s">
        <v>20</v>
      </c>
      <c r="F122" s="4" t="s">
        <v>21</v>
      </c>
      <c r="G122" s="29">
        <v>87082900</v>
      </c>
      <c r="H122" s="5">
        <v>6000</v>
      </c>
      <c r="I122" s="5">
        <f t="shared" si="188"/>
        <v>540</v>
      </c>
      <c r="J122" s="5">
        <f t="shared" si="189"/>
        <v>540</v>
      </c>
      <c r="K122" s="5">
        <f>J122+I122</f>
        <v>1080</v>
      </c>
      <c r="L122" s="5">
        <f>SUM(H122:J122)</f>
        <v>7080</v>
      </c>
      <c r="M122" s="4"/>
      <c r="N122" s="4"/>
      <c r="O122" s="3" t="s">
        <v>2</v>
      </c>
      <c r="P122" s="4" t="e">
        <f t="shared" si="192"/>
        <v>#DIV/0!</v>
      </c>
      <c r="Q122" s="4"/>
    </row>
    <row r="123" spans="1:17" hidden="1" x14ac:dyDescent="0.25">
      <c r="A123" s="4">
        <v>119</v>
      </c>
      <c r="B123" s="4" t="s">
        <v>239</v>
      </c>
      <c r="C123" s="4" t="s">
        <v>240</v>
      </c>
      <c r="D123" s="4" t="s">
        <v>213</v>
      </c>
      <c r="E123" s="4" t="s">
        <v>20</v>
      </c>
      <c r="F123" s="4" t="s">
        <v>21</v>
      </c>
      <c r="G123" s="29">
        <v>87082900</v>
      </c>
      <c r="H123" s="5">
        <v>6500</v>
      </c>
      <c r="I123" s="5">
        <f t="shared" ref="I123:I124" si="193">H123*9%</f>
        <v>585</v>
      </c>
      <c r="J123" s="5">
        <f t="shared" ref="J123:J124" si="194">H123*9%</f>
        <v>585</v>
      </c>
      <c r="K123" s="5">
        <f>J123+I123</f>
        <v>1170</v>
      </c>
      <c r="L123" s="5">
        <f>SUM(H123:J123)</f>
        <v>7670</v>
      </c>
      <c r="M123" s="4"/>
      <c r="N123" s="4"/>
      <c r="O123" s="3" t="s">
        <v>2</v>
      </c>
      <c r="P123" s="4" t="e">
        <f t="shared" ref="P123:P124" si="195">L123/M123</f>
        <v>#DIV/0!</v>
      </c>
      <c r="Q123" s="4"/>
    </row>
    <row r="124" spans="1:17" x14ac:dyDescent="0.25">
      <c r="A124" s="30">
        <v>120</v>
      </c>
      <c r="B124" s="30" t="s">
        <v>241</v>
      </c>
      <c r="C124" s="30" t="s">
        <v>242</v>
      </c>
      <c r="D124" s="30" t="s">
        <v>213</v>
      </c>
      <c r="E124" s="30" t="s">
        <v>167</v>
      </c>
      <c r="F124" s="31" t="s">
        <v>166</v>
      </c>
      <c r="G124" s="38">
        <v>87082900</v>
      </c>
      <c r="H124" s="31">
        <v>42470.48</v>
      </c>
      <c r="I124" s="31">
        <f t="shared" si="193"/>
        <v>3822.3432000000003</v>
      </c>
      <c r="J124" s="31">
        <f t="shared" si="194"/>
        <v>3822.3432000000003</v>
      </c>
      <c r="K124" s="31">
        <f t="shared" ref="K124" si="196">I124+J124</f>
        <v>7644.6864000000005</v>
      </c>
      <c r="L124" s="31">
        <f t="shared" ref="L124" si="197">H124+I124+J124</f>
        <v>50115.166400000009</v>
      </c>
      <c r="M124" s="30"/>
      <c r="N124" s="30"/>
      <c r="O124" s="3" t="s">
        <v>2</v>
      </c>
      <c r="P124" s="30" t="e">
        <f t="shared" si="195"/>
        <v>#DIV/0!</v>
      </c>
      <c r="Q124" s="30"/>
    </row>
    <row r="125" spans="1:17" x14ac:dyDescent="0.25">
      <c r="A125" s="30">
        <v>121</v>
      </c>
      <c r="B125" s="30" t="s">
        <v>241</v>
      </c>
      <c r="C125" s="30" t="s">
        <v>243</v>
      </c>
      <c r="D125" s="30" t="s">
        <v>213</v>
      </c>
      <c r="E125" s="30" t="s">
        <v>167</v>
      </c>
      <c r="F125" s="31" t="s">
        <v>166</v>
      </c>
      <c r="G125" s="38">
        <v>87082900</v>
      </c>
      <c r="H125" s="31">
        <v>38320.5</v>
      </c>
      <c r="I125" s="31">
        <f t="shared" ref="I125:I126" si="198">H125*9%</f>
        <v>3448.8449999999998</v>
      </c>
      <c r="J125" s="31">
        <f t="shared" ref="J125:J126" si="199">H125*9%</f>
        <v>3448.8449999999998</v>
      </c>
      <c r="K125" s="31">
        <f t="shared" ref="K125" si="200">I125+J125</f>
        <v>6897.69</v>
      </c>
      <c r="L125" s="31">
        <f t="shared" ref="L125" si="201">H125+I125+J125</f>
        <v>45218.19</v>
      </c>
      <c r="M125" s="30"/>
      <c r="N125" s="30"/>
      <c r="O125" s="3" t="s">
        <v>2</v>
      </c>
      <c r="P125" s="30" t="e">
        <f t="shared" ref="P125:P126" si="202">L125/M125</f>
        <v>#DIV/0!</v>
      </c>
      <c r="Q125" s="30"/>
    </row>
    <row r="126" spans="1:17" hidden="1" x14ac:dyDescent="0.25">
      <c r="A126" s="4">
        <v>122</v>
      </c>
      <c r="B126" s="4" t="s">
        <v>241</v>
      </c>
      <c r="C126" s="4" t="s">
        <v>244</v>
      </c>
      <c r="D126" s="4" t="s">
        <v>213</v>
      </c>
      <c r="E126" s="4" t="s">
        <v>20</v>
      </c>
      <c r="F126" s="4" t="s">
        <v>21</v>
      </c>
      <c r="G126" s="29">
        <v>87082900</v>
      </c>
      <c r="H126" s="5">
        <v>11700</v>
      </c>
      <c r="I126" s="5">
        <f t="shared" si="198"/>
        <v>1053</v>
      </c>
      <c r="J126" s="5">
        <f t="shared" si="199"/>
        <v>1053</v>
      </c>
      <c r="K126" s="5">
        <f>J126+I126</f>
        <v>2106</v>
      </c>
      <c r="L126" s="5">
        <f>SUM(H126:J126)</f>
        <v>13806</v>
      </c>
      <c r="M126" s="4"/>
      <c r="N126" s="4"/>
      <c r="O126" s="3" t="s">
        <v>2</v>
      </c>
      <c r="P126" s="4" t="e">
        <f t="shared" si="202"/>
        <v>#DIV/0!</v>
      </c>
      <c r="Q126" s="4"/>
    </row>
    <row r="127" spans="1:17" x14ac:dyDescent="0.25">
      <c r="A127" s="30">
        <v>123</v>
      </c>
      <c r="B127" s="30" t="s">
        <v>245</v>
      </c>
      <c r="C127" s="30" t="s">
        <v>246</v>
      </c>
      <c r="D127" s="30" t="s">
        <v>213</v>
      </c>
      <c r="E127" s="30" t="s">
        <v>167</v>
      </c>
      <c r="F127" s="31" t="s">
        <v>166</v>
      </c>
      <c r="G127" s="38">
        <v>87082900</v>
      </c>
      <c r="H127" s="31">
        <v>56809.74</v>
      </c>
      <c r="I127" s="31">
        <f t="shared" ref="I127:I129" si="203">H127*9%</f>
        <v>5112.8765999999996</v>
      </c>
      <c r="J127" s="31">
        <f t="shared" ref="J127:J129" si="204">H127*9%</f>
        <v>5112.8765999999996</v>
      </c>
      <c r="K127" s="31">
        <f t="shared" ref="K127:K128" si="205">I127+J127</f>
        <v>10225.753199999999</v>
      </c>
      <c r="L127" s="31">
        <f t="shared" ref="L127:L128" si="206">H127+I127+J127</f>
        <v>67035.493199999997</v>
      </c>
      <c r="M127" s="30"/>
      <c r="N127" s="30"/>
      <c r="O127" s="3" t="s">
        <v>2</v>
      </c>
      <c r="P127" s="30" t="e">
        <f t="shared" ref="P127:P129" si="207">L127/M127</f>
        <v>#DIV/0!</v>
      </c>
      <c r="Q127" s="30"/>
    </row>
    <row r="128" spans="1:17" x14ac:dyDescent="0.25">
      <c r="A128" s="8">
        <v>124</v>
      </c>
      <c r="B128" s="8" t="s">
        <v>245</v>
      </c>
      <c r="C128" s="8" t="s">
        <v>247</v>
      </c>
      <c r="D128" s="8" t="s">
        <v>213</v>
      </c>
      <c r="E128" s="8" t="s">
        <v>0</v>
      </c>
      <c r="F128" s="8" t="s">
        <v>1</v>
      </c>
      <c r="G128" s="36">
        <v>87082900</v>
      </c>
      <c r="H128" s="10">
        <v>35159</v>
      </c>
      <c r="I128" s="10">
        <f t="shared" si="203"/>
        <v>3164.31</v>
      </c>
      <c r="J128" s="10">
        <f t="shared" si="204"/>
        <v>3164.31</v>
      </c>
      <c r="K128" s="10">
        <f t="shared" si="205"/>
        <v>6328.62</v>
      </c>
      <c r="L128" s="10">
        <f t="shared" si="206"/>
        <v>41487.619999999995</v>
      </c>
      <c r="M128" s="8"/>
      <c r="N128" s="8"/>
      <c r="O128" s="3" t="s">
        <v>2</v>
      </c>
      <c r="P128" s="8" t="e">
        <f t="shared" si="207"/>
        <v>#DIV/0!</v>
      </c>
      <c r="Q128" s="8"/>
    </row>
    <row r="129" spans="1:17" hidden="1" x14ac:dyDescent="0.25">
      <c r="A129" s="4">
        <v>125</v>
      </c>
      <c r="B129" s="4" t="s">
        <v>245</v>
      </c>
      <c r="C129" s="4" t="s">
        <v>248</v>
      </c>
      <c r="D129" s="4" t="s">
        <v>213</v>
      </c>
      <c r="E129" s="4" t="s">
        <v>20</v>
      </c>
      <c r="F129" s="4" t="s">
        <v>21</v>
      </c>
      <c r="G129" s="29">
        <v>87082900</v>
      </c>
      <c r="H129" s="5">
        <v>3100</v>
      </c>
      <c r="I129" s="5">
        <f t="shared" si="203"/>
        <v>279</v>
      </c>
      <c r="J129" s="5">
        <f t="shared" si="204"/>
        <v>279</v>
      </c>
      <c r="K129" s="5">
        <f>J129+I129</f>
        <v>558</v>
      </c>
      <c r="L129" s="5">
        <f>SUM(H129:J129)</f>
        <v>3658</v>
      </c>
      <c r="M129" s="4"/>
      <c r="N129" s="4"/>
      <c r="O129" s="3" t="s">
        <v>2</v>
      </c>
      <c r="P129" s="4" t="e">
        <f t="shared" si="207"/>
        <v>#DIV/0!</v>
      </c>
      <c r="Q129" s="4"/>
    </row>
    <row r="130" spans="1:17" x14ac:dyDescent="0.25">
      <c r="A130" s="30">
        <v>126</v>
      </c>
      <c r="B130" s="30" t="s">
        <v>249</v>
      </c>
      <c r="C130" s="30" t="s">
        <v>250</v>
      </c>
      <c r="D130" s="30" t="s">
        <v>213</v>
      </c>
      <c r="E130" s="30" t="s">
        <v>167</v>
      </c>
      <c r="F130" s="31" t="s">
        <v>166</v>
      </c>
      <c r="G130" s="38">
        <v>87082900</v>
      </c>
      <c r="H130" s="31">
        <v>55064.4</v>
      </c>
      <c r="I130" s="31">
        <f t="shared" ref="I130:I131" si="208">H130*9%</f>
        <v>4955.7960000000003</v>
      </c>
      <c r="J130" s="31">
        <f t="shared" ref="J130:J131" si="209">H130*9%</f>
        <v>4955.7960000000003</v>
      </c>
      <c r="K130" s="31">
        <f t="shared" ref="K130" si="210">I130+J130</f>
        <v>9911.5920000000006</v>
      </c>
      <c r="L130" s="31">
        <f t="shared" ref="L130" si="211">H130+I130+J130</f>
        <v>64975.992000000006</v>
      </c>
      <c r="M130" s="30"/>
      <c r="N130" s="30"/>
      <c r="O130" s="3" t="s">
        <v>2</v>
      </c>
      <c r="P130" s="30" t="e">
        <f t="shared" ref="P130:P131" si="212">L130/M130</f>
        <v>#DIV/0!</v>
      </c>
      <c r="Q130" s="30"/>
    </row>
    <row r="131" spans="1:17" hidden="1" x14ac:dyDescent="0.25">
      <c r="A131" s="4">
        <v>127</v>
      </c>
      <c r="B131" s="4" t="s">
        <v>251</v>
      </c>
      <c r="C131" s="4" t="s">
        <v>252</v>
      </c>
      <c r="D131" s="4" t="s">
        <v>213</v>
      </c>
      <c r="E131" s="4" t="s">
        <v>20</v>
      </c>
      <c r="F131" s="4" t="s">
        <v>21</v>
      </c>
      <c r="G131" s="29">
        <v>87082900</v>
      </c>
      <c r="H131" s="5">
        <v>7300</v>
      </c>
      <c r="I131" s="5">
        <f t="shared" si="208"/>
        <v>657</v>
      </c>
      <c r="J131" s="5">
        <f t="shared" si="209"/>
        <v>657</v>
      </c>
      <c r="K131" s="5">
        <f>J131+I131</f>
        <v>1314</v>
      </c>
      <c r="L131" s="5">
        <f>SUM(H131:J131)</f>
        <v>8614</v>
      </c>
      <c r="M131" s="4"/>
      <c r="N131" s="4"/>
      <c r="O131" s="3" t="s">
        <v>2</v>
      </c>
      <c r="P131" s="4" t="e">
        <f t="shared" si="212"/>
        <v>#DIV/0!</v>
      </c>
      <c r="Q131" s="4"/>
    </row>
    <row r="132" spans="1:17" hidden="1" x14ac:dyDescent="0.25">
      <c r="A132" s="4">
        <v>128</v>
      </c>
      <c r="B132" s="4" t="s">
        <v>253</v>
      </c>
      <c r="C132" s="4" t="s">
        <v>254</v>
      </c>
      <c r="D132" s="4" t="s">
        <v>213</v>
      </c>
      <c r="E132" s="4" t="s">
        <v>20</v>
      </c>
      <c r="F132" s="4" t="s">
        <v>21</v>
      </c>
      <c r="G132" s="29">
        <v>87082900</v>
      </c>
      <c r="H132" s="5">
        <v>2200</v>
      </c>
      <c r="I132" s="5">
        <f t="shared" ref="I132" si="213">H132*9%</f>
        <v>198</v>
      </c>
      <c r="J132" s="5">
        <f t="shared" ref="J132" si="214">H132*9%</f>
        <v>198</v>
      </c>
      <c r="K132" s="5">
        <f>J132+I132</f>
        <v>396</v>
      </c>
      <c r="L132" s="5">
        <f>SUM(H132:J132)</f>
        <v>2596</v>
      </c>
      <c r="M132" s="4"/>
      <c r="N132" s="4"/>
      <c r="O132" s="3" t="s">
        <v>2</v>
      </c>
      <c r="P132" s="4" t="e">
        <f t="shared" ref="P132" si="215">L132/M132</f>
        <v>#DIV/0!</v>
      </c>
      <c r="Q132" s="4"/>
    </row>
    <row r="133" spans="1:17" hidden="1" x14ac:dyDescent="0.25">
      <c r="A133" s="4">
        <v>129</v>
      </c>
      <c r="B133" s="4" t="s">
        <v>255</v>
      </c>
      <c r="C133" s="4" t="s">
        <v>256</v>
      </c>
      <c r="D133" s="4" t="s">
        <v>213</v>
      </c>
      <c r="E133" s="4" t="s">
        <v>20</v>
      </c>
      <c r="F133" s="4" t="s">
        <v>21</v>
      </c>
      <c r="G133" s="29">
        <v>87082900</v>
      </c>
      <c r="H133" s="5">
        <v>7200</v>
      </c>
      <c r="I133" s="5">
        <f t="shared" ref="I133:I134" si="216">H133*9%</f>
        <v>648</v>
      </c>
      <c r="J133" s="5">
        <f t="shared" ref="J133:J134" si="217">H133*9%</f>
        <v>648</v>
      </c>
      <c r="K133" s="5">
        <f>J133+I133</f>
        <v>1296</v>
      </c>
      <c r="L133" s="5">
        <f>SUM(H133:J133)</f>
        <v>8496</v>
      </c>
      <c r="M133" s="4"/>
      <c r="N133" s="4"/>
      <c r="O133" s="3" t="s">
        <v>2</v>
      </c>
      <c r="P133" s="4" t="e">
        <f t="shared" ref="P133:P134" si="218">L133/M133</f>
        <v>#DIV/0!</v>
      </c>
      <c r="Q133" s="4"/>
    </row>
    <row r="134" spans="1:17" x14ac:dyDescent="0.25">
      <c r="A134" s="30">
        <v>130</v>
      </c>
      <c r="B134" s="30" t="s">
        <v>257</v>
      </c>
      <c r="C134" s="30" t="s">
        <v>258</v>
      </c>
      <c r="D134" s="30" t="s">
        <v>213</v>
      </c>
      <c r="E134" s="30" t="s">
        <v>167</v>
      </c>
      <c r="F134" s="31" t="s">
        <v>166</v>
      </c>
      <c r="G134" s="38">
        <v>87082900</v>
      </c>
      <c r="H134" s="31">
        <v>133741.4</v>
      </c>
      <c r="I134" s="31">
        <f t="shared" si="216"/>
        <v>12036.725999999999</v>
      </c>
      <c r="J134" s="31">
        <f t="shared" si="217"/>
        <v>12036.725999999999</v>
      </c>
      <c r="K134" s="31">
        <f t="shared" ref="K134" si="219">I134+J134</f>
        <v>24073.451999999997</v>
      </c>
      <c r="L134" s="31">
        <f t="shared" ref="L134" si="220">H134+I134+J134</f>
        <v>157814.85199999998</v>
      </c>
      <c r="M134" s="30"/>
      <c r="N134" s="30"/>
      <c r="O134" s="3" t="s">
        <v>2</v>
      </c>
      <c r="P134" s="30" t="e">
        <f t="shared" si="218"/>
        <v>#DIV/0!</v>
      </c>
      <c r="Q134" s="30"/>
    </row>
    <row r="135" spans="1:17" x14ac:dyDescent="0.25">
      <c r="A135" s="30">
        <v>131</v>
      </c>
      <c r="B135" s="30" t="s">
        <v>257</v>
      </c>
      <c r="C135" s="30" t="s">
        <v>259</v>
      </c>
      <c r="D135" s="30" t="s">
        <v>213</v>
      </c>
      <c r="E135" s="30" t="s">
        <v>167</v>
      </c>
      <c r="F135" s="31" t="s">
        <v>166</v>
      </c>
      <c r="G135" s="38">
        <v>87082900</v>
      </c>
      <c r="H135" s="31">
        <v>41314</v>
      </c>
      <c r="I135" s="31">
        <f t="shared" ref="I135:I137" si="221">H135*9%</f>
        <v>3718.2599999999998</v>
      </c>
      <c r="J135" s="31">
        <f t="shared" ref="J135:J137" si="222">H135*9%</f>
        <v>3718.2599999999998</v>
      </c>
      <c r="K135" s="31">
        <f t="shared" ref="K135:K136" si="223">I135+J135</f>
        <v>7436.5199999999995</v>
      </c>
      <c r="L135" s="31">
        <f t="shared" ref="L135:L136" si="224">H135+I135+J135</f>
        <v>48750.520000000004</v>
      </c>
      <c r="M135" s="30"/>
      <c r="N135" s="30"/>
      <c r="O135" s="3" t="s">
        <v>2</v>
      </c>
      <c r="P135" s="30" t="e">
        <f t="shared" ref="P135:P137" si="225">L135/M135</f>
        <v>#DIV/0!</v>
      </c>
      <c r="Q135" s="30"/>
    </row>
    <row r="136" spans="1:17" x14ac:dyDescent="0.25">
      <c r="A136" s="8">
        <v>132</v>
      </c>
      <c r="B136" s="8" t="s">
        <v>257</v>
      </c>
      <c r="C136" s="8" t="s">
        <v>260</v>
      </c>
      <c r="D136" s="8" t="s">
        <v>213</v>
      </c>
      <c r="E136" s="8" t="s">
        <v>0</v>
      </c>
      <c r="F136" s="8" t="s">
        <v>1</v>
      </c>
      <c r="G136" s="36">
        <v>87082900</v>
      </c>
      <c r="H136" s="10">
        <v>61400.5</v>
      </c>
      <c r="I136" s="10">
        <f t="shared" si="221"/>
        <v>5526.0450000000001</v>
      </c>
      <c r="J136" s="10">
        <f t="shared" si="222"/>
        <v>5526.0450000000001</v>
      </c>
      <c r="K136" s="10">
        <f t="shared" si="223"/>
        <v>11052.09</v>
      </c>
      <c r="L136" s="10">
        <f t="shared" si="224"/>
        <v>72452.59</v>
      </c>
      <c r="M136" s="8"/>
      <c r="N136" s="8"/>
      <c r="O136" s="3" t="s">
        <v>2</v>
      </c>
      <c r="P136" s="8" t="e">
        <f t="shared" si="225"/>
        <v>#DIV/0!</v>
      </c>
      <c r="Q136" s="8"/>
    </row>
    <row r="137" spans="1:17" hidden="1" x14ac:dyDescent="0.25">
      <c r="A137" s="4">
        <v>133</v>
      </c>
      <c r="B137" s="4" t="s">
        <v>257</v>
      </c>
      <c r="C137" s="4" t="s">
        <v>262</v>
      </c>
      <c r="D137" s="4" t="s">
        <v>213</v>
      </c>
      <c r="E137" s="4" t="s">
        <v>20</v>
      </c>
      <c r="F137" s="4" t="s">
        <v>21</v>
      </c>
      <c r="G137" s="29">
        <v>87082900</v>
      </c>
      <c r="H137" s="5">
        <v>8160</v>
      </c>
      <c r="I137" s="5">
        <f t="shared" si="221"/>
        <v>734.4</v>
      </c>
      <c r="J137" s="5">
        <f t="shared" si="222"/>
        <v>734.4</v>
      </c>
      <c r="K137" s="5">
        <f>J137+I137</f>
        <v>1468.8</v>
      </c>
      <c r="L137" s="5">
        <f>SUM(H137:J137)</f>
        <v>9628.7999999999993</v>
      </c>
      <c r="M137" s="4"/>
      <c r="N137" s="4"/>
      <c r="O137" s="3" t="s">
        <v>2</v>
      </c>
      <c r="P137" s="4" t="e">
        <f t="shared" si="225"/>
        <v>#DIV/0!</v>
      </c>
      <c r="Q137" s="4"/>
    </row>
    <row r="138" spans="1:17" x14ac:dyDescent="0.25">
      <c r="A138" s="30">
        <v>134</v>
      </c>
      <c r="B138" s="30" t="s">
        <v>264</v>
      </c>
      <c r="C138" s="30" t="s">
        <v>265</v>
      </c>
      <c r="D138" s="30" t="s">
        <v>213</v>
      </c>
      <c r="E138" s="30" t="s">
        <v>167</v>
      </c>
      <c r="F138" s="31" t="s">
        <v>166</v>
      </c>
      <c r="G138" s="38">
        <v>87082900</v>
      </c>
      <c r="H138" s="31">
        <v>67620</v>
      </c>
      <c r="I138" s="31">
        <f t="shared" ref="I138" si="226">H138*9%</f>
        <v>6085.8</v>
      </c>
      <c r="J138" s="31">
        <f t="shared" ref="J138" si="227">H138*9%</f>
        <v>6085.8</v>
      </c>
      <c r="K138" s="31">
        <f t="shared" ref="K138" si="228">I138+J138</f>
        <v>12171.6</v>
      </c>
      <c r="L138" s="31">
        <f t="shared" ref="L138" si="229">H138+I138+J138</f>
        <v>79791.600000000006</v>
      </c>
      <c r="M138" s="30"/>
      <c r="N138" s="30"/>
      <c r="O138" s="3" t="s">
        <v>2</v>
      </c>
      <c r="P138" s="30" t="e">
        <f t="shared" ref="P138" si="230">L138/M138</f>
        <v>#DIV/0!</v>
      </c>
      <c r="Q138" s="30"/>
    </row>
    <row r="139" spans="1:17" x14ac:dyDescent="0.25">
      <c r="A139" s="30">
        <v>135</v>
      </c>
      <c r="B139" s="30" t="s">
        <v>263</v>
      </c>
      <c r="C139" s="30" t="s">
        <v>266</v>
      </c>
      <c r="D139" s="30" t="s">
        <v>213</v>
      </c>
      <c r="E139" s="30" t="s">
        <v>167</v>
      </c>
      <c r="F139" s="31" t="s">
        <v>166</v>
      </c>
      <c r="G139" s="38">
        <v>87082900</v>
      </c>
      <c r="H139" s="31">
        <v>7383</v>
      </c>
      <c r="I139" s="31">
        <f t="shared" ref="I139" si="231">H139*9%</f>
        <v>664.47</v>
      </c>
      <c r="J139" s="31">
        <f t="shared" ref="J139" si="232">H139*9%</f>
        <v>664.47</v>
      </c>
      <c r="K139" s="31">
        <f t="shared" ref="K139" si="233">I139+J139</f>
        <v>1328.94</v>
      </c>
      <c r="L139" s="31">
        <f t="shared" ref="L139" si="234">H139+I139+J139</f>
        <v>8711.94</v>
      </c>
      <c r="M139" s="30"/>
      <c r="N139" s="30"/>
      <c r="O139" s="3" t="s">
        <v>2</v>
      </c>
      <c r="P139" s="30" t="e">
        <f t="shared" ref="P139" si="235">L139/M139</f>
        <v>#DIV/0!</v>
      </c>
      <c r="Q139" s="30"/>
    </row>
    <row r="140" spans="1:17" x14ac:dyDescent="0.25">
      <c r="A140" s="30">
        <v>136</v>
      </c>
      <c r="B140" s="30" t="s">
        <v>267</v>
      </c>
      <c r="C140" s="30" t="s">
        <v>268</v>
      </c>
      <c r="D140" s="30" t="s">
        <v>213</v>
      </c>
      <c r="E140" s="30" t="s">
        <v>167</v>
      </c>
      <c r="F140" s="31" t="s">
        <v>166</v>
      </c>
      <c r="G140" s="38">
        <v>87082900</v>
      </c>
      <c r="H140" s="31">
        <v>109960.92</v>
      </c>
      <c r="I140" s="31">
        <f t="shared" ref="I140:I141" si="236">H140*9%</f>
        <v>9896.4827999999998</v>
      </c>
      <c r="J140" s="31">
        <f t="shared" ref="J140:J141" si="237">H140*9%</f>
        <v>9896.4827999999998</v>
      </c>
      <c r="K140" s="31">
        <f t="shared" ref="K140" si="238">I140+J140</f>
        <v>19792.9656</v>
      </c>
      <c r="L140" s="31">
        <f t="shared" ref="L140" si="239">H140+I140+J140</f>
        <v>129753.88559999999</v>
      </c>
      <c r="M140" s="30"/>
      <c r="N140" s="30"/>
      <c r="O140" s="3" t="s">
        <v>2</v>
      </c>
      <c r="P140" s="30" t="e">
        <f t="shared" ref="P140:P141" si="240">L140/M140</f>
        <v>#DIV/0!</v>
      </c>
      <c r="Q140" s="30"/>
    </row>
    <row r="141" spans="1:17" hidden="1" x14ac:dyDescent="0.25">
      <c r="A141" s="4">
        <v>137</v>
      </c>
      <c r="B141" s="4" t="s">
        <v>267</v>
      </c>
      <c r="C141" s="4" t="s">
        <v>269</v>
      </c>
      <c r="D141" s="4" t="s">
        <v>213</v>
      </c>
      <c r="E141" s="4" t="s">
        <v>20</v>
      </c>
      <c r="F141" s="4" t="s">
        <v>21</v>
      </c>
      <c r="G141" s="29">
        <v>87082900</v>
      </c>
      <c r="H141" s="5">
        <v>4500</v>
      </c>
      <c r="I141" s="5">
        <f t="shared" si="236"/>
        <v>405</v>
      </c>
      <c r="J141" s="5">
        <f t="shared" si="237"/>
        <v>405</v>
      </c>
      <c r="K141" s="5">
        <f>J141+I141</f>
        <v>810</v>
      </c>
      <c r="L141" s="5">
        <f>SUM(H141:J141)</f>
        <v>5310</v>
      </c>
      <c r="M141" s="4"/>
      <c r="N141" s="4"/>
      <c r="O141" s="3" t="s">
        <v>2</v>
      </c>
      <c r="P141" s="4" t="e">
        <f t="shared" si="240"/>
        <v>#DIV/0!</v>
      </c>
      <c r="Q141" s="4"/>
    </row>
    <row r="142" spans="1:17" hidden="1" x14ac:dyDescent="0.25">
      <c r="A142" s="42">
        <v>138</v>
      </c>
      <c r="B142" s="42" t="s">
        <v>270</v>
      </c>
      <c r="C142" s="42" t="s">
        <v>271</v>
      </c>
      <c r="D142" s="42" t="s">
        <v>213</v>
      </c>
      <c r="E142" s="42" t="s">
        <v>217</v>
      </c>
      <c r="F142" s="43" t="s">
        <v>218</v>
      </c>
      <c r="G142" s="44">
        <v>87082900</v>
      </c>
      <c r="H142" s="43">
        <v>10508</v>
      </c>
      <c r="I142" s="43">
        <f t="shared" ref="I142" si="241">H142*9%</f>
        <v>945.71999999999991</v>
      </c>
      <c r="J142" s="43">
        <f t="shared" ref="J142" si="242">H142*9%</f>
        <v>945.71999999999991</v>
      </c>
      <c r="K142" s="43">
        <f t="shared" ref="K142" si="243">I142+J142</f>
        <v>1891.4399999999998</v>
      </c>
      <c r="L142" s="43">
        <f t="shared" ref="L142" si="244">H142+I142+J142</f>
        <v>12399.439999999999</v>
      </c>
      <c r="M142" s="42"/>
      <c r="N142" s="42"/>
      <c r="O142" s="3" t="s">
        <v>2</v>
      </c>
      <c r="P142" s="42" t="e">
        <f t="shared" ref="P142" si="245">L142/M142</f>
        <v>#DIV/0!</v>
      </c>
      <c r="Q142" s="42"/>
    </row>
    <row r="143" spans="1:17" x14ac:dyDescent="0.25">
      <c r="A143" s="30">
        <v>139</v>
      </c>
      <c r="B143" s="30" t="s">
        <v>270</v>
      </c>
      <c r="C143" s="30" t="s">
        <v>272</v>
      </c>
      <c r="D143" s="30" t="s">
        <v>213</v>
      </c>
      <c r="E143" s="30" t="s">
        <v>167</v>
      </c>
      <c r="F143" s="31" t="s">
        <v>166</v>
      </c>
      <c r="G143" s="38">
        <v>87082900</v>
      </c>
      <c r="H143" s="31">
        <v>35602.699999999997</v>
      </c>
      <c r="I143" s="31">
        <f t="shared" ref="I143" si="246">H143*9%</f>
        <v>3204.2429999999995</v>
      </c>
      <c r="J143" s="31">
        <f t="shared" ref="J143" si="247">H143*9%</f>
        <v>3204.2429999999995</v>
      </c>
      <c r="K143" s="31">
        <f t="shared" ref="K143" si="248">I143+J143</f>
        <v>6408.485999999999</v>
      </c>
      <c r="L143" s="31">
        <f t="shared" ref="L143" si="249">H143+I143+J143</f>
        <v>42011.186000000002</v>
      </c>
      <c r="M143" s="30"/>
      <c r="N143" s="30"/>
      <c r="O143" s="3" t="s">
        <v>2</v>
      </c>
      <c r="P143" s="30" t="e">
        <f t="shared" ref="P143" si="250">L143/M143</f>
        <v>#DIV/0!</v>
      </c>
      <c r="Q143" s="30"/>
    </row>
    <row r="144" spans="1:17" x14ac:dyDescent="0.25">
      <c r="A144" s="30">
        <v>140</v>
      </c>
      <c r="B144" s="30" t="s">
        <v>270</v>
      </c>
      <c r="C144" s="30" t="s">
        <v>273</v>
      </c>
      <c r="D144" s="30" t="s">
        <v>213</v>
      </c>
      <c r="E144" s="30" t="s">
        <v>167</v>
      </c>
      <c r="F144" s="31" t="s">
        <v>166</v>
      </c>
      <c r="G144" s="38">
        <v>87082900</v>
      </c>
      <c r="H144" s="31">
        <v>116652.25</v>
      </c>
      <c r="I144" s="31">
        <f t="shared" ref="I144:I146" si="251">H144*9%</f>
        <v>10498.702499999999</v>
      </c>
      <c r="J144" s="31">
        <f t="shared" ref="J144:J146" si="252">H144*9%</f>
        <v>10498.702499999999</v>
      </c>
      <c r="K144" s="31">
        <f t="shared" ref="K144:K145" si="253">I144+J144</f>
        <v>20997.404999999999</v>
      </c>
      <c r="L144" s="31">
        <f t="shared" ref="L144:L145" si="254">H144+I144+J144</f>
        <v>137649.655</v>
      </c>
      <c r="M144" s="30"/>
      <c r="N144" s="30"/>
      <c r="O144" s="3" t="s">
        <v>2</v>
      </c>
      <c r="P144" s="30" t="e">
        <f t="shared" ref="P144:P146" si="255">L144/M144</f>
        <v>#DIV/0!</v>
      </c>
      <c r="Q144" s="30"/>
    </row>
    <row r="145" spans="1:17" x14ac:dyDescent="0.25">
      <c r="A145" s="8">
        <v>141</v>
      </c>
      <c r="B145" s="8" t="s">
        <v>270</v>
      </c>
      <c r="C145" s="8" t="s">
        <v>274</v>
      </c>
      <c r="D145" s="8" t="s">
        <v>213</v>
      </c>
      <c r="E145" s="8" t="s">
        <v>0</v>
      </c>
      <c r="F145" s="8" t="s">
        <v>1</v>
      </c>
      <c r="G145" s="36">
        <v>87082900</v>
      </c>
      <c r="H145" s="10">
        <v>36380</v>
      </c>
      <c r="I145" s="10">
        <f t="shared" si="251"/>
        <v>3274.2</v>
      </c>
      <c r="J145" s="10">
        <f t="shared" si="252"/>
        <v>3274.2</v>
      </c>
      <c r="K145" s="10">
        <f t="shared" si="253"/>
        <v>6548.4</v>
      </c>
      <c r="L145" s="10">
        <f t="shared" si="254"/>
        <v>42928.399999999994</v>
      </c>
      <c r="M145" s="8"/>
      <c r="N145" s="8"/>
      <c r="O145" s="3" t="s">
        <v>2</v>
      </c>
      <c r="P145" s="8" t="e">
        <f t="shared" si="255"/>
        <v>#DIV/0!</v>
      </c>
      <c r="Q145" s="8"/>
    </row>
    <row r="146" spans="1:17" hidden="1" x14ac:dyDescent="0.25">
      <c r="A146" s="4">
        <v>142</v>
      </c>
      <c r="B146" s="4" t="s">
        <v>270</v>
      </c>
      <c r="C146" s="4" t="s">
        <v>275</v>
      </c>
      <c r="D146" s="4" t="s">
        <v>213</v>
      </c>
      <c r="E146" s="4" t="s">
        <v>20</v>
      </c>
      <c r="F146" s="4" t="s">
        <v>21</v>
      </c>
      <c r="G146" s="29">
        <v>87082900</v>
      </c>
      <c r="H146" s="5">
        <v>10577</v>
      </c>
      <c r="I146" s="5">
        <f t="shared" si="251"/>
        <v>951.93</v>
      </c>
      <c r="J146" s="5">
        <f t="shared" si="252"/>
        <v>951.93</v>
      </c>
      <c r="K146" s="5">
        <f>J146+I146</f>
        <v>1903.86</v>
      </c>
      <c r="L146" s="5">
        <f>SUM(H146:J146)</f>
        <v>12480.86</v>
      </c>
      <c r="M146" s="4"/>
      <c r="N146" s="4"/>
      <c r="O146" s="3" t="s">
        <v>2</v>
      </c>
      <c r="P146" s="4" t="e">
        <f t="shared" si="255"/>
        <v>#DIV/0!</v>
      </c>
      <c r="Q146" s="4"/>
    </row>
    <row r="147" spans="1:17" x14ac:dyDescent="0.25">
      <c r="A147" s="30">
        <v>143</v>
      </c>
      <c r="B147" s="30" t="s">
        <v>276</v>
      </c>
      <c r="C147" s="30" t="s">
        <v>277</v>
      </c>
      <c r="D147" s="30" t="s">
        <v>213</v>
      </c>
      <c r="E147" s="30" t="s">
        <v>167</v>
      </c>
      <c r="F147" s="31" t="s">
        <v>166</v>
      </c>
      <c r="G147" s="38">
        <v>87082900</v>
      </c>
      <c r="H147" s="31">
        <v>16650</v>
      </c>
      <c r="I147" s="31">
        <f t="shared" ref="I147" si="256">H147*9%</f>
        <v>1498.5</v>
      </c>
      <c r="J147" s="31">
        <f t="shared" ref="J147" si="257">H147*9%</f>
        <v>1498.5</v>
      </c>
      <c r="K147" s="31">
        <f t="shared" ref="K147" si="258">I147+J147</f>
        <v>2997</v>
      </c>
      <c r="L147" s="31">
        <f t="shared" ref="L147" si="259">H147+I147+J147</f>
        <v>19647</v>
      </c>
      <c r="M147" s="30"/>
      <c r="N147" s="30"/>
      <c r="O147" s="3" t="s">
        <v>2</v>
      </c>
      <c r="P147" s="30" t="e">
        <f t="shared" ref="P147" si="260">L147/M147</f>
        <v>#DIV/0!</v>
      </c>
      <c r="Q147" s="30"/>
    </row>
    <row r="148" spans="1:17" x14ac:dyDescent="0.25">
      <c r="A148" s="30">
        <v>144</v>
      </c>
      <c r="B148" s="30" t="s">
        <v>278</v>
      </c>
      <c r="C148" s="30" t="s">
        <v>279</v>
      </c>
      <c r="D148" s="30" t="s">
        <v>213</v>
      </c>
      <c r="E148" s="30" t="s">
        <v>167</v>
      </c>
      <c r="F148" s="31" t="s">
        <v>166</v>
      </c>
      <c r="G148" s="38">
        <v>87082900</v>
      </c>
      <c r="H148" s="31">
        <v>28593.35</v>
      </c>
      <c r="I148" s="31">
        <f t="shared" ref="I148" si="261">H148*9%</f>
        <v>2573.4014999999999</v>
      </c>
      <c r="J148" s="31">
        <f t="shared" ref="J148" si="262">H148*9%</f>
        <v>2573.4014999999999</v>
      </c>
      <c r="K148" s="31">
        <f t="shared" ref="K148" si="263">I148+J148</f>
        <v>5146.8029999999999</v>
      </c>
      <c r="L148" s="31">
        <f t="shared" ref="L148" si="264">H148+I148+J148</f>
        <v>33740.152999999998</v>
      </c>
      <c r="M148" s="30"/>
      <c r="N148" s="30"/>
      <c r="O148" s="3" t="s">
        <v>2</v>
      </c>
      <c r="P148" s="30" t="e">
        <f t="shared" ref="P148" si="265">L148/M148</f>
        <v>#DIV/0!</v>
      </c>
      <c r="Q148" s="30"/>
    </row>
    <row r="149" spans="1:17" x14ac:dyDescent="0.25">
      <c r="A149" s="30">
        <v>145</v>
      </c>
      <c r="B149" s="30" t="s">
        <v>278</v>
      </c>
      <c r="C149" s="30" t="s">
        <v>280</v>
      </c>
      <c r="D149" s="30" t="s">
        <v>213</v>
      </c>
      <c r="E149" s="30" t="s">
        <v>167</v>
      </c>
      <c r="F149" s="31" t="s">
        <v>166</v>
      </c>
      <c r="G149" s="38">
        <v>87082900</v>
      </c>
      <c r="H149" s="31">
        <v>65280</v>
      </c>
      <c r="I149" s="31">
        <f t="shared" ref="I149:I151" si="266">H149*9%</f>
        <v>5875.2</v>
      </c>
      <c r="J149" s="31">
        <f t="shared" ref="J149:J151" si="267">H149*9%</f>
        <v>5875.2</v>
      </c>
      <c r="K149" s="31">
        <f t="shared" ref="K149" si="268">I149+J149</f>
        <v>11750.4</v>
      </c>
      <c r="L149" s="31">
        <f t="shared" ref="L149" si="269">H149+I149+J149</f>
        <v>77030.399999999994</v>
      </c>
      <c r="M149" s="30"/>
      <c r="N149" s="30"/>
      <c r="O149" s="3" t="s">
        <v>2</v>
      </c>
      <c r="P149" s="30" t="e">
        <f t="shared" ref="P149:P151" si="270">L149/M149</f>
        <v>#DIV/0!</v>
      </c>
      <c r="Q149" s="30"/>
    </row>
    <row r="150" spans="1:17" hidden="1" x14ac:dyDescent="0.25">
      <c r="A150" s="4">
        <v>146</v>
      </c>
      <c r="B150" s="4" t="s">
        <v>278</v>
      </c>
      <c r="C150" s="4" t="s">
        <v>281</v>
      </c>
      <c r="D150" s="4" t="s">
        <v>213</v>
      </c>
      <c r="E150" s="4" t="s">
        <v>20</v>
      </c>
      <c r="F150" s="4" t="s">
        <v>21</v>
      </c>
      <c r="G150" s="29">
        <v>87082900</v>
      </c>
      <c r="H150" s="5">
        <v>10700</v>
      </c>
      <c r="I150" s="5">
        <f t="shared" si="266"/>
        <v>963</v>
      </c>
      <c r="J150" s="5">
        <f t="shared" si="267"/>
        <v>963</v>
      </c>
      <c r="K150" s="5">
        <f>J150+I150</f>
        <v>1926</v>
      </c>
      <c r="L150" s="5">
        <f>SUM(H150:J150)</f>
        <v>12626</v>
      </c>
      <c r="M150" s="4"/>
      <c r="N150" s="4"/>
      <c r="O150" s="3" t="s">
        <v>2</v>
      </c>
      <c r="P150" s="4" t="e">
        <f t="shared" si="270"/>
        <v>#DIV/0!</v>
      </c>
      <c r="Q150" s="4"/>
    </row>
    <row r="151" spans="1:17" hidden="1" x14ac:dyDescent="0.25">
      <c r="A151" s="25">
        <v>147</v>
      </c>
      <c r="B151" s="25" t="s">
        <v>278</v>
      </c>
      <c r="C151" s="25" t="s">
        <v>282</v>
      </c>
      <c r="D151" s="25" t="s">
        <v>213</v>
      </c>
      <c r="E151" s="25" t="s">
        <v>161</v>
      </c>
      <c r="F151" s="25" t="s">
        <v>159</v>
      </c>
      <c r="G151" s="25">
        <v>87082900</v>
      </c>
      <c r="H151" s="25">
        <v>8232</v>
      </c>
      <c r="I151" s="26">
        <f t="shared" si="266"/>
        <v>740.88</v>
      </c>
      <c r="J151" s="26">
        <f t="shared" si="267"/>
        <v>740.88</v>
      </c>
      <c r="K151" s="26">
        <f>J151+I151</f>
        <v>1481.76</v>
      </c>
      <c r="L151" s="26">
        <f>SUM(H151:J151)</f>
        <v>9713.7599999999984</v>
      </c>
      <c r="M151" s="25"/>
      <c r="N151" s="25"/>
      <c r="O151" s="3" t="s">
        <v>2</v>
      </c>
      <c r="P151" s="24" t="e">
        <f t="shared" si="270"/>
        <v>#DIV/0!</v>
      </c>
      <c r="Q151" s="24"/>
    </row>
    <row r="152" spans="1:17" ht="19.5" hidden="1" customHeight="1" x14ac:dyDescent="0.25">
      <c r="A152" s="47" t="s">
        <v>26</v>
      </c>
      <c r="B152" s="48"/>
      <c r="C152" s="48"/>
      <c r="D152" s="48"/>
      <c r="E152" s="48"/>
      <c r="F152" s="48"/>
      <c r="G152" s="49"/>
      <c r="H152" s="22">
        <f t="shared" ref="H152:M152" si="271">SUM(H105:H151)</f>
        <v>2141125.0199999996</v>
      </c>
      <c r="I152" s="22">
        <f t="shared" si="271"/>
        <v>192701.25180000006</v>
      </c>
      <c r="J152" s="22">
        <f t="shared" si="271"/>
        <v>192701.25180000006</v>
      </c>
      <c r="K152" s="22">
        <f t="shared" si="271"/>
        <v>385402.50360000011</v>
      </c>
      <c r="L152" s="22">
        <f t="shared" si="271"/>
        <v>2526527.5235999995</v>
      </c>
      <c r="M152" s="22">
        <f t="shared" si="271"/>
        <v>161750.85999999999</v>
      </c>
      <c r="N152" s="22"/>
      <c r="O152" s="22"/>
      <c r="P152" s="22"/>
      <c r="Q152" s="22">
        <f>SUM(Q105:Q151)</f>
        <v>0</v>
      </c>
    </row>
  </sheetData>
  <autoFilter ref="A1:Q152">
    <filterColumn colId="5">
      <filters>
        <filter val="Maha Auto Components Pvt Ltd"/>
        <filter val="Maha Enterprises"/>
        <filter val="Maha Precision Fit Limited"/>
      </filters>
    </filterColumn>
    <filterColumn colId="14">
      <filters>
        <filter val="NOT PAID"/>
      </filters>
    </filterColumn>
  </autoFilter>
  <mergeCells count="4">
    <mergeCell ref="A56:F56"/>
    <mergeCell ref="A83:F83"/>
    <mergeCell ref="A104:G104"/>
    <mergeCell ref="A152:G152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5"/>
  <sheetViews>
    <sheetView workbookViewId="0">
      <selection activeCell="K22" sqref="K22:K42"/>
    </sheetView>
  </sheetViews>
  <sheetFormatPr defaultRowHeight="15" x14ac:dyDescent="0.25"/>
  <cols>
    <col min="1" max="1" width="5.140625" customWidth="1"/>
    <col min="3" max="3" width="7" customWidth="1"/>
    <col min="4" max="4" width="25.5703125" bestFit="1" customWidth="1"/>
    <col min="5" max="5" width="16" bestFit="1" customWidth="1"/>
    <col min="6" max="6" width="11" customWidth="1"/>
    <col min="7" max="7" width="4.85546875" customWidth="1"/>
    <col min="8" max="8" width="10.140625" customWidth="1"/>
    <col min="9" max="9" width="10.42578125" customWidth="1"/>
    <col min="10" max="10" width="9.85546875" customWidth="1"/>
    <col min="11" max="11" width="10.42578125" customWidth="1"/>
    <col min="12" max="12" width="10.28515625" customWidth="1"/>
    <col min="16" max="16" width="11.5703125" customWidth="1"/>
  </cols>
  <sheetData>
    <row r="1" spans="1:14" ht="25.5" x14ac:dyDescent="0.25">
      <c r="A1" s="14" t="s">
        <v>3</v>
      </c>
      <c r="B1" s="14" t="s">
        <v>101</v>
      </c>
      <c r="C1" s="14" t="s">
        <v>102</v>
      </c>
      <c r="D1" s="14" t="s">
        <v>103</v>
      </c>
      <c r="E1" s="14" t="s">
        <v>104</v>
      </c>
      <c r="F1" s="14" t="s">
        <v>8</v>
      </c>
      <c r="G1" s="14" t="s">
        <v>105</v>
      </c>
      <c r="H1" s="14" t="s">
        <v>10</v>
      </c>
      <c r="I1" s="14" t="s">
        <v>9</v>
      </c>
      <c r="J1" s="14" t="s">
        <v>11</v>
      </c>
      <c r="K1" s="14" t="s">
        <v>12</v>
      </c>
      <c r="L1" s="14" t="s">
        <v>13</v>
      </c>
      <c r="M1" s="14" t="s">
        <v>14</v>
      </c>
      <c r="N1" s="14" t="s">
        <v>106</v>
      </c>
    </row>
    <row r="2" spans="1:14" x14ac:dyDescent="0.25">
      <c r="A2" s="6">
        <v>1</v>
      </c>
      <c r="B2" s="6" t="s">
        <v>22</v>
      </c>
      <c r="C2" s="6">
        <v>160</v>
      </c>
      <c r="D2" s="6" t="s">
        <v>29</v>
      </c>
      <c r="E2" s="6" t="s">
        <v>28</v>
      </c>
      <c r="F2" s="7">
        <v>41028.400000000001</v>
      </c>
      <c r="G2" s="7">
        <v>9</v>
      </c>
      <c r="H2" s="7">
        <f>F2*G2%</f>
        <v>3692.556</v>
      </c>
      <c r="I2" s="7">
        <f>G2*F2%</f>
        <v>3692.556</v>
      </c>
      <c r="J2" s="7">
        <f>SUM(H2:I2)</f>
        <v>7385.1120000000001</v>
      </c>
      <c r="K2" s="7">
        <f>F2+H2+I2</f>
        <v>48413.511999999995</v>
      </c>
      <c r="L2" s="6">
        <v>48414</v>
      </c>
      <c r="M2" s="6" t="s">
        <v>162</v>
      </c>
      <c r="N2" s="27">
        <f>K2-L2</f>
        <v>-0.48800000000483124</v>
      </c>
    </row>
    <row r="3" spans="1:14" x14ac:dyDescent="0.25">
      <c r="A3" s="15">
        <v>2</v>
      </c>
      <c r="B3" s="9" t="s">
        <v>18</v>
      </c>
      <c r="C3" s="15">
        <v>8</v>
      </c>
      <c r="D3" s="9" t="s">
        <v>1</v>
      </c>
      <c r="E3" s="9" t="s">
        <v>0</v>
      </c>
      <c r="F3" s="9">
        <v>121280</v>
      </c>
      <c r="G3" s="9">
        <v>9</v>
      </c>
      <c r="H3" s="9">
        <f t="shared" ref="H3" si="0">F3*G3%</f>
        <v>10915.199999999999</v>
      </c>
      <c r="I3" s="9">
        <f t="shared" ref="I3" si="1">F3*G3%</f>
        <v>10915.199999999999</v>
      </c>
      <c r="J3" s="9">
        <f t="shared" ref="J3" si="2">H3+I3</f>
        <v>21830.399999999998</v>
      </c>
      <c r="K3" s="9">
        <f t="shared" ref="K3" si="3">F3+H3+I3</f>
        <v>143110.40000000002</v>
      </c>
      <c r="L3" s="9">
        <v>143110</v>
      </c>
      <c r="M3" s="9" t="s">
        <v>202</v>
      </c>
      <c r="N3" s="15">
        <f>K3-L3</f>
        <v>0.40000000002328306</v>
      </c>
    </row>
    <row r="4" spans="1:14" x14ac:dyDescent="0.25">
      <c r="A4" s="15">
        <v>3</v>
      </c>
      <c r="B4" s="9" t="s">
        <v>18</v>
      </c>
      <c r="C4" s="15">
        <v>9</v>
      </c>
      <c r="D4" s="9" t="s">
        <v>1</v>
      </c>
      <c r="E4" s="9" t="s">
        <v>0</v>
      </c>
      <c r="F4" s="9">
        <v>135760</v>
      </c>
      <c r="G4" s="9">
        <v>9</v>
      </c>
      <c r="H4" s="9">
        <f t="shared" ref="H4" si="4">F4*G4%</f>
        <v>12218.4</v>
      </c>
      <c r="I4" s="9">
        <f t="shared" ref="I4" si="5">F4*G4%</f>
        <v>12218.4</v>
      </c>
      <c r="J4" s="9">
        <f t="shared" ref="J4" si="6">H4+I4</f>
        <v>24436.799999999999</v>
      </c>
      <c r="K4" s="9">
        <f t="shared" ref="K4" si="7">F4+H4+I4</f>
        <v>160196.79999999999</v>
      </c>
      <c r="L4" s="9">
        <v>160197</v>
      </c>
      <c r="M4" s="9" t="s">
        <v>202</v>
      </c>
      <c r="N4" s="15">
        <f>K4-L4</f>
        <v>-0.20000000001164153</v>
      </c>
    </row>
    <row r="5" spans="1:14" x14ac:dyDescent="0.25">
      <c r="A5" s="6">
        <v>4</v>
      </c>
      <c r="B5" s="6" t="s">
        <v>32</v>
      </c>
      <c r="C5" s="6">
        <v>313</v>
      </c>
      <c r="D5" s="6" t="s">
        <v>29</v>
      </c>
      <c r="E5" s="6" t="s">
        <v>28</v>
      </c>
      <c r="F5" s="6">
        <v>4575.04</v>
      </c>
      <c r="G5" s="7">
        <v>9</v>
      </c>
      <c r="H5" s="7">
        <f>F5*G5%</f>
        <v>411.75360000000001</v>
      </c>
      <c r="I5" s="7">
        <f>G5*F5%</f>
        <v>411.75360000000001</v>
      </c>
      <c r="J5" s="7">
        <f>SUM(H5:I5)</f>
        <v>823.50720000000001</v>
      </c>
      <c r="K5" s="7">
        <f>F5+H5+I5</f>
        <v>5398.5472</v>
      </c>
      <c r="L5" s="6">
        <v>5399</v>
      </c>
      <c r="M5" s="6" t="s">
        <v>162</v>
      </c>
      <c r="N5" s="27">
        <f>K5-L5</f>
        <v>-0.45280000000002474</v>
      </c>
    </row>
    <row r="6" spans="1:14" x14ac:dyDescent="0.25">
      <c r="A6" s="16">
        <v>5</v>
      </c>
      <c r="B6" s="16" t="s">
        <v>32</v>
      </c>
      <c r="C6" s="16">
        <v>109</v>
      </c>
      <c r="D6" s="16" t="s">
        <v>107</v>
      </c>
      <c r="E6" s="16" t="s">
        <v>108</v>
      </c>
      <c r="F6" s="17">
        <v>78200</v>
      </c>
      <c r="G6" s="17">
        <v>9</v>
      </c>
      <c r="H6" s="17">
        <f t="shared" ref="H6:H7" si="8">F6*G6%</f>
        <v>7038</v>
      </c>
      <c r="I6" s="17">
        <f t="shared" ref="I6:I7" si="9">F6*G6%</f>
        <v>7038</v>
      </c>
      <c r="J6" s="17">
        <f t="shared" ref="J6:J7" si="10">H6+I6</f>
        <v>14076</v>
      </c>
      <c r="K6" s="17">
        <f t="shared" ref="K6:K7" si="11">F6+H6+I6</f>
        <v>92276</v>
      </c>
      <c r="L6" s="17">
        <v>92276</v>
      </c>
      <c r="M6" s="16" t="s">
        <v>32</v>
      </c>
      <c r="N6" s="16">
        <f>K6-L6</f>
        <v>0</v>
      </c>
    </row>
    <row r="7" spans="1:14" x14ac:dyDescent="0.25">
      <c r="A7" s="8">
        <v>6</v>
      </c>
      <c r="B7" s="8" t="s">
        <v>32</v>
      </c>
      <c r="C7" s="8">
        <v>39</v>
      </c>
      <c r="D7" s="8" t="s">
        <v>1</v>
      </c>
      <c r="E7" s="8" t="s">
        <v>0</v>
      </c>
      <c r="F7" s="10">
        <v>13341.1</v>
      </c>
      <c r="G7" s="10">
        <v>9</v>
      </c>
      <c r="H7" s="10">
        <f t="shared" si="8"/>
        <v>1200.6990000000001</v>
      </c>
      <c r="I7" s="10">
        <f t="shared" si="9"/>
        <v>1200.6990000000001</v>
      </c>
      <c r="J7" s="10">
        <f t="shared" si="10"/>
        <v>2401.3980000000001</v>
      </c>
      <c r="K7" s="10">
        <f t="shared" si="11"/>
        <v>15742.498000000001</v>
      </c>
      <c r="L7" s="10">
        <v>15743</v>
      </c>
      <c r="M7" s="8" t="s">
        <v>202</v>
      </c>
      <c r="N7" s="36">
        <f t="shared" ref="N7:N19" si="12">K7-L7</f>
        <v>-0.50199999999858846</v>
      </c>
    </row>
    <row r="8" spans="1:14" x14ac:dyDescent="0.25">
      <c r="A8" s="8">
        <v>7</v>
      </c>
      <c r="B8" s="8" t="s">
        <v>32</v>
      </c>
      <c r="C8" s="8">
        <v>41</v>
      </c>
      <c r="D8" s="8" t="s">
        <v>1</v>
      </c>
      <c r="E8" s="8" t="s">
        <v>0</v>
      </c>
      <c r="F8" s="10">
        <v>3597.6</v>
      </c>
      <c r="G8" s="10">
        <v>9</v>
      </c>
      <c r="H8" s="10">
        <f t="shared" ref="H8:H9" si="13">F8*G8%</f>
        <v>323.78399999999999</v>
      </c>
      <c r="I8" s="10">
        <f t="shared" ref="I8:I9" si="14">F8*G8%</f>
        <v>323.78399999999999</v>
      </c>
      <c r="J8" s="10">
        <f t="shared" ref="J8:J9" si="15">H8+I8</f>
        <v>647.56799999999998</v>
      </c>
      <c r="K8" s="10">
        <f t="shared" ref="K8:K9" si="16">F8+H8+I8</f>
        <v>4245.1679999999997</v>
      </c>
      <c r="L8" s="10">
        <v>4245</v>
      </c>
      <c r="M8" s="8" t="s">
        <v>202</v>
      </c>
      <c r="N8" s="36">
        <f t="shared" si="12"/>
        <v>0.16799999999966531</v>
      </c>
    </row>
    <row r="9" spans="1:14" x14ac:dyDescent="0.25">
      <c r="A9" s="15">
        <v>8</v>
      </c>
      <c r="B9" s="9" t="s">
        <v>36</v>
      </c>
      <c r="C9" s="15">
        <v>46</v>
      </c>
      <c r="D9" s="9" t="s">
        <v>1</v>
      </c>
      <c r="E9" s="9" t="s">
        <v>0</v>
      </c>
      <c r="F9" s="9">
        <v>77200</v>
      </c>
      <c r="G9" s="9">
        <v>9</v>
      </c>
      <c r="H9" s="9">
        <f t="shared" si="13"/>
        <v>6948</v>
      </c>
      <c r="I9" s="9">
        <f t="shared" si="14"/>
        <v>6948</v>
      </c>
      <c r="J9" s="9">
        <f t="shared" si="15"/>
        <v>13896</v>
      </c>
      <c r="K9" s="9">
        <f t="shared" si="16"/>
        <v>91096</v>
      </c>
      <c r="L9" s="9">
        <v>91096</v>
      </c>
      <c r="M9" s="9" t="s">
        <v>202</v>
      </c>
      <c r="N9" s="15">
        <f t="shared" si="12"/>
        <v>0</v>
      </c>
    </row>
    <row r="10" spans="1:14" x14ac:dyDescent="0.25">
      <c r="A10" s="15">
        <v>9</v>
      </c>
      <c r="B10" s="9" t="s">
        <v>42</v>
      </c>
      <c r="C10" s="15">
        <v>63</v>
      </c>
      <c r="D10" s="9" t="s">
        <v>1</v>
      </c>
      <c r="E10" s="9" t="s">
        <v>0</v>
      </c>
      <c r="F10" s="9">
        <v>152560</v>
      </c>
      <c r="G10" s="9">
        <v>9</v>
      </c>
      <c r="H10" s="9">
        <f t="shared" ref="H10" si="17">F10*G10%</f>
        <v>13730.4</v>
      </c>
      <c r="I10" s="9">
        <f t="shared" ref="I10" si="18">F10*G10%</f>
        <v>13730.4</v>
      </c>
      <c r="J10" s="9">
        <f t="shared" ref="J10" si="19">H10+I10</f>
        <v>27460.799999999999</v>
      </c>
      <c r="K10" s="9">
        <f t="shared" ref="K10" si="20">F10+H10+I10</f>
        <v>180020.8</v>
      </c>
      <c r="L10" s="9">
        <v>180021</v>
      </c>
      <c r="M10" s="9" t="s">
        <v>202</v>
      </c>
      <c r="N10" s="15">
        <f t="shared" si="12"/>
        <v>-0.20000000001164153</v>
      </c>
    </row>
    <row r="11" spans="1:14" x14ac:dyDescent="0.25">
      <c r="A11" s="15">
        <v>10</v>
      </c>
      <c r="B11" s="9" t="s">
        <v>42</v>
      </c>
      <c r="C11" s="15">
        <v>64</v>
      </c>
      <c r="D11" s="9" t="s">
        <v>1</v>
      </c>
      <c r="E11" s="9" t="s">
        <v>0</v>
      </c>
      <c r="F11" s="9">
        <v>142560</v>
      </c>
      <c r="G11" s="9">
        <v>9</v>
      </c>
      <c r="H11" s="9">
        <f t="shared" ref="H11:H12" si="21">F11*G11%</f>
        <v>12830.4</v>
      </c>
      <c r="I11" s="9">
        <f t="shared" ref="I11:I12" si="22">F11*G11%</f>
        <v>12830.4</v>
      </c>
      <c r="J11" s="9">
        <f t="shared" ref="J11:J12" si="23">H11+I11</f>
        <v>25660.799999999999</v>
      </c>
      <c r="K11" s="9">
        <f t="shared" ref="K11:K12" si="24">F11+H11+I11</f>
        <v>168220.79999999999</v>
      </c>
      <c r="L11" s="9">
        <v>168221</v>
      </c>
      <c r="M11" s="9" t="s">
        <v>202</v>
      </c>
      <c r="N11" s="15">
        <f t="shared" si="12"/>
        <v>-0.20000000001164153</v>
      </c>
    </row>
    <row r="12" spans="1:14" x14ac:dyDescent="0.25">
      <c r="A12" s="8">
        <v>11</v>
      </c>
      <c r="B12" s="8" t="s">
        <v>42</v>
      </c>
      <c r="C12" s="8">
        <v>66</v>
      </c>
      <c r="D12" s="8" t="s">
        <v>1</v>
      </c>
      <c r="E12" s="8" t="s">
        <v>0</v>
      </c>
      <c r="F12" s="10">
        <v>16887</v>
      </c>
      <c r="G12" s="10">
        <v>9</v>
      </c>
      <c r="H12" s="10">
        <f t="shared" si="21"/>
        <v>1519.83</v>
      </c>
      <c r="I12" s="10">
        <f t="shared" si="22"/>
        <v>1519.83</v>
      </c>
      <c r="J12" s="10">
        <f t="shared" si="23"/>
        <v>3039.66</v>
      </c>
      <c r="K12" s="10">
        <f t="shared" si="24"/>
        <v>19926.660000000003</v>
      </c>
      <c r="L12" s="10">
        <v>19927</v>
      </c>
      <c r="M12" s="8" t="s">
        <v>202</v>
      </c>
      <c r="N12" s="36">
        <f t="shared" si="12"/>
        <v>-0.33999999999650754</v>
      </c>
    </row>
    <row r="13" spans="1:14" x14ac:dyDescent="0.25">
      <c r="A13" s="6">
        <v>12</v>
      </c>
      <c r="B13" s="6" t="s">
        <v>42</v>
      </c>
      <c r="C13" s="6">
        <v>501</v>
      </c>
      <c r="D13" s="6" t="s">
        <v>29</v>
      </c>
      <c r="E13" s="6" t="s">
        <v>28</v>
      </c>
      <c r="F13" s="7">
        <v>18768</v>
      </c>
      <c r="G13" s="7">
        <v>9</v>
      </c>
      <c r="H13" s="7">
        <f>F13*G13%</f>
        <v>1689.12</v>
      </c>
      <c r="I13" s="7">
        <f>G13*F13%</f>
        <v>1689.1200000000001</v>
      </c>
      <c r="J13" s="7">
        <f>SUM(H13:I13)</f>
        <v>3378.24</v>
      </c>
      <c r="K13" s="7">
        <f>F13+H13+I13</f>
        <v>22146.239999999998</v>
      </c>
      <c r="L13" s="6">
        <v>22146</v>
      </c>
      <c r="M13" s="6" t="s">
        <v>162</v>
      </c>
      <c r="N13" s="27">
        <f t="shared" si="12"/>
        <v>0.23999999999796273</v>
      </c>
    </row>
    <row r="14" spans="1:14" x14ac:dyDescent="0.25">
      <c r="A14" s="6">
        <v>13</v>
      </c>
      <c r="B14" s="6" t="s">
        <v>42</v>
      </c>
      <c r="C14" s="6">
        <v>514</v>
      </c>
      <c r="D14" s="6" t="s">
        <v>29</v>
      </c>
      <c r="E14" s="6" t="s">
        <v>28</v>
      </c>
      <c r="F14" s="7">
        <v>15889.4</v>
      </c>
      <c r="G14" s="7">
        <v>9</v>
      </c>
      <c r="H14" s="7">
        <f>F14*G14%</f>
        <v>1430.0459999999998</v>
      </c>
      <c r="I14" s="7">
        <f>G14*F14%</f>
        <v>1430.046</v>
      </c>
      <c r="J14" s="7">
        <f>SUM(H14:I14)</f>
        <v>2860.0919999999996</v>
      </c>
      <c r="K14" s="7">
        <f>F14+H14+I14</f>
        <v>18749.491999999998</v>
      </c>
      <c r="L14" s="6">
        <v>18750</v>
      </c>
      <c r="M14" s="6" t="s">
        <v>162</v>
      </c>
      <c r="N14" s="27">
        <f t="shared" si="12"/>
        <v>-0.50800000000162981</v>
      </c>
    </row>
    <row r="15" spans="1:14" x14ac:dyDescent="0.25">
      <c r="A15" s="6">
        <v>14</v>
      </c>
      <c r="B15" s="6" t="s">
        <v>44</v>
      </c>
      <c r="C15" s="6">
        <v>560</v>
      </c>
      <c r="D15" s="6" t="s">
        <v>29</v>
      </c>
      <c r="E15" s="6" t="s">
        <v>28</v>
      </c>
      <c r="F15" s="7">
        <v>31928.7</v>
      </c>
      <c r="G15" s="7">
        <v>9</v>
      </c>
      <c r="H15" s="7">
        <f>F15*G15%</f>
        <v>2873.5830000000001</v>
      </c>
      <c r="I15" s="7">
        <f>G15*F15%</f>
        <v>2873.5830000000005</v>
      </c>
      <c r="J15" s="7">
        <f>SUM(H15:I15)</f>
        <v>5747.1660000000011</v>
      </c>
      <c r="K15" s="7">
        <f>F15+H15+I15</f>
        <v>37675.866000000002</v>
      </c>
      <c r="L15" s="6">
        <v>37676</v>
      </c>
      <c r="M15" s="6" t="s">
        <v>162</v>
      </c>
      <c r="N15" s="27">
        <f t="shared" si="12"/>
        <v>-0.13399999999819556</v>
      </c>
    </row>
    <row r="16" spans="1:14" x14ac:dyDescent="0.25">
      <c r="A16" s="8">
        <v>15</v>
      </c>
      <c r="B16" s="8" t="s">
        <v>53</v>
      </c>
      <c r="C16" s="8">
        <v>87</v>
      </c>
      <c r="D16" s="8" t="s">
        <v>1</v>
      </c>
      <c r="E16" s="8" t="s">
        <v>0</v>
      </c>
      <c r="F16" s="10">
        <v>32843.1</v>
      </c>
      <c r="G16" s="10">
        <v>9</v>
      </c>
      <c r="H16" s="10">
        <f t="shared" ref="H16:H17" si="25">F16*G16%</f>
        <v>2955.8789999999999</v>
      </c>
      <c r="I16" s="10">
        <f t="shared" ref="I16:I17" si="26">F16*G16%</f>
        <v>2955.8789999999999</v>
      </c>
      <c r="J16" s="10">
        <f t="shared" ref="J16:J17" si="27">H16+I16</f>
        <v>5911.7579999999998</v>
      </c>
      <c r="K16" s="10">
        <f t="shared" ref="K16:K17" si="28">F16+H16+I16</f>
        <v>38754.858</v>
      </c>
      <c r="L16" s="10">
        <v>38755</v>
      </c>
      <c r="M16" s="8" t="s">
        <v>202</v>
      </c>
      <c r="N16" s="36">
        <f t="shared" si="12"/>
        <v>-0.14199999999982538</v>
      </c>
    </row>
    <row r="17" spans="1:14" x14ac:dyDescent="0.25">
      <c r="A17" s="15">
        <v>16</v>
      </c>
      <c r="B17" s="9" t="s">
        <v>53</v>
      </c>
      <c r="C17" s="15">
        <v>86</v>
      </c>
      <c r="D17" s="9" t="s">
        <v>1</v>
      </c>
      <c r="E17" s="9" t="s">
        <v>0</v>
      </c>
      <c r="F17" s="9">
        <v>201280</v>
      </c>
      <c r="G17" s="9">
        <v>9</v>
      </c>
      <c r="H17" s="9">
        <f t="shared" si="25"/>
        <v>18115.2</v>
      </c>
      <c r="I17" s="9">
        <f t="shared" si="26"/>
        <v>18115.2</v>
      </c>
      <c r="J17" s="9">
        <f t="shared" si="27"/>
        <v>36230.400000000001</v>
      </c>
      <c r="K17" s="9">
        <f t="shared" si="28"/>
        <v>237510.40000000002</v>
      </c>
      <c r="L17" s="9">
        <v>237510</v>
      </c>
      <c r="M17" s="9" t="s">
        <v>202</v>
      </c>
      <c r="N17" s="15">
        <f t="shared" si="12"/>
        <v>0.40000000002328306</v>
      </c>
    </row>
    <row r="18" spans="1:14" x14ac:dyDescent="0.25">
      <c r="A18" s="20">
        <v>17</v>
      </c>
      <c r="B18" s="18" t="s">
        <v>53</v>
      </c>
      <c r="C18" s="20">
        <v>107</v>
      </c>
      <c r="D18" s="20" t="s">
        <v>110</v>
      </c>
      <c r="E18" s="20" t="s">
        <v>111</v>
      </c>
      <c r="F18" s="18">
        <v>1372.88</v>
      </c>
      <c r="G18" s="18">
        <v>9</v>
      </c>
      <c r="H18" s="18">
        <f t="shared" ref="H18" si="29">F18*G18%</f>
        <v>123.5592</v>
      </c>
      <c r="I18" s="18">
        <f t="shared" ref="I18" si="30">F18*G18%</f>
        <v>123.5592</v>
      </c>
      <c r="J18" s="18">
        <f t="shared" ref="J18" si="31">H18+I18</f>
        <v>247.11840000000001</v>
      </c>
      <c r="K18" s="18">
        <f t="shared" ref="K18" si="32">F18+H18+I18</f>
        <v>1619.9983999999999</v>
      </c>
      <c r="L18" s="18">
        <v>1620</v>
      </c>
      <c r="M18" s="18" t="s">
        <v>53</v>
      </c>
      <c r="N18" s="45">
        <f t="shared" si="12"/>
        <v>-1.6000000000531145E-3</v>
      </c>
    </row>
    <row r="19" spans="1:14" x14ac:dyDescent="0.25">
      <c r="A19" s="21">
        <v>18</v>
      </c>
      <c r="B19" s="19" t="s">
        <v>67</v>
      </c>
      <c r="C19" s="21">
        <v>23</v>
      </c>
      <c r="D19" s="21" t="s">
        <v>112</v>
      </c>
      <c r="E19" s="21" t="s">
        <v>113</v>
      </c>
      <c r="F19" s="19">
        <v>1750</v>
      </c>
      <c r="G19" s="19">
        <v>9</v>
      </c>
      <c r="H19" s="19">
        <f t="shared" ref="H19" si="33">F19*G19%</f>
        <v>157.5</v>
      </c>
      <c r="I19" s="19">
        <f t="shared" ref="I19" si="34">F19*G19%</f>
        <v>157.5</v>
      </c>
      <c r="J19" s="19">
        <f t="shared" ref="J19" si="35">H19+I19</f>
        <v>315</v>
      </c>
      <c r="K19" s="19">
        <f t="shared" ref="K19" si="36">F19+H19+I19</f>
        <v>2065</v>
      </c>
      <c r="L19" s="19">
        <v>2065</v>
      </c>
      <c r="M19" s="19" t="s">
        <v>67</v>
      </c>
      <c r="N19" s="46">
        <f t="shared" si="12"/>
        <v>0</v>
      </c>
    </row>
    <row r="20" spans="1:14" x14ac:dyDescent="0.25">
      <c r="A20" s="6">
        <v>19</v>
      </c>
      <c r="B20" s="6" t="s">
        <v>70</v>
      </c>
      <c r="C20" s="6">
        <v>804</v>
      </c>
      <c r="D20" s="6" t="s">
        <v>29</v>
      </c>
      <c r="E20" s="6" t="s">
        <v>28</v>
      </c>
      <c r="F20" s="7">
        <v>46104</v>
      </c>
      <c r="G20" s="7">
        <v>9</v>
      </c>
      <c r="H20" s="7">
        <f>F20*G20%</f>
        <v>4149.3599999999997</v>
      </c>
      <c r="I20" s="7">
        <f>G20*F20%</f>
        <v>4149.3600000000006</v>
      </c>
      <c r="J20" s="7">
        <f>SUM(H20:I20)</f>
        <v>8298.7200000000012</v>
      </c>
      <c r="K20" s="7">
        <f>F20+H20+I20</f>
        <v>54402.720000000001</v>
      </c>
      <c r="L20" s="6"/>
      <c r="M20" s="6"/>
      <c r="N20" s="27"/>
    </row>
    <row r="21" spans="1:14" x14ac:dyDescent="0.25">
      <c r="A21" s="15">
        <v>20</v>
      </c>
      <c r="B21" s="9" t="s">
        <v>65</v>
      </c>
      <c r="C21" s="15">
        <v>106</v>
      </c>
      <c r="D21" s="9" t="s">
        <v>1</v>
      </c>
      <c r="E21" s="9" t="s">
        <v>0</v>
      </c>
      <c r="F21" s="9">
        <v>315840</v>
      </c>
      <c r="G21" s="9">
        <v>9</v>
      </c>
      <c r="H21" s="9">
        <f t="shared" ref="H21" si="37">F21*G21%</f>
        <v>28425.599999999999</v>
      </c>
      <c r="I21" s="9">
        <f t="shared" ref="I21" si="38">F21*G21%</f>
        <v>28425.599999999999</v>
      </c>
      <c r="J21" s="9">
        <f t="shared" ref="J21" si="39">H21+I21</f>
        <v>56851.199999999997</v>
      </c>
      <c r="K21" s="9">
        <f t="shared" ref="K21" si="40">F21+H21+I21</f>
        <v>372691.19999999995</v>
      </c>
      <c r="L21" s="9">
        <v>372691</v>
      </c>
      <c r="M21" s="9" t="s">
        <v>202</v>
      </c>
      <c r="N21" s="15">
        <f>K21-L21</f>
        <v>0.19999999995343387</v>
      </c>
    </row>
    <row r="22" spans="1:14" x14ac:dyDescent="0.25">
      <c r="A22" s="15">
        <v>21</v>
      </c>
      <c r="B22" s="9" t="s">
        <v>84</v>
      </c>
      <c r="C22" s="15">
        <v>141</v>
      </c>
      <c r="D22" s="9" t="s">
        <v>1</v>
      </c>
      <c r="E22" s="9" t="s">
        <v>0</v>
      </c>
      <c r="F22" s="9">
        <v>150800</v>
      </c>
      <c r="G22" s="9">
        <v>9</v>
      </c>
      <c r="H22" s="9">
        <f t="shared" ref="H22" si="41">F22*G22%</f>
        <v>13572</v>
      </c>
      <c r="I22" s="9">
        <f t="shared" ref="I22" si="42">F22*G22%</f>
        <v>13572</v>
      </c>
      <c r="J22" s="9">
        <f t="shared" ref="J22" si="43">H22+I22</f>
        <v>27144</v>
      </c>
      <c r="K22" s="9">
        <f t="shared" ref="K22" si="44">F22+H22+I22</f>
        <v>177944</v>
      </c>
      <c r="L22" s="9"/>
      <c r="M22" s="9"/>
      <c r="N22" s="9"/>
    </row>
    <row r="23" spans="1:14" x14ac:dyDescent="0.25">
      <c r="A23" s="6">
        <v>22</v>
      </c>
      <c r="B23" s="6" t="s">
        <v>92</v>
      </c>
      <c r="C23" s="6">
        <v>1039</v>
      </c>
      <c r="D23" s="6" t="s">
        <v>29</v>
      </c>
      <c r="E23" s="6" t="s">
        <v>28</v>
      </c>
      <c r="F23" s="7">
        <v>37264</v>
      </c>
      <c r="G23" s="7">
        <v>9</v>
      </c>
      <c r="H23" s="7">
        <f>F23*G23%</f>
        <v>3353.7599999999998</v>
      </c>
      <c r="I23" s="7">
        <f>G23*F23%</f>
        <v>3353.7599999999998</v>
      </c>
      <c r="J23" s="7">
        <f>SUM(H23:I23)</f>
        <v>6707.5199999999995</v>
      </c>
      <c r="K23" s="7">
        <f>F23+H23+I23</f>
        <v>43971.520000000004</v>
      </c>
      <c r="L23" s="6"/>
      <c r="M23" s="6"/>
      <c r="N23" s="6"/>
    </row>
    <row r="24" spans="1:14" x14ac:dyDescent="0.25">
      <c r="A24" s="15">
        <v>22</v>
      </c>
      <c r="B24" s="9" t="s">
        <v>94</v>
      </c>
      <c r="C24" s="15">
        <v>160</v>
      </c>
      <c r="D24" s="9" t="s">
        <v>1</v>
      </c>
      <c r="E24" s="9" t="s">
        <v>0</v>
      </c>
      <c r="F24" s="9">
        <v>75440</v>
      </c>
      <c r="G24" s="9">
        <v>9</v>
      </c>
      <c r="H24" s="9">
        <f t="shared" ref="H24" si="45">F24*G24%</f>
        <v>6789.5999999999995</v>
      </c>
      <c r="I24" s="9">
        <f t="shared" ref="I24" si="46">F24*G24%</f>
        <v>6789.5999999999995</v>
      </c>
      <c r="J24" s="9">
        <f t="shared" ref="J24" si="47">H24+I24</f>
        <v>13579.199999999999</v>
      </c>
      <c r="K24" s="9">
        <f t="shared" ref="K24" si="48">F24+H24+I24</f>
        <v>89019.200000000012</v>
      </c>
      <c r="L24" s="9"/>
      <c r="M24" s="9"/>
      <c r="N24" s="9"/>
    </row>
    <row r="25" spans="1:14" x14ac:dyDescent="0.25">
      <c r="A25" s="15">
        <v>23</v>
      </c>
      <c r="B25" s="9" t="s">
        <v>94</v>
      </c>
      <c r="C25" s="15">
        <v>161</v>
      </c>
      <c r="D25" s="9" t="s">
        <v>1</v>
      </c>
      <c r="E25" s="9" t="s">
        <v>0</v>
      </c>
      <c r="F25" s="9">
        <v>2880</v>
      </c>
      <c r="G25" s="9">
        <v>9</v>
      </c>
      <c r="H25" s="9">
        <f t="shared" ref="H25" si="49">F25*G25%</f>
        <v>259.2</v>
      </c>
      <c r="I25" s="9">
        <f t="shared" ref="I25" si="50">F25*G25%</f>
        <v>259.2</v>
      </c>
      <c r="J25" s="9">
        <f t="shared" ref="J25" si="51">H25+I25</f>
        <v>518.4</v>
      </c>
      <c r="K25" s="9">
        <f t="shared" ref="K25" si="52">F25+H25+I25</f>
        <v>3398.3999999999996</v>
      </c>
      <c r="L25" s="9"/>
      <c r="M25" s="9"/>
      <c r="N25" s="9"/>
    </row>
    <row r="26" spans="1:14" ht="18" x14ac:dyDescent="0.25">
      <c r="A26" s="47" t="s">
        <v>109</v>
      </c>
      <c r="B26" s="48"/>
      <c r="C26" s="48"/>
      <c r="D26" s="48"/>
      <c r="E26" s="48"/>
      <c r="F26" s="22">
        <f>SUM(F2:F25)</f>
        <v>1719149.2199999997</v>
      </c>
      <c r="G26" s="22"/>
      <c r="H26" s="22">
        <f t="shared" ref="H26:N26" si="53">SUM(H2:H25)</f>
        <v>154723.42980000001</v>
      </c>
      <c r="I26" s="22">
        <f t="shared" si="53"/>
        <v>154723.42980000001</v>
      </c>
      <c r="J26" s="22">
        <f t="shared" si="53"/>
        <v>309446.85960000003</v>
      </c>
      <c r="K26" s="22">
        <f t="shared" si="53"/>
        <v>2028596.0795999998</v>
      </c>
      <c r="L26" s="23">
        <f t="shared" si="53"/>
        <v>1659862</v>
      </c>
      <c r="M26" s="23">
        <f t="shared" si="53"/>
        <v>0</v>
      </c>
      <c r="N26" s="23">
        <f t="shared" si="53"/>
        <v>-1.7604000000369524</v>
      </c>
    </row>
    <row r="27" spans="1:14" x14ac:dyDescent="0.25">
      <c r="A27" s="6">
        <v>24</v>
      </c>
      <c r="B27" s="6" t="s">
        <v>115</v>
      </c>
      <c r="C27" s="6">
        <v>1077</v>
      </c>
      <c r="D27" s="6" t="s">
        <v>29</v>
      </c>
      <c r="E27" s="6" t="s">
        <v>28</v>
      </c>
      <c r="F27" s="7">
        <v>65439.3</v>
      </c>
      <c r="G27" s="7">
        <v>9</v>
      </c>
      <c r="H27" s="7">
        <f>F27*G27%</f>
        <v>5889.5370000000003</v>
      </c>
      <c r="I27" s="7">
        <f>G27*F27%</f>
        <v>5889.5370000000003</v>
      </c>
      <c r="J27" s="7">
        <f>SUM(H27:I27)</f>
        <v>11779.074000000001</v>
      </c>
      <c r="K27" s="7">
        <f>F27+H27+I27</f>
        <v>77218.373999999996</v>
      </c>
      <c r="L27" s="6"/>
      <c r="M27" s="6"/>
      <c r="N27" s="6"/>
    </row>
    <row r="28" spans="1:14" x14ac:dyDescent="0.25">
      <c r="A28" s="15">
        <v>25</v>
      </c>
      <c r="B28" s="9" t="s">
        <v>116</v>
      </c>
      <c r="C28" s="15">
        <v>180</v>
      </c>
      <c r="D28" s="9" t="s">
        <v>1</v>
      </c>
      <c r="E28" s="9" t="s">
        <v>0</v>
      </c>
      <c r="F28" s="9">
        <v>153120</v>
      </c>
      <c r="G28" s="9">
        <v>9</v>
      </c>
      <c r="H28" s="9">
        <f t="shared" ref="H28" si="54">F28*G28%</f>
        <v>13780.8</v>
      </c>
      <c r="I28" s="9">
        <f t="shared" ref="I28" si="55">F28*G28%</f>
        <v>13780.8</v>
      </c>
      <c r="J28" s="9">
        <f t="shared" ref="J28" si="56">H28+I28</f>
        <v>27561.599999999999</v>
      </c>
      <c r="K28" s="9">
        <f t="shared" ref="K28" si="57">F28+H28+I28</f>
        <v>180681.59999999998</v>
      </c>
      <c r="L28" s="9"/>
      <c r="M28" s="9"/>
      <c r="N28" s="9"/>
    </row>
    <row r="29" spans="1:14" x14ac:dyDescent="0.25">
      <c r="A29" s="15">
        <v>26</v>
      </c>
      <c r="B29" s="9" t="s">
        <v>117</v>
      </c>
      <c r="C29" s="15">
        <v>196</v>
      </c>
      <c r="D29" s="9" t="s">
        <v>1</v>
      </c>
      <c r="E29" s="9" t="s">
        <v>0</v>
      </c>
      <c r="F29" s="9">
        <v>84880</v>
      </c>
      <c r="G29" s="9">
        <v>9</v>
      </c>
      <c r="H29" s="9">
        <f t="shared" ref="H29" si="58">F29*G29%</f>
        <v>7639.2</v>
      </c>
      <c r="I29" s="9">
        <f t="shared" ref="I29" si="59">F29*G29%</f>
        <v>7639.2</v>
      </c>
      <c r="J29" s="9">
        <f t="shared" ref="J29" si="60">H29+I29</f>
        <v>15278.4</v>
      </c>
      <c r="K29" s="9">
        <f t="shared" ref="K29" si="61">F29+H29+I29</f>
        <v>100158.39999999999</v>
      </c>
      <c r="L29" s="9"/>
      <c r="M29" s="9"/>
      <c r="N29" s="9"/>
    </row>
    <row r="30" spans="1:14" x14ac:dyDescent="0.25">
      <c r="A30" s="6">
        <v>27</v>
      </c>
      <c r="B30" s="6" t="s">
        <v>117</v>
      </c>
      <c r="C30" s="6">
        <v>1322</v>
      </c>
      <c r="D30" s="6" t="s">
        <v>29</v>
      </c>
      <c r="E30" s="6" t="s">
        <v>28</v>
      </c>
      <c r="F30" s="7">
        <v>45826.559999999998</v>
      </c>
      <c r="G30" s="7">
        <v>9</v>
      </c>
      <c r="H30" s="7">
        <f>F30*G30%</f>
        <v>4124.3903999999993</v>
      </c>
      <c r="I30" s="7">
        <f>G30*F30%</f>
        <v>4124.3903999999993</v>
      </c>
      <c r="J30" s="7">
        <f>SUM(H30:I30)</f>
        <v>8248.7807999999986</v>
      </c>
      <c r="K30" s="7">
        <f>F30+H30+I30</f>
        <v>54075.340799999991</v>
      </c>
      <c r="L30" s="6"/>
      <c r="M30" s="6"/>
      <c r="N30" s="6"/>
    </row>
    <row r="31" spans="1:14" x14ac:dyDescent="0.25">
      <c r="A31" s="15">
        <v>28</v>
      </c>
      <c r="B31" s="9" t="s">
        <v>118</v>
      </c>
      <c r="C31" s="15">
        <v>204</v>
      </c>
      <c r="D31" s="9" t="s">
        <v>1</v>
      </c>
      <c r="E31" s="9" t="s">
        <v>0</v>
      </c>
      <c r="F31" s="9">
        <v>140400</v>
      </c>
      <c r="G31" s="9">
        <v>9</v>
      </c>
      <c r="H31" s="9">
        <f t="shared" ref="H31" si="62">F31*G31%</f>
        <v>12636</v>
      </c>
      <c r="I31" s="9">
        <f t="shared" ref="I31" si="63">F31*G31%</f>
        <v>12636</v>
      </c>
      <c r="J31" s="9">
        <f t="shared" ref="J31" si="64">H31+I31</f>
        <v>25272</v>
      </c>
      <c r="K31" s="9">
        <f t="shared" ref="K31" si="65">F31+H31+I31</f>
        <v>165672</v>
      </c>
      <c r="L31" s="9"/>
      <c r="M31" s="9"/>
      <c r="N31" s="9"/>
    </row>
    <row r="32" spans="1:14" x14ac:dyDescent="0.25">
      <c r="A32" s="15">
        <v>29</v>
      </c>
      <c r="B32" s="9" t="s">
        <v>119</v>
      </c>
      <c r="C32" s="15">
        <v>219</v>
      </c>
      <c r="D32" s="9" t="s">
        <v>1</v>
      </c>
      <c r="E32" s="9" t="s">
        <v>0</v>
      </c>
      <c r="F32" s="9">
        <v>41600</v>
      </c>
      <c r="G32" s="9">
        <v>9</v>
      </c>
      <c r="H32" s="9">
        <f t="shared" ref="H32" si="66">F32*G32%</f>
        <v>3744</v>
      </c>
      <c r="I32" s="9">
        <f t="shared" ref="I32" si="67">F32*G32%</f>
        <v>3744</v>
      </c>
      <c r="J32" s="9">
        <f t="shared" ref="J32" si="68">H32+I32</f>
        <v>7488</v>
      </c>
      <c r="K32" s="9">
        <f t="shared" ref="K32" si="69">F32+H32+I32</f>
        <v>49088</v>
      </c>
      <c r="L32" s="9"/>
      <c r="M32" s="9"/>
      <c r="N32" s="9"/>
    </row>
    <row r="33" spans="1:15" x14ac:dyDescent="0.25">
      <c r="A33" s="8">
        <v>30</v>
      </c>
      <c r="B33" s="8" t="s">
        <v>119</v>
      </c>
      <c r="C33" s="8">
        <v>220</v>
      </c>
      <c r="D33" s="8" t="s">
        <v>1</v>
      </c>
      <c r="E33" s="8" t="s">
        <v>0</v>
      </c>
      <c r="F33" s="10">
        <v>14690.2</v>
      </c>
      <c r="G33" s="10">
        <v>9</v>
      </c>
      <c r="H33" s="10">
        <f t="shared" ref="H33:H34" si="70">F33*G33%</f>
        <v>1322.1179999999999</v>
      </c>
      <c r="I33" s="10">
        <f t="shared" ref="I33:I34" si="71">F33*G33%</f>
        <v>1322.1179999999999</v>
      </c>
      <c r="J33" s="10">
        <f t="shared" ref="J33:J34" si="72">H33+I33</f>
        <v>2644.2359999999999</v>
      </c>
      <c r="K33" s="10">
        <f t="shared" ref="K33:K34" si="73">F33+H33+I33</f>
        <v>17334.436000000002</v>
      </c>
      <c r="L33" s="8"/>
      <c r="M33" s="8"/>
      <c r="N33" s="8"/>
    </row>
    <row r="34" spans="1:15" x14ac:dyDescent="0.25">
      <c r="A34" s="15">
        <v>31</v>
      </c>
      <c r="B34" s="9" t="s">
        <v>120</v>
      </c>
      <c r="C34" s="15">
        <v>226</v>
      </c>
      <c r="D34" s="9" t="s">
        <v>1</v>
      </c>
      <c r="E34" s="9" t="s">
        <v>0</v>
      </c>
      <c r="F34" s="9">
        <v>3440</v>
      </c>
      <c r="G34" s="9">
        <v>9</v>
      </c>
      <c r="H34" s="9">
        <f t="shared" si="70"/>
        <v>309.59999999999997</v>
      </c>
      <c r="I34" s="9">
        <f t="shared" si="71"/>
        <v>309.59999999999997</v>
      </c>
      <c r="J34" s="9">
        <f t="shared" si="72"/>
        <v>619.19999999999993</v>
      </c>
      <c r="K34" s="9">
        <f t="shared" si="73"/>
        <v>4059.2</v>
      </c>
      <c r="L34" s="9"/>
      <c r="M34" s="9"/>
      <c r="N34" s="9"/>
    </row>
    <row r="35" spans="1:15" x14ac:dyDescent="0.25">
      <c r="A35" s="15">
        <v>32</v>
      </c>
      <c r="B35" s="9" t="s">
        <v>121</v>
      </c>
      <c r="C35" s="15">
        <v>227</v>
      </c>
      <c r="D35" s="9" t="s">
        <v>1</v>
      </c>
      <c r="E35" s="9" t="s">
        <v>0</v>
      </c>
      <c r="F35" s="9">
        <v>1280</v>
      </c>
      <c r="G35" s="9">
        <v>9</v>
      </c>
      <c r="H35" s="9">
        <f t="shared" ref="H35:H36" si="74">F35*G35%</f>
        <v>115.19999999999999</v>
      </c>
      <c r="I35" s="9">
        <f t="shared" ref="I35:I36" si="75">F35*G35%</f>
        <v>115.19999999999999</v>
      </c>
      <c r="J35" s="9">
        <f t="shared" ref="J35:J36" si="76">H35+I35</f>
        <v>230.39999999999998</v>
      </c>
      <c r="K35" s="9">
        <f t="shared" ref="K35:K36" si="77">F35+H35+I35</f>
        <v>1510.4</v>
      </c>
      <c r="L35" s="9"/>
      <c r="M35" s="9"/>
      <c r="N35" s="9"/>
    </row>
    <row r="36" spans="1:15" x14ac:dyDescent="0.25">
      <c r="A36" s="8">
        <v>33</v>
      </c>
      <c r="B36" s="8" t="s">
        <v>122</v>
      </c>
      <c r="C36" s="8">
        <v>249</v>
      </c>
      <c r="D36" s="8" t="s">
        <v>1</v>
      </c>
      <c r="E36" s="8" t="s">
        <v>0</v>
      </c>
      <c r="F36" s="10">
        <v>16751.3</v>
      </c>
      <c r="G36" s="10">
        <v>9</v>
      </c>
      <c r="H36" s="10">
        <f t="shared" si="74"/>
        <v>1507.617</v>
      </c>
      <c r="I36" s="10">
        <f t="shared" si="75"/>
        <v>1507.617</v>
      </c>
      <c r="J36" s="10">
        <f t="shared" si="76"/>
        <v>3015.2339999999999</v>
      </c>
      <c r="K36" s="10">
        <f t="shared" si="77"/>
        <v>19766.533999999996</v>
      </c>
      <c r="L36" s="8"/>
      <c r="M36" s="8"/>
      <c r="N36" s="8"/>
    </row>
    <row r="37" spans="1:15" x14ac:dyDescent="0.25">
      <c r="A37" s="8">
        <v>34</v>
      </c>
      <c r="B37" s="8" t="s">
        <v>150</v>
      </c>
      <c r="C37" s="8">
        <v>274</v>
      </c>
      <c r="D37" s="8" t="s">
        <v>1</v>
      </c>
      <c r="E37" s="8" t="s">
        <v>0</v>
      </c>
      <c r="F37" s="10">
        <v>60146.400000000001</v>
      </c>
      <c r="G37" s="10">
        <v>9</v>
      </c>
      <c r="H37" s="10">
        <f t="shared" ref="H37" si="78">F37*G37%</f>
        <v>5413.1759999999995</v>
      </c>
      <c r="I37" s="10">
        <f t="shared" ref="I37" si="79">F37*G37%</f>
        <v>5413.1759999999995</v>
      </c>
      <c r="J37" s="10">
        <f t="shared" ref="J37" si="80">H37+I37</f>
        <v>10826.351999999999</v>
      </c>
      <c r="K37" s="10">
        <f t="shared" ref="K37" si="81">F37+H37+I37</f>
        <v>70972.752000000008</v>
      </c>
      <c r="L37" s="8"/>
      <c r="M37" s="8"/>
      <c r="N37" s="8"/>
    </row>
    <row r="38" spans="1:15" x14ac:dyDescent="0.25">
      <c r="A38" s="6">
        <v>35</v>
      </c>
      <c r="B38" s="6" t="s">
        <v>150</v>
      </c>
      <c r="C38" s="6">
        <v>2104</v>
      </c>
      <c r="D38" s="6" t="s">
        <v>29</v>
      </c>
      <c r="E38" s="6" t="s">
        <v>28</v>
      </c>
      <c r="F38" s="7">
        <v>115564.2</v>
      </c>
      <c r="G38" s="7">
        <v>9</v>
      </c>
      <c r="H38" s="7">
        <f>F38*G38%</f>
        <v>10400.778</v>
      </c>
      <c r="I38" s="7">
        <f>G38*F38%</f>
        <v>10400.778</v>
      </c>
      <c r="J38" s="7">
        <f>SUM(H38:I38)</f>
        <v>20801.556</v>
      </c>
      <c r="K38" s="7">
        <f>F38+H38+I38</f>
        <v>136365.75599999999</v>
      </c>
      <c r="L38" s="6"/>
      <c r="M38" s="6"/>
      <c r="N38" s="6"/>
    </row>
    <row r="39" spans="1:15" ht="21" customHeight="1" x14ac:dyDescent="0.25">
      <c r="A39" s="50" t="s">
        <v>109</v>
      </c>
      <c r="B39" s="51"/>
      <c r="C39" s="51"/>
      <c r="D39" s="51"/>
      <c r="E39" s="52"/>
      <c r="F39" s="22">
        <f>SUM(F27:F38)</f>
        <v>743137.96</v>
      </c>
      <c r="G39" s="23"/>
      <c r="H39" s="23">
        <f t="shared" ref="H39:N39" si="82">SUM(H27:H38)</f>
        <v>66882.416400000002</v>
      </c>
      <c r="I39" s="23">
        <f t="shared" si="82"/>
        <v>66882.416400000002</v>
      </c>
      <c r="J39" s="22">
        <f t="shared" si="82"/>
        <v>133764.8328</v>
      </c>
      <c r="K39" s="22">
        <f t="shared" si="82"/>
        <v>876902.79279999994</v>
      </c>
      <c r="L39" s="22">
        <f t="shared" si="82"/>
        <v>0</v>
      </c>
      <c r="M39" s="22">
        <f t="shared" si="82"/>
        <v>0</v>
      </c>
      <c r="N39" s="22">
        <f t="shared" si="82"/>
        <v>0</v>
      </c>
    </row>
    <row r="40" spans="1:15" x14ac:dyDescent="0.25">
      <c r="A40" s="38">
        <v>36</v>
      </c>
      <c r="B40" s="31" t="s">
        <v>165</v>
      </c>
      <c r="C40" s="38">
        <v>70</v>
      </c>
      <c r="D40" s="31" t="s">
        <v>166</v>
      </c>
      <c r="E40" s="31" t="s">
        <v>167</v>
      </c>
      <c r="F40" s="31">
        <v>8699.2800000000007</v>
      </c>
      <c r="G40" s="31">
        <v>9</v>
      </c>
      <c r="H40" s="31">
        <f>F40*G40%</f>
        <v>782.93520000000001</v>
      </c>
      <c r="I40" s="31">
        <f>G40*F40%</f>
        <v>782.93520000000001</v>
      </c>
      <c r="J40" s="31">
        <f>SUM(H40:I40)</f>
        <v>1565.8704</v>
      </c>
      <c r="K40" s="31">
        <f>F40+H40+I40</f>
        <v>10265.1504</v>
      </c>
      <c r="L40" s="31"/>
      <c r="M40" s="31"/>
      <c r="N40" s="31"/>
    </row>
    <row r="41" spans="1:15" x14ac:dyDescent="0.25">
      <c r="A41" s="8">
        <v>37</v>
      </c>
      <c r="B41" s="8" t="s">
        <v>165</v>
      </c>
      <c r="C41" s="8">
        <v>294</v>
      </c>
      <c r="D41" s="8" t="s">
        <v>1</v>
      </c>
      <c r="E41" s="8" t="s">
        <v>0</v>
      </c>
      <c r="F41" s="10">
        <v>31969.439999999999</v>
      </c>
      <c r="G41" s="10">
        <v>9</v>
      </c>
      <c r="H41" s="10">
        <f t="shared" ref="H41" si="83">F41*G41%</f>
        <v>2877.2495999999996</v>
      </c>
      <c r="I41" s="10">
        <f t="shared" ref="I41" si="84">F41*G41%</f>
        <v>2877.2495999999996</v>
      </c>
      <c r="J41" s="10">
        <f t="shared" ref="J41" si="85">H41+I41</f>
        <v>5754.4991999999993</v>
      </c>
      <c r="K41" s="10">
        <f t="shared" ref="K41" si="86">F41+H41+I41</f>
        <v>37723.939200000001</v>
      </c>
      <c r="L41" s="8"/>
      <c r="M41" s="8"/>
      <c r="N41" s="8"/>
    </row>
    <row r="42" spans="1:15" x14ac:dyDescent="0.25">
      <c r="A42" s="38">
        <v>38</v>
      </c>
      <c r="B42" s="31" t="s">
        <v>168</v>
      </c>
      <c r="C42" s="38">
        <v>299</v>
      </c>
      <c r="D42" s="31" t="s">
        <v>166</v>
      </c>
      <c r="E42" s="31" t="s">
        <v>167</v>
      </c>
      <c r="F42" s="31">
        <v>20254.080000000002</v>
      </c>
      <c r="G42" s="31">
        <v>9</v>
      </c>
      <c r="H42" s="31">
        <f>F42*G42%</f>
        <v>1822.8672000000001</v>
      </c>
      <c r="I42" s="31">
        <f>G42*F42%</f>
        <v>1822.8672000000001</v>
      </c>
      <c r="J42" s="31">
        <f>SUM(H42:I42)</f>
        <v>3645.7344000000003</v>
      </c>
      <c r="K42" s="31">
        <f>F42+H42+I42</f>
        <v>23899.814400000003</v>
      </c>
      <c r="L42" s="31"/>
      <c r="M42" s="31"/>
      <c r="N42" s="31"/>
    </row>
    <row r="43" spans="1:15" x14ac:dyDescent="0.25">
      <c r="A43" s="38">
        <v>39</v>
      </c>
      <c r="B43" s="31" t="s">
        <v>169</v>
      </c>
      <c r="C43" s="38">
        <v>571</v>
      </c>
      <c r="D43" s="31" t="s">
        <v>166</v>
      </c>
      <c r="E43" s="31" t="s">
        <v>167</v>
      </c>
      <c r="F43" s="26"/>
      <c r="G43" s="31">
        <v>14</v>
      </c>
      <c r="H43" s="26"/>
      <c r="I43" s="26"/>
      <c r="J43" s="26"/>
      <c r="K43" s="26"/>
      <c r="L43" s="31"/>
      <c r="M43" s="31"/>
      <c r="N43" s="31"/>
      <c r="O43" s="34" t="s">
        <v>205</v>
      </c>
    </row>
    <row r="44" spans="1:15" x14ac:dyDescent="0.25">
      <c r="A44" s="8">
        <v>40</v>
      </c>
      <c r="B44" s="8" t="s">
        <v>169</v>
      </c>
      <c r="C44" s="8">
        <v>336</v>
      </c>
      <c r="D44" s="8" t="s">
        <v>1</v>
      </c>
      <c r="E44" s="8" t="s">
        <v>0</v>
      </c>
      <c r="F44" s="10">
        <v>8131.2</v>
      </c>
      <c r="G44" s="10">
        <v>9</v>
      </c>
      <c r="H44" s="10">
        <f t="shared" ref="H44" si="87">F44*G44%</f>
        <v>731.80799999999999</v>
      </c>
      <c r="I44" s="10">
        <f t="shared" ref="I44" si="88">F44*G44%</f>
        <v>731.80799999999999</v>
      </c>
      <c r="J44" s="10">
        <f t="shared" ref="J44" si="89">H44+I44</f>
        <v>1463.616</v>
      </c>
      <c r="K44" s="10">
        <f t="shared" ref="K44" si="90">F44+H44+I44</f>
        <v>9594.8159999999989</v>
      </c>
      <c r="L44" s="8"/>
      <c r="M44" s="8"/>
      <c r="N44" s="8"/>
    </row>
    <row r="45" spans="1:15" x14ac:dyDescent="0.25">
      <c r="A45" s="38">
        <v>41</v>
      </c>
      <c r="B45" s="31" t="s">
        <v>170</v>
      </c>
      <c r="C45" s="38">
        <v>596</v>
      </c>
      <c r="D45" s="31" t="s">
        <v>166</v>
      </c>
      <c r="E45" s="31" t="s">
        <v>167</v>
      </c>
      <c r="F45" s="31">
        <v>26465.279999999999</v>
      </c>
      <c r="G45" s="31">
        <v>9</v>
      </c>
      <c r="H45" s="31">
        <f t="shared" ref="H45:H50" si="91">F45*G45%</f>
        <v>2381.8751999999999</v>
      </c>
      <c r="I45" s="31">
        <f t="shared" ref="I45:I50" si="92">G45*F45%</f>
        <v>2381.8751999999999</v>
      </c>
      <c r="J45" s="31">
        <f t="shared" ref="J45:J50" si="93">SUM(H45:I45)</f>
        <v>4763.7503999999999</v>
      </c>
      <c r="K45" s="31">
        <f t="shared" ref="K45:K50" si="94">F45+H45+I45</f>
        <v>31229.030399999996</v>
      </c>
      <c r="L45" s="31"/>
      <c r="M45" s="31"/>
      <c r="N45" s="31"/>
    </row>
    <row r="46" spans="1:15" x14ac:dyDescent="0.25">
      <c r="A46" s="38">
        <v>42</v>
      </c>
      <c r="B46" s="31" t="s">
        <v>170</v>
      </c>
      <c r="C46" s="38">
        <v>609</v>
      </c>
      <c r="D46" s="31" t="s">
        <v>166</v>
      </c>
      <c r="E46" s="31" t="s">
        <v>167</v>
      </c>
      <c r="F46" s="26"/>
      <c r="G46" s="31">
        <v>14</v>
      </c>
      <c r="H46" s="26"/>
      <c r="I46" s="26"/>
      <c r="J46" s="26"/>
      <c r="K46" s="26"/>
      <c r="L46" s="31"/>
      <c r="M46" s="31"/>
      <c r="N46" s="31"/>
      <c r="O46" s="34" t="s">
        <v>205</v>
      </c>
    </row>
    <row r="47" spans="1:15" x14ac:dyDescent="0.25">
      <c r="A47" s="38">
        <v>43</v>
      </c>
      <c r="B47" s="31" t="s">
        <v>162</v>
      </c>
      <c r="C47" s="38">
        <v>646</v>
      </c>
      <c r="D47" s="31" t="s">
        <v>166</v>
      </c>
      <c r="E47" s="31" t="s">
        <v>167</v>
      </c>
      <c r="F47" s="31">
        <v>22192.240000000002</v>
      </c>
      <c r="G47" s="31">
        <v>9</v>
      </c>
      <c r="H47" s="31">
        <f t="shared" si="91"/>
        <v>1997.3016</v>
      </c>
      <c r="I47" s="31">
        <f t="shared" si="92"/>
        <v>1997.3016</v>
      </c>
      <c r="J47" s="31">
        <f t="shared" si="93"/>
        <v>3994.6032</v>
      </c>
      <c r="K47" s="31">
        <f t="shared" si="94"/>
        <v>26186.843199999999</v>
      </c>
      <c r="L47" s="31"/>
      <c r="M47" s="31"/>
      <c r="N47" s="31"/>
    </row>
    <row r="48" spans="1:15" x14ac:dyDescent="0.25">
      <c r="A48" s="38">
        <v>44</v>
      </c>
      <c r="B48" s="31" t="s">
        <v>171</v>
      </c>
      <c r="C48" s="38">
        <v>687</v>
      </c>
      <c r="D48" s="31" t="s">
        <v>166</v>
      </c>
      <c r="E48" s="31" t="s">
        <v>167</v>
      </c>
      <c r="F48" s="31">
        <v>9623.58</v>
      </c>
      <c r="G48" s="31">
        <v>9</v>
      </c>
      <c r="H48" s="31">
        <f t="shared" si="91"/>
        <v>866.12219999999991</v>
      </c>
      <c r="I48" s="31">
        <f t="shared" si="92"/>
        <v>866.12220000000002</v>
      </c>
      <c r="J48" s="31">
        <f t="shared" si="93"/>
        <v>1732.2444</v>
      </c>
      <c r="K48" s="31">
        <f t="shared" si="94"/>
        <v>11355.8244</v>
      </c>
      <c r="L48" s="31"/>
      <c r="M48" s="31"/>
      <c r="N48" s="31"/>
    </row>
    <row r="49" spans="1:15" x14ac:dyDescent="0.25">
      <c r="A49" s="38">
        <v>45</v>
      </c>
      <c r="B49" s="31" t="s">
        <v>172</v>
      </c>
      <c r="C49" s="38">
        <v>712</v>
      </c>
      <c r="D49" s="31" t="s">
        <v>166</v>
      </c>
      <c r="E49" s="31" t="s">
        <v>167</v>
      </c>
      <c r="F49" s="31">
        <v>44304.42</v>
      </c>
      <c r="G49" s="31">
        <v>9</v>
      </c>
      <c r="H49" s="31">
        <f t="shared" si="91"/>
        <v>3987.3977999999997</v>
      </c>
      <c r="I49" s="31">
        <f t="shared" si="92"/>
        <v>3987.3977999999997</v>
      </c>
      <c r="J49" s="31">
        <f t="shared" si="93"/>
        <v>7974.7955999999995</v>
      </c>
      <c r="K49" s="31">
        <f t="shared" si="94"/>
        <v>52279.215599999996</v>
      </c>
      <c r="L49" s="31"/>
      <c r="M49" s="31"/>
      <c r="N49" s="31"/>
    </row>
    <row r="50" spans="1:15" x14ac:dyDescent="0.25">
      <c r="A50" s="38">
        <v>46</v>
      </c>
      <c r="B50" s="31" t="s">
        <v>172</v>
      </c>
      <c r="C50" s="38">
        <v>710</v>
      </c>
      <c r="D50" s="31" t="s">
        <v>166</v>
      </c>
      <c r="E50" s="31" t="s">
        <v>167</v>
      </c>
      <c r="F50" s="31">
        <v>143236.12</v>
      </c>
      <c r="G50" s="31">
        <v>9</v>
      </c>
      <c r="H50" s="31">
        <f t="shared" si="91"/>
        <v>12891.2508</v>
      </c>
      <c r="I50" s="31">
        <f t="shared" si="92"/>
        <v>12891.2508</v>
      </c>
      <c r="J50" s="31">
        <f t="shared" si="93"/>
        <v>25782.5016</v>
      </c>
      <c r="K50" s="31">
        <f t="shared" si="94"/>
        <v>169018.62160000001</v>
      </c>
      <c r="L50" s="31"/>
      <c r="M50" s="31"/>
      <c r="N50" s="31"/>
    </row>
    <row r="51" spans="1:15" x14ac:dyDescent="0.25">
      <c r="A51" s="38">
        <v>47</v>
      </c>
      <c r="B51" s="31" t="s">
        <v>173</v>
      </c>
      <c r="C51" s="38">
        <v>720</v>
      </c>
      <c r="D51" s="31" t="s">
        <v>166</v>
      </c>
      <c r="E51" s="31" t="s">
        <v>167</v>
      </c>
      <c r="F51" s="26"/>
      <c r="G51" s="31">
        <v>14</v>
      </c>
      <c r="H51" s="26"/>
      <c r="I51" s="26"/>
      <c r="J51" s="26"/>
      <c r="K51" s="26"/>
      <c r="L51" s="31"/>
      <c r="M51" s="31"/>
      <c r="N51" s="31"/>
      <c r="O51" s="34" t="s">
        <v>205</v>
      </c>
    </row>
    <row r="52" spans="1:15" x14ac:dyDescent="0.25">
      <c r="A52" s="8">
        <v>48</v>
      </c>
      <c r="B52" s="8" t="s">
        <v>174</v>
      </c>
      <c r="C52" s="8">
        <v>361</v>
      </c>
      <c r="D52" s="8" t="s">
        <v>1</v>
      </c>
      <c r="E52" s="8" t="s">
        <v>0</v>
      </c>
      <c r="F52" s="10">
        <v>16853.759999999998</v>
      </c>
      <c r="G52" s="10">
        <v>9</v>
      </c>
      <c r="H52" s="10">
        <f t="shared" ref="H52" si="95">F52*G52%</f>
        <v>1516.8383999999999</v>
      </c>
      <c r="I52" s="10">
        <f t="shared" ref="I52" si="96">F52*G52%</f>
        <v>1516.8383999999999</v>
      </c>
      <c r="J52" s="10">
        <f t="shared" ref="J52" si="97">H52+I52</f>
        <v>3033.6767999999997</v>
      </c>
      <c r="K52" s="10">
        <f t="shared" ref="K52" si="98">F52+H52+I52</f>
        <v>19887.436799999999</v>
      </c>
      <c r="L52" s="8"/>
      <c r="M52" s="8"/>
      <c r="N52" s="8"/>
    </row>
    <row r="53" spans="1:15" x14ac:dyDescent="0.25">
      <c r="A53" s="38">
        <v>49</v>
      </c>
      <c r="B53" s="31" t="s">
        <v>174</v>
      </c>
      <c r="C53" s="38">
        <v>754</v>
      </c>
      <c r="D53" s="31" t="s">
        <v>166</v>
      </c>
      <c r="E53" s="31" t="s">
        <v>167</v>
      </c>
      <c r="F53" s="31">
        <v>143567.04000000001</v>
      </c>
      <c r="G53" s="31">
        <v>9</v>
      </c>
      <c r="H53" s="31">
        <f t="shared" ref="H53:H58" si="99">F53*G53%</f>
        <v>12921.033600000001</v>
      </c>
      <c r="I53" s="31">
        <f t="shared" ref="I53:I58" si="100">G53*F53%</f>
        <v>12921.033599999999</v>
      </c>
      <c r="J53" s="31">
        <f t="shared" ref="J53:J58" si="101">SUM(H53:I53)</f>
        <v>25842.067199999998</v>
      </c>
      <c r="K53" s="31">
        <f t="shared" ref="K53:K58" si="102">F53+H53+I53</f>
        <v>169409.1072</v>
      </c>
      <c r="L53" s="31"/>
      <c r="M53" s="31"/>
      <c r="N53" s="31"/>
    </row>
    <row r="54" spans="1:15" x14ac:dyDescent="0.25">
      <c r="A54" s="38">
        <v>50</v>
      </c>
      <c r="B54" s="31" t="s">
        <v>175</v>
      </c>
      <c r="C54" s="38">
        <v>832</v>
      </c>
      <c r="D54" s="31" t="s">
        <v>166</v>
      </c>
      <c r="E54" s="31" t="s">
        <v>167</v>
      </c>
      <c r="F54" s="31">
        <v>130653.36</v>
      </c>
      <c r="G54" s="31">
        <v>9</v>
      </c>
      <c r="H54" s="31">
        <f t="shared" si="99"/>
        <v>11758.8024</v>
      </c>
      <c r="I54" s="31">
        <f t="shared" si="100"/>
        <v>11758.8024</v>
      </c>
      <c r="J54" s="31">
        <f t="shared" si="101"/>
        <v>23517.604800000001</v>
      </c>
      <c r="K54" s="31">
        <f t="shared" si="102"/>
        <v>154170.96480000002</v>
      </c>
      <c r="L54" s="31"/>
      <c r="M54" s="31"/>
      <c r="N54" s="31"/>
    </row>
    <row r="55" spans="1:15" x14ac:dyDescent="0.25">
      <c r="A55" s="38">
        <v>51</v>
      </c>
      <c r="B55" s="31" t="s">
        <v>176</v>
      </c>
      <c r="C55" s="38">
        <v>847</v>
      </c>
      <c r="D55" s="31" t="s">
        <v>166</v>
      </c>
      <c r="E55" s="31" t="s">
        <v>167</v>
      </c>
      <c r="F55" s="31">
        <v>410587.2</v>
      </c>
      <c r="G55" s="31">
        <v>9</v>
      </c>
      <c r="H55" s="31">
        <f t="shared" si="99"/>
        <v>36952.847999999998</v>
      </c>
      <c r="I55" s="31">
        <f t="shared" si="100"/>
        <v>36952.848000000005</v>
      </c>
      <c r="J55" s="31">
        <f t="shared" si="101"/>
        <v>73905.695999999996</v>
      </c>
      <c r="K55" s="31">
        <f t="shared" si="102"/>
        <v>484492.89600000001</v>
      </c>
      <c r="L55" s="31"/>
      <c r="M55" s="31"/>
      <c r="N55" s="31"/>
    </row>
    <row r="56" spans="1:15" x14ac:dyDescent="0.25">
      <c r="A56" s="38">
        <v>52</v>
      </c>
      <c r="B56" s="31" t="s">
        <v>176</v>
      </c>
      <c r="C56" s="38">
        <v>849</v>
      </c>
      <c r="D56" s="31" t="s">
        <v>166</v>
      </c>
      <c r="E56" s="31" t="s">
        <v>167</v>
      </c>
      <c r="F56" s="31">
        <v>376714</v>
      </c>
      <c r="G56" s="31">
        <v>9</v>
      </c>
      <c r="H56" s="31">
        <f t="shared" si="99"/>
        <v>33904.26</v>
      </c>
      <c r="I56" s="31">
        <f t="shared" si="100"/>
        <v>33904.26</v>
      </c>
      <c r="J56" s="31">
        <f t="shared" si="101"/>
        <v>67808.52</v>
      </c>
      <c r="K56" s="31">
        <f t="shared" si="102"/>
        <v>444522.52</v>
      </c>
      <c r="L56" s="31"/>
      <c r="M56" s="31"/>
      <c r="N56" s="31"/>
    </row>
    <row r="57" spans="1:15" x14ac:dyDescent="0.25">
      <c r="A57" s="38">
        <v>53</v>
      </c>
      <c r="B57" s="31" t="s">
        <v>176</v>
      </c>
      <c r="C57" s="38">
        <v>850</v>
      </c>
      <c r="D57" s="31" t="s">
        <v>166</v>
      </c>
      <c r="E57" s="31" t="s">
        <v>167</v>
      </c>
      <c r="F57" s="31">
        <v>235881.72</v>
      </c>
      <c r="G57" s="31">
        <v>9</v>
      </c>
      <c r="H57" s="31">
        <f t="shared" si="99"/>
        <v>21229.354800000001</v>
      </c>
      <c r="I57" s="31">
        <f t="shared" si="100"/>
        <v>21229.354800000001</v>
      </c>
      <c r="J57" s="31">
        <f t="shared" si="101"/>
        <v>42458.709600000002</v>
      </c>
      <c r="K57" s="31">
        <f t="shared" si="102"/>
        <v>278340.42960000003</v>
      </c>
      <c r="L57" s="31"/>
      <c r="M57" s="31"/>
      <c r="N57" s="31"/>
    </row>
    <row r="58" spans="1:15" x14ac:dyDescent="0.25">
      <c r="A58" s="38">
        <v>54</v>
      </c>
      <c r="B58" s="31" t="s">
        <v>177</v>
      </c>
      <c r="C58" s="38">
        <v>889</v>
      </c>
      <c r="D58" s="31" t="s">
        <v>166</v>
      </c>
      <c r="E58" s="31" t="s">
        <v>167</v>
      </c>
      <c r="F58" s="31">
        <v>32854.879999999997</v>
      </c>
      <c r="G58" s="31">
        <v>9</v>
      </c>
      <c r="H58" s="31">
        <f t="shared" si="99"/>
        <v>2956.9391999999998</v>
      </c>
      <c r="I58" s="31">
        <f t="shared" si="100"/>
        <v>2956.9391999999998</v>
      </c>
      <c r="J58" s="31">
        <f t="shared" si="101"/>
        <v>5913.8783999999996</v>
      </c>
      <c r="K58" s="31">
        <f t="shared" si="102"/>
        <v>38768.758399999999</v>
      </c>
      <c r="L58" s="31"/>
      <c r="M58" s="31"/>
      <c r="N58" s="31"/>
    </row>
    <row r="59" spans="1:15" x14ac:dyDescent="0.25">
      <c r="A59" s="38">
        <v>55</v>
      </c>
      <c r="B59" s="31" t="s">
        <v>177</v>
      </c>
      <c r="C59" s="38">
        <v>892</v>
      </c>
      <c r="D59" s="31" t="s">
        <v>166</v>
      </c>
      <c r="E59" s="31" t="s">
        <v>167</v>
      </c>
      <c r="F59" s="31">
        <v>1015</v>
      </c>
      <c r="G59" s="31">
        <v>9</v>
      </c>
      <c r="H59" s="31">
        <f t="shared" ref="H59" si="103">F59*G59%</f>
        <v>91.35</v>
      </c>
      <c r="I59" s="31">
        <f t="shared" ref="I59" si="104">G59*F59%</f>
        <v>91.350000000000009</v>
      </c>
      <c r="J59" s="31">
        <f t="shared" ref="J59" si="105">SUM(H59:I59)</f>
        <v>182.7</v>
      </c>
      <c r="K59" s="31">
        <f t="shared" ref="K59" si="106">F59+H59+I59</f>
        <v>1197.6999999999998</v>
      </c>
      <c r="L59" s="31"/>
      <c r="M59" s="31"/>
      <c r="N59" s="31"/>
    </row>
    <row r="60" spans="1:15" x14ac:dyDescent="0.25">
      <c r="A60" s="38">
        <v>56</v>
      </c>
      <c r="B60" s="31" t="s">
        <v>177</v>
      </c>
      <c r="C60" s="38">
        <v>897</v>
      </c>
      <c r="D60" s="31" t="s">
        <v>166</v>
      </c>
      <c r="E60" s="31" t="s">
        <v>167</v>
      </c>
      <c r="F60" s="31">
        <v>189649.48</v>
      </c>
      <c r="G60" s="31">
        <v>9</v>
      </c>
      <c r="H60" s="31">
        <f t="shared" ref="H60" si="107">F60*G60%</f>
        <v>17068.4532</v>
      </c>
      <c r="I60" s="31">
        <f t="shared" ref="I60" si="108">G60*F60%</f>
        <v>17068.4532</v>
      </c>
      <c r="J60" s="31">
        <f t="shared" ref="J60" si="109">SUM(H60:I60)</f>
        <v>34136.9064</v>
      </c>
      <c r="K60" s="31">
        <f t="shared" ref="K60" si="110">F60+H60+I60</f>
        <v>223786.38639999999</v>
      </c>
      <c r="L60" s="31"/>
      <c r="M60" s="31"/>
      <c r="N60" s="31"/>
    </row>
    <row r="61" spans="1:15" ht="21.75" customHeight="1" x14ac:dyDescent="0.25">
      <c r="A61" s="50" t="s">
        <v>109</v>
      </c>
      <c r="B61" s="51"/>
      <c r="C61" s="51"/>
      <c r="D61" s="51"/>
      <c r="E61" s="52"/>
      <c r="F61" s="22">
        <f>SUM(F40:F60)</f>
        <v>1852652.0799999998</v>
      </c>
      <c r="G61" s="35">
        <f t="shared" ref="G61:N61" si="111">SUM(G40:G60)</f>
        <v>204</v>
      </c>
      <c r="H61" s="22">
        <f t="shared" si="111"/>
        <v>166738.68719999999</v>
      </c>
      <c r="I61" s="22">
        <f t="shared" si="111"/>
        <v>166738.68720000001</v>
      </c>
      <c r="J61" s="22">
        <f t="shared" si="111"/>
        <v>333477.37439999997</v>
      </c>
      <c r="K61" s="22">
        <f t="shared" si="111"/>
        <v>2186129.4544000002</v>
      </c>
      <c r="L61" s="22">
        <f t="shared" si="111"/>
        <v>0</v>
      </c>
      <c r="M61" s="22">
        <f t="shared" si="111"/>
        <v>0</v>
      </c>
      <c r="N61" s="22">
        <f t="shared" si="111"/>
        <v>0</v>
      </c>
    </row>
    <row r="62" spans="1:15" x14ac:dyDescent="0.25">
      <c r="A62" s="38">
        <v>57</v>
      </c>
      <c r="B62" s="31" t="s">
        <v>211</v>
      </c>
      <c r="C62" s="38">
        <v>907</v>
      </c>
      <c r="D62" s="31" t="s">
        <v>166</v>
      </c>
      <c r="E62" s="31" t="s">
        <v>167</v>
      </c>
      <c r="F62" s="31">
        <v>189649.48</v>
      </c>
      <c r="G62" s="31">
        <v>9</v>
      </c>
      <c r="H62" s="31">
        <f t="shared" ref="H62" si="112">F62*G62%</f>
        <v>17068.4532</v>
      </c>
      <c r="I62" s="31">
        <f t="shared" ref="I62" si="113">G62*F62%</f>
        <v>17068.4532</v>
      </c>
      <c r="J62" s="31">
        <f t="shared" ref="J62" si="114">SUM(H62:I62)</f>
        <v>34136.9064</v>
      </c>
      <c r="K62" s="31">
        <f t="shared" ref="K62" si="115">F62+H62+I62</f>
        <v>223786.38639999999</v>
      </c>
      <c r="L62" s="31"/>
      <c r="M62" s="31"/>
      <c r="N62" s="31"/>
    </row>
    <row r="63" spans="1:15" x14ac:dyDescent="0.25">
      <c r="A63" s="38">
        <v>58</v>
      </c>
      <c r="B63" s="31" t="s">
        <v>226</v>
      </c>
      <c r="C63" s="38">
        <v>991</v>
      </c>
      <c r="D63" s="31" t="s">
        <v>166</v>
      </c>
      <c r="E63" s="31" t="s">
        <v>167</v>
      </c>
      <c r="F63" s="31">
        <v>95016.3</v>
      </c>
      <c r="G63" s="31">
        <v>9</v>
      </c>
      <c r="H63" s="31">
        <f t="shared" ref="H63:H64" si="116">F63*G63%</f>
        <v>8551.4670000000006</v>
      </c>
      <c r="I63" s="31">
        <f t="shared" ref="I63" si="117">G63*F63%</f>
        <v>8551.4670000000006</v>
      </c>
      <c r="J63" s="31">
        <f t="shared" ref="J63" si="118">SUM(H63:I63)</f>
        <v>17102.934000000001</v>
      </c>
      <c r="K63" s="31">
        <f t="shared" ref="K63:K64" si="119">F63+H63+I63</f>
        <v>112119.23400000001</v>
      </c>
      <c r="L63" s="31"/>
      <c r="M63" s="31"/>
      <c r="N63" s="31"/>
    </row>
    <row r="64" spans="1:15" x14ac:dyDescent="0.25">
      <c r="A64" s="8">
        <v>59</v>
      </c>
      <c r="B64" s="8" t="s">
        <v>221</v>
      </c>
      <c r="C64" s="8">
        <v>382</v>
      </c>
      <c r="D64" s="8" t="s">
        <v>1</v>
      </c>
      <c r="E64" s="8" t="s">
        <v>0</v>
      </c>
      <c r="F64" s="10">
        <v>16230</v>
      </c>
      <c r="G64" s="10">
        <v>9</v>
      </c>
      <c r="H64" s="10">
        <f t="shared" si="116"/>
        <v>1460.7</v>
      </c>
      <c r="I64" s="10">
        <f t="shared" ref="I64" si="120">F64*G64%</f>
        <v>1460.7</v>
      </c>
      <c r="J64" s="10">
        <f t="shared" ref="J64" si="121">H64+I64</f>
        <v>2921.4</v>
      </c>
      <c r="K64" s="10">
        <f t="shared" si="119"/>
        <v>19151.400000000001</v>
      </c>
      <c r="L64" s="8"/>
      <c r="M64" s="8"/>
      <c r="N64" s="8"/>
    </row>
    <row r="65" spans="1:14" x14ac:dyDescent="0.25">
      <c r="A65" s="38">
        <v>60</v>
      </c>
      <c r="B65" s="31" t="s">
        <v>229</v>
      </c>
      <c r="C65" s="38">
        <v>1019</v>
      </c>
      <c r="D65" s="31" t="s">
        <v>166</v>
      </c>
      <c r="E65" s="31" t="s">
        <v>167</v>
      </c>
      <c r="F65" s="31">
        <v>135626.32</v>
      </c>
      <c r="G65" s="31">
        <v>9</v>
      </c>
      <c r="H65" s="31">
        <f t="shared" ref="H65" si="122">F65*G65%</f>
        <v>12206.3688</v>
      </c>
      <c r="I65" s="31">
        <f t="shared" ref="I65" si="123">G65*F65%</f>
        <v>12206.3688</v>
      </c>
      <c r="J65" s="31">
        <f t="shared" ref="J65" si="124">SUM(H65:I65)</f>
        <v>24412.7376</v>
      </c>
      <c r="K65" s="31">
        <f t="shared" ref="K65" si="125">F65+H65+I65</f>
        <v>160039.0576</v>
      </c>
      <c r="L65" s="31"/>
      <c r="M65" s="31"/>
      <c r="N65" s="31"/>
    </row>
    <row r="66" spans="1:14" x14ac:dyDescent="0.25">
      <c r="A66" s="38">
        <v>61</v>
      </c>
      <c r="B66" s="31" t="s">
        <v>229</v>
      </c>
      <c r="C66" s="38">
        <v>1022</v>
      </c>
      <c r="D66" s="31" t="s">
        <v>166</v>
      </c>
      <c r="E66" s="31" t="s">
        <v>167</v>
      </c>
      <c r="F66" s="31">
        <v>33239.040000000001</v>
      </c>
      <c r="G66" s="31">
        <v>9</v>
      </c>
      <c r="H66" s="31">
        <f t="shared" ref="H66:H67" si="126">F66*G66%</f>
        <v>2991.5135999999998</v>
      </c>
      <c r="I66" s="31">
        <f t="shared" ref="I66" si="127">G66*F66%</f>
        <v>2991.5136000000002</v>
      </c>
      <c r="J66" s="31">
        <f t="shared" ref="J66" si="128">SUM(H66:I66)</f>
        <v>5983.0272000000004</v>
      </c>
      <c r="K66" s="31">
        <f t="shared" ref="K66:K67" si="129">F66+H66+I66</f>
        <v>39222.067199999998</v>
      </c>
      <c r="L66" s="31"/>
      <c r="M66" s="31"/>
      <c r="N66" s="31"/>
    </row>
    <row r="67" spans="1:14" x14ac:dyDescent="0.25">
      <c r="A67" s="8">
        <v>62</v>
      </c>
      <c r="B67" s="8" t="s">
        <v>229</v>
      </c>
      <c r="C67" s="8">
        <v>390</v>
      </c>
      <c r="D67" s="8" t="s">
        <v>1</v>
      </c>
      <c r="E67" s="8" t="s">
        <v>0</v>
      </c>
      <c r="F67" s="10">
        <v>8279.0400000000009</v>
      </c>
      <c r="G67" s="10">
        <v>9</v>
      </c>
      <c r="H67" s="10">
        <f t="shared" si="126"/>
        <v>745.11360000000002</v>
      </c>
      <c r="I67" s="10">
        <f t="shared" ref="I67" si="130">F67*G67%</f>
        <v>745.11360000000002</v>
      </c>
      <c r="J67" s="10">
        <f t="shared" ref="J67" si="131">H67+I67</f>
        <v>1490.2272</v>
      </c>
      <c r="K67" s="10">
        <f t="shared" si="129"/>
        <v>9769.267200000002</v>
      </c>
      <c r="L67" s="8"/>
      <c r="M67" s="8"/>
      <c r="N67" s="8"/>
    </row>
    <row r="68" spans="1:14" x14ac:dyDescent="0.25">
      <c r="A68" s="8">
        <v>63</v>
      </c>
      <c r="B68" s="8" t="s">
        <v>283</v>
      </c>
      <c r="C68" s="8">
        <v>398</v>
      </c>
      <c r="D68" s="8" t="s">
        <v>1</v>
      </c>
      <c r="E68" s="8" t="s">
        <v>0</v>
      </c>
      <c r="F68" s="10">
        <v>30553.759999999998</v>
      </c>
      <c r="G68" s="10">
        <v>9</v>
      </c>
      <c r="H68" s="10">
        <f t="shared" ref="H68:H69" si="132">F68*G68%</f>
        <v>2749.8383999999996</v>
      </c>
      <c r="I68" s="10">
        <f t="shared" ref="I68" si="133">F68*G68%</f>
        <v>2749.8383999999996</v>
      </c>
      <c r="J68" s="10">
        <f t="shared" ref="J68" si="134">H68+I68</f>
        <v>5499.6767999999993</v>
      </c>
      <c r="K68" s="10">
        <f t="shared" ref="K68:K69" si="135">F68+H68+I68</f>
        <v>36053.436799999996</v>
      </c>
      <c r="L68" s="8"/>
      <c r="M68" s="8"/>
      <c r="N68" s="8"/>
    </row>
    <row r="69" spans="1:14" x14ac:dyDescent="0.25">
      <c r="A69" s="38">
        <v>64</v>
      </c>
      <c r="B69" s="31" t="s">
        <v>283</v>
      </c>
      <c r="C69" s="38">
        <v>1065</v>
      </c>
      <c r="D69" s="31" t="s">
        <v>166</v>
      </c>
      <c r="E69" s="31" t="s">
        <v>167</v>
      </c>
      <c r="F69" s="31">
        <v>85188</v>
      </c>
      <c r="G69" s="31">
        <v>9</v>
      </c>
      <c r="H69" s="31">
        <f t="shared" si="132"/>
        <v>7666.92</v>
      </c>
      <c r="I69" s="31">
        <f t="shared" ref="I69" si="136">G69*F69%</f>
        <v>7666.92</v>
      </c>
      <c r="J69" s="31">
        <f t="shared" ref="J69" si="137">SUM(H69:I69)</f>
        <v>15333.84</v>
      </c>
      <c r="K69" s="31">
        <f t="shared" si="135"/>
        <v>100521.84</v>
      </c>
      <c r="L69" s="31"/>
      <c r="M69" s="31"/>
      <c r="N69" s="31"/>
    </row>
    <row r="70" spans="1:14" x14ac:dyDescent="0.25">
      <c r="A70" s="38">
        <v>65</v>
      </c>
      <c r="B70" s="31" t="s">
        <v>236</v>
      </c>
      <c r="C70" s="38">
        <v>1065</v>
      </c>
      <c r="D70" s="31" t="s">
        <v>166</v>
      </c>
      <c r="E70" s="31" t="s">
        <v>167</v>
      </c>
      <c r="F70" s="31">
        <v>76914.720000000001</v>
      </c>
      <c r="G70" s="31">
        <v>9</v>
      </c>
      <c r="H70" s="31">
        <f t="shared" ref="H70" si="138">F70*G70%</f>
        <v>6922.3247999999994</v>
      </c>
      <c r="I70" s="31">
        <f t="shared" ref="I70" si="139">G70*F70%</f>
        <v>6922.3248000000003</v>
      </c>
      <c r="J70" s="31">
        <f t="shared" ref="J70" si="140">SUM(H70:I70)</f>
        <v>13844.649600000001</v>
      </c>
      <c r="K70" s="31">
        <f t="shared" ref="K70" si="141">F70+H70+I70</f>
        <v>90759.369600000005</v>
      </c>
      <c r="L70" s="31"/>
      <c r="M70" s="31"/>
      <c r="N70" s="31"/>
    </row>
    <row r="71" spans="1:14" x14ac:dyDescent="0.25">
      <c r="A71" s="38">
        <v>66</v>
      </c>
      <c r="B71" s="31" t="s">
        <v>284</v>
      </c>
      <c r="C71" s="38">
        <v>1172</v>
      </c>
      <c r="D71" s="31" t="s">
        <v>166</v>
      </c>
      <c r="E71" s="31" t="s">
        <v>167</v>
      </c>
      <c r="F71" s="31">
        <v>7664.8</v>
      </c>
      <c r="G71" s="31">
        <v>9</v>
      </c>
      <c r="H71" s="31">
        <f t="shared" ref="H71" si="142">F71*G71%</f>
        <v>689.83199999999999</v>
      </c>
      <c r="I71" s="31">
        <f t="shared" ref="I71" si="143">G71*F71%</f>
        <v>689.83199999999999</v>
      </c>
      <c r="J71" s="31">
        <f t="shared" ref="J71" si="144">SUM(H71:I71)</f>
        <v>1379.664</v>
      </c>
      <c r="K71" s="31">
        <f t="shared" ref="K71" si="145">F71+H71+I71</f>
        <v>9044.4639999999999</v>
      </c>
      <c r="L71" s="31"/>
      <c r="M71" s="31"/>
      <c r="N71" s="31"/>
    </row>
    <row r="72" spans="1:14" x14ac:dyDescent="0.25">
      <c r="A72" s="38">
        <v>67</v>
      </c>
      <c r="B72" s="31" t="s">
        <v>284</v>
      </c>
      <c r="C72" s="38">
        <v>1202</v>
      </c>
      <c r="D72" s="31" t="s">
        <v>166</v>
      </c>
      <c r="E72" s="31" t="s">
        <v>167</v>
      </c>
      <c r="F72" s="31">
        <v>19939.2</v>
      </c>
      <c r="G72" s="31">
        <v>9</v>
      </c>
      <c r="H72" s="31">
        <f t="shared" ref="H72:H73" si="146">F72*G72%</f>
        <v>1794.528</v>
      </c>
      <c r="I72" s="31">
        <f t="shared" ref="I72" si="147">G72*F72%</f>
        <v>1794.528</v>
      </c>
      <c r="J72" s="31">
        <f t="shared" ref="J72" si="148">SUM(H72:I72)</f>
        <v>3589.056</v>
      </c>
      <c r="K72" s="31">
        <f t="shared" ref="K72:K73" si="149">F72+H72+I72</f>
        <v>23528.255999999998</v>
      </c>
      <c r="L72" s="31"/>
      <c r="M72" s="31"/>
      <c r="N72" s="31"/>
    </row>
    <row r="73" spans="1:14" x14ac:dyDescent="0.25">
      <c r="A73" s="8">
        <v>68</v>
      </c>
      <c r="B73" s="8" t="s">
        <v>241</v>
      </c>
      <c r="C73" s="8">
        <v>410</v>
      </c>
      <c r="D73" s="8" t="s">
        <v>1</v>
      </c>
      <c r="E73" s="8" t="s">
        <v>0</v>
      </c>
      <c r="F73" s="10">
        <v>22619.52</v>
      </c>
      <c r="G73" s="10">
        <v>9</v>
      </c>
      <c r="H73" s="10">
        <f t="shared" si="146"/>
        <v>2035.7567999999999</v>
      </c>
      <c r="I73" s="10">
        <f t="shared" ref="I73" si="150">F73*G73%</f>
        <v>2035.7567999999999</v>
      </c>
      <c r="J73" s="10">
        <f t="shared" ref="J73" si="151">H73+I73</f>
        <v>4071.5135999999998</v>
      </c>
      <c r="K73" s="10">
        <f t="shared" si="149"/>
        <v>26691.033599999999</v>
      </c>
      <c r="L73" s="8"/>
      <c r="M73" s="8"/>
      <c r="N73" s="8"/>
    </row>
    <row r="74" spans="1:14" x14ac:dyDescent="0.25">
      <c r="A74" s="38">
        <v>69</v>
      </c>
      <c r="B74" s="31" t="s">
        <v>241</v>
      </c>
      <c r="C74" s="38">
        <v>1209</v>
      </c>
      <c r="D74" s="31" t="s">
        <v>166</v>
      </c>
      <c r="E74" s="31" t="s">
        <v>167</v>
      </c>
      <c r="F74" s="31">
        <v>71078.399999999994</v>
      </c>
      <c r="G74" s="31">
        <v>9</v>
      </c>
      <c r="H74" s="31">
        <f t="shared" ref="H74" si="152">F74*G74%</f>
        <v>6397.0559999999996</v>
      </c>
      <c r="I74" s="31">
        <f t="shared" ref="I74" si="153">G74*F74%</f>
        <v>6397.0559999999996</v>
      </c>
      <c r="J74" s="31">
        <f t="shared" ref="J74" si="154">SUM(H74:I74)</f>
        <v>12794.111999999999</v>
      </c>
      <c r="K74" s="31">
        <f t="shared" ref="K74" si="155">F74+H74+I74</f>
        <v>83872.511999999988</v>
      </c>
      <c r="L74" s="31"/>
      <c r="M74" s="31"/>
      <c r="N74" s="31"/>
    </row>
    <row r="75" spans="1:14" x14ac:dyDescent="0.25">
      <c r="A75" s="38">
        <v>70</v>
      </c>
      <c r="B75" s="31" t="s">
        <v>241</v>
      </c>
      <c r="C75" s="38">
        <v>1210</v>
      </c>
      <c r="D75" s="31" t="s">
        <v>166</v>
      </c>
      <c r="E75" s="31" t="s">
        <v>167</v>
      </c>
      <c r="F75" s="31">
        <v>33357.279999999999</v>
      </c>
      <c r="G75" s="31">
        <v>9</v>
      </c>
      <c r="H75" s="31">
        <f t="shared" ref="H75" si="156">F75*G75%</f>
        <v>3002.1551999999997</v>
      </c>
      <c r="I75" s="31">
        <f t="shared" ref="I75" si="157">G75*F75%</f>
        <v>3002.1551999999997</v>
      </c>
      <c r="J75" s="31">
        <f t="shared" ref="J75" si="158">SUM(H75:I75)</f>
        <v>6004.3103999999994</v>
      </c>
      <c r="K75" s="31">
        <f t="shared" ref="K75" si="159">F75+H75+I75</f>
        <v>39361.590400000001</v>
      </c>
      <c r="L75" s="31"/>
      <c r="M75" s="31"/>
      <c r="N75" s="31"/>
    </row>
    <row r="76" spans="1:14" x14ac:dyDescent="0.25">
      <c r="A76" s="38">
        <v>71</v>
      </c>
      <c r="B76" s="31" t="s">
        <v>249</v>
      </c>
      <c r="C76" s="38">
        <v>1285</v>
      </c>
      <c r="D76" s="31" t="s">
        <v>166</v>
      </c>
      <c r="E76" s="31" t="s">
        <v>167</v>
      </c>
      <c r="F76" s="31">
        <v>31192.959999999999</v>
      </c>
      <c r="G76" s="31">
        <v>9</v>
      </c>
      <c r="H76" s="31">
        <f t="shared" ref="H76" si="160">F76*G76%</f>
        <v>2807.3663999999999</v>
      </c>
      <c r="I76" s="31">
        <f t="shared" ref="I76" si="161">G76*F76%</f>
        <v>2807.3663999999999</v>
      </c>
      <c r="J76" s="31">
        <f t="shared" ref="J76" si="162">SUM(H76:I76)</f>
        <v>5614.7327999999998</v>
      </c>
      <c r="K76" s="31">
        <f t="shared" ref="K76" si="163">F76+H76+I76</f>
        <v>36807.692799999997</v>
      </c>
      <c r="L76" s="31"/>
      <c r="M76" s="31"/>
      <c r="N76" s="31"/>
    </row>
    <row r="77" spans="1:14" x14ac:dyDescent="0.25">
      <c r="A77" s="38">
        <v>72</v>
      </c>
      <c r="B77" s="31" t="s">
        <v>251</v>
      </c>
      <c r="C77" s="38">
        <v>1317</v>
      </c>
      <c r="D77" s="31" t="s">
        <v>166</v>
      </c>
      <c r="E77" s="31" t="s">
        <v>167</v>
      </c>
      <c r="F77" s="31">
        <v>85652.800000000003</v>
      </c>
      <c r="G77" s="31">
        <v>9</v>
      </c>
      <c r="H77" s="31">
        <f t="shared" ref="H77" si="164">F77*G77%</f>
        <v>7708.7520000000004</v>
      </c>
      <c r="I77" s="31">
        <f t="shared" ref="I77" si="165">G77*F77%</f>
        <v>7708.7520000000004</v>
      </c>
      <c r="J77" s="31">
        <f t="shared" ref="J77" si="166">SUM(H77:I77)</f>
        <v>15417.504000000001</v>
      </c>
      <c r="K77" s="31">
        <f t="shared" ref="K77" si="167">F77+H77+I77</f>
        <v>101070.304</v>
      </c>
      <c r="L77" s="31"/>
      <c r="M77" s="31"/>
      <c r="N77" s="31"/>
    </row>
    <row r="78" spans="1:14" x14ac:dyDescent="0.25">
      <c r="A78" s="38">
        <v>73</v>
      </c>
      <c r="B78" s="31" t="s">
        <v>263</v>
      </c>
      <c r="C78" s="38">
        <v>1506</v>
      </c>
      <c r="D78" s="31" t="s">
        <v>166</v>
      </c>
      <c r="E78" s="31" t="s">
        <v>167</v>
      </c>
      <c r="F78" s="31">
        <v>16348</v>
      </c>
      <c r="G78" s="31">
        <v>9</v>
      </c>
      <c r="H78" s="31">
        <f t="shared" ref="H78" si="168">F78*G78%</f>
        <v>1471.32</v>
      </c>
      <c r="I78" s="31">
        <f t="shared" ref="I78" si="169">G78*F78%</f>
        <v>1471.32</v>
      </c>
      <c r="J78" s="31">
        <f t="shared" ref="J78" si="170">SUM(H78:I78)</f>
        <v>2942.64</v>
      </c>
      <c r="K78" s="31">
        <f t="shared" ref="K78" si="171">F78+H78+I78</f>
        <v>19290.64</v>
      </c>
      <c r="L78" s="31"/>
      <c r="M78" s="31"/>
      <c r="N78" s="31"/>
    </row>
    <row r="79" spans="1:14" x14ac:dyDescent="0.25">
      <c r="A79" s="38">
        <v>74</v>
      </c>
      <c r="B79" s="31" t="s">
        <v>263</v>
      </c>
      <c r="C79" s="38">
        <v>1507</v>
      </c>
      <c r="D79" s="31" t="s">
        <v>166</v>
      </c>
      <c r="E79" s="31" t="s">
        <v>167</v>
      </c>
      <c r="F79" s="31">
        <v>42187.199999999997</v>
      </c>
      <c r="G79" s="31">
        <v>9</v>
      </c>
      <c r="H79" s="31">
        <f t="shared" ref="H79" si="172">F79*G79%</f>
        <v>3796.8479999999995</v>
      </c>
      <c r="I79" s="31">
        <f t="shared" ref="I79" si="173">G79*F79%</f>
        <v>3796.8479999999995</v>
      </c>
      <c r="J79" s="31">
        <f t="shared" ref="J79" si="174">SUM(H79:I79)</f>
        <v>7593.695999999999</v>
      </c>
      <c r="K79" s="31">
        <f t="shared" ref="K79" si="175">F79+H79+I79</f>
        <v>49780.895999999993</v>
      </c>
      <c r="L79" s="31"/>
      <c r="M79" s="31"/>
      <c r="N79" s="31"/>
    </row>
    <row r="80" spans="1:14" x14ac:dyDescent="0.25">
      <c r="A80" s="38">
        <v>75</v>
      </c>
      <c r="B80" s="31" t="s">
        <v>263</v>
      </c>
      <c r="C80" s="38">
        <v>1509</v>
      </c>
      <c r="D80" s="31" t="s">
        <v>166</v>
      </c>
      <c r="E80" s="31" t="s">
        <v>167</v>
      </c>
      <c r="F80" s="31">
        <v>30937.279999999999</v>
      </c>
      <c r="G80" s="31">
        <v>9</v>
      </c>
      <c r="H80" s="31">
        <f t="shared" ref="H80" si="176">F80*G80%</f>
        <v>2784.3552</v>
      </c>
      <c r="I80" s="31">
        <f t="shared" ref="I80" si="177">G80*F80%</f>
        <v>2784.3552</v>
      </c>
      <c r="J80" s="31">
        <f t="shared" ref="J80" si="178">SUM(H80:I80)</f>
        <v>5568.7103999999999</v>
      </c>
      <c r="K80" s="31">
        <f t="shared" ref="K80" si="179">F80+H80+I80</f>
        <v>36505.990399999995</v>
      </c>
      <c r="L80" s="31"/>
      <c r="M80" s="31"/>
      <c r="N80" s="31"/>
    </row>
    <row r="81" spans="1:14" x14ac:dyDescent="0.25">
      <c r="A81" s="38">
        <v>76</v>
      </c>
      <c r="B81" s="31" t="s">
        <v>285</v>
      </c>
      <c r="C81" s="38">
        <v>1525</v>
      </c>
      <c r="D81" s="31" t="s">
        <v>166</v>
      </c>
      <c r="E81" s="31" t="s">
        <v>167</v>
      </c>
      <c r="F81" s="31">
        <v>13761.8</v>
      </c>
      <c r="G81" s="31">
        <v>9</v>
      </c>
      <c r="H81" s="31">
        <f t="shared" ref="H81" si="180">F81*G81%</f>
        <v>1238.5619999999999</v>
      </c>
      <c r="I81" s="31">
        <f t="shared" ref="I81" si="181">G81*F81%</f>
        <v>1238.5619999999999</v>
      </c>
      <c r="J81" s="31">
        <f t="shared" ref="J81" si="182">SUM(H81:I81)</f>
        <v>2477.1239999999998</v>
      </c>
      <c r="K81" s="31">
        <f t="shared" ref="K81" si="183">F81+H81+I81</f>
        <v>16238.923999999999</v>
      </c>
      <c r="L81" s="31"/>
      <c r="M81" s="31"/>
      <c r="N81" s="31"/>
    </row>
    <row r="82" spans="1:14" x14ac:dyDescent="0.25">
      <c r="A82" s="38">
        <v>77</v>
      </c>
      <c r="B82" s="31" t="s">
        <v>276</v>
      </c>
      <c r="C82" s="38">
        <v>1585</v>
      </c>
      <c r="D82" s="31" t="s">
        <v>166</v>
      </c>
      <c r="E82" s="31" t="s">
        <v>167</v>
      </c>
      <c r="F82" s="31">
        <v>295569.88</v>
      </c>
      <c r="G82" s="31">
        <v>9</v>
      </c>
      <c r="H82" s="31">
        <f t="shared" ref="H82" si="184">F82*G82%</f>
        <v>26601.289199999999</v>
      </c>
      <c r="I82" s="31">
        <f t="shared" ref="I82" si="185">G82*F82%</f>
        <v>26601.289199999999</v>
      </c>
      <c r="J82" s="31">
        <f t="shared" ref="J82" si="186">SUM(H82:I82)</f>
        <v>53202.578399999999</v>
      </c>
      <c r="K82" s="31">
        <f t="shared" ref="K82" si="187">F82+H82+I82</f>
        <v>348772.4584</v>
      </c>
      <c r="L82" s="31"/>
      <c r="M82" s="31"/>
      <c r="N82" s="31"/>
    </row>
    <row r="83" spans="1:14" x14ac:dyDescent="0.25">
      <c r="A83" s="38">
        <v>78</v>
      </c>
      <c r="B83" s="31" t="s">
        <v>276</v>
      </c>
      <c r="C83" s="38">
        <v>1615</v>
      </c>
      <c r="D83" s="31" t="s">
        <v>166</v>
      </c>
      <c r="E83" s="31" t="s">
        <v>167</v>
      </c>
      <c r="F83" s="31">
        <v>25708.32</v>
      </c>
      <c r="G83" s="31">
        <v>9</v>
      </c>
      <c r="H83" s="31">
        <f t="shared" ref="H83:H84" si="188">F83*G83%</f>
        <v>2313.7487999999998</v>
      </c>
      <c r="I83" s="31">
        <f t="shared" ref="I83" si="189">G83*F83%</f>
        <v>2313.7487999999998</v>
      </c>
      <c r="J83" s="31">
        <f t="shared" ref="J83" si="190">SUM(H83:I83)</f>
        <v>4627.4975999999997</v>
      </c>
      <c r="K83" s="31">
        <f t="shared" ref="K83:K84" si="191">F83+H83+I83</f>
        <v>30335.817600000002</v>
      </c>
      <c r="L83" s="31"/>
      <c r="M83" s="31"/>
      <c r="N83" s="31"/>
    </row>
    <row r="84" spans="1:14" x14ac:dyDescent="0.25">
      <c r="A84" s="8">
        <v>79</v>
      </c>
      <c r="B84" s="8" t="s">
        <v>276</v>
      </c>
      <c r="C84" s="8">
        <v>438</v>
      </c>
      <c r="D84" s="8" t="s">
        <v>1</v>
      </c>
      <c r="E84" s="8" t="s">
        <v>0</v>
      </c>
      <c r="F84" s="10">
        <v>42725.760000000002</v>
      </c>
      <c r="G84" s="10">
        <v>9</v>
      </c>
      <c r="H84" s="10">
        <f t="shared" si="188"/>
        <v>3845.3184000000001</v>
      </c>
      <c r="I84" s="10">
        <f t="shared" ref="I84" si="192">F84*G84%</f>
        <v>3845.3184000000001</v>
      </c>
      <c r="J84" s="10">
        <f t="shared" ref="J84" si="193">H84+I84</f>
        <v>7690.6368000000002</v>
      </c>
      <c r="K84" s="10">
        <f t="shared" si="191"/>
        <v>50416.396800000002</v>
      </c>
      <c r="L84" s="8"/>
      <c r="M84" s="8"/>
      <c r="N84" s="8"/>
    </row>
    <row r="85" spans="1:14" ht="21.75" customHeight="1" x14ac:dyDescent="0.25">
      <c r="A85" s="50" t="s">
        <v>109</v>
      </c>
      <c r="B85" s="51"/>
      <c r="C85" s="51"/>
      <c r="D85" s="51"/>
      <c r="E85" s="52"/>
      <c r="F85" s="22">
        <f t="shared" ref="F85:N85" si="194">SUM(F62:F84)</f>
        <v>1409439.86</v>
      </c>
      <c r="G85" s="35">
        <f t="shared" si="194"/>
        <v>207</v>
      </c>
      <c r="H85" s="22">
        <f t="shared" si="194"/>
        <v>126849.58740000002</v>
      </c>
      <c r="I85" s="22">
        <f t="shared" si="194"/>
        <v>126849.58740000002</v>
      </c>
      <c r="J85" s="22">
        <f t="shared" si="194"/>
        <v>253699.17480000004</v>
      </c>
      <c r="K85" s="22">
        <f t="shared" si="194"/>
        <v>1663139.0347999996</v>
      </c>
      <c r="L85" s="22">
        <f t="shared" si="194"/>
        <v>0</v>
      </c>
      <c r="M85" s="22">
        <f t="shared" si="194"/>
        <v>0</v>
      </c>
      <c r="N85" s="22">
        <f t="shared" si="194"/>
        <v>0</v>
      </c>
    </row>
  </sheetData>
  <autoFilter ref="A1:N85"/>
  <mergeCells count="4">
    <mergeCell ref="A26:E26"/>
    <mergeCell ref="A39:E39"/>
    <mergeCell ref="A61:E61"/>
    <mergeCell ref="A85:E85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2025-08-09T16:21:23Z</dcterms:modified>
</cp:coreProperties>
</file>